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vBox\Business Intelligence - Brandao\AUTOMACOES\CARREIRA_NOBEL\"/>
    </mc:Choice>
  </mc:AlternateContent>
  <xr:revisionPtr revIDLastSave="0" documentId="13_ncr:1_{2B2B6655-5E9A-429C-B7D4-286111A79B03}" xr6:coauthVersionLast="47" xr6:coauthVersionMax="47" xr10:uidLastSave="{00000000-0000-0000-0000-000000000000}"/>
  <bookViews>
    <workbookView xWindow="37545" yWindow="3075" windowWidth="21600" windowHeight="11295" firstSheet="7" activeTab="11" xr2:uid="{5778523D-8E53-4448-8E1B-9F6197308C13}"/>
  </bookViews>
  <sheets>
    <sheet name="regras" sheetId="1" r:id="rId1"/>
    <sheet name="Indicadores" sheetId="3" r:id="rId2"/>
    <sheet name="tempo de casa" sheetId="9" r:id="rId3"/>
    <sheet name="captacao_1sem" sheetId="4" r:id="rId4"/>
    <sheet name="captacao_2sem" sheetId="5" r:id="rId5"/>
    <sheet name="receita_1sem" sheetId="6" r:id="rId6"/>
    <sheet name="receita_2sem" sheetId="7" r:id="rId7"/>
    <sheet name="captacao_total_2025" sheetId="8" r:id="rId8"/>
    <sheet name="receita_total_2025" sheetId="10" r:id="rId9"/>
    <sheet name="Planilha2" sheetId="12" r:id="rId10"/>
    <sheet name="POSITIVADOR" sheetId="2" r:id="rId11"/>
    <sheet name="impacto_financeiro" sheetId="11" r:id="rId12"/>
  </sheets>
  <definedNames>
    <definedName name="_xlnm._FilterDatabase" localSheetId="3" hidden="1">captacao_1sem!$A$1:$D$20559</definedName>
    <definedName name="_xlnm._FilterDatabase" localSheetId="4" hidden="1">captacao_2sem!$A$1:$D$21813</definedName>
    <definedName name="_xlnm._FilterDatabase" localSheetId="7" hidden="1">captacao_total_2025!$A$1:$E$573</definedName>
    <definedName name="_xlnm._FilterDatabase" localSheetId="1" hidden="1">Indicadores!$A$1:$H$38</definedName>
    <definedName name="_xlnm._FilterDatabase" localSheetId="9" hidden="1">Planilha2!$A$1:$E$134</definedName>
    <definedName name="_xlnm._FilterDatabase" localSheetId="6" hidden="1">receita_2sem!$A$1:$I$273</definedName>
    <definedName name="_xlnm._FilterDatabase" localSheetId="8" hidden="1">receita_total_2025!$A$1:$I$561</definedName>
    <definedName name="_xlnm._FilterDatabase" localSheetId="2" hidden="1">'tempo de casa'!$A$1:$E$41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1" l="1"/>
  <c r="V11" i="1"/>
  <c r="U11" i="1"/>
  <c r="O4" i="3"/>
  <c r="O1" i="3"/>
  <c r="J39" i="3"/>
  <c r="O2" i="3" s="1"/>
  <c r="I39" i="3"/>
  <c r="H39" i="3"/>
  <c r="G39" i="3"/>
  <c r="D39" i="3"/>
  <c r="M39" i="3"/>
  <c r="C3" i="9"/>
  <c r="D3" i="9" s="1"/>
  <c r="C4" i="9"/>
  <c r="D4" i="9" s="1"/>
  <c r="C5" i="9"/>
  <c r="D5" i="9" s="1"/>
  <c r="C6" i="9"/>
  <c r="D6" i="9" s="1"/>
  <c r="C7" i="9"/>
  <c r="D7" i="9" s="1"/>
  <c r="C8" i="9"/>
  <c r="D8" i="9" s="1"/>
  <c r="C9" i="9"/>
  <c r="D9" i="9" s="1"/>
  <c r="C10" i="9"/>
  <c r="D10" i="9" s="1"/>
  <c r="C11" i="9"/>
  <c r="D11" i="9" s="1"/>
  <c r="C12" i="9"/>
  <c r="D12" i="9" s="1"/>
  <c r="C13" i="9"/>
  <c r="D13" i="9" s="1"/>
  <c r="C14" i="9"/>
  <c r="D14" i="9" s="1"/>
  <c r="C15" i="9"/>
  <c r="D15" i="9" s="1"/>
  <c r="C16" i="9"/>
  <c r="D16" i="9" s="1"/>
  <c r="C17" i="9"/>
  <c r="D17" i="9" s="1"/>
  <c r="C18" i="9"/>
  <c r="D18" i="9" s="1"/>
  <c r="C19" i="9"/>
  <c r="D19" i="9" s="1"/>
  <c r="C20" i="9"/>
  <c r="D20" i="9" s="1"/>
  <c r="C21" i="9"/>
  <c r="D21" i="9" s="1"/>
  <c r="C22" i="9"/>
  <c r="D22" i="9" s="1"/>
  <c r="C23" i="9"/>
  <c r="D23" i="9" s="1"/>
  <c r="C24" i="9"/>
  <c r="D24" i="9" s="1"/>
  <c r="C25" i="9"/>
  <c r="D25" i="9" s="1"/>
  <c r="C26" i="9"/>
  <c r="D26" i="9" s="1"/>
  <c r="C27" i="9"/>
  <c r="D27" i="9" s="1"/>
  <c r="C28" i="9"/>
  <c r="D28" i="9" s="1"/>
  <c r="C29" i="9"/>
  <c r="D29" i="9" s="1"/>
  <c r="C30" i="9"/>
  <c r="D30" i="9" s="1"/>
  <c r="C31" i="9"/>
  <c r="D31" i="9" s="1"/>
  <c r="C32" i="9"/>
  <c r="D32" i="9" s="1"/>
  <c r="C33" i="9"/>
  <c r="D33" i="9" s="1"/>
  <c r="C34" i="9"/>
  <c r="D34" i="9" s="1"/>
  <c r="C35" i="9"/>
  <c r="D35" i="9" s="1"/>
  <c r="C36" i="9"/>
  <c r="D36" i="9" s="1"/>
  <c r="C37" i="9"/>
  <c r="D37" i="9" s="1"/>
  <c r="C38" i="9"/>
  <c r="D38" i="9" s="1"/>
  <c r="C39" i="9"/>
  <c r="D39" i="9" s="1"/>
  <c r="C2" i="9"/>
  <c r="D2" i="9" s="1"/>
  <c r="O3" i="3" l="1"/>
  <c r="E30" i="9"/>
  <c r="E18" i="9"/>
  <c r="E39" i="9"/>
  <c r="E24" i="9"/>
  <c r="E34" i="9"/>
  <c r="E19" i="9"/>
  <c r="E12" i="9"/>
  <c r="E11" i="9"/>
  <c r="E7" i="9"/>
  <c r="E38" i="9"/>
  <c r="E29" i="9"/>
  <c r="E23" i="9"/>
  <c r="E17" i="9"/>
  <c r="E10" i="9"/>
  <c r="E37" i="9"/>
  <c r="E28" i="9"/>
  <c r="E22" i="9"/>
  <c r="E16" i="9"/>
  <c r="E6" i="9"/>
  <c r="E33" i="9"/>
  <c r="E32" i="9"/>
  <c r="E27" i="9"/>
  <c r="E21" i="9"/>
  <c r="E15" i="9"/>
  <c r="E9" i="9"/>
  <c r="E5" i="9"/>
  <c r="E36" i="9"/>
  <c r="E26" i="9"/>
  <c r="E20" i="9"/>
  <c r="E14" i="9"/>
  <c r="E8" i="9"/>
  <c r="E35" i="9"/>
  <c r="E31" i="9"/>
  <c r="E25" i="9"/>
  <c r="E4" i="9"/>
  <c r="E13" i="9"/>
  <c r="E3" i="9"/>
  <c r="E2" i="9"/>
  <c r="F38" i="3" a="1"/>
  <c r="F38" i="3" s="1"/>
  <c r="F22" i="3" a="1"/>
  <c r="F22" i="3" s="1"/>
  <c r="F28" i="3" a="1"/>
  <c r="F28" i="3" s="1"/>
  <c r="F30" i="3" a="1"/>
  <c r="F30" i="3" s="1"/>
  <c r="F5" i="3" a="1"/>
  <c r="F5" i="3" s="1"/>
  <c r="F24" i="3" a="1"/>
  <c r="F24" i="3" s="1"/>
  <c r="F3" i="3" a="1"/>
  <c r="F3" i="3" s="1"/>
  <c r="F11" i="3" a="1"/>
  <c r="F11" i="3" s="1"/>
  <c r="F32" i="3" a="1"/>
  <c r="F32" i="3" s="1"/>
  <c r="F17" i="3" a="1"/>
  <c r="F17" i="3" s="1"/>
  <c r="F25" i="3" a="1"/>
  <c r="F25" i="3" s="1"/>
  <c r="F31" i="3" a="1"/>
  <c r="F31" i="3" s="1"/>
  <c r="F15" i="3" a="1"/>
  <c r="F15" i="3" s="1"/>
  <c r="F26" i="3" a="1"/>
  <c r="F26" i="3" s="1"/>
  <c r="F23" i="3" a="1"/>
  <c r="F23" i="3" s="1"/>
  <c r="F8" i="3" a="1"/>
  <c r="F8" i="3" s="1"/>
  <c r="F2" i="3" a="1"/>
  <c r="F2" i="3" s="1"/>
  <c r="F9" i="3" a="1"/>
  <c r="F9" i="3" s="1"/>
  <c r="F29" i="3" a="1"/>
  <c r="F29" i="3" s="1"/>
  <c r="F19" i="3" a="1"/>
  <c r="F19" i="3" s="1"/>
  <c r="F27" i="3" a="1"/>
  <c r="F27" i="3" s="1"/>
  <c r="F10" i="3" a="1"/>
  <c r="F10" i="3" s="1"/>
  <c r="F18" i="3" a="1"/>
  <c r="F18" i="3" s="1"/>
  <c r="F13" i="3" a="1"/>
  <c r="F13" i="3" s="1"/>
  <c r="F34" i="3" a="1"/>
  <c r="F34" i="3" s="1"/>
  <c r="F33" i="3" a="1"/>
  <c r="F33" i="3" s="1"/>
  <c r="F35" i="3" a="1"/>
  <c r="F35" i="3" s="1"/>
  <c r="F21" i="3" a="1"/>
  <c r="F21" i="3" s="1"/>
  <c r="F12" i="3" a="1"/>
  <c r="F12" i="3" s="1"/>
  <c r="F16" i="3" a="1"/>
  <c r="F16" i="3" s="1"/>
  <c r="F36" i="3" a="1"/>
  <c r="F36" i="3" s="1"/>
  <c r="F6" i="3" a="1"/>
  <c r="F6" i="3" s="1"/>
  <c r="F7" i="3" a="1"/>
  <c r="F7" i="3" s="1"/>
  <c r="F20" i="3" a="1"/>
  <c r="F20" i="3" s="1"/>
  <c r="F4" i="3" a="1"/>
  <c r="F4" i="3" s="1"/>
  <c r="F14" i="3" a="1"/>
  <c r="F14" i="3" s="1"/>
  <c r="F37" i="3" a="1"/>
  <c r="F37" i="3" s="1"/>
  <c r="B30" i="3"/>
  <c r="B24" i="3"/>
  <c r="B11" i="3"/>
  <c r="B31" i="3"/>
  <c r="B26" i="3"/>
  <c r="B8" i="3"/>
  <c r="B27" i="3"/>
  <c r="B10" i="3"/>
  <c r="B21" i="3"/>
  <c r="B20" i="3"/>
  <c r="B4" i="3"/>
  <c r="B37" i="3"/>
  <c r="B38" i="3"/>
  <c r="B22" i="3"/>
  <c r="B25" i="3"/>
  <c r="B36" i="3"/>
  <c r="B7" i="3"/>
  <c r="B5" i="3"/>
  <c r="B3" i="3"/>
  <c r="B32" i="3"/>
  <c r="B17" i="3"/>
  <c r="B33" i="3"/>
  <c r="B14" i="3"/>
  <c r="B23" i="3"/>
  <c r="B29" i="3"/>
  <c r="B19" i="3"/>
  <c r="B18" i="3"/>
  <c r="B13" i="3"/>
  <c r="B35" i="3"/>
  <c r="B12" i="3"/>
  <c r="B15" i="3"/>
  <c r="B2" i="3"/>
  <c r="B9" i="3"/>
  <c r="B34" i="3"/>
  <c r="B16" i="3"/>
  <c r="B6" i="3"/>
  <c r="B28" i="3"/>
  <c r="E28" i="3" a="1"/>
  <c r="E28" i="3" s="1"/>
  <c r="E30" i="3" a="1"/>
  <c r="E30" i="3" s="1"/>
  <c r="E24" i="3" a="1"/>
  <c r="E24" i="3" s="1"/>
  <c r="E11" i="3" a="1"/>
  <c r="E11" i="3" s="1"/>
  <c r="E31" i="3" a="1"/>
  <c r="E31" i="3" s="1"/>
  <c r="E26" i="3" a="1"/>
  <c r="E26" i="3" s="1"/>
  <c r="E8" i="3" a="1"/>
  <c r="E8" i="3" s="1"/>
  <c r="E27" i="3" a="1"/>
  <c r="E27" i="3" s="1"/>
  <c r="E10" i="3" a="1"/>
  <c r="E10" i="3" s="1"/>
  <c r="E21" i="3" a="1"/>
  <c r="E21" i="3" s="1"/>
  <c r="E20" i="3" a="1"/>
  <c r="E20" i="3" s="1"/>
  <c r="E4" i="3" a="1"/>
  <c r="E4" i="3" s="1"/>
  <c r="E37" i="3" a="1"/>
  <c r="E37" i="3" s="1"/>
  <c r="E38" i="3" a="1"/>
  <c r="E38" i="3" s="1"/>
  <c r="E22" i="3" a="1"/>
  <c r="E22" i="3" s="1"/>
  <c r="E25" i="3" a="1"/>
  <c r="E25" i="3" s="1"/>
  <c r="E36" i="3" a="1"/>
  <c r="E36" i="3" s="1"/>
  <c r="E7" i="3" a="1"/>
  <c r="E7" i="3" s="1"/>
  <c r="E5" i="3" a="1"/>
  <c r="E5" i="3" s="1"/>
  <c r="E3" i="3" a="1"/>
  <c r="E3" i="3" s="1"/>
  <c r="E32" i="3" a="1"/>
  <c r="E32" i="3" s="1"/>
  <c r="E17" i="3" a="1"/>
  <c r="E17" i="3" s="1"/>
  <c r="E33" i="3" a="1"/>
  <c r="E33" i="3" s="1"/>
  <c r="E14" i="3" a="1"/>
  <c r="E14" i="3" s="1"/>
  <c r="E23" i="3" a="1"/>
  <c r="E23" i="3" s="1"/>
  <c r="E29" i="3" a="1"/>
  <c r="E29" i="3" s="1"/>
  <c r="E19" i="3" a="1"/>
  <c r="E19" i="3" s="1"/>
  <c r="E18" i="3" a="1"/>
  <c r="E18" i="3" s="1"/>
  <c r="E13" i="3" a="1"/>
  <c r="E13" i="3" s="1"/>
  <c r="E35" i="3" a="1"/>
  <c r="E35" i="3" s="1"/>
  <c r="E12" i="3" a="1"/>
  <c r="E12" i="3" s="1"/>
  <c r="E15" i="3" a="1"/>
  <c r="E15" i="3" s="1"/>
  <c r="E2" i="3" a="1"/>
  <c r="E2" i="3" s="1"/>
  <c r="E9" i="3" a="1"/>
  <c r="E9" i="3" s="1"/>
  <c r="E34" i="3" a="1"/>
  <c r="E34" i="3" s="1"/>
  <c r="E16" i="3" a="1"/>
  <c r="E16" i="3" s="1"/>
  <c r="E6" i="3" a="1"/>
  <c r="E6" i="3" s="1"/>
  <c r="N21" i="1"/>
  <c r="F21" i="1"/>
  <c r="E21" i="1"/>
  <c r="D21" i="1"/>
  <c r="C21" i="1"/>
  <c r="L15" i="1"/>
  <c r="R19" i="1" s="1"/>
  <c r="K15" i="1"/>
  <c r="Q13" i="1" s="1"/>
  <c r="J15" i="1"/>
  <c r="P17" i="1" s="1"/>
  <c r="I15" i="1"/>
  <c r="O19" i="1" s="1"/>
  <c r="R14" i="1"/>
  <c r="R13" i="1"/>
  <c r="R12" i="1"/>
  <c r="P12" i="1"/>
  <c r="R11" i="1"/>
  <c r="P11" i="1"/>
  <c r="R10" i="1"/>
  <c r="P10" i="1"/>
  <c r="R9" i="1"/>
  <c r="P9" i="1"/>
  <c r="R8" i="1"/>
  <c r="Q8" i="1"/>
  <c r="P8" i="1"/>
  <c r="R7" i="1"/>
  <c r="P7" i="1"/>
  <c r="L6" i="1"/>
  <c r="K6" i="1"/>
  <c r="J6" i="1"/>
  <c r="I6" i="1"/>
  <c r="Q12" i="1" l="1"/>
  <c r="Q10" i="1"/>
  <c r="O8" i="1"/>
  <c r="O10" i="1"/>
  <c r="O12" i="1"/>
  <c r="O7" i="1"/>
  <c r="O9" i="1"/>
  <c r="O11" i="1"/>
  <c r="O13" i="1"/>
  <c r="Q7" i="1"/>
  <c r="Q9" i="1"/>
  <c r="Q11" i="1"/>
  <c r="O14" i="1"/>
  <c r="P21" i="1"/>
  <c r="P22" i="1" s="1"/>
  <c r="P19" i="1"/>
  <c r="Q15" i="1"/>
  <c r="Q16" i="1"/>
  <c r="Q17" i="1"/>
  <c r="Q18" i="1"/>
  <c r="Q19" i="1"/>
  <c r="P14" i="1"/>
  <c r="P16" i="1"/>
  <c r="P18" i="1"/>
  <c r="Q14" i="1"/>
  <c r="R15" i="1"/>
  <c r="R16" i="1"/>
  <c r="R17" i="1"/>
  <c r="R18" i="1"/>
  <c r="P13" i="1"/>
  <c r="P15" i="1"/>
  <c r="O15" i="1"/>
  <c r="O16" i="1"/>
  <c r="O17" i="1"/>
  <c r="O18" i="1"/>
  <c r="Q21" i="1" l="1"/>
  <c r="Q22" i="1" s="1"/>
  <c r="R21" i="1"/>
  <c r="R22" i="1" s="1"/>
  <c r="O21" i="1"/>
  <c r="O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<sst xmlns="http://schemas.openxmlformats.org/spreadsheetml/2006/main" count="44558" uniqueCount="333">
  <si>
    <t>net</t>
  </si>
  <si>
    <t>Até 50MM</t>
  </si>
  <si>
    <t>50MM - 100MM</t>
  </si>
  <si>
    <t>100MM - 300MM</t>
  </si>
  <si>
    <t>&gt; 300MM</t>
  </si>
  <si>
    <t>cap</t>
  </si>
  <si>
    <t>x</t>
  </si>
  <si>
    <t>receita</t>
  </si>
  <si>
    <t>KPIs</t>
  </si>
  <si>
    <t xml:space="preserve">GROWING </t>
  </si>
  <si>
    <t>PLENO</t>
  </si>
  <si>
    <t>SENIOR</t>
  </si>
  <si>
    <t>MASTER</t>
  </si>
  <si>
    <t>REGRA 3/4</t>
  </si>
  <si>
    <t>tempo de casa</t>
  </si>
  <si>
    <t>Captação</t>
  </si>
  <si>
    <t>Receita</t>
  </si>
  <si>
    <t>BASE</t>
  </si>
  <si>
    <t>RENDA FIXA</t>
  </si>
  <si>
    <t>Modelo de Servir</t>
  </si>
  <si>
    <t xml:space="preserve">FUNDOS </t>
  </si>
  <si>
    <t>PREV</t>
  </si>
  <si>
    <t>FEE FIXO</t>
  </si>
  <si>
    <t>CAMBIO</t>
  </si>
  <si>
    <t>BÔNUS</t>
  </si>
  <si>
    <t>COE</t>
  </si>
  <si>
    <t>FIIs</t>
  </si>
  <si>
    <t>RV</t>
  </si>
  <si>
    <t>INTERNACIONAL</t>
  </si>
  <si>
    <t>PRODUTOS PJ</t>
  </si>
  <si>
    <t>CONSÓRCIO</t>
  </si>
  <si>
    <t>SEGUROS</t>
  </si>
  <si>
    <t>PRECATÓRIO</t>
  </si>
  <si>
    <t>PTNSHIP</t>
  </si>
  <si>
    <t>X</t>
  </si>
  <si>
    <t>4 sem</t>
  </si>
  <si>
    <t>2 sem</t>
  </si>
  <si>
    <t>REPASSE MÉDIO</t>
  </si>
  <si>
    <t>Código Real</t>
  </si>
  <si>
    <t>Assessor </t>
  </si>
  <si>
    <t>Núcleo</t>
  </si>
  <si>
    <t>Cliente</t>
  </si>
  <si>
    <t>Status</t>
  </si>
  <si>
    <t>Ativou em M?</t>
  </si>
  <si>
    <t>Net Em M</t>
  </si>
  <si>
    <t>DM 14</t>
  </si>
  <si>
    <t>Fabrício Mastro</t>
  </si>
  <si>
    <t>SMART-Unique</t>
  </si>
  <si>
    <t>INATIVO</t>
  </si>
  <si>
    <t>Não</t>
  </si>
  <si>
    <t>A92716</t>
  </si>
  <si>
    <t>Rafael Damasceno</t>
  </si>
  <si>
    <t>SMART-Global</t>
  </si>
  <si>
    <t>ATIVO</t>
  </si>
  <si>
    <t>A74230</t>
  </si>
  <si>
    <t>Felipe Sellan</t>
  </si>
  <si>
    <t>BRAVO</t>
  </si>
  <si>
    <t>A28214</t>
  </si>
  <si>
    <t>Thiago Budni</t>
  </si>
  <si>
    <t>A26918</t>
  </si>
  <si>
    <t>Nina Lima</t>
  </si>
  <si>
    <t>A73259</t>
  </si>
  <si>
    <t>Leandro de Luna</t>
  </si>
  <si>
    <t>A24984</t>
  </si>
  <si>
    <t>Leandro Barbancho</t>
  </si>
  <si>
    <t>A21351</t>
  </si>
  <si>
    <t>Alexandre França</t>
  </si>
  <si>
    <t>PRIVATE</t>
  </si>
  <si>
    <t>A26562</t>
  </si>
  <si>
    <t>Caio Marques</t>
  </si>
  <si>
    <t>A53727</t>
  </si>
  <si>
    <t>Rafaela Auslenter</t>
  </si>
  <si>
    <t>A21878</t>
  </si>
  <si>
    <t>Roberta Figueira</t>
  </si>
  <si>
    <t>A69286</t>
  </si>
  <si>
    <t>Vitor Baqueiro</t>
  </si>
  <si>
    <t>A46046</t>
  </si>
  <si>
    <t>Leonardo Dantas</t>
  </si>
  <si>
    <t>SMART-Assessoria</t>
  </si>
  <si>
    <t>A43705</t>
  </si>
  <si>
    <t>Cristiane Mellote</t>
  </si>
  <si>
    <t>RIO PRETO</t>
  </si>
  <si>
    <t>A26112</t>
  </si>
  <si>
    <t>Argos Urbano</t>
  </si>
  <si>
    <t>A25771</t>
  </si>
  <si>
    <t>Luis Vieira</t>
  </si>
  <si>
    <t>A74811</t>
  </si>
  <si>
    <t>Igor Ladeira</t>
  </si>
  <si>
    <t>A54062</t>
  </si>
  <si>
    <t>Luan Prado</t>
  </si>
  <si>
    <t>A72984</t>
  </si>
  <si>
    <t>Elise Okayama</t>
  </si>
  <si>
    <t>A92776</t>
  </si>
  <si>
    <t>Dienifer Natieli Lopes</t>
  </si>
  <si>
    <t>A44655</t>
  </si>
  <si>
    <t>Filipe Rezende</t>
  </si>
  <si>
    <t>A72555</t>
  </si>
  <si>
    <t>Viviane Fabbri</t>
  </si>
  <si>
    <t>A56706</t>
  </si>
  <si>
    <t>Evandro Delduque</t>
  </si>
  <si>
    <t>A51250</t>
  </si>
  <si>
    <t>Smart - Mesa</t>
  </si>
  <si>
    <t>A73778</t>
  </si>
  <si>
    <t>Henrique Piragibe</t>
  </si>
  <si>
    <t>Smart01</t>
  </si>
  <si>
    <t>Barbara Miura</t>
  </si>
  <si>
    <t>A32005</t>
  </si>
  <si>
    <t>Fabio Ribeiro</t>
  </si>
  <si>
    <t>A26085</t>
  </si>
  <si>
    <t>Luka Nishiya</t>
  </si>
  <si>
    <t>A25982</t>
  </si>
  <si>
    <t>João Gama</t>
  </si>
  <si>
    <t>A73214</t>
  </si>
  <si>
    <t>Marcelo Almeida</t>
  </si>
  <si>
    <t>A53211</t>
  </si>
  <si>
    <t>Diana Frajtag</t>
  </si>
  <si>
    <t>A26852</t>
  </si>
  <si>
    <t>Lucas Pradella</t>
  </si>
  <si>
    <t>A74348</t>
  </si>
  <si>
    <t>Simone Augusto</t>
  </si>
  <si>
    <t>A22679</t>
  </si>
  <si>
    <t>Fabio Galdino</t>
  </si>
  <si>
    <t>A32561</t>
  </si>
  <si>
    <t>Marco Silveira</t>
  </si>
  <si>
    <t>A47207</t>
  </si>
  <si>
    <t>João Teixeira</t>
  </si>
  <si>
    <t>Private25</t>
  </si>
  <si>
    <t>Rodrigo de Sé</t>
  </si>
  <si>
    <t>A65954</t>
  </si>
  <si>
    <t>Adriano Fonseca</t>
  </si>
  <si>
    <t>Adriano</t>
  </si>
  <si>
    <t>A65997</t>
  </si>
  <si>
    <t>Alvaro Villa</t>
  </si>
  <si>
    <t>A59119</t>
  </si>
  <si>
    <t>Rodrigo Conforti</t>
  </si>
  <si>
    <t>A24356</t>
  </si>
  <si>
    <t>Giordano Molinari</t>
  </si>
  <si>
    <t>A94378</t>
  </si>
  <si>
    <t>Henrique Marengo Teixeira</t>
  </si>
  <si>
    <t>A27942</t>
  </si>
  <si>
    <t>Thalita Carvalho</t>
  </si>
  <si>
    <t>A26279</t>
  </si>
  <si>
    <t>Lucas Castellan</t>
  </si>
  <si>
    <t>CHARLIE</t>
  </si>
  <si>
    <t>A21399</t>
  </si>
  <si>
    <t>João Carlos</t>
  </si>
  <si>
    <t>A27823</t>
  </si>
  <si>
    <t>Diogo Reinoso</t>
  </si>
  <si>
    <t>A34082</t>
  </si>
  <si>
    <t>Guilherme Greffin</t>
  </si>
  <si>
    <t>A27302</t>
  </si>
  <si>
    <t>Rodrigo Di Pedro</t>
  </si>
  <si>
    <t>SMART</t>
  </si>
  <si>
    <t>A20345</t>
  </si>
  <si>
    <t>Luis Valente</t>
  </si>
  <si>
    <t>A50439</t>
  </si>
  <si>
    <t>Miguel Nunes</t>
  </si>
  <si>
    <t>A48396</t>
  </si>
  <si>
    <t>Tiago Londres</t>
  </si>
  <si>
    <t>FINDER01</t>
  </si>
  <si>
    <t>GEOVANNA FINDER</t>
  </si>
  <si>
    <t>A35329</t>
  </si>
  <si>
    <t>Anderson de Almeida</t>
  </si>
  <si>
    <t>A72441</t>
  </si>
  <si>
    <t>Leonardo Lopez</t>
  </si>
  <si>
    <t>A22697</t>
  </si>
  <si>
    <t>Diogo Basile</t>
  </si>
  <si>
    <t>Sim</t>
  </si>
  <si>
    <t>A69243</t>
  </si>
  <si>
    <t>Rafael Bonfim</t>
  </si>
  <si>
    <t>A88826</t>
  </si>
  <si>
    <t>Gabriel Ribeiro</t>
  </si>
  <si>
    <t>QXR114638</t>
  </si>
  <si>
    <t>inNão</t>
  </si>
  <si>
    <t>QXR147661</t>
  </si>
  <si>
    <t>QXR151291</t>
  </si>
  <si>
    <t>QXR152927</t>
  </si>
  <si>
    <t>QXR153420</t>
  </si>
  <si>
    <t>QXR216979</t>
  </si>
  <si>
    <t>QXR323759</t>
  </si>
  <si>
    <t>QXR325333</t>
  </si>
  <si>
    <t>QXR330531</t>
  </si>
  <si>
    <t>QXR336132</t>
  </si>
  <si>
    <t>A28626</t>
  </si>
  <si>
    <t>equipe</t>
  </si>
  <si>
    <t>nome_assessor</t>
  </si>
  <si>
    <t>cluster</t>
  </si>
  <si>
    <t>Assessor</t>
  </si>
  <si>
    <t>A37083</t>
  </si>
  <si>
    <t>A53251</t>
  </si>
  <si>
    <t>A43562</t>
  </si>
  <si>
    <t>A51050</t>
  </si>
  <si>
    <t>A71408</t>
  </si>
  <si>
    <t>A35381</t>
  </si>
  <si>
    <t>A73860</t>
  </si>
  <si>
    <t>A21773</t>
  </si>
  <si>
    <t>A73859</t>
  </si>
  <si>
    <t>RJ 01</t>
  </si>
  <si>
    <t>A71400</t>
  </si>
  <si>
    <t>A43958</t>
  </si>
  <si>
    <t>A71773</t>
  </si>
  <si>
    <t>A20841</t>
  </si>
  <si>
    <t>A21007</t>
  </si>
  <si>
    <t>DM 10</t>
  </si>
  <si>
    <t>DM 13</t>
  </si>
  <si>
    <t>DM 12</t>
  </si>
  <si>
    <t>A90915</t>
  </si>
  <si>
    <t>PRIVATE01</t>
  </si>
  <si>
    <t>A34903</t>
  </si>
  <si>
    <t>A97180</t>
  </si>
  <si>
    <t>A26496</t>
  </si>
  <si>
    <t>cap_1sem</t>
  </si>
  <si>
    <t>cap_2sem</t>
  </si>
  <si>
    <t>id_assessor</t>
  </si>
  <si>
    <t>net (atual)</t>
  </si>
  <si>
    <t>rec_1sem</t>
  </si>
  <si>
    <t>rec_2sem</t>
  </si>
  <si>
    <t>faixa</t>
  </si>
  <si>
    <t>Cód. Assessor</t>
  </si>
  <si>
    <t>Nome Assessor</t>
  </si>
  <si>
    <t>Capitação Líquida</t>
  </si>
  <si>
    <t>Período</t>
  </si>
  <si>
    <t>Walter Fogolin</t>
  </si>
  <si>
    <t>Paulo Wu Dirickson</t>
  </si>
  <si>
    <t>RIO DE JANEIRO</t>
  </si>
  <si>
    <t>Lourdes Marretto</t>
  </si>
  <si>
    <t>SÃO JOSÉ</t>
  </si>
  <si>
    <t>BETA</t>
  </si>
  <si>
    <t>ATENA</t>
  </si>
  <si>
    <t>DELTA</t>
  </si>
  <si>
    <t>CAMPINAS</t>
  </si>
  <si>
    <t>Fernanda Nascimbeni</t>
  </si>
  <si>
    <t>Mario Godoy</t>
  </si>
  <si>
    <t>Sandro Nunes</t>
  </si>
  <si>
    <t>Adriano Mitidiero</t>
  </si>
  <si>
    <t>SANTOS</t>
  </si>
  <si>
    <t>Caio Franco</t>
  </si>
  <si>
    <t>Nicolly Maschio</t>
  </si>
  <si>
    <t>Nobel Smart</t>
  </si>
  <si>
    <t>João Ambrizi</t>
  </si>
  <si>
    <t xml:space="preserve">Rodrigo Conforti </t>
  </si>
  <si>
    <t>MAMBA</t>
  </si>
  <si>
    <t>Patricia Clepf</t>
  </si>
  <si>
    <t>Renata Penzin</t>
  </si>
  <si>
    <t>Kethya Takara</t>
  </si>
  <si>
    <t>Walter Alves</t>
  </si>
  <si>
    <t>Susane Garcia</t>
  </si>
  <si>
    <t>#N/D</t>
  </si>
  <si>
    <t>Nathalia Ribeiro</t>
  </si>
  <si>
    <t>Pendente BETA</t>
  </si>
  <si>
    <t>Giovanna Oliveira</t>
  </si>
  <si>
    <t>Felipe Concon</t>
  </si>
  <si>
    <t>Caique Gomes</t>
  </si>
  <si>
    <t>Lucas Gaspar</t>
  </si>
  <si>
    <t>Nome Completo</t>
  </si>
  <si>
    <t>Emerson Viana dos Santos</t>
  </si>
  <si>
    <t>Entrada Nobel</t>
  </si>
  <si>
    <t>Hoje</t>
  </si>
  <si>
    <t>Tempo de Casa (ano)</t>
  </si>
  <si>
    <t xml:space="preserve">Tempo de casa (completo) </t>
  </si>
  <si>
    <t>Id_Assessor</t>
  </si>
  <si>
    <t>sum(grp.receita)</t>
  </si>
  <si>
    <t>Média de Receita</t>
  </si>
  <si>
    <t>Média Receita AUM(até periodo)</t>
  </si>
  <si>
    <t>roa</t>
  </si>
  <si>
    <t>Roa Anualizado</t>
  </si>
  <si>
    <t>01/2025</t>
  </si>
  <si>
    <t>Caio Mitidiero</t>
  </si>
  <si>
    <t>Fábio Galdino</t>
  </si>
  <si>
    <t>A39126</t>
  </si>
  <si>
    <t>Guilherme Dias</t>
  </si>
  <si>
    <t>HENRIQUE PIRAGIBE</t>
  </si>
  <si>
    <t>Nathalia Ribeiro Louback</t>
  </si>
  <si>
    <t>Paulo Wu</t>
  </si>
  <si>
    <t>SANTOS 01</t>
  </si>
  <si>
    <t>02/2025</t>
  </si>
  <si>
    <t>03/2025</t>
  </si>
  <si>
    <t>04/2025</t>
  </si>
  <si>
    <t>05/2025</t>
  </si>
  <si>
    <t>06/2025</t>
  </si>
  <si>
    <t>07/2025</t>
  </si>
  <si>
    <t>08/2025</t>
  </si>
  <si>
    <t>DIENIFER NATIELI LOPES</t>
  </si>
  <si>
    <t>SJRP 01</t>
  </si>
  <si>
    <t>09/2025</t>
  </si>
  <si>
    <t>EMERSON VIANA DOS SANTOS</t>
  </si>
  <si>
    <t>João Carlos Soares</t>
  </si>
  <si>
    <t>10/2025</t>
  </si>
  <si>
    <t>RAFAEL BONFIM</t>
  </si>
  <si>
    <t>11/2025</t>
  </si>
  <si>
    <t>GIORDANO MOLINARI</t>
  </si>
  <si>
    <t>12/2025</t>
  </si>
  <si>
    <t>PRIVATE25</t>
  </si>
  <si>
    <t>tempo_de_casa</t>
  </si>
  <si>
    <t>Bárbara Miura</t>
  </si>
  <si>
    <t>0 anos, 6 meses e 12 dias</t>
  </si>
  <si>
    <t>7 anos, 0 meses e 19 dias</t>
  </si>
  <si>
    <t>1 anos, 0 meses e 7 dias</t>
  </si>
  <si>
    <t>3 anos, 2 meses e 27 dias</t>
  </si>
  <si>
    <t>4 anos, 0 meses e 19 dias</t>
  </si>
  <si>
    <t>2 anos, 3 meses e 11 dias</t>
  </si>
  <si>
    <t>2 anos, 11 meses e 14 dias</t>
  </si>
  <si>
    <t>1 anos, 2 meses e 16 dias</t>
  </si>
  <si>
    <t>1 anos, 6 meses e 11 dias</t>
  </si>
  <si>
    <t>4 anos, 7 meses e 19 dias</t>
  </si>
  <si>
    <t>1 anos, 3 meses e 21 dias</t>
  </si>
  <si>
    <t>1 anos, 7 meses e 3 dias</t>
  </si>
  <si>
    <t>3 anos, 5 meses e 12 dias</t>
  </si>
  <si>
    <t>0 anos, 11 meses e 3 dias</t>
  </si>
  <si>
    <t>4 anos, 2 meses e 2 dias</t>
  </si>
  <si>
    <t>1 anos, 8 meses e 22 dias</t>
  </si>
  <si>
    <t>0 anos, 3 meses e 14 dias</t>
  </si>
  <si>
    <t>0 anos, 10 meses e 10 dias</t>
  </si>
  <si>
    <t>2 anos, 1 meses e 2 dias</t>
  </si>
  <si>
    <t>3 anos, 11 meses e 19 dias</t>
  </si>
  <si>
    <t>2 anos, 1 meses e 14 dias</t>
  </si>
  <si>
    <t>5 anos, 5 meses e 19 dias</t>
  </si>
  <si>
    <t>0 anos, 5 meses e 21 dias</t>
  </si>
  <si>
    <t>1 anos, 6 meses e 26 dias</t>
  </si>
  <si>
    <t>1 anos, 0 meses e 0 dias</t>
  </si>
  <si>
    <t>3 anos, 10 meses e 19 dias</t>
  </si>
  <si>
    <t>1 anos, 8 meses e 13 dias</t>
  </si>
  <si>
    <t>6 anos, 7 meses e 19 dias</t>
  </si>
  <si>
    <t>3 anos, 6 meses e 15 dias</t>
  </si>
  <si>
    <t>1 anos, 8 meses e 6 dias</t>
  </si>
  <si>
    <t>4 anos, 7 meses e 5 dias</t>
  </si>
  <si>
    <t>check tempo de casa (anos)</t>
  </si>
  <si>
    <t>NET médio p/ Assessor</t>
  </si>
  <si>
    <t>REC média p/ Assessor (ano)</t>
  </si>
  <si>
    <t>CAP média p/ Assessor (ano)</t>
  </si>
  <si>
    <t>Tempo médio de casa (ano)</t>
  </si>
  <si>
    <t>Retirados os 3 maiores NETs e os 3 menores.</t>
  </si>
  <si>
    <t>GROWING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</si>
</sst>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[$R$-416]\ * #,##0.00_-;\-[$R$-416]\ * #,##0.00_-;_-[$R$-416]\ * &quot;-&quot;??_-;_-@_-"/>
    <numFmt numFmtId="167" formatCode="_(* #,##0.00_);_(* \(#,##0.00\);_(* &quot;-&quot;??_);_(@_)"/>
    <numFmt numFmtId="168" formatCode="m/d/yyyy"/>
    <numFmt numFmtId="169" formatCode="&quot;R$ &quot;#,##0.00"/>
    <numFmt numFmtId="170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u/>
      <sz val="10"/>
      <color indexed="8"/>
      <name val="Aptos Narrow"/>
      <family val="2"/>
      <scheme val="minor"/>
    </font>
    <font>
      <b/>
      <i/>
      <sz val="10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44" fontId="1" fillId="0" borderId="0" applyFont="0" applyFill="0" applyBorder="0" applyAlignment="0" applyProtection="0"/>
    <xf numFmtId="0" fontId="1" fillId="6" borderId="0" applyNumberFormat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9" fontId="3" fillId="0" borderId="0" xfId="2" applyFont="1" applyAlignment="1">
      <alignment horizontal="center" vertical="center"/>
    </xf>
    <xf numFmtId="9" fontId="3" fillId="0" borderId="7" xfId="2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5" fontId="3" fillId="0" borderId="0" xfId="2" applyNumberFormat="1" applyFont="1" applyBorder="1" applyAlignment="1">
      <alignment horizontal="center" vertical="center"/>
    </xf>
    <xf numFmtId="165" fontId="3" fillId="0" borderId="5" xfId="2" applyNumberFormat="1" applyFont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3" fillId="0" borderId="0" xfId="0" applyNumberFormat="1" applyFont="1"/>
    <xf numFmtId="166" fontId="0" fillId="0" borderId="0" xfId="0" applyNumberFormat="1"/>
    <xf numFmtId="1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0" fontId="0" fillId="0" borderId="12" xfId="0" applyBorder="1"/>
    <xf numFmtId="0" fontId="0" fillId="0" borderId="13" xfId="0" applyBorder="1"/>
    <xf numFmtId="0" fontId="0" fillId="0" borderId="0" xfId="0" quotePrefix="1"/>
    <xf numFmtId="0" fontId="6" fillId="7" borderId="14" xfId="0" applyFont="1" applyFill="1" applyBorder="1"/>
    <xf numFmtId="0" fontId="6" fillId="7" borderId="15" xfId="0" applyFont="1" applyFill="1" applyBorder="1"/>
    <xf numFmtId="14" fontId="6" fillId="7" borderId="15" xfId="0" applyNumberFormat="1" applyFont="1" applyFill="1" applyBorder="1"/>
    <xf numFmtId="167" fontId="6" fillId="7" borderId="15" xfId="1" applyNumberFormat="1" applyFont="1" applyFill="1" applyBorder="1"/>
    <xf numFmtId="0" fontId="6" fillId="7" borderId="16" xfId="0" applyFont="1" applyFill="1" applyBorder="1"/>
    <xf numFmtId="0" fontId="0" fillId="8" borderId="14" xfId="0" applyFill="1" applyBorder="1"/>
    <xf numFmtId="0" fontId="0" fillId="8" borderId="15" xfId="0" applyFill="1" applyBorder="1"/>
    <xf numFmtId="168" fontId="0" fillId="8" borderId="15" xfId="0" quotePrefix="1" applyNumberFormat="1" applyFill="1" applyBorder="1"/>
    <xf numFmtId="164" fontId="0" fillId="8" borderId="15" xfId="0" applyNumberFormat="1" applyFill="1" applyBorder="1"/>
    <xf numFmtId="10" fontId="7" fillId="8" borderId="15" xfId="0" applyNumberFormat="1" applyFont="1" applyFill="1" applyBorder="1"/>
    <xf numFmtId="10" fontId="7" fillId="8" borderId="16" xfId="0" applyNumberFormat="1" applyFont="1" applyFill="1" applyBorder="1"/>
    <xf numFmtId="0" fontId="0" fillId="0" borderId="14" xfId="0" applyBorder="1"/>
    <xf numFmtId="0" fontId="0" fillId="0" borderId="15" xfId="0" applyBorder="1"/>
    <xf numFmtId="168" fontId="0" fillId="0" borderId="15" xfId="0" quotePrefix="1" applyNumberFormat="1" applyBorder="1"/>
    <xf numFmtId="164" fontId="0" fillId="0" borderId="15" xfId="0" applyNumberFormat="1" applyBorder="1"/>
    <xf numFmtId="10" fontId="7" fillId="0" borderId="15" xfId="0" applyNumberFormat="1" applyFont="1" applyBorder="1"/>
    <xf numFmtId="10" fontId="7" fillId="0" borderId="16" xfId="0" applyNumberFormat="1" applyFont="1" applyBorder="1"/>
    <xf numFmtId="168" fontId="0" fillId="8" borderId="15" xfId="0" applyNumberFormat="1" applyFill="1" applyBorder="1"/>
    <xf numFmtId="168" fontId="0" fillId="0" borderId="15" xfId="0" applyNumberFormat="1" applyBorder="1"/>
    <xf numFmtId="10" fontId="0" fillId="0" borderId="15" xfId="2" applyNumberFormat="1" applyFont="1" applyBorder="1"/>
    <xf numFmtId="10" fontId="0" fillId="0" borderId="16" xfId="2" applyNumberFormat="1" applyFont="1" applyBorder="1"/>
    <xf numFmtId="10" fontId="0" fillId="8" borderId="15" xfId="2" applyNumberFormat="1" applyFont="1" applyFill="1" applyBorder="1"/>
    <xf numFmtId="10" fontId="0" fillId="8" borderId="16" xfId="2" applyNumberFormat="1" applyFont="1" applyFill="1" applyBorder="1"/>
    <xf numFmtId="169" fontId="0" fillId="0" borderId="15" xfId="0" applyNumberFormat="1" applyBorder="1"/>
    <xf numFmtId="169" fontId="0" fillId="8" borderId="15" xfId="0" applyNumberFormat="1" applyFill="1" applyBorder="1"/>
    <xf numFmtId="44" fontId="6" fillId="7" borderId="15" xfId="5" applyFont="1" applyFill="1" applyBorder="1"/>
    <xf numFmtId="44" fontId="0" fillId="8" borderId="15" xfId="5" applyFont="1" applyFill="1" applyBorder="1"/>
    <xf numFmtId="44" fontId="0" fillId="0" borderId="15" xfId="5" applyFont="1" applyBorder="1"/>
    <xf numFmtId="44" fontId="0" fillId="0" borderId="0" xfId="5" applyFont="1"/>
    <xf numFmtId="0" fontId="0" fillId="0" borderId="0" xfId="0" applyAlignment="1">
      <alignment horizontal="center" vertical="center"/>
    </xf>
    <xf numFmtId="166" fontId="1" fillId="5" borderId="12" xfId="4" applyNumberFormat="1" applyBorder="1"/>
    <xf numFmtId="166" fontId="1" fillId="5" borderId="13" xfId="4" applyNumberFormat="1" applyBorder="1"/>
    <xf numFmtId="166" fontId="1" fillId="4" borderId="12" xfId="3" applyNumberFormat="1" applyBorder="1"/>
    <xf numFmtId="166" fontId="1" fillId="4" borderId="13" xfId="3" applyNumberFormat="1" applyBorder="1"/>
    <xf numFmtId="0" fontId="1" fillId="6" borderId="12" xfId="6" applyBorder="1"/>
    <xf numFmtId="166" fontId="2" fillId="0" borderId="0" xfId="0" applyNumberFormat="1" applyFont="1"/>
    <xf numFmtId="170" fontId="0" fillId="0" borderId="0" xfId="0" applyNumberFormat="1"/>
  </cellXfs>
  <cellStyles count="7">
    <cellStyle name="40% - Ênfase3" xfId="4" builtinId="39"/>
    <cellStyle name="40% - Ênfase5" xfId="6" builtinId="47"/>
    <cellStyle name="60% - Ênfase2" xfId="3" builtinId="36"/>
    <cellStyle name="Moeda" xfId="5" builtinId="4"/>
    <cellStyle name="Normal" xfId="0" builtinId="0"/>
    <cellStyle name="Porcentagem" xfId="2" builtinId="5"/>
    <cellStyle name="Vírgula" xfId="1" builtinId="3"/>
  </cellStyles>
  <dxfs count="15">
    <dxf>
      <border diagonalUp="0" diagonalDown="0" outline="0">
        <left style="medium">
          <color indexed="64"/>
        </left>
        <right/>
        <top/>
        <bottom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/>
        <right style="medium">
          <color indexed="64"/>
        </right>
        <top/>
        <bottom/>
      </border>
    </dxf>
    <dxf>
      <numFmt numFmtId="166" formatCode="_-[$R$-416]\ * #,##0.00_-;\-[$R$-416]\ * #,##0.00_-;_-[$R$-416]\ 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medium">
          <color indexed="64"/>
        </left>
        <right/>
        <top/>
        <bottom/>
      </border>
    </dxf>
    <dxf>
      <numFmt numFmtId="166" formatCode="_-[$R$-416]\ * #,##0.00_-;\-[$R$-416]\ * #,##0.00_-;_-[$R$-416]\ 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/>
        <right style="medium">
          <color indexed="64"/>
        </right>
        <top/>
        <bottom/>
      </border>
    </dxf>
    <dxf>
      <numFmt numFmtId="166" formatCode="_-[$R$-416]\ * #,##0.00_-;\-[$R$-416]\ * #,##0.00_-;_-[$R$-416]\ 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medium">
          <color indexed="64"/>
        </left>
        <right/>
        <top/>
        <bottom/>
      </border>
    </dxf>
    <dxf>
      <numFmt numFmtId="166" formatCode="_-[$R$-416]\ * #,##0.00_-;\-[$R$-416]\ * #,##0.00_-;_-[$R$-416]\ 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65A84-7A96-4E3B-AE7D-DFE44F95D317}" name="plano_carreira_2026" displayName="plano_carreira_2026" ref="A1:K39" totalsRowCount="1" tableBorderDxfId="14">
  <sortState xmlns:xlrd2="http://schemas.microsoft.com/office/spreadsheetml/2017/richdata2" ref="A2:K38">
    <sortCondition ref="D1:D38"/>
  </sortState>
  <tableColumns count="11">
    <tableColumn id="1" xr3:uid="{F5ED4A87-F69E-49BD-AE39-6764B9191F48}" name="equipe"/>
    <tableColumn id="2" xr3:uid="{4F0E5046-7D0C-40D4-9F1C-39D68844B26B}" name="id_assessor">
      <calculatedColumnFormula>_xlfn.XLOOKUP(C2,POSITIVADOR!B:B,POSITIVADOR!A:A)</calculatedColumnFormula>
    </tableColumn>
    <tableColumn id="3" xr3:uid="{1F8A20DC-14B5-4657-BFA0-E3CAF8642E1C}" name="nome_assessor"/>
    <tableColumn id="4" xr3:uid="{2CCDAEE5-C037-42CC-863B-B02B1C94A9EA}" name="net (atual)" totalsRowFunction="sum" dataDxfId="13" totalsRowDxfId="12"/>
    <tableColumn id="5" xr3:uid="{D8689C00-A073-4520-9542-00D9A9FF31CC}" name="cluster">
      <calculatedColumnFormula array="1">_xlfn.IFS(
    D2&lt;=50000000, "Até 50MM",
    D2&lt;=100000000, "50MM - 100MM",
    D2&lt;=300000000, "100MM - 300MM",
    TRUE, "&gt; 300MM"
)</calculatedColumnFormula>
    </tableColumn>
    <tableColumn id="6" xr3:uid="{6DE560BC-AB9D-4484-88BF-09BD58C9655D}" name="faixa" dataDxfId="11" totalsRowDxfId="10">
      <calculatedColumnFormula array="1">_xlfn.IFS(
    D2&lt;=50000000, "GROWING",
    D2&lt;=100000000, "PLENO",
    D2&lt;=300000000, "SENIOR",
    TRUE, "MASTER"
)</calculatedColumnFormula>
    </tableColumn>
    <tableColumn id="7" xr3:uid="{41435ADA-0B14-4FD9-AC2F-C4688CB6E6D6}" name="cap_1sem" totalsRowFunction="sum" dataDxfId="9" totalsRowDxfId="8"/>
    <tableColumn id="8" xr3:uid="{DB853064-45C4-42E9-AEC7-0F5EF7D6E2A7}" name="cap_2sem" totalsRowFunction="sum" dataDxfId="7" totalsRowDxfId="6"/>
    <tableColumn id="9" xr3:uid="{459267A7-E687-4825-BDC7-B602CF23E9B0}" name="rec_1sem" totalsRowFunction="custom" dataDxfId="5" totalsRowDxfId="4">
      <totalsRowFormula>SUM(plano_carreira_2026[rec_1sem])</totalsRowFormula>
    </tableColumn>
    <tableColumn id="10" xr3:uid="{92677679-34CE-4139-84DB-DF6FD81C3157}" name="rec_2sem" totalsRowFunction="sum" dataDxfId="3" totalsRowDxfId="2"/>
    <tableColumn id="11" xr3:uid="{E4FA315B-4220-4599-8A68-9381C104F395}" name="tempo_de_casa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5530-95B0-40FD-8886-40FB853308AE}">
  <dimension ref="B2:W22"/>
  <sheetViews>
    <sheetView showGridLines="0" topLeftCell="R1" zoomScale="164" workbookViewId="0">
      <selection activeCell="R22" sqref="R22"/>
    </sheetView>
  </sheetViews>
  <sheetFormatPr defaultRowHeight="13.5" x14ac:dyDescent="0.25"/>
  <cols>
    <col min="1" max="1" width="9.140625" style="4"/>
    <col min="2" max="2" width="14.5703125" style="1" bestFit="1" customWidth="1"/>
    <col min="3" max="3" width="9.7109375" style="2" bestFit="1" customWidth="1"/>
    <col min="4" max="4" width="12.85546875" style="2" bestFit="1" customWidth="1"/>
    <col min="5" max="5" width="13.85546875" style="2" bestFit="1" customWidth="1"/>
    <col min="6" max="6" width="8.140625" style="2" bestFit="1" customWidth="1"/>
    <col min="7" max="7" width="10" style="2" customWidth="1"/>
    <col min="8" max="8" width="14.140625" style="3" bestFit="1" customWidth="1"/>
    <col min="9" max="9" width="9.7109375" style="2" bestFit="1" customWidth="1"/>
    <col min="10" max="10" width="8.5703125" style="2" bestFit="1" customWidth="1"/>
    <col min="11" max="13" width="10" style="2" customWidth="1"/>
    <col min="14" max="14" width="9.7109375" style="2" bestFit="1" customWidth="1"/>
    <col min="15" max="15" width="9.7109375" style="4" bestFit="1" customWidth="1"/>
    <col min="16" max="16" width="12.85546875" style="4" bestFit="1" customWidth="1"/>
    <col min="17" max="17" width="13.85546875" style="4" bestFit="1" customWidth="1"/>
    <col min="18" max="18" width="10" style="4" bestFit="1" customWidth="1"/>
    <col min="19" max="16384" width="9.140625" style="4"/>
  </cols>
  <sheetData>
    <row r="2" spans="2:23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O2" s="2" t="s">
        <v>1</v>
      </c>
      <c r="P2" s="2" t="s">
        <v>2</v>
      </c>
      <c r="Q2" s="2" t="s">
        <v>3</v>
      </c>
      <c r="R2" s="2" t="s">
        <v>4</v>
      </c>
    </row>
    <row r="3" spans="2:23" x14ac:dyDescent="0.25">
      <c r="B3" s="1" t="s">
        <v>5</v>
      </c>
      <c r="C3" s="2" t="s">
        <v>6</v>
      </c>
      <c r="D3" s="2" t="s">
        <v>6</v>
      </c>
      <c r="E3" s="2" t="s">
        <v>6</v>
      </c>
      <c r="F3" s="2" t="s">
        <v>6</v>
      </c>
      <c r="H3" s="5"/>
      <c r="I3" s="6"/>
      <c r="J3" s="6"/>
      <c r="K3" s="6"/>
      <c r="L3" s="7"/>
      <c r="O3" s="8">
        <v>200000</v>
      </c>
      <c r="P3" s="8">
        <v>500000</v>
      </c>
      <c r="Q3" s="8">
        <v>750000</v>
      </c>
      <c r="R3" s="8">
        <v>1000000</v>
      </c>
    </row>
    <row r="4" spans="2:23" x14ac:dyDescent="0.25">
      <c r="B4" s="1" t="s">
        <v>7</v>
      </c>
      <c r="C4" s="2" t="s">
        <v>6</v>
      </c>
      <c r="D4" s="2" t="s">
        <v>6</v>
      </c>
      <c r="E4" s="2" t="s">
        <v>6</v>
      </c>
      <c r="F4" s="2" t="s">
        <v>6</v>
      </c>
      <c r="H4" s="9" t="s">
        <v>8</v>
      </c>
      <c r="I4" s="10" t="s">
        <v>9</v>
      </c>
      <c r="J4" s="10" t="s">
        <v>10</v>
      </c>
      <c r="K4" s="10" t="s">
        <v>11</v>
      </c>
      <c r="L4" s="11" t="s">
        <v>12</v>
      </c>
      <c r="M4" s="4"/>
      <c r="N4" s="12" t="s">
        <v>13</v>
      </c>
      <c r="O4" s="8">
        <v>35000</v>
      </c>
      <c r="P4" s="8">
        <v>42000</v>
      </c>
      <c r="Q4" s="8">
        <v>54600</v>
      </c>
      <c r="R4" s="8">
        <v>76440</v>
      </c>
    </row>
    <row r="5" spans="2:23" x14ac:dyDescent="0.25">
      <c r="B5" s="1" t="s">
        <v>14</v>
      </c>
      <c r="C5" s="2" t="s">
        <v>6</v>
      </c>
      <c r="D5" s="2" t="s">
        <v>6</v>
      </c>
      <c r="E5" s="2" t="s">
        <v>6</v>
      </c>
      <c r="F5" s="2" t="s">
        <v>6</v>
      </c>
      <c r="H5" s="13" t="s">
        <v>15</v>
      </c>
      <c r="I5" s="8">
        <v>500000</v>
      </c>
      <c r="J5" s="8">
        <v>750000</v>
      </c>
      <c r="K5" s="8">
        <v>1500000</v>
      </c>
      <c r="L5" s="8">
        <v>2000000</v>
      </c>
      <c r="O5" s="8">
        <v>2</v>
      </c>
      <c r="P5" s="8">
        <v>3</v>
      </c>
      <c r="Q5" s="8">
        <v>4</v>
      </c>
      <c r="R5" s="8">
        <v>5</v>
      </c>
    </row>
    <row r="6" spans="2:23" s="1" customFormat="1" x14ac:dyDescent="0.25">
      <c r="C6" s="10" t="s">
        <v>9</v>
      </c>
      <c r="D6" s="10" t="s">
        <v>10</v>
      </c>
      <c r="E6" s="10" t="s">
        <v>11</v>
      </c>
      <c r="F6" s="10" t="s">
        <v>12</v>
      </c>
      <c r="G6" s="10"/>
      <c r="H6" s="13" t="s">
        <v>16</v>
      </c>
      <c r="I6" s="8">
        <f>O4*1.2</f>
        <v>42000</v>
      </c>
      <c r="J6" s="8">
        <f t="shared" ref="J6:L6" si="0">P4*1.2</f>
        <v>50400</v>
      </c>
      <c r="K6" s="8">
        <f t="shared" si="0"/>
        <v>65520</v>
      </c>
      <c r="L6" s="8">
        <f t="shared" si="0"/>
        <v>91728</v>
      </c>
      <c r="M6" s="10"/>
      <c r="N6" s="14" t="s">
        <v>17</v>
      </c>
      <c r="O6" s="10" t="s">
        <v>9</v>
      </c>
      <c r="P6" s="10" t="s">
        <v>10</v>
      </c>
      <c r="Q6" s="10" t="s">
        <v>11</v>
      </c>
      <c r="R6" s="10" t="s">
        <v>12</v>
      </c>
    </row>
    <row r="7" spans="2:23" x14ac:dyDescent="0.25">
      <c r="B7" s="1" t="s">
        <v>18</v>
      </c>
      <c r="C7" s="15">
        <v>0.5</v>
      </c>
      <c r="D7" s="15">
        <v>0.5</v>
      </c>
      <c r="E7" s="15">
        <v>0.55000000000000004</v>
      </c>
      <c r="F7" s="15">
        <v>0.6</v>
      </c>
      <c r="H7" s="13" t="s">
        <v>19</v>
      </c>
      <c r="I7" s="8">
        <v>60</v>
      </c>
      <c r="J7" s="8">
        <v>60</v>
      </c>
      <c r="K7" s="8">
        <v>60</v>
      </c>
      <c r="L7" s="8">
        <v>60</v>
      </c>
      <c r="N7" s="16">
        <v>0.5</v>
      </c>
      <c r="O7" s="15">
        <f t="shared" ref="O7:O19" si="1">N7+$I$15</f>
        <v>0.52500000000000002</v>
      </c>
      <c r="P7" s="15">
        <f t="shared" ref="P7:P19" si="2">N7+$J$15</f>
        <v>0.55000000000000004</v>
      </c>
      <c r="Q7" s="15">
        <f t="shared" ref="Q7:Q19" si="3">N7+$K$15</f>
        <v>0.57499999999999996</v>
      </c>
      <c r="R7" s="15">
        <f t="shared" ref="R7:R19" si="4">N7+$L$15</f>
        <v>0.6</v>
      </c>
    </row>
    <row r="8" spans="2:23" x14ac:dyDescent="0.25">
      <c r="B8" s="1" t="s">
        <v>20</v>
      </c>
      <c r="C8" s="15">
        <v>0.5</v>
      </c>
      <c r="D8" s="15">
        <v>0.5</v>
      </c>
      <c r="E8" s="15">
        <v>0.55000000000000004</v>
      </c>
      <c r="F8" s="15">
        <v>0.6</v>
      </c>
      <c r="H8" s="17"/>
      <c r="I8" s="18"/>
      <c r="J8" s="18"/>
      <c r="K8" s="18"/>
      <c r="L8" s="19"/>
      <c r="N8" s="16">
        <v>0.5</v>
      </c>
      <c r="O8" s="15">
        <f t="shared" si="1"/>
        <v>0.52500000000000002</v>
      </c>
      <c r="P8" s="15">
        <f t="shared" si="2"/>
        <v>0.55000000000000004</v>
      </c>
      <c r="Q8" s="15">
        <f t="shared" si="3"/>
        <v>0.57499999999999996</v>
      </c>
      <c r="R8" s="15">
        <f t="shared" si="4"/>
        <v>0.6</v>
      </c>
    </row>
    <row r="9" spans="2:23" x14ac:dyDescent="0.25">
      <c r="B9" s="1" t="s">
        <v>21</v>
      </c>
      <c r="C9" s="15">
        <v>0.5</v>
      </c>
      <c r="D9" s="15">
        <v>0.5</v>
      </c>
      <c r="E9" s="15">
        <v>0.55000000000000004</v>
      </c>
      <c r="F9" s="15">
        <v>0.6</v>
      </c>
      <c r="H9" s="4"/>
      <c r="I9" s="4"/>
      <c r="J9" s="4"/>
      <c r="K9" s="4"/>
      <c r="L9" s="4"/>
      <c r="N9" s="16">
        <v>0.5</v>
      </c>
      <c r="O9" s="15">
        <f t="shared" si="1"/>
        <v>0.52500000000000002</v>
      </c>
      <c r="P9" s="15">
        <f t="shared" si="2"/>
        <v>0.55000000000000004</v>
      </c>
      <c r="Q9" s="15">
        <f t="shared" si="3"/>
        <v>0.57499999999999996</v>
      </c>
      <c r="R9" s="15">
        <f t="shared" si="4"/>
        <v>0.6</v>
      </c>
    </row>
    <row r="10" spans="2:23" x14ac:dyDescent="0.25">
      <c r="B10" s="1" t="s">
        <v>22</v>
      </c>
      <c r="C10" s="15">
        <v>0.5</v>
      </c>
      <c r="D10" s="15">
        <v>0.5</v>
      </c>
      <c r="E10" s="15">
        <v>0.55000000000000004</v>
      </c>
      <c r="F10" s="15">
        <v>0.55000000000000004</v>
      </c>
      <c r="H10" s="5"/>
      <c r="I10" s="6"/>
      <c r="J10" s="6"/>
      <c r="K10" s="6"/>
      <c r="L10" s="7"/>
      <c r="N10" s="16">
        <v>0.5</v>
      </c>
      <c r="O10" s="15">
        <f t="shared" si="1"/>
        <v>0.52500000000000002</v>
      </c>
      <c r="P10" s="15">
        <f t="shared" si="2"/>
        <v>0.55000000000000004</v>
      </c>
      <c r="Q10" s="15">
        <f t="shared" si="3"/>
        <v>0.57499999999999996</v>
      </c>
      <c r="R10" s="15">
        <f t="shared" si="4"/>
        <v>0.6</v>
      </c>
    </row>
    <row r="11" spans="2:23" x14ac:dyDescent="0.25">
      <c r="B11" s="1" t="s">
        <v>23</v>
      </c>
      <c r="C11" s="15">
        <v>0.5</v>
      </c>
      <c r="D11" s="15">
        <v>0.5</v>
      </c>
      <c r="E11" s="15">
        <v>0.55000000000000004</v>
      </c>
      <c r="F11" s="15">
        <v>0.55000000000000004</v>
      </c>
      <c r="H11" s="9" t="s">
        <v>24</v>
      </c>
      <c r="I11" s="10" t="s">
        <v>9</v>
      </c>
      <c r="J11" s="10" t="s">
        <v>10</v>
      </c>
      <c r="K11" s="10" t="s">
        <v>11</v>
      </c>
      <c r="L11" s="11" t="s">
        <v>12</v>
      </c>
      <c r="N11" s="16">
        <v>0.5</v>
      </c>
      <c r="O11" s="15">
        <f t="shared" si="1"/>
        <v>0.52500000000000002</v>
      </c>
      <c r="P11" s="15">
        <f t="shared" si="2"/>
        <v>0.55000000000000004</v>
      </c>
      <c r="Q11" s="15">
        <f t="shared" si="3"/>
        <v>0.57499999999999996</v>
      </c>
      <c r="R11" s="15">
        <f t="shared" si="4"/>
        <v>0.6</v>
      </c>
      <c r="T11" s="4">
        <v>16000</v>
      </c>
      <c r="U11" s="4">
        <f>T11*1.05</f>
        <v>16800</v>
      </c>
      <c r="V11" s="4">
        <f>16000*1.075</f>
        <v>17200</v>
      </c>
      <c r="W11" s="4">
        <f>16000*1.1</f>
        <v>17600</v>
      </c>
    </row>
    <row r="12" spans="2:23" x14ac:dyDescent="0.25">
      <c r="B12" s="1" t="s">
        <v>25</v>
      </c>
      <c r="C12" s="15">
        <v>0.45</v>
      </c>
      <c r="D12" s="15">
        <v>0.5</v>
      </c>
      <c r="E12" s="15">
        <v>0.5</v>
      </c>
      <c r="F12" s="15">
        <v>0.55000000000000004</v>
      </c>
      <c r="H12" s="13" t="s">
        <v>15</v>
      </c>
      <c r="I12" s="20">
        <v>0.01</v>
      </c>
      <c r="J12" s="20">
        <v>0.02</v>
      </c>
      <c r="K12" s="20">
        <v>0.03</v>
      </c>
      <c r="L12" s="21">
        <v>0.04</v>
      </c>
      <c r="N12" s="16">
        <v>0.45</v>
      </c>
      <c r="O12" s="15">
        <f t="shared" si="1"/>
        <v>0.47500000000000003</v>
      </c>
      <c r="P12" s="15">
        <f t="shared" si="2"/>
        <v>0.5</v>
      </c>
      <c r="Q12" s="15">
        <f t="shared" si="3"/>
        <v>0.52500000000000002</v>
      </c>
      <c r="R12" s="15">
        <f t="shared" si="4"/>
        <v>0.55000000000000004</v>
      </c>
    </row>
    <row r="13" spans="2:23" x14ac:dyDescent="0.25">
      <c r="B13" s="1" t="s">
        <v>26</v>
      </c>
      <c r="C13" s="15">
        <v>0.4</v>
      </c>
      <c r="D13" s="15">
        <v>0.45</v>
      </c>
      <c r="E13" s="15">
        <v>0.5</v>
      </c>
      <c r="F13" s="15">
        <v>0.5</v>
      </c>
      <c r="H13" s="13" t="s">
        <v>16</v>
      </c>
      <c r="I13" s="20">
        <v>0.01</v>
      </c>
      <c r="J13" s="20">
        <v>0.02</v>
      </c>
      <c r="K13" s="20">
        <v>0.03</v>
      </c>
      <c r="L13" s="21">
        <v>0.04</v>
      </c>
      <c r="N13" s="16">
        <v>0.4</v>
      </c>
      <c r="O13" s="15">
        <f t="shared" si="1"/>
        <v>0.42500000000000004</v>
      </c>
      <c r="P13" s="15">
        <f t="shared" si="2"/>
        <v>0.45</v>
      </c>
      <c r="Q13" s="15">
        <f t="shared" si="3"/>
        <v>0.47500000000000003</v>
      </c>
      <c r="R13" s="15">
        <f t="shared" si="4"/>
        <v>0.5</v>
      </c>
    </row>
    <row r="14" spans="2:23" x14ac:dyDescent="0.25">
      <c r="B14" s="1" t="s">
        <v>27</v>
      </c>
      <c r="C14" s="15">
        <v>0.3</v>
      </c>
      <c r="D14" s="15">
        <v>0.3</v>
      </c>
      <c r="E14" s="15">
        <v>0.35</v>
      </c>
      <c r="F14" s="15">
        <v>0.4</v>
      </c>
      <c r="H14" s="13" t="s">
        <v>19</v>
      </c>
      <c r="I14" s="20">
        <v>5.0000000000000001E-3</v>
      </c>
      <c r="J14" s="20">
        <v>0.01</v>
      </c>
      <c r="K14" s="20">
        <v>1.4999999999999999E-2</v>
      </c>
      <c r="L14" s="21">
        <v>0.02</v>
      </c>
      <c r="N14" s="16">
        <v>0.3</v>
      </c>
      <c r="O14" s="15">
        <f t="shared" si="1"/>
        <v>0.32500000000000001</v>
      </c>
      <c r="P14" s="15">
        <f t="shared" si="2"/>
        <v>0.35</v>
      </c>
      <c r="Q14" s="15">
        <f t="shared" si="3"/>
        <v>0.375</v>
      </c>
      <c r="R14" s="15">
        <f t="shared" si="4"/>
        <v>0.4</v>
      </c>
    </row>
    <row r="15" spans="2:23" x14ac:dyDescent="0.25">
      <c r="B15" s="1" t="s">
        <v>28</v>
      </c>
      <c r="C15" s="15">
        <v>0.3</v>
      </c>
      <c r="D15" s="15">
        <v>0.3</v>
      </c>
      <c r="E15" s="15">
        <v>0.35</v>
      </c>
      <c r="F15" s="15">
        <v>0.4</v>
      </c>
      <c r="H15" s="13"/>
      <c r="I15" s="22">
        <f>SUM(I12:I14)</f>
        <v>2.5000000000000001E-2</v>
      </c>
      <c r="J15" s="22">
        <f t="shared" ref="J15:L15" si="5">SUM(J12:J14)</f>
        <v>0.05</v>
      </c>
      <c r="K15" s="22">
        <f t="shared" si="5"/>
        <v>7.4999999999999997E-2</v>
      </c>
      <c r="L15" s="23">
        <f t="shared" si="5"/>
        <v>0.1</v>
      </c>
      <c r="N15" s="16">
        <v>0.3</v>
      </c>
      <c r="O15" s="15">
        <f t="shared" si="1"/>
        <v>0.32500000000000001</v>
      </c>
      <c r="P15" s="15">
        <f t="shared" si="2"/>
        <v>0.35</v>
      </c>
      <c r="Q15" s="15">
        <f t="shared" si="3"/>
        <v>0.375</v>
      </c>
      <c r="R15" s="15">
        <f t="shared" si="4"/>
        <v>0.4</v>
      </c>
    </row>
    <row r="16" spans="2:23" x14ac:dyDescent="0.25">
      <c r="B16" s="1" t="s">
        <v>29</v>
      </c>
      <c r="C16" s="15">
        <v>0.3</v>
      </c>
      <c r="D16" s="15">
        <v>0.3</v>
      </c>
      <c r="E16" s="15">
        <v>0.33</v>
      </c>
      <c r="F16" s="15">
        <v>0.35</v>
      </c>
      <c r="H16" s="17"/>
      <c r="I16" s="18"/>
      <c r="J16" s="18"/>
      <c r="K16" s="18"/>
      <c r="L16" s="19"/>
      <c r="N16" s="16">
        <v>0.3</v>
      </c>
      <c r="O16" s="15">
        <f t="shared" si="1"/>
        <v>0.32500000000000001</v>
      </c>
      <c r="P16" s="15">
        <f t="shared" si="2"/>
        <v>0.35</v>
      </c>
      <c r="Q16" s="15">
        <f t="shared" si="3"/>
        <v>0.375</v>
      </c>
      <c r="R16" s="15">
        <f t="shared" si="4"/>
        <v>0.4</v>
      </c>
    </row>
    <row r="17" spans="2:18" x14ac:dyDescent="0.25">
      <c r="B17" s="1" t="s">
        <v>30</v>
      </c>
      <c r="C17" s="15">
        <v>0.3</v>
      </c>
      <c r="D17" s="15">
        <v>0.3</v>
      </c>
      <c r="E17" s="15">
        <v>0.33</v>
      </c>
      <c r="F17" s="15">
        <v>0.35</v>
      </c>
      <c r="N17" s="16">
        <v>0.3</v>
      </c>
      <c r="O17" s="15">
        <f t="shared" si="1"/>
        <v>0.32500000000000001</v>
      </c>
      <c r="P17" s="15">
        <f t="shared" si="2"/>
        <v>0.35</v>
      </c>
      <c r="Q17" s="15">
        <f t="shared" si="3"/>
        <v>0.375</v>
      </c>
      <c r="R17" s="15">
        <f t="shared" si="4"/>
        <v>0.4</v>
      </c>
    </row>
    <row r="18" spans="2:18" x14ac:dyDescent="0.25">
      <c r="B18" s="1" t="s">
        <v>31</v>
      </c>
      <c r="C18" s="15">
        <v>0.3</v>
      </c>
      <c r="D18" s="15">
        <v>0.3</v>
      </c>
      <c r="E18" s="15">
        <v>0.33</v>
      </c>
      <c r="F18" s="15">
        <v>0.35</v>
      </c>
      <c r="H18" s="5"/>
      <c r="I18" s="6"/>
      <c r="J18" s="6"/>
      <c r="K18" s="6"/>
      <c r="L18" s="7"/>
      <c r="N18" s="16">
        <v>0.3</v>
      </c>
      <c r="O18" s="15">
        <f t="shared" si="1"/>
        <v>0.32500000000000001</v>
      </c>
      <c r="P18" s="15">
        <f t="shared" si="2"/>
        <v>0.35</v>
      </c>
      <c r="Q18" s="15">
        <f t="shared" si="3"/>
        <v>0.375</v>
      </c>
      <c r="R18" s="15">
        <f t="shared" si="4"/>
        <v>0.4</v>
      </c>
    </row>
    <row r="19" spans="2:18" x14ac:dyDescent="0.25">
      <c r="B19" s="1" t="s">
        <v>32</v>
      </c>
      <c r="C19" s="15">
        <v>0.2</v>
      </c>
      <c r="D19" s="15">
        <v>0.2</v>
      </c>
      <c r="E19" s="15">
        <v>0.2</v>
      </c>
      <c r="F19" s="15">
        <v>0.2</v>
      </c>
      <c r="H19" s="9" t="s">
        <v>33</v>
      </c>
      <c r="I19" s="10" t="s">
        <v>9</v>
      </c>
      <c r="J19" s="10" t="s">
        <v>10</v>
      </c>
      <c r="K19" s="10" t="s">
        <v>11</v>
      </c>
      <c r="L19" s="11" t="s">
        <v>12</v>
      </c>
      <c r="N19" s="16">
        <v>0.2</v>
      </c>
      <c r="O19" s="15">
        <f t="shared" si="1"/>
        <v>0.22500000000000001</v>
      </c>
      <c r="P19" s="15">
        <f t="shared" si="2"/>
        <v>0.25</v>
      </c>
      <c r="Q19" s="15">
        <f t="shared" si="3"/>
        <v>0.27500000000000002</v>
      </c>
      <c r="R19" s="15">
        <f t="shared" si="4"/>
        <v>0.30000000000000004</v>
      </c>
    </row>
    <row r="20" spans="2:18" x14ac:dyDescent="0.25">
      <c r="H20" s="13"/>
      <c r="I20" s="2" t="s">
        <v>34</v>
      </c>
      <c r="J20" s="2" t="s">
        <v>34</v>
      </c>
      <c r="K20" s="2" t="s">
        <v>35</v>
      </c>
      <c r="L20" s="24" t="s">
        <v>36</v>
      </c>
      <c r="N20" s="25"/>
      <c r="O20" s="2"/>
      <c r="P20" s="2"/>
      <c r="Q20" s="2"/>
      <c r="R20" s="2"/>
    </row>
    <row r="21" spans="2:18" s="1" customFormat="1" x14ac:dyDescent="0.25">
      <c r="B21" s="1" t="s">
        <v>37</v>
      </c>
      <c r="C21" s="26">
        <f>AVERAGE(C7:C19)</f>
        <v>0.38846153846153847</v>
      </c>
      <c r="D21" s="26">
        <f t="shared" ref="D21:F21" si="6">AVERAGE(D7:D19)</f>
        <v>0.39615384615384613</v>
      </c>
      <c r="E21" s="26">
        <f t="shared" si="6"/>
        <v>0.43384615384615383</v>
      </c>
      <c r="F21" s="26">
        <f t="shared" si="6"/>
        <v>0.46153846153846145</v>
      </c>
      <c r="G21" s="10"/>
      <c r="H21" s="17"/>
      <c r="I21" s="18"/>
      <c r="J21" s="18"/>
      <c r="K21" s="18"/>
      <c r="L21" s="19"/>
      <c r="M21" s="10"/>
      <c r="N21" s="27">
        <f>AVERAGE(N7:N19)</f>
        <v>0.38846153846153847</v>
      </c>
      <c r="O21" s="26">
        <f>AVERAGE(O7:O19)</f>
        <v>0.41346153846153855</v>
      </c>
      <c r="P21" s="26">
        <f t="shared" ref="P21:R21" si="7">AVERAGE(P7:P19)</f>
        <v>0.43846153846153835</v>
      </c>
      <c r="Q21" s="26">
        <f t="shared" si="7"/>
        <v>0.46346153846153848</v>
      </c>
      <c r="R21" s="26">
        <f t="shared" si="7"/>
        <v>0.48846153846153856</v>
      </c>
    </row>
    <row r="22" spans="2:18" x14ac:dyDescent="0.25">
      <c r="H22" s="4"/>
      <c r="I22" s="4"/>
      <c r="J22" s="4"/>
      <c r="K22" s="4"/>
      <c r="L22" s="4"/>
      <c r="N22" s="28"/>
      <c r="O22" s="29">
        <f>O21-C21</f>
        <v>2.5000000000000078E-2</v>
      </c>
      <c r="P22" s="29">
        <f t="shared" ref="P22:R22" si="8">P21-D21</f>
        <v>4.2307692307692213E-2</v>
      </c>
      <c r="Q22" s="29">
        <f t="shared" si="8"/>
        <v>2.9615384615384654E-2</v>
      </c>
      <c r="R22" s="29">
        <f t="shared" si="8"/>
        <v>2.6923076923077105E-2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27AB-1685-410E-8DCA-FC57961E0BE3}">
  <sheetPr>
    <tabColor rgb="FF92D050"/>
  </sheetPr>
  <dimension ref="A1:T39"/>
  <sheetViews>
    <sheetView showGridLines="0" topLeftCell="A2" workbookViewId="0">
      <selection sqref="A1:F38"/>
    </sheetView>
  </sheetViews>
  <sheetFormatPr defaultRowHeight="15" x14ac:dyDescent="0.25"/>
  <cols>
    <col min="1" max="1" width="17.5703125" bestFit="1" customWidth="1"/>
    <col min="2" max="2" width="17.5703125" customWidth="1"/>
    <col min="3" max="3" width="24.85546875" bestFit="1" customWidth="1"/>
    <col min="4" max="4" width="19.5703125" style="30" bestFit="1" customWidth="1"/>
    <col min="5" max="5" width="15" bestFit="1" customWidth="1"/>
    <col min="6" max="6" width="15" customWidth="1"/>
    <col min="7" max="9" width="16.85546875" style="30" bestFit="1" customWidth="1"/>
    <col min="10" max="10" width="16" style="30" bestFit="1" customWidth="1"/>
    <col min="11" max="11" width="24.5703125" bestFit="1" customWidth="1"/>
    <col min="12" max="12" width="15" customWidth="1"/>
    <col min="13" max="13" width="15" hidden="1" customWidth="1"/>
    <col min="14" max="14" width="27" bestFit="1" customWidth="1"/>
    <col min="15" max="15" width="15.85546875" bestFit="1" customWidth="1"/>
    <col min="16" max="16" width="34.7109375" bestFit="1" customWidth="1"/>
    <col min="17" max="17" width="19.140625" customWidth="1"/>
    <col min="18" max="18" width="18.5703125" customWidth="1"/>
    <col min="19" max="19" width="14" customWidth="1"/>
    <col min="20" max="20" width="15.85546875" bestFit="1" customWidth="1"/>
  </cols>
  <sheetData>
    <row r="1" spans="1:20" x14ac:dyDescent="0.25">
      <c r="A1" t="s">
        <v>184</v>
      </c>
      <c r="B1" t="s">
        <v>213</v>
      </c>
      <c r="C1" t="s">
        <v>185</v>
      </c>
      <c r="D1" s="30" t="s">
        <v>214</v>
      </c>
      <c r="E1" t="s">
        <v>186</v>
      </c>
      <c r="F1" s="35" t="s">
        <v>217</v>
      </c>
      <c r="G1" s="67" t="s">
        <v>211</v>
      </c>
      <c r="H1" s="68" t="s">
        <v>212</v>
      </c>
      <c r="I1" s="69" t="s">
        <v>215</v>
      </c>
      <c r="J1" s="70" t="s">
        <v>216</v>
      </c>
      <c r="K1" s="71" t="s">
        <v>293</v>
      </c>
      <c r="M1" t="s">
        <v>326</v>
      </c>
      <c r="N1" t="s">
        <v>327</v>
      </c>
      <c r="O1" s="72">
        <f>SUM(D5:D35)/31</f>
        <v>43848032.463475667</v>
      </c>
      <c r="P1" s="2" t="s">
        <v>331</v>
      </c>
      <c r="Q1" s="2"/>
      <c r="R1" s="2"/>
      <c r="S1" s="2"/>
    </row>
    <row r="2" spans="1:20" x14ac:dyDescent="0.25">
      <c r="A2" t="s">
        <v>47</v>
      </c>
      <c r="B2" t="str">
        <f>_xlfn.XLOOKUP(C2,POSITIVADOR!B:B,POSITIVADOR!A:A)</f>
        <v>A94378</v>
      </c>
      <c r="C2" t="s">
        <v>138</v>
      </c>
      <c r="D2" s="30">
        <v>257811.06515391258</v>
      </c>
      <c r="E2" t="str" cm="1">
        <f t="array" ref="E2">_xlfn.IFS(
    D2&lt;=50000000, "Até 50MM",
    D2&lt;=100000000, "50MM - 100MM",
    D2&lt;=300000000, "100MM - 300MM",
    TRUE, "&gt; 300MM"
)</f>
        <v>Até 50MM</v>
      </c>
      <c r="F2" s="35" t="str" cm="1">
        <f t="array" ref="F2">_xlfn.IFS(
    D2&lt;=50000000, "GROWING",
    D2&lt;=100000000, "PLENO",
    D2&lt;=300000000, "SENIOR",
    TRUE, "MASTER"
)</f>
        <v>GROWING</v>
      </c>
      <c r="G2" s="32">
        <v>0</v>
      </c>
      <c r="H2" s="33">
        <v>0</v>
      </c>
      <c r="I2" s="32">
        <v>0</v>
      </c>
      <c r="J2" s="33">
        <v>266.3614</v>
      </c>
      <c r="K2" s="34" t="s">
        <v>312</v>
      </c>
      <c r="M2">
        <v>0</v>
      </c>
      <c r="N2" t="s">
        <v>328</v>
      </c>
      <c r="O2" s="65">
        <f>SUM(plano_carreira_2026[[#Totals],[rec_1sem]:[rec_2sem]])/37</f>
        <v>411407.01092972973</v>
      </c>
    </row>
    <row r="3" spans="1:20" x14ac:dyDescent="0.25">
      <c r="A3" t="s">
        <v>81</v>
      </c>
      <c r="B3" t="str">
        <f>_xlfn.XLOOKUP(C3,POSITIVADOR!B:B,POSITIVADOR!A:A)</f>
        <v>A92776</v>
      </c>
      <c r="C3" t="s">
        <v>93</v>
      </c>
      <c r="D3" s="30">
        <v>8167387.1925508277</v>
      </c>
      <c r="E3" t="str" cm="1">
        <f t="array" ref="E3">_xlfn.IFS(
    D3&lt;=50000000, "Até 50MM",
    D3&lt;=100000000, "50MM - 100MM",
    D3&lt;=300000000, "100MM - 300MM",
    TRUE, "&gt; 300MM"
)</f>
        <v>Até 50MM</v>
      </c>
      <c r="F3" s="35" t="str" cm="1">
        <f t="array" ref="F3">_xlfn.IFS(
    D3&lt;=50000000, "GROWING",
    D3&lt;=100000000, "PLENO",
    D3&lt;=300000000, "SENIOR",
    TRUE, "MASTER"
)</f>
        <v>GROWING</v>
      </c>
      <c r="G3" s="32">
        <v>0</v>
      </c>
      <c r="H3" s="33">
        <v>-616545.60999999987</v>
      </c>
      <c r="I3" s="32">
        <v>0</v>
      </c>
      <c r="J3" s="33">
        <v>28803.874499999998</v>
      </c>
      <c r="K3" s="34" t="s">
        <v>302</v>
      </c>
      <c r="M3">
        <v>7</v>
      </c>
      <c r="N3" t="s">
        <v>329</v>
      </c>
      <c r="O3" s="65">
        <f>SUM(plano_carreira_2026[[#Totals],[cap_1sem]:[cap_2sem]])/37</f>
        <v>-1910155.2773903101</v>
      </c>
    </row>
    <row r="4" spans="1:20" x14ac:dyDescent="0.25">
      <c r="A4" t="s">
        <v>56</v>
      </c>
      <c r="B4" t="str">
        <f>_xlfn.XLOOKUP(C4,POSITIVADOR!B:B,POSITIVADOR!A:A)</f>
        <v>A28214</v>
      </c>
      <c r="C4" t="s">
        <v>58</v>
      </c>
      <c r="D4" s="30">
        <v>8887785.4923475925</v>
      </c>
      <c r="E4" t="str" cm="1">
        <f t="array" ref="E4">_xlfn.IFS(
    D4&lt;=50000000, "Até 50MM",
    D4&lt;=100000000, "50MM - 100MM",
    D4&lt;=300000000, "100MM - 300MM",
    TRUE, "&gt; 300MM"
)</f>
        <v>Até 50MM</v>
      </c>
      <c r="F4" s="35" t="str" cm="1">
        <f t="array" ref="F4">_xlfn.IFS(
    D4&lt;=50000000, "GROWING",
    D4&lt;=100000000, "PLENO",
    D4&lt;=300000000, "SENIOR",
    TRUE, "MASTER"
)</f>
        <v>GROWING</v>
      </c>
      <c r="G4" s="32">
        <v>-426864.21507299982</v>
      </c>
      <c r="H4" s="33">
        <v>-1489156.2300394</v>
      </c>
      <c r="I4" s="32">
        <v>48593.587800000001</v>
      </c>
      <c r="J4" s="33">
        <v>22260.388999999999</v>
      </c>
      <c r="K4" s="34" t="s">
        <v>324</v>
      </c>
      <c r="M4">
        <v>1</v>
      </c>
      <c r="N4" t="s">
        <v>330</v>
      </c>
      <c r="O4" s="73">
        <f>SUM(M2:M38)/37</f>
        <v>2.0810810810810811</v>
      </c>
    </row>
    <row r="5" spans="1:20" x14ac:dyDescent="0.25">
      <c r="A5" t="s">
        <v>81</v>
      </c>
      <c r="B5" t="str">
        <f>_xlfn.XLOOKUP(C5,POSITIVADOR!B:B,POSITIVADOR!A:A)</f>
        <v>A43705</v>
      </c>
      <c r="C5" t="s">
        <v>80</v>
      </c>
      <c r="D5" s="30">
        <v>14281693.282783026</v>
      </c>
      <c r="E5" t="str" cm="1">
        <f t="array" ref="E5">_xlfn.IFS(
    D5&lt;=50000000, "Até 50MM",
    D5&lt;=100000000, "50MM - 100MM",
    D5&lt;=300000000, "100MM - 300MM",
    TRUE, "&gt; 300MM"
)</f>
        <v>Até 50MM</v>
      </c>
      <c r="F5" s="35" t="str" cm="1">
        <f t="array" ref="F5">_xlfn.IFS(
    D5&lt;=50000000, "GROWING",
    D5&lt;=100000000, "PLENO",
    D5&lt;=300000000, "SENIOR",
    TRUE, "MASTER"
)</f>
        <v>GROWING</v>
      </c>
      <c r="G5" s="32">
        <v>1504061.6300000001</v>
      </c>
      <c r="H5" s="33">
        <v>1170307.8786240001</v>
      </c>
      <c r="I5" s="32">
        <v>165782.391</v>
      </c>
      <c r="J5" s="33">
        <v>109717.1948</v>
      </c>
      <c r="K5" s="34" t="s">
        <v>300</v>
      </c>
      <c r="M5">
        <v>3</v>
      </c>
    </row>
    <row r="6" spans="1:20" x14ac:dyDescent="0.25">
      <c r="A6" t="s">
        <v>47</v>
      </c>
      <c r="B6" t="str">
        <f>_xlfn.XLOOKUP(C6,POSITIVADOR!B:B,POSITIVADOR!A:A)</f>
        <v>A59119</v>
      </c>
      <c r="C6" t="s">
        <v>134</v>
      </c>
      <c r="D6" s="30">
        <v>15725195.427215084</v>
      </c>
      <c r="E6" t="str" cm="1">
        <f t="array" ref="E6">_xlfn.IFS(
    D6&lt;=50000000, "Até 50MM",
    D6&lt;=100000000, "50MM - 100MM",
    D6&lt;=300000000, "100MM - 300MM",
    TRUE, "&gt; 300MM"
)</f>
        <v>Até 50MM</v>
      </c>
      <c r="F6" s="35" t="str" cm="1">
        <f t="array" ref="F6">_xlfn.IFS(
    D6&lt;=50000000, "GROWING",
    D6&lt;=100000000, "PLENO",
    D6&lt;=300000000, "SENIOR",
    TRUE, "MASTER"
)</f>
        <v>GROWING</v>
      </c>
      <c r="G6" s="32">
        <v>3658572.07</v>
      </c>
      <c r="H6" s="33">
        <v>66503.226511745248</v>
      </c>
      <c r="I6" s="32">
        <v>16511.8557</v>
      </c>
      <c r="J6" s="33">
        <v>47192.529699999992</v>
      </c>
      <c r="K6" s="34" t="s">
        <v>302</v>
      </c>
      <c r="M6">
        <v>4</v>
      </c>
    </row>
    <row r="7" spans="1:20" x14ac:dyDescent="0.25">
      <c r="A7" t="s">
        <v>67</v>
      </c>
      <c r="B7" t="str">
        <f>_xlfn.XLOOKUP(C7,POSITIVADOR!B:B,POSITIVADOR!A:A)</f>
        <v>Private25</v>
      </c>
      <c r="C7" t="s">
        <v>127</v>
      </c>
      <c r="D7" s="30">
        <v>16787309.880206078</v>
      </c>
      <c r="E7" t="str" cm="1">
        <f t="array" ref="E7">_xlfn.IFS(
    D7&lt;=50000000, "Até 50MM",
    D7&lt;=100000000, "50MM - 100MM",
    D7&lt;=300000000, "100MM - 300MM",
    TRUE, "&gt; 300MM"
)</f>
        <v>Até 50MM</v>
      </c>
      <c r="F7" s="35" t="str" cm="1">
        <f t="array" ref="F7">_xlfn.IFS(
    D7&lt;=50000000, "GROWING",
    D7&lt;=100000000, "PLENO",
    D7&lt;=300000000, "SENIOR",
    TRUE, "MASTER"
)</f>
        <v>GROWING</v>
      </c>
      <c r="G7" s="32">
        <v>0</v>
      </c>
      <c r="H7" s="33">
        <v>0</v>
      </c>
      <c r="I7" s="32">
        <v>0</v>
      </c>
      <c r="J7" s="33">
        <v>1831.1789000000001</v>
      </c>
      <c r="K7" s="34">
        <v>0</v>
      </c>
      <c r="M7">
        <v>2</v>
      </c>
    </row>
    <row r="8" spans="1:20" x14ac:dyDescent="0.25">
      <c r="A8" t="s">
        <v>56</v>
      </c>
      <c r="B8" t="str">
        <f>_xlfn.XLOOKUP(C8,POSITIVADOR!B:B,POSITIVADOR!A:A)</f>
        <v>A24356</v>
      </c>
      <c r="C8" t="s">
        <v>136</v>
      </c>
      <c r="D8" s="30">
        <v>16992209.983469512</v>
      </c>
      <c r="E8" t="str" cm="1">
        <f t="array" ref="E8">_xlfn.IFS(
    D8&lt;=50000000, "Até 50MM",
    D8&lt;=100000000, "50MM - 100MM",
    D8&lt;=300000000, "100MM - 300MM",
    TRUE, "&gt; 300MM"
)</f>
        <v>Até 50MM</v>
      </c>
      <c r="F8" s="35" t="str" cm="1">
        <f t="array" ref="F8">_xlfn.IFS(
    D8&lt;=50000000, "GROWING",
    D8&lt;=100000000, "PLENO",
    D8&lt;=300000000, "SENIOR",
    TRUE, "MASTER"
)</f>
        <v>GROWING</v>
      </c>
      <c r="G8" s="32">
        <v>0</v>
      </c>
      <c r="H8" s="33">
        <v>10924917.261041824</v>
      </c>
      <c r="I8" s="32">
        <v>0</v>
      </c>
      <c r="J8" s="33">
        <v>1747.6902</v>
      </c>
      <c r="K8" s="34" t="s">
        <v>311</v>
      </c>
      <c r="M8">
        <v>2</v>
      </c>
    </row>
    <row r="9" spans="1:20" x14ac:dyDescent="0.25">
      <c r="A9" t="s">
        <v>47</v>
      </c>
      <c r="B9" t="str">
        <f>_xlfn.XLOOKUP(C9,POSITIVADOR!B:B,POSITIVADOR!A:A)</f>
        <v>A73778</v>
      </c>
      <c r="C9" t="s">
        <v>103</v>
      </c>
      <c r="D9" s="30">
        <v>17728222.758829355</v>
      </c>
      <c r="E9" t="str" cm="1">
        <f t="array" ref="E9">_xlfn.IFS(
    D9&lt;=50000000, "Até 50MM",
    D9&lt;=100000000, "50MM - 100MM",
    D9&lt;=300000000, "100MM - 300MM",
    TRUE, "&gt; 300MM"
)</f>
        <v>Até 50MM</v>
      </c>
      <c r="F9" s="35" t="str" cm="1">
        <f t="array" ref="F9">_xlfn.IFS(
    D9&lt;=50000000, "GROWING",
    D9&lt;=100000000, "PLENO",
    D9&lt;=300000000, "SENIOR",
    TRUE, "MASTER"
)</f>
        <v>GROWING</v>
      </c>
      <c r="G9" s="32">
        <v>-5237020.590928901</v>
      </c>
      <c r="H9" s="33">
        <v>-2985197.759244978</v>
      </c>
      <c r="I9" s="32">
        <v>64860.71639999999</v>
      </c>
      <c r="J9" s="33">
        <v>69572.553199999995</v>
      </c>
      <c r="K9" s="34" t="s">
        <v>313</v>
      </c>
      <c r="M9">
        <v>1</v>
      </c>
      <c r="Q9" s="66"/>
      <c r="R9" s="66"/>
      <c r="S9" s="66"/>
      <c r="T9" s="66"/>
    </row>
    <row r="10" spans="1:20" x14ac:dyDescent="0.25">
      <c r="A10" t="s">
        <v>56</v>
      </c>
      <c r="B10" t="str">
        <f>_xlfn.XLOOKUP(C10,POSITIVADOR!B:B,POSITIVADOR!A:A)</f>
        <v>A73259</v>
      </c>
      <c r="C10" t="s">
        <v>62</v>
      </c>
      <c r="D10" s="30">
        <v>18246536.21811191</v>
      </c>
      <c r="E10" t="str" cm="1">
        <f t="array" ref="E10">_xlfn.IFS(
    D10&lt;=50000000, "Até 50MM",
    D10&lt;=100000000, "50MM - 100MM",
    D10&lt;=300000000, "100MM - 300MM",
    TRUE, "&gt; 300MM"
)</f>
        <v>Até 50MM</v>
      </c>
      <c r="F10" s="35" t="str" cm="1">
        <f t="array" ref="F10">_xlfn.IFS(
    D10&lt;=50000000, "GROWING",
    D10&lt;=100000000, "PLENO",
    D10&lt;=300000000, "SENIOR",
    TRUE, "MASTER"
)</f>
        <v>GROWING</v>
      </c>
      <c r="G10" s="32">
        <v>503204.95892599993</v>
      </c>
      <c r="H10" s="33">
        <v>827140.60000000033</v>
      </c>
      <c r="I10" s="32">
        <v>28500.246500000001</v>
      </c>
      <c r="J10" s="33">
        <v>114076.5307</v>
      </c>
      <c r="K10" s="34" t="s">
        <v>317</v>
      </c>
      <c r="M10">
        <v>1</v>
      </c>
      <c r="Q10" s="65"/>
      <c r="R10" s="65"/>
      <c r="S10" s="65"/>
      <c r="T10" s="65"/>
    </row>
    <row r="11" spans="1:20" x14ac:dyDescent="0.25">
      <c r="A11" t="s">
        <v>56</v>
      </c>
      <c r="B11" t="str">
        <f>_xlfn.XLOOKUP(C11,POSITIVADOR!B:B,POSITIVADOR!A:A)</f>
        <v>A27823</v>
      </c>
      <c r="C11" t="s">
        <v>147</v>
      </c>
      <c r="D11" s="30">
        <v>19161668.540912792</v>
      </c>
      <c r="E11" t="str" cm="1">
        <f t="array" ref="E11">_xlfn.IFS(
    D11&lt;=50000000, "Até 50MM",
    D11&lt;=100000000, "50MM - 100MM",
    D11&lt;=300000000, "100MM - 300MM",
    TRUE, "&gt; 300MM"
)</f>
        <v>Até 50MM</v>
      </c>
      <c r="F11" s="35" t="str" cm="1">
        <f t="array" ref="F11">_xlfn.IFS(
    D11&lt;=50000000, "GROWING",
    D11&lt;=100000000, "PLENO",
    D11&lt;=300000000, "SENIOR",
    TRUE, "MASTER"
)</f>
        <v>GROWING</v>
      </c>
      <c r="G11" s="32">
        <v>-5883660.9699999988</v>
      </c>
      <c r="H11" s="33">
        <v>2438812.4259429313</v>
      </c>
      <c r="I11" s="32">
        <v>27305.156800000004</v>
      </c>
      <c r="J11" s="33">
        <v>11339.628899999998</v>
      </c>
      <c r="K11" s="34" t="s">
        <v>303</v>
      </c>
      <c r="M11">
        <v>4</v>
      </c>
      <c r="Q11" s="65"/>
      <c r="R11" s="65"/>
      <c r="S11" s="65"/>
      <c r="T11" s="65"/>
    </row>
    <row r="12" spans="1:20" x14ac:dyDescent="0.25">
      <c r="A12" t="s">
        <v>52</v>
      </c>
      <c r="B12" t="str">
        <f>_xlfn.XLOOKUP(C12,POSITIVADOR!B:B,POSITIVADOR!A:A)</f>
        <v>A92716</v>
      </c>
      <c r="C12" t="s">
        <v>51</v>
      </c>
      <c r="D12" s="30">
        <v>21214015.541067798</v>
      </c>
      <c r="E12" t="str" cm="1">
        <f t="array" ref="E12">_xlfn.IFS(
    D12&lt;=50000000, "Até 50MM",
    D12&lt;=100000000, "50MM - 100MM",
    D12&lt;=300000000, "100MM - 300MM",
    TRUE, "&gt; 300MM"
)</f>
        <v>Até 50MM</v>
      </c>
      <c r="F12" s="35" t="str" cm="1">
        <f t="array" ref="F12">_xlfn.IFS(
    D12&lt;=50000000, "GROWING",
    D12&lt;=100000000, "PLENO",
    D12&lt;=300000000, "SENIOR",
    TRUE, "MASTER"
)</f>
        <v>GROWING</v>
      </c>
      <c r="G12" s="32">
        <v>0</v>
      </c>
      <c r="H12" s="33">
        <v>-798235.39555829845</v>
      </c>
      <c r="I12" s="32">
        <v>0</v>
      </c>
      <c r="J12" s="33">
        <v>12324.153899999999</v>
      </c>
      <c r="K12" s="34" t="s">
        <v>321</v>
      </c>
      <c r="M12">
        <v>1</v>
      </c>
    </row>
    <row r="13" spans="1:20" x14ac:dyDescent="0.25">
      <c r="A13" t="s">
        <v>78</v>
      </c>
      <c r="B13" t="str">
        <f>_xlfn.XLOOKUP(C13,POSITIVADOR!B:B,POSITIVADOR!A:A)</f>
        <v>A54062</v>
      </c>
      <c r="C13" t="s">
        <v>89</v>
      </c>
      <c r="D13" s="30">
        <v>21460035.722519327</v>
      </c>
      <c r="E13" t="str" cm="1">
        <f t="array" ref="E13">_xlfn.IFS(
    D13&lt;=50000000, "Até 50MM",
    D13&lt;=100000000, "50MM - 100MM",
    D13&lt;=300000000, "100MM - 300MM",
    TRUE, "&gt; 300MM"
)</f>
        <v>Até 50MM</v>
      </c>
      <c r="F13" s="35" t="str" cm="1">
        <f t="array" ref="F13">_xlfn.IFS(
    D13&lt;=50000000, "GROWING",
    D13&lt;=100000000, "PLENO",
    D13&lt;=300000000, "SENIOR",
    TRUE, "MASTER"
)</f>
        <v>GROWING</v>
      </c>
      <c r="G13" s="32">
        <v>0</v>
      </c>
      <c r="H13" s="33">
        <v>-928212.00399300014</v>
      </c>
      <c r="I13" s="32">
        <v>0</v>
      </c>
      <c r="J13" s="33">
        <v>92877.896800000002</v>
      </c>
      <c r="K13" s="34" t="s">
        <v>319</v>
      </c>
      <c r="M13">
        <v>1</v>
      </c>
    </row>
    <row r="14" spans="1:20" x14ac:dyDescent="0.25">
      <c r="A14" t="s">
        <v>81</v>
      </c>
      <c r="B14" t="str">
        <f>_xlfn.XLOOKUP(C14,POSITIVADOR!B:B,POSITIVADOR!A:A)</f>
        <v>A72555</v>
      </c>
      <c r="C14" t="s">
        <v>97</v>
      </c>
      <c r="D14" s="30">
        <v>22180390.147453431</v>
      </c>
      <c r="E14" t="str" cm="1">
        <f t="array" ref="E14">_xlfn.IFS(
    D14&lt;=50000000, "Até 50MM",
    D14&lt;=100000000, "50MM - 100MM",
    D14&lt;=300000000, "100MM - 300MM",
    TRUE, "&gt; 300MM"
)</f>
        <v>Até 50MM</v>
      </c>
      <c r="F14" s="35" t="str" cm="1">
        <f t="array" ref="F14">_xlfn.IFS(
    D14&lt;=50000000, "GROWING",
    D14&lt;=100000000, "PLENO",
    D14&lt;=300000000, "SENIOR",
    TRUE, "MASTER"
)</f>
        <v>GROWING</v>
      </c>
      <c r="G14" s="32">
        <v>889521.25999999978</v>
      </c>
      <c r="H14" s="33">
        <v>1698546.1880000001</v>
      </c>
      <c r="I14" s="32">
        <v>132607.57079999999</v>
      </c>
      <c r="J14" s="33">
        <v>194203.64239999998</v>
      </c>
      <c r="K14" s="34" t="s">
        <v>325</v>
      </c>
      <c r="M14">
        <v>3</v>
      </c>
    </row>
    <row r="15" spans="1:20" x14ac:dyDescent="0.25">
      <c r="A15" t="s">
        <v>47</v>
      </c>
      <c r="B15" t="str">
        <f>_xlfn.XLOOKUP(C15,POSITIVADOR!B:B,POSITIVADOR!A:A)</f>
        <v>DM 14</v>
      </c>
      <c r="C15" t="s">
        <v>46</v>
      </c>
      <c r="D15" s="30">
        <v>22555247.64406348</v>
      </c>
      <c r="E15" t="str" cm="1">
        <f t="array" ref="E15">_xlfn.IFS(
    D15&lt;=50000000, "Até 50MM",
    D15&lt;=100000000, "50MM - 100MM",
    D15&lt;=300000000, "100MM - 300MM",
    TRUE, "&gt; 300MM"
)</f>
        <v>Até 50MM</v>
      </c>
      <c r="F15" s="35" t="str" cm="1">
        <f t="array" ref="F15">_xlfn.IFS(
    D15&lt;=50000000, "GROWING",
    D15&lt;=100000000, "PLENO",
    D15&lt;=300000000, "SENIOR",
    TRUE, "MASTER"
)</f>
        <v>GROWING</v>
      </c>
      <c r="G15" s="32">
        <v>0</v>
      </c>
      <c r="H15" s="33">
        <v>-807270.75984219043</v>
      </c>
      <c r="I15" s="32">
        <v>0</v>
      </c>
      <c r="J15" s="33">
        <v>26919.186300000001</v>
      </c>
      <c r="K15" s="34" t="s">
        <v>308</v>
      </c>
      <c r="M15">
        <v>0</v>
      </c>
    </row>
    <row r="16" spans="1:20" x14ac:dyDescent="0.25">
      <c r="A16" t="s">
        <v>47</v>
      </c>
      <c r="B16" t="str">
        <f>_xlfn.XLOOKUP(C16,POSITIVADOR!B:B,POSITIVADOR!A:A)</f>
        <v>A53727</v>
      </c>
      <c r="C16" t="s">
        <v>71</v>
      </c>
      <c r="D16" s="30">
        <v>26660169.021637071</v>
      </c>
      <c r="E16" t="str" cm="1">
        <f t="array" ref="E16">_xlfn.IFS(
    D16&lt;=50000000, "Até 50MM",
    D16&lt;=100000000, "50MM - 100MM",
    D16&lt;=300000000, "100MM - 300MM",
    TRUE, "&gt; 300MM"
)</f>
        <v>Até 50MM</v>
      </c>
      <c r="F16" s="35" t="str" cm="1">
        <f t="array" ref="F16">_xlfn.IFS(
    D16&lt;=50000000, "GROWING",
    D16&lt;=100000000, "PLENO",
    D16&lt;=300000000, "SENIOR",
    TRUE, "MASTER"
)</f>
        <v>GROWING</v>
      </c>
      <c r="G16" s="32">
        <v>-1979223.052772</v>
      </c>
      <c r="H16" s="33">
        <v>-2354930.5440399996</v>
      </c>
      <c r="I16" s="32">
        <v>163825.9675</v>
      </c>
      <c r="J16" s="33">
        <v>178610.07949999999</v>
      </c>
      <c r="K16" s="34" t="s">
        <v>321</v>
      </c>
      <c r="M16">
        <v>4</v>
      </c>
    </row>
    <row r="17" spans="1:13" x14ac:dyDescent="0.25">
      <c r="A17" t="s">
        <v>81</v>
      </c>
      <c r="B17" t="str">
        <f>_xlfn.XLOOKUP(C17,POSITIVADOR!B:B,POSITIVADOR!A:A)</f>
        <v>A56706</v>
      </c>
      <c r="C17" t="s">
        <v>99</v>
      </c>
      <c r="D17" s="30">
        <v>27456073.173934333</v>
      </c>
      <c r="E17" t="str" cm="1">
        <f t="array" ref="E17">_xlfn.IFS(
    D17&lt;=50000000, "Até 50MM",
    D17&lt;=100000000, "50MM - 100MM",
    D17&lt;=300000000, "100MM - 300MM",
    TRUE, "&gt; 300MM"
)</f>
        <v>Até 50MM</v>
      </c>
      <c r="F17" s="35" t="str" cm="1">
        <f t="array" ref="F17">_xlfn.IFS(
    D17&lt;=50000000, "GROWING",
    D17&lt;=100000000, "PLENO",
    D17&lt;=300000000, "SENIOR",
    TRUE, "MASTER"
)</f>
        <v>GROWING</v>
      </c>
      <c r="G17" s="32">
        <v>12557460.957169998</v>
      </c>
      <c r="H17" s="33">
        <v>7538418.4313000012</v>
      </c>
      <c r="I17" s="32">
        <v>135299.7825</v>
      </c>
      <c r="J17" s="33">
        <v>137823.179</v>
      </c>
      <c r="K17" s="34" t="s">
        <v>305</v>
      </c>
      <c r="M17">
        <v>1</v>
      </c>
    </row>
    <row r="18" spans="1:13" x14ac:dyDescent="0.25">
      <c r="A18" t="s">
        <v>78</v>
      </c>
      <c r="B18" t="str">
        <f>_xlfn.XLOOKUP(C18,POSITIVADOR!B:B,POSITIVADOR!A:A)</f>
        <v>A46046</v>
      </c>
      <c r="C18" t="s">
        <v>77</v>
      </c>
      <c r="D18" s="30">
        <v>27725249.014713481</v>
      </c>
      <c r="E18" t="str" cm="1">
        <f t="array" ref="E18">_xlfn.IFS(
    D18&lt;=50000000, "Até 50MM",
    D18&lt;=100000000, "50MM - 100MM",
    D18&lt;=300000000, "100MM - 300MM",
    TRUE, "&gt; 300MM"
)</f>
        <v>Até 50MM</v>
      </c>
      <c r="F18" s="35" t="str" cm="1">
        <f t="array" ref="F18">_xlfn.IFS(
    D18&lt;=50000000, "GROWING",
    D18&lt;=100000000, "PLENO",
    D18&lt;=300000000, "SENIOR",
    TRUE, "MASTER"
)</f>
        <v>GROWING</v>
      </c>
      <c r="G18" s="32">
        <v>-7663419.2486029994</v>
      </c>
      <c r="H18" s="33">
        <v>-3911417.2404589998</v>
      </c>
      <c r="I18" s="32">
        <v>137577.52260000003</v>
      </c>
      <c r="J18" s="33">
        <v>155026.03330000001</v>
      </c>
      <c r="K18" s="34" t="s">
        <v>318</v>
      </c>
      <c r="M18">
        <v>0</v>
      </c>
    </row>
    <row r="19" spans="1:13" x14ac:dyDescent="0.25">
      <c r="A19" t="s">
        <v>78</v>
      </c>
      <c r="B19" t="str">
        <f>_xlfn.XLOOKUP(C19,POSITIVADOR!B:B,POSITIVADOR!A:A)</f>
        <v>A47207</v>
      </c>
      <c r="C19" t="s">
        <v>125</v>
      </c>
      <c r="D19" s="30">
        <v>30803534.27094936</v>
      </c>
      <c r="E19" t="str" cm="1">
        <f t="array" ref="E19">_xlfn.IFS(
    D19&lt;=50000000, "Até 50MM",
    D19&lt;=100000000, "50MM - 100MM",
    D19&lt;=300000000, "100MM - 300MM",
    TRUE, "&gt; 300MM"
)</f>
        <v>Até 50MM</v>
      </c>
      <c r="F19" s="35" t="str" cm="1">
        <f t="array" ref="F19">_xlfn.IFS(
    D19&lt;=50000000, "GROWING",
    D19&lt;=100000000, "PLENO",
    D19&lt;=300000000, "SENIOR",
    TRUE, "MASTER"
)</f>
        <v>GROWING</v>
      </c>
      <c r="G19" s="32">
        <v>-10508873.508474002</v>
      </c>
      <c r="H19" s="33">
        <v>-6032749.630805999</v>
      </c>
      <c r="I19" s="32">
        <v>207175.1176</v>
      </c>
      <c r="J19" s="33">
        <v>225973.6084</v>
      </c>
      <c r="K19" s="34" t="s">
        <v>315</v>
      </c>
      <c r="M19">
        <v>0</v>
      </c>
    </row>
    <row r="20" spans="1:13" x14ac:dyDescent="0.25">
      <c r="A20" t="s">
        <v>56</v>
      </c>
      <c r="B20" t="str">
        <f>_xlfn.XLOOKUP(C20,POSITIVADOR!B:B,POSITIVADOR!A:A)</f>
        <v>A74348</v>
      </c>
      <c r="C20" t="s">
        <v>119</v>
      </c>
      <c r="D20" s="30">
        <v>33966081.381798096</v>
      </c>
      <c r="E20" t="str" cm="1">
        <f t="array" ref="E20">_xlfn.IFS(
    D20&lt;=50000000, "Até 50MM",
    D20&lt;=100000000, "50MM - 100MM",
    D20&lt;=300000000, "100MM - 300MM",
    TRUE, "&gt; 300MM"
)</f>
        <v>Até 50MM</v>
      </c>
      <c r="F20" s="35" t="str" cm="1">
        <f t="array" ref="F20">_xlfn.IFS(
    D20&lt;=50000000, "GROWING",
    D20&lt;=100000000, "PLENO",
    D20&lt;=300000000, "SENIOR",
    TRUE, "MASTER"
)</f>
        <v>GROWING</v>
      </c>
      <c r="G20" s="32">
        <v>2294367.1365999999</v>
      </c>
      <c r="H20" s="33">
        <v>-4465945.5183408018</v>
      </c>
      <c r="I20" s="32">
        <v>143902.853</v>
      </c>
      <c r="J20" s="33">
        <v>126888.15179999999</v>
      </c>
      <c r="K20" s="34" t="s">
        <v>323</v>
      </c>
      <c r="M20">
        <v>2</v>
      </c>
    </row>
    <row r="21" spans="1:13" x14ac:dyDescent="0.25">
      <c r="A21" t="s">
        <v>56</v>
      </c>
      <c r="B21" t="str">
        <f>_xlfn.XLOOKUP(C21,POSITIVADOR!B:B,POSITIVADOR!A:A)</f>
        <v>A26918</v>
      </c>
      <c r="C21" t="s">
        <v>60</v>
      </c>
      <c r="D21" s="30">
        <v>40090079.851903327</v>
      </c>
      <c r="E21" t="str" cm="1">
        <f t="array" ref="E21">_xlfn.IFS(
    D21&lt;=50000000, "Até 50MM",
    D21&lt;=100000000, "50MM - 100MM",
    D21&lt;=300000000, "100MM - 300MM",
    TRUE, "&gt; 300MM"
)</f>
        <v>Até 50MM</v>
      </c>
      <c r="F21" s="35" t="str" cm="1">
        <f t="array" ref="F21">_xlfn.IFS(
    D21&lt;=50000000, "GROWING",
    D21&lt;=100000000, "PLENO",
    D21&lt;=300000000, "SENIOR",
    TRUE, "MASTER"
)</f>
        <v>GROWING</v>
      </c>
      <c r="G21" s="32">
        <v>-1880507.0899999999</v>
      </c>
      <c r="H21" s="33">
        <v>88534.292262570758</v>
      </c>
      <c r="I21" s="32">
        <v>110740.12579999999</v>
      </c>
      <c r="J21" s="33">
        <v>91467.195399999997</v>
      </c>
      <c r="K21" s="34" t="s">
        <v>320</v>
      </c>
      <c r="M21">
        <v>3</v>
      </c>
    </row>
    <row r="22" spans="1:13" x14ac:dyDescent="0.25">
      <c r="A22" t="s">
        <v>67</v>
      </c>
      <c r="B22" t="str">
        <f>_xlfn.XLOOKUP(C22,POSITIVADOR!B:B,POSITIVADOR!A:A)</f>
        <v>A65997</v>
      </c>
      <c r="C22" t="s">
        <v>132</v>
      </c>
      <c r="D22" s="30">
        <v>46357102.657918595</v>
      </c>
      <c r="E22" t="str" cm="1">
        <f t="array" ref="E22">_xlfn.IFS(
    D22&lt;=50000000, "Até 50MM",
    D22&lt;=100000000, "50MM - 100MM",
    D22&lt;=300000000, "100MM - 300MM",
    TRUE, "&gt; 300MM"
)</f>
        <v>Até 50MM</v>
      </c>
      <c r="F22" s="35" t="str" cm="1">
        <f t="array" ref="F22">_xlfn.IFS(
    D22&lt;=50000000, "GROWING",
    D22&lt;=100000000, "PLENO",
    D22&lt;=300000000, "SENIOR",
    TRUE, "MASTER"
)</f>
        <v>GROWING</v>
      </c>
      <c r="G22" s="32">
        <v>5026085.1219999995</v>
      </c>
      <c r="H22" s="33">
        <v>681636.75999999978</v>
      </c>
      <c r="I22" s="32">
        <v>370779.81140000001</v>
      </c>
      <c r="J22" s="33">
        <v>748328.55700000015</v>
      </c>
      <c r="K22" s="34" t="s">
        <v>297</v>
      </c>
      <c r="M22">
        <v>2</v>
      </c>
    </row>
    <row r="23" spans="1:13" x14ac:dyDescent="0.25">
      <c r="A23" t="s">
        <v>78</v>
      </c>
      <c r="B23" t="str">
        <f>_xlfn.XLOOKUP(C23,POSITIVADOR!B:B,POSITIVADOR!A:A)</f>
        <v>A44655</v>
      </c>
      <c r="C23" t="s">
        <v>95</v>
      </c>
      <c r="D23" s="30">
        <v>49402673.58369188</v>
      </c>
      <c r="E23" t="str" cm="1">
        <f t="array" ref="E23">_xlfn.IFS(
    D23&lt;=50000000, "Até 50MM",
    D23&lt;=100000000, "50MM - 100MM",
    D23&lt;=300000000, "100MM - 300MM",
    TRUE, "&gt; 300MM"
)</f>
        <v>Até 50MM</v>
      </c>
      <c r="F23" s="35" t="str" cm="1">
        <f t="array" ref="F23">_xlfn.IFS(
    D23&lt;=50000000, "GROWING",
    D23&lt;=100000000, "PLENO",
    D23&lt;=300000000, "SENIOR",
    TRUE, "MASTER"
)</f>
        <v>GROWING</v>
      </c>
      <c r="G23" s="32">
        <v>-27182760.178891998</v>
      </c>
      <c r="H23" s="33">
        <v>-8822988.1441710014</v>
      </c>
      <c r="I23" s="32">
        <v>413190.24060000002</v>
      </c>
      <c r="J23" s="33">
        <v>465792.74199999997</v>
      </c>
      <c r="K23" s="34" t="s">
        <v>310</v>
      </c>
      <c r="M23">
        <v>5</v>
      </c>
    </row>
    <row r="24" spans="1:13" x14ac:dyDescent="0.25">
      <c r="A24" t="s">
        <v>56</v>
      </c>
      <c r="B24" t="str">
        <f>_xlfn.XLOOKUP(C24,POSITIVADOR!B:B,POSITIVADOR!A:A)</f>
        <v>A53211</v>
      </c>
      <c r="C24" t="s">
        <v>115</v>
      </c>
      <c r="D24" s="30">
        <v>53070289.916254446</v>
      </c>
      <c r="E24" t="str" cm="1">
        <f t="array" ref="E24">_xlfn.IFS(
    D24&lt;=50000000, "Até 50MM",
    D24&lt;=100000000, "50MM - 100MM",
    D24&lt;=300000000, "100MM - 300MM",
    TRUE, "&gt; 300MM"
)</f>
        <v>50MM - 100MM</v>
      </c>
      <c r="F24" s="35" t="str" cm="1">
        <f t="array" ref="F24">_xlfn.IFS(
    D24&lt;=50000000, "GROWING",
    D24&lt;=100000000, "PLENO",
    D24&lt;=300000000, "SENIOR",
    TRUE, "MASTER"
)</f>
        <v>PLENO</v>
      </c>
      <c r="G24" s="32">
        <v>300710.36021900014</v>
      </c>
      <c r="H24" s="33">
        <v>-2054055.4633119996</v>
      </c>
      <c r="I24" s="32">
        <v>100029.69720000001</v>
      </c>
      <c r="J24" s="33">
        <v>82072.101299999995</v>
      </c>
      <c r="K24" s="34" t="s">
        <v>301</v>
      </c>
      <c r="M24">
        <v>0</v>
      </c>
    </row>
    <row r="25" spans="1:13" x14ac:dyDescent="0.25">
      <c r="A25" t="s">
        <v>67</v>
      </c>
      <c r="B25" t="str">
        <f>_xlfn.XLOOKUP(C25,POSITIVADOR!B:B,POSITIVADOR!A:A)</f>
        <v>A22679</v>
      </c>
      <c r="C25" t="s">
        <v>121</v>
      </c>
      <c r="D25" s="30">
        <v>53615502.103022844</v>
      </c>
      <c r="E25" t="str" cm="1">
        <f t="array" ref="E25">_xlfn.IFS(
    D25&lt;=50000000, "Até 50MM",
    D25&lt;=100000000, "50MM - 100MM",
    D25&lt;=300000000, "100MM - 300MM",
    TRUE, "&gt; 300MM"
)</f>
        <v>50MM - 100MM</v>
      </c>
      <c r="F25" s="35" t="str" cm="1">
        <f t="array" ref="F25">_xlfn.IFS(
    D25&lt;=50000000, "GROWING",
    D25&lt;=100000000, "PLENO",
    D25&lt;=300000000, "SENIOR",
    TRUE, "MASTER"
)</f>
        <v>PLENO</v>
      </c>
      <c r="G25" s="32">
        <v>703880.03600000008</v>
      </c>
      <c r="H25" s="33">
        <v>-13802981.054041997</v>
      </c>
      <c r="I25" s="32">
        <v>288482.77629999997</v>
      </c>
      <c r="J25" s="33">
        <v>263479.97030000004</v>
      </c>
      <c r="K25" s="34" t="s">
        <v>306</v>
      </c>
      <c r="M25">
        <v>1</v>
      </c>
    </row>
    <row r="26" spans="1:13" x14ac:dyDescent="0.25">
      <c r="A26" t="s">
        <v>56</v>
      </c>
      <c r="B26" t="str">
        <f>_xlfn.XLOOKUP(C26,POSITIVADOR!B:B,POSITIVADOR!A:A)</f>
        <v>A74230</v>
      </c>
      <c r="C26" t="s">
        <v>55</v>
      </c>
      <c r="D26" s="30">
        <v>60884204.031195752</v>
      </c>
      <c r="E26" t="str" cm="1">
        <f t="array" ref="E26">_xlfn.IFS(
    D26&lt;=50000000, "Até 50MM",
    D26&lt;=100000000, "50MM - 100MM",
    D26&lt;=300000000, "100MM - 300MM",
    TRUE, "&gt; 300MM"
)</f>
        <v>50MM - 100MM</v>
      </c>
      <c r="F26" s="35" t="str" cm="1">
        <f t="array" ref="F26">_xlfn.IFS(
    D26&lt;=50000000, "GROWING",
    D26&lt;=100000000, "PLENO",
    D26&lt;=300000000, "SENIOR",
    TRUE, "MASTER"
)</f>
        <v>PLENO</v>
      </c>
      <c r="G26" s="32">
        <v>-478297.65847699967</v>
      </c>
      <c r="H26" s="33">
        <v>5271549.886238399</v>
      </c>
      <c r="I26" s="32">
        <v>121879.80180000002</v>
      </c>
      <c r="J26" s="33">
        <v>231477.27270000003</v>
      </c>
      <c r="K26" s="34" t="s">
        <v>309</v>
      </c>
      <c r="M26">
        <v>1</v>
      </c>
    </row>
    <row r="27" spans="1:13" x14ac:dyDescent="0.25">
      <c r="A27" t="s">
        <v>56</v>
      </c>
      <c r="B27" t="str">
        <f>_xlfn.XLOOKUP(C27,POSITIVADOR!B:B,POSITIVADOR!A:A)</f>
        <v>A24984</v>
      </c>
      <c r="C27" t="s">
        <v>64</v>
      </c>
      <c r="D27" s="30">
        <v>61343721.540751912</v>
      </c>
      <c r="E27" t="str" cm="1">
        <f t="array" ref="E27">_xlfn.IFS(
    D27&lt;=50000000, "Até 50MM",
    D27&lt;=100000000, "50MM - 100MM",
    D27&lt;=300000000, "100MM - 300MM",
    TRUE, "&gt; 300MM"
)</f>
        <v>50MM - 100MM</v>
      </c>
      <c r="F27" s="35" t="str" cm="1">
        <f t="array" ref="F27">_xlfn.IFS(
    D27&lt;=50000000, "GROWING",
    D27&lt;=100000000, "PLENO",
    D27&lt;=300000000, "SENIOR",
    TRUE, "MASTER"
)</f>
        <v>PLENO</v>
      </c>
      <c r="G27" s="32">
        <v>-10581581.593812002</v>
      </c>
      <c r="H27" s="33">
        <v>-5844631.7829150008</v>
      </c>
      <c r="I27" s="32">
        <v>210644.39840000001</v>
      </c>
      <c r="J27" s="33">
        <v>142411.71370000002</v>
      </c>
      <c r="K27" s="34" t="s">
        <v>316</v>
      </c>
      <c r="M27">
        <v>3</v>
      </c>
    </row>
    <row r="28" spans="1:13" x14ac:dyDescent="0.25">
      <c r="A28" t="s">
        <v>56</v>
      </c>
      <c r="B28" t="str">
        <f>_xlfn.XLOOKUP(C28,POSITIVADOR!B:B,POSITIVADOR!A:A)</f>
        <v>A26112</v>
      </c>
      <c r="C28" t="s">
        <v>83</v>
      </c>
      <c r="D28" s="30">
        <v>65661153.211977176</v>
      </c>
      <c r="E28" t="str" cm="1">
        <f t="array" ref="E28">_xlfn.IFS(
    D28&lt;=50000000, "Até 50MM",
    D28&lt;=100000000, "50MM - 100MM",
    D28&lt;=300000000, "100MM - 300MM",
    TRUE, "&gt; 300MM"
)</f>
        <v>50MM - 100MM</v>
      </c>
      <c r="F28" s="35" t="str" cm="1">
        <f t="array" ref="F28">_xlfn.IFS(
    D28&lt;=50000000, "GROWING",
    D28&lt;=100000000, "PLENO",
    D28&lt;=300000000, "SENIOR",
    TRUE, "MASTER"
)</f>
        <v>PLENO</v>
      </c>
      <c r="G28" s="32">
        <v>1827062.5320000001</v>
      </c>
      <c r="H28" s="33">
        <v>5960156.2228919985</v>
      </c>
      <c r="I28" s="32">
        <v>193314.66680000001</v>
      </c>
      <c r="J28" s="33">
        <v>205589.49260000003</v>
      </c>
      <c r="K28" s="34" t="s">
        <v>298</v>
      </c>
      <c r="M28">
        <v>4</v>
      </c>
    </row>
    <row r="29" spans="1:13" x14ac:dyDescent="0.25">
      <c r="A29" t="s">
        <v>78</v>
      </c>
      <c r="B29" t="str">
        <f>_xlfn.XLOOKUP(C29,POSITIVADOR!B:B,POSITIVADOR!A:A)</f>
        <v>A74811</v>
      </c>
      <c r="C29" t="s">
        <v>87</v>
      </c>
      <c r="D29" s="30">
        <v>69730537.690670624</v>
      </c>
      <c r="E29" t="str" cm="1">
        <f t="array" ref="E29">_xlfn.IFS(
    D29&lt;=50000000, "Até 50MM",
    D29&lt;=100000000, "50MM - 100MM",
    D29&lt;=300000000, "100MM - 300MM",
    TRUE, "&gt; 300MM"
)</f>
        <v>50MM - 100MM</v>
      </c>
      <c r="F29" s="35" t="str" cm="1">
        <f t="array" ref="F29">_xlfn.IFS(
    D29&lt;=50000000, "GROWING",
    D29&lt;=100000000, "PLENO",
    D29&lt;=300000000, "SENIOR",
    TRUE, "MASTER"
)</f>
        <v>PLENO</v>
      </c>
      <c r="G29" s="32">
        <v>-39271307.474514</v>
      </c>
      <c r="H29" s="33">
        <v>-3074532.0933759995</v>
      </c>
      <c r="I29" s="32">
        <v>567749.01679999998</v>
      </c>
      <c r="J29" s="33">
        <v>434283.73079999996</v>
      </c>
      <c r="K29" s="34" t="s">
        <v>314</v>
      </c>
      <c r="M29">
        <v>3</v>
      </c>
    </row>
    <row r="30" spans="1:13" x14ac:dyDescent="0.25">
      <c r="A30" t="s">
        <v>56</v>
      </c>
      <c r="B30" t="str">
        <f>_xlfn.XLOOKUP(C30,POSITIVADOR!B:B,POSITIVADOR!A:A)</f>
        <v>A26562</v>
      </c>
      <c r="C30" t="s">
        <v>69</v>
      </c>
      <c r="D30" s="30">
        <v>70113756.894121304</v>
      </c>
      <c r="E30" t="str" cm="1">
        <f t="array" ref="E30">_xlfn.IFS(
    D30&lt;=50000000, "Até 50MM",
    D30&lt;=100000000, "50MM - 100MM",
    D30&lt;=300000000, "100MM - 300MM",
    TRUE, "&gt; 300MM"
)</f>
        <v>50MM - 100MM</v>
      </c>
      <c r="F30" s="35" t="str" cm="1">
        <f t="array" ref="F30">_xlfn.IFS(
    D30&lt;=50000000, "GROWING",
    D30&lt;=100000000, "PLENO",
    D30&lt;=300000000, "SENIOR",
    TRUE, "MASTER"
)</f>
        <v>PLENO</v>
      </c>
      <c r="G30" s="32">
        <v>-6218750.6319850013</v>
      </c>
      <c r="H30" s="33">
        <v>-672435.95492999628</v>
      </c>
      <c r="I30" s="32">
        <v>112396.21340000001</v>
      </c>
      <c r="J30" s="33">
        <v>138923.15460000001</v>
      </c>
      <c r="K30" s="34" t="s">
        <v>299</v>
      </c>
      <c r="M30">
        <v>1</v>
      </c>
    </row>
    <row r="31" spans="1:13" x14ac:dyDescent="0.25">
      <c r="A31" t="s">
        <v>56</v>
      </c>
      <c r="B31" t="str">
        <f>_xlfn.XLOOKUP(C31,POSITIVADOR!B:B,POSITIVADOR!A:A)</f>
        <v>A32005</v>
      </c>
      <c r="C31" t="s">
        <v>107</v>
      </c>
      <c r="D31" s="30">
        <v>76960213.620514527</v>
      </c>
      <c r="E31" t="str" cm="1">
        <f t="array" ref="E31">_xlfn.IFS(
    D31&lt;=50000000, "Até 50MM",
    D31&lt;=100000000, "50MM - 100MM",
    D31&lt;=300000000, "100MM - 300MM",
    TRUE, "&gt; 300MM"
)</f>
        <v>50MM - 100MM</v>
      </c>
      <c r="F31" s="35" t="str" cm="1">
        <f t="array" ref="F31">_xlfn.IFS(
    D31&lt;=50000000, "GROWING",
    D31&lt;=100000000, "PLENO",
    D31&lt;=300000000, "SENIOR",
    TRUE, "MASTER"
)</f>
        <v>PLENO</v>
      </c>
      <c r="G31" s="32">
        <v>-2473757.2440409996</v>
      </c>
      <c r="H31" s="33">
        <v>4793589.9962688014</v>
      </c>
      <c r="I31" s="32">
        <v>563762.31660000002</v>
      </c>
      <c r="J31" s="33">
        <v>604298.63879999996</v>
      </c>
      <c r="K31" s="34" t="s">
        <v>307</v>
      </c>
      <c r="M31">
        <v>1</v>
      </c>
    </row>
    <row r="32" spans="1:13" x14ac:dyDescent="0.25">
      <c r="A32" t="s">
        <v>81</v>
      </c>
      <c r="B32" t="str">
        <f>_xlfn.XLOOKUP(C32,POSITIVADOR!B:B,POSITIVADOR!A:A)</f>
        <v>A72984</v>
      </c>
      <c r="C32" t="s">
        <v>91</v>
      </c>
      <c r="D32" s="30">
        <v>79325004.615148187</v>
      </c>
      <c r="E32" t="str" cm="1">
        <f t="array" ref="E32">_xlfn.IFS(
    D32&lt;=50000000, "Até 50MM",
    D32&lt;=100000000, "50MM - 100MM",
    D32&lt;=300000000, "100MM - 300MM",
    TRUE, "&gt; 300MM"
)</f>
        <v>50MM - 100MM</v>
      </c>
      <c r="F32" s="35" t="str" cm="1">
        <f t="array" ref="F32">_xlfn.IFS(
    D32&lt;=50000000, "GROWING",
    D32&lt;=100000000, "PLENO",
    D32&lt;=300000000, "SENIOR",
    TRUE, "MASTER"
)</f>
        <v>PLENO</v>
      </c>
      <c r="G32" s="32">
        <v>-509032.66999999952</v>
      </c>
      <c r="H32" s="33">
        <v>-7252877.0014509987</v>
      </c>
      <c r="I32" s="32">
        <v>267643.7023</v>
      </c>
      <c r="J32" s="33">
        <v>494011.25870000001</v>
      </c>
      <c r="K32" s="34" t="s">
        <v>304</v>
      </c>
      <c r="M32">
        <v>1</v>
      </c>
    </row>
    <row r="33" spans="1:13" x14ac:dyDescent="0.25">
      <c r="A33" t="s">
        <v>81</v>
      </c>
      <c r="B33" t="str">
        <f>_xlfn.XLOOKUP(C33,POSITIVADOR!B:B,POSITIVADOR!A:A)</f>
        <v>A73214</v>
      </c>
      <c r="C33" t="s">
        <v>113</v>
      </c>
      <c r="D33" s="30">
        <v>80114740.788858518</v>
      </c>
      <c r="E33" t="str" cm="1">
        <f t="array" ref="E33">_xlfn.IFS(
    D33&lt;=50000000, "Até 50MM",
    D33&lt;=100000000, "50MM - 100MM",
    D33&lt;=300000000, "100MM - 300MM",
    TRUE, "&gt; 300MM"
)</f>
        <v>50MM - 100MM</v>
      </c>
      <c r="F33" s="35" t="str" cm="1">
        <f t="array" ref="F33">_xlfn.IFS(
    D33&lt;=50000000, "GROWING",
    D33&lt;=100000000, "PLENO",
    D33&lt;=300000000, "SENIOR",
    TRUE, "MASTER"
)</f>
        <v>PLENO</v>
      </c>
      <c r="G33" s="32">
        <v>3102932.5910889986</v>
      </c>
      <c r="H33" s="33">
        <v>6910191.7045599902</v>
      </c>
      <c r="I33" s="32">
        <v>386409.34649999999</v>
      </c>
      <c r="J33" s="33">
        <v>309166.98009999999</v>
      </c>
      <c r="K33" s="34" t="s">
        <v>304</v>
      </c>
      <c r="M33">
        <v>6</v>
      </c>
    </row>
    <row r="34" spans="1:13" x14ac:dyDescent="0.25">
      <c r="A34" t="s">
        <v>47</v>
      </c>
      <c r="B34" t="str">
        <f>_xlfn.XLOOKUP(C34,POSITIVADOR!B:B,POSITIVADOR!A:A)</f>
        <v>A26852</v>
      </c>
      <c r="C34" t="s">
        <v>117</v>
      </c>
      <c r="D34" s="30">
        <v>82722604.575919479</v>
      </c>
      <c r="E34" t="str" cm="1">
        <f t="array" ref="E34">_xlfn.IFS(
    D34&lt;=50000000, "Até 50MM",
    D34&lt;=100000000, "50MM - 100MM",
    D34&lt;=300000000, "100MM - 300MM",
    TRUE, "&gt; 300MM"
)</f>
        <v>50MM - 100MM</v>
      </c>
      <c r="F34" s="35" t="str" cm="1">
        <f t="array" ref="F34">_xlfn.IFS(
    D34&lt;=50000000, "GROWING",
    D34&lt;=100000000, "PLENO",
    D34&lt;=300000000, "SENIOR",
    TRUE, "MASTER"
)</f>
        <v>PLENO</v>
      </c>
      <c r="G34" s="32">
        <v>96991.702494999976</v>
      </c>
      <c r="H34" s="33">
        <v>-768440.29321300006</v>
      </c>
      <c r="I34" s="32">
        <v>359681.02370000002</v>
      </c>
      <c r="J34" s="33">
        <v>346602.12570000003</v>
      </c>
      <c r="K34" s="34" t="s">
        <v>314</v>
      </c>
      <c r="M34">
        <v>1</v>
      </c>
    </row>
    <row r="35" spans="1:13" x14ac:dyDescent="0.25">
      <c r="A35" t="s">
        <v>52</v>
      </c>
      <c r="B35" t="str">
        <f>_xlfn.XLOOKUP(C35,POSITIVADOR!B:B,POSITIVADOR!A:A)</f>
        <v>A32561</v>
      </c>
      <c r="C35" t="s">
        <v>123</v>
      </c>
      <c r="D35" s="30">
        <v>116953789.27613327</v>
      </c>
      <c r="E35" t="str" cm="1">
        <f t="array" ref="E35">_xlfn.IFS(
    D35&lt;=50000000, "Até 50MM",
    D35&lt;=100000000, "50MM - 100MM",
    D35&lt;=300000000, "100MM - 300MM",
    TRUE, "&gt; 300MM"
)</f>
        <v>100MM - 300MM</v>
      </c>
      <c r="F35" s="35" t="str" cm="1">
        <f t="array" ref="F35">_xlfn.IFS(
    D35&lt;=50000000, "GROWING",
    D35&lt;=100000000, "PLENO",
    D35&lt;=300000000, "SENIOR",
    TRUE, "MASTER"
)</f>
        <v>SENIOR</v>
      </c>
      <c r="G35" s="32">
        <v>4952284.3299999991</v>
      </c>
      <c r="H35" s="33">
        <v>195910.21357699996</v>
      </c>
      <c r="I35" s="32">
        <v>363205.7084</v>
      </c>
      <c r="J35" s="33">
        <v>588460.47279999999</v>
      </c>
      <c r="K35" s="34" t="s">
        <v>298</v>
      </c>
      <c r="M35">
        <v>0</v>
      </c>
    </row>
    <row r="36" spans="1:13" x14ac:dyDescent="0.25">
      <c r="A36" t="s">
        <v>67</v>
      </c>
      <c r="B36" t="str">
        <f>_xlfn.XLOOKUP(C36,POSITIVADOR!B:B,POSITIVADOR!A:A)</f>
        <v>A21878</v>
      </c>
      <c r="C36" t="s">
        <v>73</v>
      </c>
      <c r="D36" s="30">
        <v>163164013.99592379</v>
      </c>
      <c r="E36" t="str" cm="1">
        <f t="array" ref="E36">_xlfn.IFS(
    D36&lt;=50000000, "Até 50MM",
    D36&lt;=100000000, "50MM - 100MM",
    D36&lt;=300000000, "100MM - 300MM",
    TRUE, "&gt; 300MM"
)</f>
        <v>100MM - 300MM</v>
      </c>
      <c r="F36" s="35" t="str" cm="1">
        <f t="array" ref="F36">_xlfn.IFS(
    D36&lt;=50000000, "GROWING",
    D36&lt;=100000000, "PLENO",
    D36&lt;=300000000, "SENIOR",
    TRUE, "MASTER"
)</f>
        <v>SENIOR</v>
      </c>
      <c r="G36" s="32">
        <v>4100643.6726599988</v>
      </c>
      <c r="H36" s="33">
        <v>-19367963.017710008</v>
      </c>
      <c r="I36" s="32">
        <v>415805.72959999996</v>
      </c>
      <c r="J36" s="33">
        <v>575121.13119999995</v>
      </c>
      <c r="K36" s="34" t="s">
        <v>322</v>
      </c>
      <c r="M36">
        <v>3</v>
      </c>
    </row>
    <row r="37" spans="1:13" x14ac:dyDescent="0.25">
      <c r="A37" t="s">
        <v>67</v>
      </c>
      <c r="B37" t="str">
        <f>_xlfn.XLOOKUP(C37,POSITIVADOR!B:B,POSITIVADOR!A:A)</f>
        <v>A65954</v>
      </c>
      <c r="C37" t="s">
        <v>129</v>
      </c>
      <c r="D37" s="30">
        <v>220598254.48112068</v>
      </c>
      <c r="E37" t="str" cm="1">
        <f t="array" ref="E37">_xlfn.IFS(
    D37&lt;=50000000, "Até 50MM",
    D37&lt;=100000000, "50MM - 100MM",
    D37&lt;=300000000, "100MM - 300MM",
    TRUE, "&gt; 300MM"
)</f>
        <v>100MM - 300MM</v>
      </c>
      <c r="F37" s="35" t="str" cm="1">
        <f t="array" ref="F37">_xlfn.IFS(
    D37&lt;=50000000, "GROWING",
    D37&lt;=100000000, "PLENO",
    D37&lt;=300000000, "SENIOR",
    TRUE, "MASTER"
)</f>
        <v>SENIOR</v>
      </c>
      <c r="G37" s="32">
        <v>357288.01000000007</v>
      </c>
      <c r="H37" s="33">
        <v>11956518.459377</v>
      </c>
      <c r="I37" s="32">
        <v>0</v>
      </c>
      <c r="J37" s="33">
        <v>666608.77270000009</v>
      </c>
      <c r="K37" s="34" t="s">
        <v>295</v>
      </c>
      <c r="M37">
        <v>1</v>
      </c>
    </row>
    <row r="38" spans="1:13" x14ac:dyDescent="0.25">
      <c r="A38" t="s">
        <v>67</v>
      </c>
      <c r="B38" t="str">
        <f>_xlfn.XLOOKUP(C38,POSITIVADOR!B:B,POSITIVADOR!A:A)</f>
        <v>A21351</v>
      </c>
      <c r="C38" t="s">
        <v>66</v>
      </c>
      <c r="D38" s="30">
        <v>256687976.41005611</v>
      </c>
      <c r="E38" t="str" cm="1">
        <f t="array" ref="E38">_xlfn.IFS(
    D38&lt;=50000000, "Até 50MM",
    D38&lt;=100000000, "50MM - 100MM",
    D38&lt;=300000000, "100MM - 300MM",
    TRUE, "&gt; 300MM"
)</f>
        <v>100MM - 300MM</v>
      </c>
      <c r="F38" s="35" t="str" cm="1">
        <f t="array" ref="F38">_xlfn.IFS(
    D38&lt;=50000000, "GROWING",
    D38&lt;=100000000, "PLENO",
    D38&lt;=300000000, "SENIOR",
    TRUE, "MASTER"
)</f>
        <v>SENIOR</v>
      </c>
      <c r="G38" s="32">
        <v>-5858023.1670000022</v>
      </c>
      <c r="H38" s="33">
        <v>39130099.612818852</v>
      </c>
      <c r="I38" s="32">
        <v>519381.92799999996</v>
      </c>
      <c r="J38" s="33">
        <v>639470.9595</v>
      </c>
      <c r="K38" s="34" t="s">
        <v>296</v>
      </c>
      <c r="M38">
        <v>4</v>
      </c>
    </row>
    <row r="39" spans="1:13" x14ac:dyDescent="0.25">
      <c r="D39" s="30">
        <f>SUBTOTAL(109,plano_carreira_2026[net (atual)])</f>
        <v>2017052235.0048983</v>
      </c>
      <c r="F39" s="35"/>
      <c r="G39" s="32">
        <f>SUBTOTAL(109,plano_carreira_2026[cap_1sem])</f>
        <v>-84278012.925412908</v>
      </c>
      <c r="H39" s="33">
        <f>SUBTOTAL(109,plano_carreira_2026[cap_2sem])</f>
        <v>13602267.661971442</v>
      </c>
      <c r="I39" s="32">
        <f>SUM(plano_carreira_2026[rec_1sem])</f>
        <v>6637039.2718000002</v>
      </c>
      <c r="J39" s="33">
        <f>SUBTOTAL(109,plano_carreira_2026[rec_2sem])</f>
        <v>8585020.1326000001</v>
      </c>
      <c r="K39" s="34"/>
      <c r="M39">
        <f>SUM(M2:M38)</f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D66A-4F4B-4984-B26E-4EF0B906354F}">
  <dimension ref="A1:K41"/>
  <sheetViews>
    <sheetView workbookViewId="0"/>
  </sheetViews>
  <sheetFormatPr defaultRowHeight="15" x14ac:dyDescent="0.25"/>
  <cols>
    <col min="1" max="1" width="40.140625" bestFit="1" customWidth="1"/>
    <col min="2" max="2" width="13.7109375" style="31" bestFit="1" customWidth="1"/>
    <col min="3" max="3" width="16.140625" customWidth="1"/>
    <col min="4" max="4" width="15" customWidth="1"/>
    <col min="5" max="5" width="25.28515625" bestFit="1" customWidth="1"/>
  </cols>
  <sheetData>
    <row r="1" spans="1:11" x14ac:dyDescent="0.25">
      <c r="A1" t="s">
        <v>254</v>
      </c>
      <c r="B1" s="31" t="s">
        <v>256</v>
      </c>
      <c r="C1" t="s">
        <v>257</v>
      </c>
      <c r="D1" t="s">
        <v>258</v>
      </c>
      <c r="E1" t="s">
        <v>259</v>
      </c>
    </row>
    <row r="2" spans="1:11" x14ac:dyDescent="0.25">
      <c r="A2" t="s">
        <v>129</v>
      </c>
      <c r="B2" s="31">
        <v>45846</v>
      </c>
      <c r="C2" s="31">
        <f ca="1">TODAY()</f>
        <v>46049</v>
      </c>
      <c r="D2">
        <f ca="1">DATEDIF(B2, C2, "Y")</f>
        <v>0</v>
      </c>
      <c r="E2" t="str">
        <f ca="1">DATEDIF(B2,C2,"Y") &amp; " anos, " &amp; DATEDIF(B2,C2,"YM") &amp; " meses e " &amp; DATEDIF(B2,C2,"MD") &amp; " dias"</f>
        <v>0 anos, 6 meses e 19 dias</v>
      </c>
      <c r="J2" t="s">
        <v>128</v>
      </c>
      <c r="K2" t="s">
        <v>129</v>
      </c>
    </row>
    <row r="3" spans="1:11" x14ac:dyDescent="0.25">
      <c r="A3" t="s">
        <v>66</v>
      </c>
      <c r="B3" s="31">
        <v>43466</v>
      </c>
      <c r="C3" s="31">
        <f t="shared" ref="C3:C39" ca="1" si="0">TODAY()</f>
        <v>46049</v>
      </c>
      <c r="D3">
        <f t="shared" ref="D3:D39" ca="1" si="1">DATEDIF(B3, C3, "Y")</f>
        <v>7</v>
      </c>
      <c r="E3" t="str">
        <f t="shared" ref="E3:E39" ca="1" si="2">DATEDIF(B3,C3,"Y") &amp; " anos, " &amp; DATEDIF(B3,C3,"YM") &amp; " meses e " &amp; DATEDIF(B3,C3,"MD") &amp; " dias"</f>
        <v>7 anos, 0 meses e 26 dias</v>
      </c>
      <c r="J3" t="s">
        <v>65</v>
      </c>
      <c r="K3" t="s">
        <v>66</v>
      </c>
    </row>
    <row r="4" spans="1:11" x14ac:dyDescent="0.25">
      <c r="A4" t="s">
        <v>132</v>
      </c>
      <c r="B4" s="31">
        <v>45670</v>
      </c>
      <c r="C4" s="31">
        <f t="shared" ca="1" si="0"/>
        <v>46049</v>
      </c>
      <c r="D4">
        <f t="shared" ca="1" si="1"/>
        <v>1</v>
      </c>
      <c r="E4" t="str">
        <f t="shared" ca="1" si="2"/>
        <v>1 anos, 0 meses e 14 dias</v>
      </c>
      <c r="J4" t="s">
        <v>131</v>
      </c>
      <c r="K4" t="s">
        <v>132</v>
      </c>
    </row>
    <row r="5" spans="1:11" x14ac:dyDescent="0.25">
      <c r="A5" t="s">
        <v>60</v>
      </c>
      <c r="B5" s="31">
        <v>44621</v>
      </c>
      <c r="C5" s="31">
        <f t="shared" ca="1" si="0"/>
        <v>46049</v>
      </c>
      <c r="D5">
        <f t="shared" ca="1" si="1"/>
        <v>3</v>
      </c>
      <c r="E5" t="str">
        <f t="shared" ca="1" si="2"/>
        <v>3 anos, 10 meses e 26 dias</v>
      </c>
      <c r="J5" t="s">
        <v>82</v>
      </c>
      <c r="K5" t="s">
        <v>83</v>
      </c>
    </row>
    <row r="6" spans="1:11" x14ac:dyDescent="0.25">
      <c r="A6" t="s">
        <v>83</v>
      </c>
      <c r="B6" s="31">
        <v>44858</v>
      </c>
      <c r="C6" s="31">
        <f t="shared" ca="1" si="0"/>
        <v>46049</v>
      </c>
      <c r="D6">
        <f t="shared" ca="1" si="1"/>
        <v>3</v>
      </c>
      <c r="E6" t="str">
        <f t="shared" ca="1" si="2"/>
        <v>3 anos, 3 meses e 3 dias</v>
      </c>
      <c r="J6" t="s">
        <v>68</v>
      </c>
      <c r="K6" t="s">
        <v>69</v>
      </c>
    </row>
    <row r="7" spans="1:11" x14ac:dyDescent="0.25">
      <c r="A7" t="s">
        <v>294</v>
      </c>
      <c r="B7" s="31">
        <v>46023</v>
      </c>
      <c r="C7" s="31">
        <f t="shared" ca="1" si="0"/>
        <v>46049</v>
      </c>
      <c r="D7">
        <f t="shared" ca="1" si="1"/>
        <v>0</v>
      </c>
      <c r="E7" t="str">
        <f t="shared" ca="1" si="2"/>
        <v>0 anos, 0 meses e 26 dias</v>
      </c>
      <c r="J7" t="s">
        <v>79</v>
      </c>
      <c r="K7" t="s">
        <v>80</v>
      </c>
    </row>
    <row r="8" spans="1:11" x14ac:dyDescent="0.25">
      <c r="A8" t="s">
        <v>69</v>
      </c>
      <c r="B8" s="31">
        <v>44562</v>
      </c>
      <c r="C8" s="31">
        <f t="shared" ca="1" si="0"/>
        <v>46049</v>
      </c>
      <c r="D8">
        <f t="shared" ca="1" si="1"/>
        <v>4</v>
      </c>
      <c r="E8" t="str">
        <f t="shared" ca="1" si="2"/>
        <v>4 anos, 0 meses e 26 dias</v>
      </c>
      <c r="J8" t="s">
        <v>114</v>
      </c>
      <c r="K8" t="s">
        <v>115</v>
      </c>
    </row>
    <row r="9" spans="1:11" x14ac:dyDescent="0.25">
      <c r="A9" t="s">
        <v>80</v>
      </c>
      <c r="B9" s="31">
        <v>45208</v>
      </c>
      <c r="C9" s="31">
        <f t="shared" ca="1" si="0"/>
        <v>46049</v>
      </c>
      <c r="D9">
        <f t="shared" ca="1" si="1"/>
        <v>2</v>
      </c>
      <c r="E9" t="str">
        <f t="shared" ca="1" si="2"/>
        <v>2 anos, 3 meses e 18 dias</v>
      </c>
      <c r="J9" t="s">
        <v>92</v>
      </c>
      <c r="K9" t="s">
        <v>93</v>
      </c>
    </row>
    <row r="10" spans="1:11" x14ac:dyDescent="0.25">
      <c r="A10" t="s">
        <v>115</v>
      </c>
      <c r="B10" s="31">
        <v>44963</v>
      </c>
      <c r="C10" s="31">
        <f t="shared" ca="1" si="0"/>
        <v>46049</v>
      </c>
      <c r="D10">
        <f t="shared" ca="1" si="1"/>
        <v>2</v>
      </c>
      <c r="E10" t="str">
        <f t="shared" ca="1" si="2"/>
        <v>2 anos, 11 meses e 21 dias</v>
      </c>
      <c r="J10" t="s">
        <v>146</v>
      </c>
      <c r="K10" t="s">
        <v>147</v>
      </c>
    </row>
    <row r="11" spans="1:11" x14ac:dyDescent="0.25">
      <c r="A11" t="s">
        <v>93</v>
      </c>
      <c r="B11" s="31">
        <v>45600</v>
      </c>
      <c r="C11" s="31">
        <f t="shared" ca="1" si="0"/>
        <v>46049</v>
      </c>
      <c r="D11">
        <f t="shared" ca="1" si="1"/>
        <v>1</v>
      </c>
      <c r="E11" t="str">
        <f t="shared" ca="1" si="2"/>
        <v>1 anos, 2 meses e 23 dias</v>
      </c>
      <c r="J11" t="s">
        <v>90</v>
      </c>
      <c r="K11" t="s">
        <v>91</v>
      </c>
    </row>
    <row r="12" spans="1:11" x14ac:dyDescent="0.25">
      <c r="A12" t="s">
        <v>147</v>
      </c>
      <c r="B12" s="31">
        <v>45482</v>
      </c>
      <c r="C12" s="31">
        <f t="shared" ca="1" si="0"/>
        <v>46049</v>
      </c>
      <c r="D12">
        <f t="shared" ca="1" si="1"/>
        <v>1</v>
      </c>
      <c r="E12" t="str">
        <f t="shared" ca="1" si="2"/>
        <v>1 anos, 6 meses e 18 dias</v>
      </c>
      <c r="J12" t="s">
        <v>98</v>
      </c>
      <c r="K12" t="s">
        <v>99</v>
      </c>
    </row>
    <row r="13" spans="1:11" x14ac:dyDescent="0.25">
      <c r="A13" t="s">
        <v>91</v>
      </c>
      <c r="B13" s="31">
        <v>44348</v>
      </c>
      <c r="C13" s="31">
        <f t="shared" ca="1" si="0"/>
        <v>46049</v>
      </c>
      <c r="D13">
        <f t="shared" ca="1" si="1"/>
        <v>4</v>
      </c>
      <c r="E13" t="str">
        <f t="shared" ca="1" si="2"/>
        <v>4 anos, 7 meses e 26 dias</v>
      </c>
      <c r="J13" t="s">
        <v>120</v>
      </c>
      <c r="K13" t="s">
        <v>121</v>
      </c>
    </row>
    <row r="14" spans="1:11" x14ac:dyDescent="0.25">
      <c r="A14" t="s">
        <v>99</v>
      </c>
      <c r="B14" s="31">
        <v>45565</v>
      </c>
      <c r="C14" s="31">
        <f t="shared" ca="1" si="0"/>
        <v>46049</v>
      </c>
      <c r="D14">
        <f t="shared" ca="1" si="1"/>
        <v>1</v>
      </c>
      <c r="E14" t="str">
        <f t="shared" ca="1" si="2"/>
        <v>1 anos, 3 meses e 28 dias</v>
      </c>
      <c r="J14" t="s">
        <v>106</v>
      </c>
      <c r="K14" t="s">
        <v>107</v>
      </c>
    </row>
    <row r="15" spans="1:11" x14ac:dyDescent="0.25">
      <c r="A15" t="s">
        <v>107</v>
      </c>
      <c r="B15" s="31">
        <v>44781</v>
      </c>
      <c r="C15" s="31">
        <f t="shared" ca="1" si="0"/>
        <v>46049</v>
      </c>
      <c r="D15">
        <f t="shared" ca="1" si="1"/>
        <v>3</v>
      </c>
      <c r="E15" t="str">
        <f t="shared" ca="1" si="2"/>
        <v>3 anos, 5 meses e 19 dias</v>
      </c>
      <c r="J15" t="s">
        <v>45</v>
      </c>
      <c r="K15" t="s">
        <v>46</v>
      </c>
    </row>
    <row r="16" spans="1:11" x14ac:dyDescent="0.25">
      <c r="A16" t="s">
        <v>121</v>
      </c>
      <c r="B16" s="31">
        <v>45460</v>
      </c>
      <c r="C16" s="31">
        <f t="shared" ca="1" si="0"/>
        <v>46049</v>
      </c>
      <c r="D16">
        <f t="shared" ca="1" si="1"/>
        <v>1</v>
      </c>
      <c r="E16" t="str">
        <f t="shared" ca="1" si="2"/>
        <v>1 anos, 7 meses e 10 dias</v>
      </c>
      <c r="J16" t="s">
        <v>54</v>
      </c>
      <c r="K16" t="s">
        <v>55</v>
      </c>
    </row>
    <row r="17" spans="1:11" x14ac:dyDescent="0.25">
      <c r="A17" t="s">
        <v>55</v>
      </c>
      <c r="B17" s="31">
        <v>44518</v>
      </c>
      <c r="C17" s="31">
        <f t="shared" ca="1" si="0"/>
        <v>46049</v>
      </c>
      <c r="D17">
        <f t="shared" ca="1" si="1"/>
        <v>4</v>
      </c>
      <c r="E17" t="str">
        <f t="shared" ca="1" si="2"/>
        <v>4 anos, 2 meses e 9 dias</v>
      </c>
      <c r="J17" t="s">
        <v>94</v>
      </c>
      <c r="K17" t="s">
        <v>95</v>
      </c>
    </row>
    <row r="18" spans="1:11" x14ac:dyDescent="0.25">
      <c r="A18" t="s">
        <v>46</v>
      </c>
      <c r="B18" s="31">
        <v>45705</v>
      </c>
      <c r="C18" s="31">
        <f t="shared" ca="1" si="0"/>
        <v>46049</v>
      </c>
      <c r="D18">
        <f t="shared" ca="1" si="1"/>
        <v>0</v>
      </c>
      <c r="E18" t="str">
        <f t="shared" ca="1" si="2"/>
        <v>0 anos, 11 meses e 10 dias</v>
      </c>
      <c r="J18" t="s">
        <v>135</v>
      </c>
      <c r="K18" t="s">
        <v>136</v>
      </c>
    </row>
    <row r="19" spans="1:11" x14ac:dyDescent="0.25">
      <c r="A19" t="s">
        <v>95</v>
      </c>
      <c r="B19" s="31">
        <v>45411</v>
      </c>
      <c r="C19" s="31">
        <f t="shared" ca="1" si="0"/>
        <v>46049</v>
      </c>
      <c r="D19">
        <f t="shared" ca="1" si="1"/>
        <v>1</v>
      </c>
      <c r="E19" t="str">
        <f t="shared" ca="1" si="2"/>
        <v>1 anos, 8 meses e 29 dias</v>
      </c>
      <c r="J19" t="s">
        <v>137</v>
      </c>
      <c r="K19" t="s">
        <v>138</v>
      </c>
    </row>
    <row r="20" spans="1:11" x14ac:dyDescent="0.25">
      <c r="A20" t="s">
        <v>136</v>
      </c>
      <c r="B20" s="31">
        <v>45936</v>
      </c>
      <c r="C20" s="31">
        <f t="shared" ca="1" si="0"/>
        <v>46049</v>
      </c>
      <c r="D20">
        <f t="shared" ca="1" si="1"/>
        <v>0</v>
      </c>
      <c r="E20" t="str">
        <f t="shared" ca="1" si="2"/>
        <v>0 anos, 3 meses e 21 dias</v>
      </c>
      <c r="J20" t="s">
        <v>102</v>
      </c>
      <c r="K20" t="s">
        <v>103</v>
      </c>
    </row>
    <row r="21" spans="1:11" x14ac:dyDescent="0.25">
      <c r="A21" t="s">
        <v>138</v>
      </c>
      <c r="B21" s="31">
        <v>45726</v>
      </c>
      <c r="C21" s="31">
        <f t="shared" ca="1" si="0"/>
        <v>46049</v>
      </c>
      <c r="D21">
        <f t="shared" ca="1" si="1"/>
        <v>0</v>
      </c>
      <c r="E21" t="str">
        <f t="shared" ca="1" si="2"/>
        <v>0 anos, 10 meses e 17 dias</v>
      </c>
      <c r="J21" t="s">
        <v>86</v>
      </c>
      <c r="K21" t="s">
        <v>87</v>
      </c>
    </row>
    <row r="22" spans="1:11" x14ac:dyDescent="0.25">
      <c r="A22" t="s">
        <v>103</v>
      </c>
      <c r="B22" s="31">
        <v>45278</v>
      </c>
      <c r="C22" s="31">
        <f t="shared" ca="1" si="0"/>
        <v>46049</v>
      </c>
      <c r="D22">
        <f t="shared" ca="1" si="1"/>
        <v>2</v>
      </c>
      <c r="E22" t="str">
        <f t="shared" ca="1" si="2"/>
        <v>2 anos, 1 meses e 9 dias</v>
      </c>
      <c r="J22" t="s">
        <v>124</v>
      </c>
      <c r="K22" t="s">
        <v>125</v>
      </c>
    </row>
    <row r="23" spans="1:11" x14ac:dyDescent="0.25">
      <c r="A23" t="s">
        <v>87</v>
      </c>
      <c r="B23" s="31">
        <v>44593</v>
      </c>
      <c r="C23" s="31">
        <f t="shared" ca="1" si="0"/>
        <v>46049</v>
      </c>
      <c r="D23">
        <f t="shared" ca="1" si="1"/>
        <v>3</v>
      </c>
      <c r="E23" t="str">
        <f t="shared" ca="1" si="2"/>
        <v>3 anos, 11 meses e 26 dias</v>
      </c>
      <c r="J23" t="s">
        <v>63</v>
      </c>
      <c r="K23" t="s">
        <v>64</v>
      </c>
    </row>
    <row r="24" spans="1:11" x14ac:dyDescent="0.25">
      <c r="A24" t="s">
        <v>125</v>
      </c>
      <c r="B24" s="31">
        <v>45266</v>
      </c>
      <c r="C24" s="31">
        <f t="shared" ca="1" si="0"/>
        <v>46049</v>
      </c>
      <c r="D24">
        <f t="shared" ca="1" si="1"/>
        <v>2</v>
      </c>
      <c r="E24" t="str">
        <f t="shared" ca="1" si="2"/>
        <v>2 anos, 1 meses e 21 dias</v>
      </c>
      <c r="J24" t="s">
        <v>61</v>
      </c>
      <c r="K24" t="s">
        <v>62</v>
      </c>
    </row>
    <row r="25" spans="1:11" x14ac:dyDescent="0.25">
      <c r="A25" t="s">
        <v>75</v>
      </c>
      <c r="B25" s="31">
        <v>43466</v>
      </c>
      <c r="C25" s="31">
        <f t="shared" ca="1" si="0"/>
        <v>46049</v>
      </c>
      <c r="D25">
        <f t="shared" ca="1" si="1"/>
        <v>7</v>
      </c>
      <c r="E25" t="str">
        <f t="shared" ca="1" si="2"/>
        <v>7 anos, 0 meses e 26 dias</v>
      </c>
      <c r="J25" t="s">
        <v>76</v>
      </c>
      <c r="K25" t="s">
        <v>77</v>
      </c>
    </row>
    <row r="26" spans="1:11" x14ac:dyDescent="0.25">
      <c r="A26" t="s">
        <v>64</v>
      </c>
      <c r="B26" s="31">
        <v>44044</v>
      </c>
      <c r="C26" s="31">
        <f t="shared" ca="1" si="0"/>
        <v>46049</v>
      </c>
      <c r="D26">
        <f t="shared" ca="1" si="1"/>
        <v>5</v>
      </c>
      <c r="E26" t="str">
        <f t="shared" ca="1" si="2"/>
        <v>5 anos, 5 meses e 26 dias</v>
      </c>
      <c r="J26" t="s">
        <v>88</v>
      </c>
      <c r="K26" t="s">
        <v>89</v>
      </c>
    </row>
    <row r="27" spans="1:11" x14ac:dyDescent="0.25">
      <c r="A27" t="s">
        <v>62</v>
      </c>
      <c r="B27" s="31">
        <v>45868</v>
      </c>
      <c r="C27" s="31">
        <f t="shared" ca="1" si="0"/>
        <v>46049</v>
      </c>
      <c r="D27">
        <f t="shared" ca="1" si="1"/>
        <v>0</v>
      </c>
      <c r="E27" t="str">
        <f t="shared" ca="1" si="2"/>
        <v>0 anos, 5 meses e 28 dias</v>
      </c>
      <c r="J27" t="s">
        <v>116</v>
      </c>
      <c r="K27" t="s">
        <v>117</v>
      </c>
    </row>
    <row r="28" spans="1:11" x14ac:dyDescent="0.25">
      <c r="A28" t="s">
        <v>77</v>
      </c>
      <c r="B28" s="31">
        <v>45468</v>
      </c>
      <c r="C28" s="31">
        <f t="shared" ca="1" si="0"/>
        <v>46049</v>
      </c>
      <c r="D28">
        <f t="shared" ca="1" si="1"/>
        <v>1</v>
      </c>
      <c r="E28" t="str">
        <f t="shared" ca="1" si="2"/>
        <v>1 anos, 7 meses e 2 dias</v>
      </c>
      <c r="J28" t="s">
        <v>112</v>
      </c>
      <c r="K28" t="s">
        <v>113</v>
      </c>
    </row>
    <row r="29" spans="1:11" x14ac:dyDescent="0.25">
      <c r="A29" t="s">
        <v>89</v>
      </c>
      <c r="B29" s="31">
        <v>45677</v>
      </c>
      <c r="C29" s="31">
        <f t="shared" ca="1" si="0"/>
        <v>46049</v>
      </c>
      <c r="D29">
        <f t="shared" ca="1" si="1"/>
        <v>1</v>
      </c>
      <c r="E29" t="str">
        <f t="shared" ca="1" si="2"/>
        <v>1 anos, 0 meses e 7 dias</v>
      </c>
      <c r="J29" t="s">
        <v>122</v>
      </c>
      <c r="K29" t="s">
        <v>123</v>
      </c>
    </row>
    <row r="30" spans="1:11" x14ac:dyDescent="0.25">
      <c r="A30" t="s">
        <v>117</v>
      </c>
      <c r="B30" s="31">
        <v>44593</v>
      </c>
      <c r="C30" s="31">
        <f t="shared" ca="1" si="0"/>
        <v>46049</v>
      </c>
      <c r="D30">
        <f t="shared" ca="1" si="1"/>
        <v>3</v>
      </c>
      <c r="E30" t="str">
        <f t="shared" ca="1" si="2"/>
        <v>3 anos, 11 meses e 26 dias</v>
      </c>
      <c r="J30" t="s">
        <v>155</v>
      </c>
      <c r="K30" t="s">
        <v>156</v>
      </c>
    </row>
    <row r="31" spans="1:11" x14ac:dyDescent="0.25">
      <c r="A31" t="s">
        <v>113</v>
      </c>
      <c r="B31" s="31">
        <v>44348</v>
      </c>
      <c r="C31" s="31">
        <f t="shared" ca="1" si="0"/>
        <v>46049</v>
      </c>
      <c r="D31">
        <f t="shared" ca="1" si="1"/>
        <v>4</v>
      </c>
      <c r="E31" t="str">
        <f t="shared" ca="1" si="2"/>
        <v>4 anos, 7 meses e 26 dias</v>
      </c>
      <c r="J31" t="s">
        <v>59</v>
      </c>
      <c r="K31" t="s">
        <v>60</v>
      </c>
    </row>
    <row r="32" spans="1:11" x14ac:dyDescent="0.25">
      <c r="A32" t="s">
        <v>123</v>
      </c>
      <c r="B32" s="31">
        <v>44858</v>
      </c>
      <c r="C32" s="31">
        <f t="shared" ca="1" si="0"/>
        <v>46049</v>
      </c>
      <c r="D32">
        <f t="shared" ca="1" si="1"/>
        <v>3</v>
      </c>
      <c r="E32" t="str">
        <f t="shared" ca="1" si="2"/>
        <v>3 anos, 3 meses e 3 dias</v>
      </c>
      <c r="J32" t="s">
        <v>50</v>
      </c>
      <c r="K32" t="s">
        <v>51</v>
      </c>
    </row>
    <row r="33" spans="1:11" x14ac:dyDescent="0.25">
      <c r="A33" t="s">
        <v>71</v>
      </c>
      <c r="B33" s="31">
        <v>45419</v>
      </c>
      <c r="C33" s="31">
        <f t="shared" ca="1" si="0"/>
        <v>46049</v>
      </c>
      <c r="D33">
        <f t="shared" ca="1" si="1"/>
        <v>1</v>
      </c>
      <c r="E33" t="str">
        <f t="shared" ca="1" si="2"/>
        <v>1 anos, 8 meses e 20 dias</v>
      </c>
      <c r="J33" t="s">
        <v>70</v>
      </c>
      <c r="K33" t="s">
        <v>71</v>
      </c>
    </row>
    <row r="34" spans="1:11" x14ac:dyDescent="0.25">
      <c r="A34" t="s">
        <v>51</v>
      </c>
      <c r="B34" s="31">
        <v>45419</v>
      </c>
      <c r="C34" s="31">
        <f t="shared" ca="1" si="0"/>
        <v>46049</v>
      </c>
      <c r="D34">
        <f t="shared" ca="1" si="1"/>
        <v>1</v>
      </c>
      <c r="E34" t="str">
        <f t="shared" ca="1" si="2"/>
        <v>1 anos, 8 meses e 20 dias</v>
      </c>
      <c r="J34" t="s">
        <v>72</v>
      </c>
      <c r="K34" t="s">
        <v>73</v>
      </c>
    </row>
    <row r="35" spans="1:11" x14ac:dyDescent="0.25">
      <c r="A35" t="s">
        <v>73</v>
      </c>
      <c r="B35" s="31">
        <v>43617</v>
      </c>
      <c r="C35" s="31">
        <f t="shared" ca="1" si="0"/>
        <v>46049</v>
      </c>
      <c r="D35">
        <f t="shared" ca="1" si="1"/>
        <v>6</v>
      </c>
      <c r="E35" t="str">
        <f t="shared" ca="1" si="2"/>
        <v>6 anos, 7 meses e 26 dias</v>
      </c>
      <c r="J35" t="s">
        <v>133</v>
      </c>
      <c r="K35" t="s">
        <v>134</v>
      </c>
    </row>
    <row r="36" spans="1:11" x14ac:dyDescent="0.25">
      <c r="A36" t="s">
        <v>134</v>
      </c>
      <c r="B36" s="31">
        <v>45600</v>
      </c>
      <c r="C36" s="31">
        <f t="shared" ca="1" si="0"/>
        <v>46049</v>
      </c>
      <c r="D36">
        <f t="shared" ca="1" si="1"/>
        <v>1</v>
      </c>
      <c r="E36" t="str">
        <f t="shared" ca="1" si="2"/>
        <v>1 anos, 2 meses e 23 dias</v>
      </c>
      <c r="J36" t="s">
        <v>126</v>
      </c>
      <c r="K36" t="s">
        <v>127</v>
      </c>
    </row>
    <row r="37" spans="1:11" x14ac:dyDescent="0.25">
      <c r="A37" t="s">
        <v>119</v>
      </c>
      <c r="B37" s="31">
        <v>44747</v>
      </c>
      <c r="C37" s="31">
        <f t="shared" ca="1" si="0"/>
        <v>46049</v>
      </c>
      <c r="D37">
        <f t="shared" ca="1" si="1"/>
        <v>3</v>
      </c>
      <c r="E37" t="str">
        <f t="shared" ca="1" si="2"/>
        <v>3 anos, 6 meses e 22 dias</v>
      </c>
      <c r="J37" t="s">
        <v>118</v>
      </c>
      <c r="K37" t="s">
        <v>119</v>
      </c>
    </row>
    <row r="38" spans="1:11" x14ac:dyDescent="0.25">
      <c r="A38" t="s">
        <v>58</v>
      </c>
      <c r="B38" s="31">
        <v>45426</v>
      </c>
      <c r="C38" s="31">
        <f t="shared" ca="1" si="0"/>
        <v>46049</v>
      </c>
      <c r="D38">
        <f t="shared" ca="1" si="1"/>
        <v>1</v>
      </c>
      <c r="E38" t="str">
        <f t="shared" ca="1" si="2"/>
        <v>1 anos, 8 meses e 13 dias</v>
      </c>
      <c r="J38" t="s">
        <v>57</v>
      </c>
      <c r="K38" t="s">
        <v>58</v>
      </c>
    </row>
    <row r="39" spans="1:11" x14ac:dyDescent="0.25">
      <c r="A39" t="s">
        <v>97</v>
      </c>
      <c r="B39" s="31">
        <v>44362</v>
      </c>
      <c r="C39" s="31">
        <f t="shared" ca="1" si="0"/>
        <v>46049</v>
      </c>
      <c r="D39">
        <f t="shared" ca="1" si="1"/>
        <v>4</v>
      </c>
      <c r="E39" t="str">
        <f t="shared" ca="1" si="2"/>
        <v>4 anos, 7 meses e 12 dias</v>
      </c>
      <c r="J39" t="s">
        <v>157</v>
      </c>
      <c r="K39" t="s">
        <v>158</v>
      </c>
    </row>
    <row r="40" spans="1:11" x14ac:dyDescent="0.25">
      <c r="A40" t="s">
        <v>127</v>
      </c>
      <c r="C40" s="31"/>
      <c r="J40" t="s">
        <v>96</v>
      </c>
      <c r="K40" t="s">
        <v>97</v>
      </c>
    </row>
    <row r="41" spans="1:11" x14ac:dyDescent="0.25">
      <c r="C41" s="3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645C-CEC8-41D6-BE1A-E7922A878877}">
  <dimension ref="A1:E295"/>
  <sheetViews>
    <sheetView workbookViewId="0">
      <selection activeCell="C15" sqref="C15"/>
    </sheetView>
  </sheetViews>
  <sheetFormatPr defaultRowHeight="15" x14ac:dyDescent="0.25"/>
  <cols>
    <col min="1" max="1" width="13.5703125" style="31" bestFit="1" customWidth="1"/>
    <col min="2" max="2" width="20.85546875" bestFit="1" customWidth="1"/>
    <col min="3" max="3" width="14.85546875" bestFit="1" customWidth="1"/>
    <col min="4" max="4" width="18.7109375" style="30" bestFit="1" customWidth="1"/>
    <col min="5" max="5" width="10.42578125" style="31" bestFit="1" customWidth="1"/>
  </cols>
  <sheetData>
    <row r="1" spans="1:5" x14ac:dyDescent="0.25">
      <c r="A1" s="31" t="s">
        <v>218</v>
      </c>
      <c r="B1" t="s">
        <v>219</v>
      </c>
      <c r="C1" t="s">
        <v>40</v>
      </c>
      <c r="D1" s="30" t="s">
        <v>220</v>
      </c>
      <c r="E1" s="31" t="s">
        <v>221</v>
      </c>
    </row>
    <row r="2" spans="1:5" x14ac:dyDescent="0.25">
      <c r="A2" s="31" t="s">
        <v>153</v>
      </c>
      <c r="B2" t="s">
        <v>154</v>
      </c>
      <c r="C2" t="s">
        <v>67</v>
      </c>
      <c r="D2" s="30">
        <v>33183.631200000193</v>
      </c>
      <c r="E2" s="31">
        <v>45658</v>
      </c>
    </row>
    <row r="3" spans="1:5" x14ac:dyDescent="0.25">
      <c r="A3" s="31" t="s">
        <v>201</v>
      </c>
      <c r="B3" t="s">
        <v>222</v>
      </c>
      <c r="C3" t="s">
        <v>67</v>
      </c>
      <c r="D3" s="30">
        <v>-52.980000000000004</v>
      </c>
      <c r="E3" s="31">
        <v>45658</v>
      </c>
    </row>
    <row r="4" spans="1:5" x14ac:dyDescent="0.25">
      <c r="A4" s="31" t="s">
        <v>202</v>
      </c>
      <c r="B4" t="s">
        <v>223</v>
      </c>
      <c r="C4" t="s">
        <v>224</v>
      </c>
      <c r="D4" s="30">
        <v>1396430.96</v>
      </c>
      <c r="E4" s="31">
        <v>45658</v>
      </c>
    </row>
    <row r="5" spans="1:5" x14ac:dyDescent="0.25">
      <c r="A5" s="31" t="s">
        <v>65</v>
      </c>
      <c r="B5" t="s">
        <v>66</v>
      </c>
      <c r="C5" t="s">
        <v>67</v>
      </c>
      <c r="D5" s="30">
        <v>-2092748.6399999992</v>
      </c>
      <c r="E5" s="31">
        <v>45658</v>
      </c>
    </row>
    <row r="6" spans="1:5" x14ac:dyDescent="0.25">
      <c r="A6" s="31" t="s">
        <v>195</v>
      </c>
      <c r="B6" t="s">
        <v>225</v>
      </c>
      <c r="C6" t="s">
        <v>226</v>
      </c>
      <c r="D6" s="30">
        <v>44471.710000000006</v>
      </c>
      <c r="E6" s="31">
        <v>45658</v>
      </c>
    </row>
    <row r="7" spans="1:5" x14ac:dyDescent="0.25">
      <c r="A7" s="31" t="s">
        <v>72</v>
      </c>
      <c r="B7" t="s">
        <v>73</v>
      </c>
      <c r="C7" t="s">
        <v>227</v>
      </c>
      <c r="D7" s="30">
        <v>-3491503.3756120009</v>
      </c>
      <c r="E7" s="31">
        <v>45658</v>
      </c>
    </row>
    <row r="8" spans="1:5" x14ac:dyDescent="0.25">
      <c r="A8" s="31" t="s">
        <v>120</v>
      </c>
      <c r="B8" t="s">
        <v>121</v>
      </c>
      <c r="C8" t="s">
        <v>227</v>
      </c>
      <c r="D8" s="30">
        <v>-583479.30000000005</v>
      </c>
      <c r="E8" s="31">
        <v>45658</v>
      </c>
    </row>
    <row r="9" spans="1:5" x14ac:dyDescent="0.25">
      <c r="A9" s="31" t="s">
        <v>63</v>
      </c>
      <c r="B9" t="s">
        <v>64</v>
      </c>
      <c r="C9" t="s">
        <v>227</v>
      </c>
      <c r="D9" s="30">
        <v>-5468651.0946690021</v>
      </c>
      <c r="E9" s="31">
        <v>45658</v>
      </c>
    </row>
    <row r="10" spans="1:5" x14ac:dyDescent="0.25">
      <c r="A10" s="31" t="s">
        <v>84</v>
      </c>
      <c r="B10" t="s">
        <v>85</v>
      </c>
      <c r="C10" t="s">
        <v>67</v>
      </c>
      <c r="D10" s="30">
        <v>56560.960000000006</v>
      </c>
      <c r="E10" s="31">
        <v>45658</v>
      </c>
    </row>
    <row r="11" spans="1:5" x14ac:dyDescent="0.25">
      <c r="A11" s="31" t="s">
        <v>82</v>
      </c>
      <c r="B11" t="s">
        <v>83</v>
      </c>
      <c r="C11" t="s">
        <v>228</v>
      </c>
      <c r="D11" s="30">
        <v>296455.47000000038</v>
      </c>
      <c r="E11" s="31">
        <v>45658</v>
      </c>
    </row>
    <row r="12" spans="1:5" x14ac:dyDescent="0.25">
      <c r="A12" s="31" t="s">
        <v>68</v>
      </c>
      <c r="B12" t="s">
        <v>69</v>
      </c>
      <c r="C12" t="s">
        <v>229</v>
      </c>
      <c r="D12" s="30">
        <v>-4747082.3900000006</v>
      </c>
      <c r="E12" s="31">
        <v>45658</v>
      </c>
    </row>
    <row r="13" spans="1:5" x14ac:dyDescent="0.25">
      <c r="A13" s="31" t="s">
        <v>116</v>
      </c>
      <c r="B13" t="s">
        <v>117</v>
      </c>
      <c r="C13" t="s">
        <v>143</v>
      </c>
      <c r="D13" s="30">
        <v>885332.18999999983</v>
      </c>
      <c r="E13" s="31">
        <v>45658</v>
      </c>
    </row>
    <row r="14" spans="1:5" x14ac:dyDescent="0.25">
      <c r="A14" s="31" t="s">
        <v>59</v>
      </c>
      <c r="B14" t="s">
        <v>60</v>
      </c>
      <c r="C14" t="s">
        <v>143</v>
      </c>
      <c r="D14" s="30">
        <v>-690909.91000000027</v>
      </c>
      <c r="E14" s="31">
        <v>45658</v>
      </c>
    </row>
    <row r="15" spans="1:5" x14ac:dyDescent="0.25">
      <c r="A15" s="31" t="s">
        <v>146</v>
      </c>
      <c r="B15" t="s">
        <v>147</v>
      </c>
      <c r="C15" t="s">
        <v>226</v>
      </c>
      <c r="D15" s="30">
        <v>-7981673.209999999</v>
      </c>
      <c r="E15" s="31">
        <v>45658</v>
      </c>
    </row>
    <row r="16" spans="1:5" x14ac:dyDescent="0.25">
      <c r="A16" s="31" t="s">
        <v>57</v>
      </c>
      <c r="B16" t="s">
        <v>58</v>
      </c>
      <c r="C16" t="s">
        <v>230</v>
      </c>
      <c r="D16" s="30">
        <v>127043.75999999998</v>
      </c>
      <c r="E16" s="31">
        <v>45658</v>
      </c>
    </row>
    <row r="17" spans="1:5" x14ac:dyDescent="0.25">
      <c r="A17" s="31" t="s">
        <v>183</v>
      </c>
      <c r="B17" t="s">
        <v>231</v>
      </c>
      <c r="C17" t="s">
        <v>230</v>
      </c>
      <c r="D17" s="30">
        <v>-282074.34999999998</v>
      </c>
      <c r="E17" s="31">
        <v>45658</v>
      </c>
    </row>
    <row r="18" spans="1:5" x14ac:dyDescent="0.25">
      <c r="A18" s="31" t="s">
        <v>106</v>
      </c>
      <c r="B18" t="s">
        <v>107</v>
      </c>
      <c r="C18" t="s">
        <v>143</v>
      </c>
      <c r="D18" s="30">
        <v>342714.7699999999</v>
      </c>
      <c r="E18" s="31">
        <v>45658</v>
      </c>
    </row>
    <row r="19" spans="1:5" x14ac:dyDescent="0.25">
      <c r="A19" s="31" t="s">
        <v>122</v>
      </c>
      <c r="B19" t="s">
        <v>123</v>
      </c>
      <c r="C19" t="s">
        <v>152</v>
      </c>
      <c r="D19" s="30">
        <v>2139588.87</v>
      </c>
      <c r="E19" s="31">
        <v>45658</v>
      </c>
    </row>
    <row r="20" spans="1:5" x14ac:dyDescent="0.25">
      <c r="A20" s="31" t="s">
        <v>148</v>
      </c>
      <c r="B20" t="s">
        <v>149</v>
      </c>
      <c r="C20" t="s">
        <v>226</v>
      </c>
      <c r="D20" s="30">
        <v>1178160.94</v>
      </c>
      <c r="E20" s="31">
        <v>45658</v>
      </c>
    </row>
    <row r="21" spans="1:5" x14ac:dyDescent="0.25">
      <c r="A21" s="31" t="s">
        <v>193</v>
      </c>
      <c r="B21" t="s">
        <v>232</v>
      </c>
      <c r="C21" t="s">
        <v>230</v>
      </c>
      <c r="D21" s="30">
        <v>328395.15999999992</v>
      </c>
      <c r="E21" s="31">
        <v>45658</v>
      </c>
    </row>
    <row r="22" spans="1:5" x14ac:dyDescent="0.25">
      <c r="A22" s="31" t="s">
        <v>188</v>
      </c>
      <c r="B22" t="s">
        <v>233</v>
      </c>
      <c r="C22" t="s">
        <v>226</v>
      </c>
      <c r="D22" s="30">
        <v>1004627.0416499999</v>
      </c>
      <c r="E22" s="31">
        <v>45658</v>
      </c>
    </row>
    <row r="23" spans="1:5" x14ac:dyDescent="0.25">
      <c r="A23" s="31" t="s">
        <v>190</v>
      </c>
      <c r="B23" t="s">
        <v>234</v>
      </c>
      <c r="C23" t="s">
        <v>235</v>
      </c>
      <c r="D23" s="30">
        <v>367185.28010199999</v>
      </c>
      <c r="E23" s="31">
        <v>45658</v>
      </c>
    </row>
    <row r="24" spans="1:5" x14ac:dyDescent="0.25">
      <c r="A24" s="31" t="s">
        <v>79</v>
      </c>
      <c r="B24" t="s">
        <v>80</v>
      </c>
      <c r="C24" t="s">
        <v>81</v>
      </c>
      <c r="D24" s="30">
        <v>-241040.77999999997</v>
      </c>
      <c r="E24" s="31">
        <v>45658</v>
      </c>
    </row>
    <row r="25" spans="1:5" x14ac:dyDescent="0.25">
      <c r="A25" s="31" t="s">
        <v>199</v>
      </c>
      <c r="B25" t="s">
        <v>236</v>
      </c>
      <c r="C25" t="s">
        <v>235</v>
      </c>
      <c r="D25" s="30">
        <v>-1711591.9030560001</v>
      </c>
      <c r="E25" s="31">
        <v>45658</v>
      </c>
    </row>
    <row r="26" spans="1:5" x14ac:dyDescent="0.25">
      <c r="A26" s="31" t="s">
        <v>94</v>
      </c>
      <c r="B26" t="s">
        <v>95</v>
      </c>
      <c r="C26" t="s">
        <v>152</v>
      </c>
      <c r="D26" s="30">
        <v>-1211704.9867480001</v>
      </c>
      <c r="E26" s="31">
        <v>45658</v>
      </c>
    </row>
    <row r="27" spans="1:5" x14ac:dyDescent="0.25">
      <c r="A27" s="31" t="s">
        <v>76</v>
      </c>
      <c r="B27" t="s">
        <v>77</v>
      </c>
      <c r="C27" t="s">
        <v>152</v>
      </c>
      <c r="D27" s="30">
        <v>-124455.71928099997</v>
      </c>
      <c r="E27" s="31">
        <v>45658</v>
      </c>
    </row>
    <row r="28" spans="1:5" x14ac:dyDescent="0.25">
      <c r="A28" s="31" t="s">
        <v>124</v>
      </c>
      <c r="B28" t="s">
        <v>125</v>
      </c>
      <c r="C28" t="s">
        <v>152</v>
      </c>
      <c r="D28" s="30">
        <v>91483.959125000023</v>
      </c>
      <c r="E28" s="31">
        <v>45658</v>
      </c>
    </row>
    <row r="29" spans="1:5" x14ac:dyDescent="0.25">
      <c r="A29" s="31" t="s">
        <v>157</v>
      </c>
      <c r="B29" t="s">
        <v>158</v>
      </c>
      <c r="C29" t="s">
        <v>152</v>
      </c>
      <c r="D29" s="30">
        <v>-3600</v>
      </c>
      <c r="E29" s="31">
        <v>45658</v>
      </c>
    </row>
    <row r="30" spans="1:5" x14ac:dyDescent="0.25">
      <c r="A30" s="31" t="s">
        <v>191</v>
      </c>
      <c r="B30" t="s">
        <v>237</v>
      </c>
      <c r="C30" t="s">
        <v>152</v>
      </c>
      <c r="D30" s="30">
        <v>-105165.15999999999</v>
      </c>
      <c r="E30" s="31">
        <v>45658</v>
      </c>
    </row>
    <row r="31" spans="1:5" x14ac:dyDescent="0.25">
      <c r="A31" s="31" t="s">
        <v>100</v>
      </c>
      <c r="B31" t="s">
        <v>238</v>
      </c>
      <c r="C31" t="s">
        <v>152</v>
      </c>
      <c r="D31" s="30">
        <v>470160.12000000005</v>
      </c>
      <c r="E31" s="31">
        <v>45658</v>
      </c>
    </row>
    <row r="32" spans="1:5" x14ac:dyDescent="0.25">
      <c r="A32" s="31" t="s">
        <v>114</v>
      </c>
      <c r="B32" t="s">
        <v>115</v>
      </c>
      <c r="C32" t="s">
        <v>224</v>
      </c>
      <c r="D32" s="30">
        <v>3838984.0700000003</v>
      </c>
      <c r="E32" s="31">
        <v>45658</v>
      </c>
    </row>
    <row r="33" spans="1:5" x14ac:dyDescent="0.25">
      <c r="A33" s="31" t="s">
        <v>189</v>
      </c>
      <c r="B33" t="s">
        <v>239</v>
      </c>
      <c r="C33" t="s">
        <v>152</v>
      </c>
      <c r="D33" s="30">
        <v>-5301.3624000000027</v>
      </c>
      <c r="E33" s="31">
        <v>45658</v>
      </c>
    </row>
    <row r="34" spans="1:5" x14ac:dyDescent="0.25">
      <c r="A34" s="31" t="s">
        <v>70</v>
      </c>
      <c r="B34" t="s">
        <v>71</v>
      </c>
      <c r="C34" t="s">
        <v>152</v>
      </c>
      <c r="D34" s="30">
        <v>-269887.89</v>
      </c>
      <c r="E34" s="31">
        <v>45658</v>
      </c>
    </row>
    <row r="35" spans="1:5" x14ac:dyDescent="0.25">
      <c r="A35" s="31" t="s">
        <v>98</v>
      </c>
      <c r="B35" t="s">
        <v>99</v>
      </c>
      <c r="C35" t="s">
        <v>81</v>
      </c>
      <c r="D35" s="30">
        <v>881148.99</v>
      </c>
      <c r="E35" s="31">
        <v>45658</v>
      </c>
    </row>
    <row r="36" spans="1:5" x14ac:dyDescent="0.25">
      <c r="A36" s="31" t="s">
        <v>133</v>
      </c>
      <c r="B36" t="s">
        <v>240</v>
      </c>
      <c r="C36" t="s">
        <v>241</v>
      </c>
      <c r="D36" s="30">
        <v>2341152.2799999998</v>
      </c>
      <c r="E36" s="31">
        <v>45658</v>
      </c>
    </row>
    <row r="37" spans="1:5" x14ac:dyDescent="0.25">
      <c r="A37" s="31" t="s">
        <v>131</v>
      </c>
      <c r="B37" t="s">
        <v>132</v>
      </c>
      <c r="C37" t="s">
        <v>67</v>
      </c>
      <c r="D37" s="30">
        <v>2106</v>
      </c>
      <c r="E37" s="31">
        <v>45658</v>
      </c>
    </row>
    <row r="38" spans="1:5" x14ac:dyDescent="0.25">
      <c r="A38" s="31" t="s">
        <v>74</v>
      </c>
      <c r="B38" t="s">
        <v>75</v>
      </c>
      <c r="C38" t="s">
        <v>67</v>
      </c>
      <c r="D38" s="30">
        <v>-772123.29</v>
      </c>
      <c r="E38" s="31">
        <v>45658</v>
      </c>
    </row>
    <row r="39" spans="1:5" x14ac:dyDescent="0.25">
      <c r="A39" s="31" t="s">
        <v>198</v>
      </c>
      <c r="B39" t="s">
        <v>242</v>
      </c>
      <c r="C39" t="s">
        <v>226</v>
      </c>
      <c r="D39" s="30">
        <v>190317.38999999998</v>
      </c>
      <c r="E39" s="31">
        <v>45658</v>
      </c>
    </row>
    <row r="40" spans="1:5" x14ac:dyDescent="0.25">
      <c r="A40" s="31" t="s">
        <v>192</v>
      </c>
      <c r="B40" t="s">
        <v>243</v>
      </c>
      <c r="C40" t="s">
        <v>230</v>
      </c>
      <c r="D40" s="30">
        <v>-178473.55000000002</v>
      </c>
      <c r="E40" s="31">
        <v>45658</v>
      </c>
    </row>
    <row r="41" spans="1:5" x14ac:dyDescent="0.25">
      <c r="A41" s="31" t="s">
        <v>200</v>
      </c>
      <c r="B41" t="s">
        <v>244</v>
      </c>
      <c r="C41" t="s">
        <v>230</v>
      </c>
      <c r="D41" s="30">
        <v>34466.791800000021</v>
      </c>
      <c r="E41" s="31">
        <v>45658</v>
      </c>
    </row>
    <row r="42" spans="1:5" x14ac:dyDescent="0.25">
      <c r="A42" s="31" t="s">
        <v>96</v>
      </c>
      <c r="B42" t="s">
        <v>97</v>
      </c>
      <c r="C42" t="s">
        <v>81</v>
      </c>
      <c r="D42" s="30">
        <v>170372.12000000011</v>
      </c>
      <c r="E42" s="31">
        <v>45658</v>
      </c>
    </row>
    <row r="43" spans="1:5" x14ac:dyDescent="0.25">
      <c r="A43" s="31" t="s">
        <v>90</v>
      </c>
      <c r="B43" t="s">
        <v>91</v>
      </c>
      <c r="C43" t="s">
        <v>81</v>
      </c>
      <c r="D43" s="30">
        <v>-186891.24</v>
      </c>
      <c r="E43" s="31">
        <v>45658</v>
      </c>
    </row>
    <row r="44" spans="1:5" x14ac:dyDescent="0.25">
      <c r="A44" s="31" t="s">
        <v>112</v>
      </c>
      <c r="B44" t="s">
        <v>113</v>
      </c>
      <c r="C44" t="s">
        <v>81</v>
      </c>
      <c r="D44" s="30">
        <v>-3156862.0799999996</v>
      </c>
      <c r="E44" s="31">
        <v>45658</v>
      </c>
    </row>
    <row r="45" spans="1:5" x14ac:dyDescent="0.25">
      <c r="A45" s="31" t="s">
        <v>102</v>
      </c>
      <c r="B45" t="s">
        <v>103</v>
      </c>
      <c r="C45" t="s">
        <v>152</v>
      </c>
      <c r="D45" s="30">
        <v>53934.789999999986</v>
      </c>
      <c r="E45" s="31">
        <v>45658</v>
      </c>
    </row>
    <row r="46" spans="1:5" x14ac:dyDescent="0.25">
      <c r="A46" s="31" t="s">
        <v>196</v>
      </c>
      <c r="B46" t="s">
        <v>245</v>
      </c>
      <c r="C46" t="s">
        <v>143</v>
      </c>
      <c r="D46" s="30">
        <v>-5813.11</v>
      </c>
      <c r="E46" s="31">
        <v>45658</v>
      </c>
    </row>
    <row r="47" spans="1:5" x14ac:dyDescent="0.25">
      <c r="A47" s="31" t="s">
        <v>194</v>
      </c>
      <c r="B47" t="s">
        <v>246</v>
      </c>
      <c r="C47" t="s">
        <v>230</v>
      </c>
      <c r="D47" s="30">
        <v>-85131.059999999881</v>
      </c>
      <c r="E47" s="31">
        <v>45658</v>
      </c>
    </row>
    <row r="48" spans="1:5" x14ac:dyDescent="0.25">
      <c r="A48" s="31" t="s">
        <v>54</v>
      </c>
      <c r="B48" t="s">
        <v>55</v>
      </c>
      <c r="C48" t="s">
        <v>227</v>
      </c>
      <c r="D48" s="30">
        <v>504972.06029900012</v>
      </c>
      <c r="E48" s="31">
        <v>45658</v>
      </c>
    </row>
    <row r="49" spans="1:5" x14ac:dyDescent="0.25">
      <c r="A49" s="31" t="s">
        <v>118</v>
      </c>
      <c r="B49" t="s">
        <v>119</v>
      </c>
      <c r="C49" t="s">
        <v>143</v>
      </c>
      <c r="D49" s="30">
        <v>-612654.61000000022</v>
      </c>
      <c r="E49" s="31">
        <v>45658</v>
      </c>
    </row>
    <row r="50" spans="1:5" x14ac:dyDescent="0.25">
      <c r="A50" s="31" t="s">
        <v>86</v>
      </c>
      <c r="B50" t="s">
        <v>87</v>
      </c>
      <c r="C50" t="s">
        <v>152</v>
      </c>
      <c r="D50" s="30">
        <v>-2971413.4699500003</v>
      </c>
      <c r="E50" s="31">
        <v>45658</v>
      </c>
    </row>
    <row r="51" spans="1:5" x14ac:dyDescent="0.25">
      <c r="A51" s="31" t="s">
        <v>203</v>
      </c>
      <c r="B51" t="s">
        <v>247</v>
      </c>
      <c r="C51" t="s">
        <v>247</v>
      </c>
      <c r="D51" s="30">
        <v>24650.22</v>
      </c>
      <c r="E51" s="31">
        <v>45658</v>
      </c>
    </row>
    <row r="52" spans="1:5" x14ac:dyDescent="0.25">
      <c r="A52" s="31" t="s">
        <v>197</v>
      </c>
      <c r="B52" t="s">
        <v>248</v>
      </c>
      <c r="C52" t="s">
        <v>224</v>
      </c>
      <c r="D52" s="30">
        <v>-1212659.7000000002</v>
      </c>
      <c r="E52" s="31">
        <v>45658</v>
      </c>
    </row>
    <row r="53" spans="1:5" x14ac:dyDescent="0.25">
      <c r="A53" s="31" t="s">
        <v>65</v>
      </c>
      <c r="B53" t="s">
        <v>66</v>
      </c>
      <c r="C53" t="s">
        <v>67</v>
      </c>
      <c r="D53" s="30">
        <v>-2613647.8289999994</v>
      </c>
      <c r="E53" s="31">
        <v>45689</v>
      </c>
    </row>
    <row r="54" spans="1:5" x14ac:dyDescent="0.25">
      <c r="A54" s="31" t="s">
        <v>195</v>
      </c>
      <c r="B54" t="s">
        <v>225</v>
      </c>
      <c r="C54" t="s">
        <v>226</v>
      </c>
      <c r="D54" s="30">
        <v>-284180.68</v>
      </c>
      <c r="E54" s="31">
        <v>45689</v>
      </c>
    </row>
    <row r="55" spans="1:5" x14ac:dyDescent="0.25">
      <c r="A55" s="31" t="s">
        <v>72</v>
      </c>
      <c r="B55" t="s">
        <v>73</v>
      </c>
      <c r="C55" t="s">
        <v>227</v>
      </c>
      <c r="D55" s="30">
        <v>639301.57051800028</v>
      </c>
      <c r="E55" s="31">
        <v>45689</v>
      </c>
    </row>
    <row r="56" spans="1:5" x14ac:dyDescent="0.25">
      <c r="A56" s="31" t="s">
        <v>120</v>
      </c>
      <c r="B56" t="s">
        <v>121</v>
      </c>
      <c r="C56" t="s">
        <v>227</v>
      </c>
      <c r="D56" s="30">
        <v>-386759.62999999995</v>
      </c>
      <c r="E56" s="31">
        <v>45689</v>
      </c>
    </row>
    <row r="57" spans="1:5" x14ac:dyDescent="0.25">
      <c r="A57" s="31" t="s">
        <v>63</v>
      </c>
      <c r="B57" t="s">
        <v>64</v>
      </c>
      <c r="C57" t="s">
        <v>227</v>
      </c>
      <c r="D57" s="30">
        <v>-4923104.6318000015</v>
      </c>
      <c r="E57" s="31">
        <v>45689</v>
      </c>
    </row>
    <row r="58" spans="1:5" x14ac:dyDescent="0.25">
      <c r="A58" s="31" t="s">
        <v>84</v>
      </c>
      <c r="B58" t="s">
        <v>85</v>
      </c>
      <c r="C58" t="s">
        <v>67</v>
      </c>
      <c r="D58" s="30">
        <v>242194.63999999996</v>
      </c>
      <c r="E58" s="31">
        <v>45689</v>
      </c>
    </row>
    <row r="59" spans="1:5" x14ac:dyDescent="0.25">
      <c r="A59" s="31" t="s">
        <v>108</v>
      </c>
      <c r="B59" t="s">
        <v>249</v>
      </c>
      <c r="C59" t="s">
        <v>227</v>
      </c>
      <c r="D59" s="30">
        <v>15147</v>
      </c>
      <c r="E59" s="31">
        <v>45689</v>
      </c>
    </row>
    <row r="60" spans="1:5" x14ac:dyDescent="0.25">
      <c r="A60" s="31" t="s">
        <v>82</v>
      </c>
      <c r="B60" t="s">
        <v>83</v>
      </c>
      <c r="C60" t="s">
        <v>228</v>
      </c>
      <c r="D60" s="30">
        <v>1207859.29</v>
      </c>
      <c r="E60" s="31">
        <v>45689</v>
      </c>
    </row>
    <row r="61" spans="1:5" x14ac:dyDescent="0.25">
      <c r="A61" s="31" t="s">
        <v>68</v>
      </c>
      <c r="B61" t="s">
        <v>69</v>
      </c>
      <c r="C61" t="s">
        <v>229</v>
      </c>
      <c r="D61" s="30">
        <v>3474539.8699999992</v>
      </c>
      <c r="E61" s="31">
        <v>45689</v>
      </c>
    </row>
    <row r="62" spans="1:5" x14ac:dyDescent="0.25">
      <c r="A62" s="31" t="s">
        <v>116</v>
      </c>
      <c r="B62" t="s">
        <v>117</v>
      </c>
      <c r="C62" t="s">
        <v>143</v>
      </c>
      <c r="D62" s="30">
        <v>-503465.51</v>
      </c>
      <c r="E62" s="31">
        <v>45689</v>
      </c>
    </row>
    <row r="63" spans="1:5" x14ac:dyDescent="0.25">
      <c r="A63" s="31" t="s">
        <v>59</v>
      </c>
      <c r="B63" t="s">
        <v>60</v>
      </c>
      <c r="C63" t="s">
        <v>143</v>
      </c>
      <c r="D63" s="30">
        <v>-128076.71999999994</v>
      </c>
      <c r="E63" s="31">
        <v>45689</v>
      </c>
    </row>
    <row r="64" spans="1:5" x14ac:dyDescent="0.25">
      <c r="A64" s="31" t="s">
        <v>150</v>
      </c>
      <c r="B64" t="s">
        <v>151</v>
      </c>
      <c r="C64" t="s">
        <v>152</v>
      </c>
      <c r="D64" s="30">
        <v>-232665.45</v>
      </c>
      <c r="E64" s="31">
        <v>45689</v>
      </c>
    </row>
    <row r="65" spans="1:5" x14ac:dyDescent="0.25">
      <c r="A65" s="31" t="s">
        <v>146</v>
      </c>
      <c r="B65" t="s">
        <v>147</v>
      </c>
      <c r="C65" t="s">
        <v>226</v>
      </c>
      <c r="D65" s="30">
        <v>596729.99</v>
      </c>
      <c r="E65" s="31">
        <v>45689</v>
      </c>
    </row>
    <row r="66" spans="1:5" x14ac:dyDescent="0.25">
      <c r="A66" s="31" t="s">
        <v>57</v>
      </c>
      <c r="B66" t="s">
        <v>58</v>
      </c>
      <c r="C66" t="s">
        <v>230</v>
      </c>
      <c r="D66" s="30">
        <v>-421282.55999999988</v>
      </c>
      <c r="E66" s="31">
        <v>45689</v>
      </c>
    </row>
    <row r="67" spans="1:5" x14ac:dyDescent="0.25">
      <c r="A67" s="31" t="s">
        <v>183</v>
      </c>
      <c r="B67" t="s">
        <v>231</v>
      </c>
      <c r="C67" t="s">
        <v>230</v>
      </c>
      <c r="D67" s="30">
        <v>-327815.55999999988</v>
      </c>
      <c r="E67" s="31">
        <v>45689</v>
      </c>
    </row>
    <row r="68" spans="1:5" x14ac:dyDescent="0.25">
      <c r="A68" s="31" t="s">
        <v>106</v>
      </c>
      <c r="B68" t="s">
        <v>107</v>
      </c>
      <c r="C68" t="s">
        <v>143</v>
      </c>
      <c r="D68" s="30">
        <v>211275.51000000007</v>
      </c>
      <c r="E68" s="31">
        <v>45689</v>
      </c>
    </row>
    <row r="69" spans="1:5" x14ac:dyDescent="0.25">
      <c r="A69" s="31" t="s">
        <v>122</v>
      </c>
      <c r="B69" t="s">
        <v>123</v>
      </c>
      <c r="C69" t="s">
        <v>152</v>
      </c>
      <c r="D69" s="30">
        <v>1817318.33</v>
      </c>
      <c r="E69" s="31">
        <v>45689</v>
      </c>
    </row>
    <row r="70" spans="1:5" x14ac:dyDescent="0.25">
      <c r="A70" s="31" t="s">
        <v>148</v>
      </c>
      <c r="B70" t="s">
        <v>149</v>
      </c>
      <c r="C70" t="s">
        <v>226</v>
      </c>
      <c r="D70" s="30">
        <v>143859.75</v>
      </c>
      <c r="E70" s="31">
        <v>45689</v>
      </c>
    </row>
    <row r="71" spans="1:5" x14ac:dyDescent="0.25">
      <c r="A71" s="31" t="s">
        <v>193</v>
      </c>
      <c r="B71" t="s">
        <v>232</v>
      </c>
      <c r="C71" t="s">
        <v>230</v>
      </c>
      <c r="D71" s="30">
        <v>-235360.58000000002</v>
      </c>
      <c r="E71" s="31">
        <v>45689</v>
      </c>
    </row>
    <row r="72" spans="1:5" x14ac:dyDescent="0.25">
      <c r="A72" s="31" t="s">
        <v>188</v>
      </c>
      <c r="B72" t="s">
        <v>233</v>
      </c>
      <c r="C72" t="s">
        <v>226</v>
      </c>
      <c r="D72" s="30">
        <v>-164465.44520000007</v>
      </c>
      <c r="E72" s="31">
        <v>45689</v>
      </c>
    </row>
    <row r="73" spans="1:5" x14ac:dyDescent="0.25">
      <c r="A73" s="31" t="s">
        <v>190</v>
      </c>
      <c r="B73" t="s">
        <v>234</v>
      </c>
      <c r="C73" t="s">
        <v>235</v>
      </c>
      <c r="D73" s="30">
        <v>-224042.03993499995</v>
      </c>
      <c r="E73" s="31">
        <v>45689</v>
      </c>
    </row>
    <row r="74" spans="1:5" x14ac:dyDescent="0.25">
      <c r="A74" s="31" t="s">
        <v>79</v>
      </c>
      <c r="B74" t="s">
        <v>80</v>
      </c>
      <c r="C74" t="s">
        <v>81</v>
      </c>
      <c r="D74" s="30">
        <v>95486.37999999999</v>
      </c>
      <c r="E74" s="31">
        <v>45689</v>
      </c>
    </row>
    <row r="75" spans="1:5" x14ac:dyDescent="0.25">
      <c r="A75" s="31" t="s">
        <v>199</v>
      </c>
      <c r="B75" t="s">
        <v>236</v>
      </c>
      <c r="C75" t="s">
        <v>235</v>
      </c>
      <c r="D75" s="30">
        <v>-33729.78</v>
      </c>
      <c r="E75" s="31">
        <v>45689</v>
      </c>
    </row>
    <row r="76" spans="1:5" x14ac:dyDescent="0.25">
      <c r="A76" s="31" t="s">
        <v>94</v>
      </c>
      <c r="B76" t="s">
        <v>95</v>
      </c>
      <c r="C76" t="s">
        <v>152</v>
      </c>
      <c r="D76" s="30">
        <v>-629524.6599999998</v>
      </c>
      <c r="E76" s="31">
        <v>45689</v>
      </c>
    </row>
    <row r="77" spans="1:5" x14ac:dyDescent="0.25">
      <c r="A77" s="31" t="s">
        <v>76</v>
      </c>
      <c r="B77" t="s">
        <v>77</v>
      </c>
      <c r="C77" t="s">
        <v>152</v>
      </c>
      <c r="D77" s="30">
        <v>-152654.48312700001</v>
      </c>
      <c r="E77" s="31">
        <v>45689</v>
      </c>
    </row>
    <row r="78" spans="1:5" x14ac:dyDescent="0.25">
      <c r="A78" s="31" t="s">
        <v>124</v>
      </c>
      <c r="B78" t="s">
        <v>125</v>
      </c>
      <c r="C78" t="s">
        <v>152</v>
      </c>
      <c r="D78" s="30">
        <v>-1074755.4379789997</v>
      </c>
      <c r="E78" s="31">
        <v>45689</v>
      </c>
    </row>
    <row r="79" spans="1:5" x14ac:dyDescent="0.25">
      <c r="A79" s="31" t="s">
        <v>157</v>
      </c>
      <c r="B79" t="s">
        <v>158</v>
      </c>
      <c r="C79" t="s">
        <v>152</v>
      </c>
      <c r="D79" s="30">
        <v>-54951.902462000005</v>
      </c>
      <c r="E79" s="31">
        <v>45689</v>
      </c>
    </row>
    <row r="80" spans="1:5" x14ac:dyDescent="0.25">
      <c r="A80" s="31" t="s">
        <v>100</v>
      </c>
      <c r="B80" t="s">
        <v>238</v>
      </c>
      <c r="C80" t="s">
        <v>152</v>
      </c>
      <c r="D80" s="30">
        <v>24263.48</v>
      </c>
      <c r="E80" s="31">
        <v>45689</v>
      </c>
    </row>
    <row r="81" spans="1:5" x14ac:dyDescent="0.25">
      <c r="A81" s="31" t="s">
        <v>114</v>
      </c>
      <c r="B81" t="s">
        <v>115</v>
      </c>
      <c r="C81" t="s">
        <v>224</v>
      </c>
      <c r="D81" s="30">
        <v>-3430483.5500000007</v>
      </c>
      <c r="E81" s="31">
        <v>45689</v>
      </c>
    </row>
    <row r="82" spans="1:5" x14ac:dyDescent="0.25">
      <c r="A82" s="31" t="s">
        <v>189</v>
      </c>
      <c r="B82" t="s">
        <v>239</v>
      </c>
      <c r="C82" t="s">
        <v>152</v>
      </c>
      <c r="D82" s="30">
        <v>2000</v>
      </c>
      <c r="E82" s="31">
        <v>45689</v>
      </c>
    </row>
    <row r="83" spans="1:5" x14ac:dyDescent="0.25">
      <c r="A83" s="31" t="s">
        <v>70</v>
      </c>
      <c r="B83" t="s">
        <v>71</v>
      </c>
      <c r="C83" t="s">
        <v>152</v>
      </c>
      <c r="D83" s="30">
        <v>-56253.871377999953</v>
      </c>
      <c r="E83" s="31">
        <v>45689</v>
      </c>
    </row>
    <row r="84" spans="1:5" x14ac:dyDescent="0.25">
      <c r="A84" s="31" t="s">
        <v>98</v>
      </c>
      <c r="B84" t="s">
        <v>99</v>
      </c>
      <c r="C84" t="s">
        <v>81</v>
      </c>
      <c r="D84" s="30">
        <v>505760.22</v>
      </c>
      <c r="E84" s="31">
        <v>45689</v>
      </c>
    </row>
    <row r="85" spans="1:5" x14ac:dyDescent="0.25">
      <c r="A85" s="31" t="s">
        <v>133</v>
      </c>
      <c r="B85" t="s">
        <v>240</v>
      </c>
      <c r="C85" t="s">
        <v>241</v>
      </c>
      <c r="D85" s="30">
        <v>181659.90999999997</v>
      </c>
      <c r="E85" s="31">
        <v>45689</v>
      </c>
    </row>
    <row r="86" spans="1:5" x14ac:dyDescent="0.25">
      <c r="A86" s="31" t="s">
        <v>131</v>
      </c>
      <c r="B86" t="s">
        <v>132</v>
      </c>
      <c r="C86" t="s">
        <v>67</v>
      </c>
      <c r="D86" s="30">
        <v>2657543.0199999996</v>
      </c>
      <c r="E86" s="31">
        <v>45689</v>
      </c>
    </row>
    <row r="87" spans="1:5" x14ac:dyDescent="0.25">
      <c r="A87" s="31" t="s">
        <v>74</v>
      </c>
      <c r="B87" t="s">
        <v>75</v>
      </c>
      <c r="C87" t="s">
        <v>67</v>
      </c>
      <c r="D87" s="30">
        <v>-746482.27</v>
      </c>
      <c r="E87" s="31">
        <v>45689</v>
      </c>
    </row>
    <row r="88" spans="1:5" x14ac:dyDescent="0.25">
      <c r="A88" s="31" t="s">
        <v>198</v>
      </c>
      <c r="B88" t="s">
        <v>242</v>
      </c>
      <c r="C88" t="s">
        <v>226</v>
      </c>
      <c r="D88" s="30">
        <v>121104.31999999998</v>
      </c>
      <c r="E88" s="31">
        <v>45689</v>
      </c>
    </row>
    <row r="89" spans="1:5" x14ac:dyDescent="0.25">
      <c r="A89" s="31" t="s">
        <v>192</v>
      </c>
      <c r="B89" t="s">
        <v>243</v>
      </c>
      <c r="C89" t="s">
        <v>230</v>
      </c>
      <c r="D89" s="30">
        <v>113428.31999999993</v>
      </c>
      <c r="E89" s="31">
        <v>45689</v>
      </c>
    </row>
    <row r="90" spans="1:5" x14ac:dyDescent="0.25">
      <c r="A90" s="31" t="s">
        <v>200</v>
      </c>
      <c r="B90" t="s">
        <v>244</v>
      </c>
      <c r="C90" t="s">
        <v>230</v>
      </c>
      <c r="D90" s="30">
        <v>-385811.98633300001</v>
      </c>
      <c r="E90" s="31">
        <v>45689</v>
      </c>
    </row>
    <row r="91" spans="1:5" x14ac:dyDescent="0.25">
      <c r="A91" s="31" t="s">
        <v>96</v>
      </c>
      <c r="B91" t="s">
        <v>97</v>
      </c>
      <c r="C91" t="s">
        <v>81</v>
      </c>
      <c r="D91" s="30">
        <v>1155315.5099999998</v>
      </c>
      <c r="E91" s="31">
        <v>45689</v>
      </c>
    </row>
    <row r="92" spans="1:5" x14ac:dyDescent="0.25">
      <c r="A92" s="31" t="s">
        <v>90</v>
      </c>
      <c r="B92" t="s">
        <v>91</v>
      </c>
      <c r="C92" t="s">
        <v>81</v>
      </c>
      <c r="D92" s="30">
        <v>-526206.69999999984</v>
      </c>
      <c r="E92" s="31">
        <v>45689</v>
      </c>
    </row>
    <row r="93" spans="1:5" x14ac:dyDescent="0.25">
      <c r="A93" s="31" t="s">
        <v>112</v>
      </c>
      <c r="B93" t="s">
        <v>113</v>
      </c>
      <c r="C93" t="s">
        <v>81</v>
      </c>
      <c r="D93" s="30">
        <v>1467182.9839999995</v>
      </c>
      <c r="E93" s="31">
        <v>45689</v>
      </c>
    </row>
    <row r="94" spans="1:5" x14ac:dyDescent="0.25">
      <c r="A94" s="31" t="s">
        <v>61</v>
      </c>
      <c r="B94" t="s">
        <v>62</v>
      </c>
      <c r="C94" t="s">
        <v>226</v>
      </c>
      <c r="D94" s="30">
        <v>-442249.12000000005</v>
      </c>
      <c r="E94" s="31">
        <v>45689</v>
      </c>
    </row>
    <row r="95" spans="1:5" x14ac:dyDescent="0.25">
      <c r="A95" s="31" t="s">
        <v>102</v>
      </c>
      <c r="B95" t="s">
        <v>103</v>
      </c>
      <c r="C95" t="s">
        <v>152</v>
      </c>
      <c r="D95" s="30">
        <v>-10861.002858999986</v>
      </c>
      <c r="E95" s="31">
        <v>45689</v>
      </c>
    </row>
    <row r="96" spans="1:5" x14ac:dyDescent="0.25">
      <c r="A96" s="31" t="s">
        <v>196</v>
      </c>
      <c r="B96" t="s">
        <v>245</v>
      </c>
      <c r="C96" t="s">
        <v>143</v>
      </c>
      <c r="D96" s="30">
        <v>-5267.88</v>
      </c>
      <c r="E96" s="31">
        <v>45689</v>
      </c>
    </row>
    <row r="97" spans="1:5" x14ac:dyDescent="0.25">
      <c r="A97" s="31" t="s">
        <v>194</v>
      </c>
      <c r="B97" t="s">
        <v>246</v>
      </c>
      <c r="C97" t="s">
        <v>230</v>
      </c>
      <c r="D97" s="30">
        <v>-252953.54000000004</v>
      </c>
      <c r="E97" s="31">
        <v>45689</v>
      </c>
    </row>
    <row r="98" spans="1:5" x14ac:dyDescent="0.25">
      <c r="A98" s="31" t="s">
        <v>54</v>
      </c>
      <c r="B98" t="s">
        <v>55</v>
      </c>
      <c r="C98" t="s">
        <v>227</v>
      </c>
      <c r="D98" s="30">
        <v>640658.96151599998</v>
      </c>
      <c r="E98" s="31">
        <v>45689</v>
      </c>
    </row>
    <row r="99" spans="1:5" x14ac:dyDescent="0.25">
      <c r="A99" s="31" t="s">
        <v>118</v>
      </c>
      <c r="B99" t="s">
        <v>119</v>
      </c>
      <c r="C99" t="s">
        <v>143</v>
      </c>
      <c r="D99" s="30">
        <v>-1423932.4400000002</v>
      </c>
      <c r="E99" s="31">
        <v>45689</v>
      </c>
    </row>
    <row r="100" spans="1:5" x14ac:dyDescent="0.25">
      <c r="A100" s="31" t="s">
        <v>86</v>
      </c>
      <c r="B100" t="s">
        <v>87</v>
      </c>
      <c r="C100" t="s">
        <v>152</v>
      </c>
      <c r="D100" s="30">
        <v>-634084.69999999995</v>
      </c>
      <c r="E100" s="31">
        <v>45689</v>
      </c>
    </row>
    <row r="101" spans="1:5" x14ac:dyDescent="0.25">
      <c r="A101" s="31" t="s">
        <v>170</v>
      </c>
      <c r="B101" t="s">
        <v>171</v>
      </c>
      <c r="C101" t="s">
        <v>81</v>
      </c>
      <c r="D101" s="30">
        <v>5809.1900000000005</v>
      </c>
      <c r="E101" s="31">
        <v>45689</v>
      </c>
    </row>
    <row r="102" spans="1:5" x14ac:dyDescent="0.25">
      <c r="A102" s="31" t="s">
        <v>203</v>
      </c>
      <c r="B102" t="s">
        <v>247</v>
      </c>
      <c r="C102" t="s">
        <v>247</v>
      </c>
      <c r="D102" s="30">
        <v>-11731.59</v>
      </c>
      <c r="E102" s="31">
        <v>45689</v>
      </c>
    </row>
    <row r="103" spans="1:5" x14ac:dyDescent="0.25">
      <c r="A103" s="31" t="s">
        <v>205</v>
      </c>
      <c r="B103" t="s">
        <v>250</v>
      </c>
      <c r="C103" t="s">
        <v>152</v>
      </c>
      <c r="D103" s="30">
        <v>-75035.727500000008</v>
      </c>
      <c r="E103" s="31">
        <v>45689</v>
      </c>
    </row>
    <row r="104" spans="1:5" x14ac:dyDescent="0.25">
      <c r="A104" s="31" t="s">
        <v>204</v>
      </c>
      <c r="B104" t="s">
        <v>247</v>
      </c>
      <c r="C104" t="s">
        <v>247</v>
      </c>
      <c r="D104" s="30">
        <v>-68800.27</v>
      </c>
      <c r="E104" s="31">
        <v>45689</v>
      </c>
    </row>
    <row r="105" spans="1:5" x14ac:dyDescent="0.25">
      <c r="A105" s="31" t="s">
        <v>197</v>
      </c>
      <c r="B105" t="s">
        <v>248</v>
      </c>
      <c r="C105" t="s">
        <v>224</v>
      </c>
      <c r="D105" s="30">
        <v>-455838.75000000006</v>
      </c>
      <c r="E105" s="31">
        <v>45689</v>
      </c>
    </row>
    <row r="106" spans="1:5" x14ac:dyDescent="0.25">
      <c r="A106" s="31" t="s">
        <v>202</v>
      </c>
      <c r="B106" t="s">
        <v>223</v>
      </c>
      <c r="C106" t="s">
        <v>224</v>
      </c>
      <c r="D106" s="30">
        <v>-6943.25</v>
      </c>
      <c r="E106" s="31">
        <v>45717</v>
      </c>
    </row>
    <row r="107" spans="1:5" x14ac:dyDescent="0.25">
      <c r="A107" s="31" t="s">
        <v>65</v>
      </c>
      <c r="B107" t="s">
        <v>66</v>
      </c>
      <c r="C107" t="s">
        <v>67</v>
      </c>
      <c r="D107" s="30">
        <v>-1973794.82</v>
      </c>
      <c r="E107" s="31">
        <v>45717</v>
      </c>
    </row>
    <row r="108" spans="1:5" x14ac:dyDescent="0.25">
      <c r="A108" s="31" t="s">
        <v>195</v>
      </c>
      <c r="B108" t="s">
        <v>225</v>
      </c>
      <c r="C108" t="s">
        <v>226</v>
      </c>
      <c r="D108" s="30">
        <v>-798938.79999999993</v>
      </c>
      <c r="E108" s="31">
        <v>45717</v>
      </c>
    </row>
    <row r="109" spans="1:5" x14ac:dyDescent="0.25">
      <c r="A109" s="31" t="s">
        <v>72</v>
      </c>
      <c r="B109" t="s">
        <v>73</v>
      </c>
      <c r="C109" t="s">
        <v>227</v>
      </c>
      <c r="D109" s="30">
        <v>-7492734.5882659992</v>
      </c>
      <c r="E109" s="31">
        <v>45717</v>
      </c>
    </row>
    <row r="110" spans="1:5" x14ac:dyDescent="0.25">
      <c r="A110" s="31" t="s">
        <v>120</v>
      </c>
      <c r="B110" t="s">
        <v>121</v>
      </c>
      <c r="C110" t="s">
        <v>227</v>
      </c>
      <c r="D110" s="30">
        <v>558220.57000000007</v>
      </c>
      <c r="E110" s="31">
        <v>45717</v>
      </c>
    </row>
    <row r="111" spans="1:5" x14ac:dyDescent="0.25">
      <c r="A111" s="31" t="s">
        <v>63</v>
      </c>
      <c r="B111" t="s">
        <v>64</v>
      </c>
      <c r="C111" t="s">
        <v>227</v>
      </c>
      <c r="D111" s="30">
        <v>40670.690000000031</v>
      </c>
      <c r="E111" s="31">
        <v>45717</v>
      </c>
    </row>
    <row r="112" spans="1:5" x14ac:dyDescent="0.25">
      <c r="A112" s="31" t="s">
        <v>84</v>
      </c>
      <c r="B112" t="s">
        <v>85</v>
      </c>
      <c r="C112" t="s">
        <v>67</v>
      </c>
      <c r="D112" s="30">
        <v>-136610.84</v>
      </c>
      <c r="E112" s="31">
        <v>45717</v>
      </c>
    </row>
    <row r="113" spans="1:5" x14ac:dyDescent="0.25">
      <c r="A113" s="31" t="s">
        <v>82</v>
      </c>
      <c r="B113" t="s">
        <v>83</v>
      </c>
      <c r="C113" t="s">
        <v>228</v>
      </c>
      <c r="D113" s="30">
        <v>-35289.000000000015</v>
      </c>
      <c r="E113" s="31">
        <v>45717</v>
      </c>
    </row>
    <row r="114" spans="1:5" x14ac:dyDescent="0.25">
      <c r="A114" s="31" t="s">
        <v>68</v>
      </c>
      <c r="B114" t="s">
        <v>69</v>
      </c>
      <c r="C114" t="s">
        <v>229</v>
      </c>
      <c r="D114" s="30">
        <v>1908945.5080149986</v>
      </c>
      <c r="E114" s="31">
        <v>45717</v>
      </c>
    </row>
    <row r="115" spans="1:5" x14ac:dyDescent="0.25">
      <c r="A115" s="31" t="s">
        <v>116</v>
      </c>
      <c r="B115" t="s">
        <v>117</v>
      </c>
      <c r="C115" t="s">
        <v>143</v>
      </c>
      <c r="D115" s="30">
        <v>623814.81000000006</v>
      </c>
      <c r="E115" s="31">
        <v>45717</v>
      </c>
    </row>
    <row r="116" spans="1:5" x14ac:dyDescent="0.25">
      <c r="A116" s="31" t="s">
        <v>59</v>
      </c>
      <c r="B116" t="s">
        <v>60</v>
      </c>
      <c r="C116" t="s">
        <v>143</v>
      </c>
      <c r="D116" s="30">
        <v>-26055.0600000001</v>
      </c>
      <c r="E116" s="31">
        <v>45717</v>
      </c>
    </row>
    <row r="117" spans="1:5" x14ac:dyDescent="0.25">
      <c r="A117" s="31" t="s">
        <v>146</v>
      </c>
      <c r="B117" t="s">
        <v>147</v>
      </c>
      <c r="C117" t="s">
        <v>226</v>
      </c>
      <c r="D117" s="30">
        <v>635930.26</v>
      </c>
      <c r="E117" s="31">
        <v>45717</v>
      </c>
    </row>
    <row r="118" spans="1:5" x14ac:dyDescent="0.25">
      <c r="A118" s="31" t="s">
        <v>57</v>
      </c>
      <c r="B118" t="s">
        <v>58</v>
      </c>
      <c r="C118" t="s">
        <v>230</v>
      </c>
      <c r="D118" s="30">
        <v>76015.790000000066</v>
      </c>
      <c r="E118" s="31">
        <v>45717</v>
      </c>
    </row>
    <row r="119" spans="1:5" x14ac:dyDescent="0.25">
      <c r="A119" s="31" t="s">
        <v>183</v>
      </c>
      <c r="B119" t="s">
        <v>231</v>
      </c>
      <c r="C119" t="s">
        <v>230</v>
      </c>
      <c r="D119" s="30">
        <v>134566.73000000004</v>
      </c>
      <c r="E119" s="31">
        <v>45717</v>
      </c>
    </row>
    <row r="120" spans="1:5" x14ac:dyDescent="0.25">
      <c r="A120" s="31" t="s">
        <v>106</v>
      </c>
      <c r="B120" t="s">
        <v>107</v>
      </c>
      <c r="C120" t="s">
        <v>143</v>
      </c>
      <c r="D120" s="30">
        <v>1091741.2399999998</v>
      </c>
      <c r="E120" s="31">
        <v>45717</v>
      </c>
    </row>
    <row r="121" spans="1:5" x14ac:dyDescent="0.25">
      <c r="A121" s="31" t="s">
        <v>122</v>
      </c>
      <c r="B121" t="s">
        <v>123</v>
      </c>
      <c r="C121" t="s">
        <v>152</v>
      </c>
      <c r="D121" s="30">
        <v>337893.02</v>
      </c>
      <c r="E121" s="31">
        <v>45717</v>
      </c>
    </row>
    <row r="122" spans="1:5" x14ac:dyDescent="0.25">
      <c r="A122" s="31" t="s">
        <v>148</v>
      </c>
      <c r="B122" t="s">
        <v>149</v>
      </c>
      <c r="C122" t="s">
        <v>226</v>
      </c>
      <c r="D122" s="30">
        <v>271421.35000000003</v>
      </c>
      <c r="E122" s="31">
        <v>45717</v>
      </c>
    </row>
    <row r="123" spans="1:5" x14ac:dyDescent="0.25">
      <c r="A123" s="31" t="s">
        <v>193</v>
      </c>
      <c r="B123" t="s">
        <v>232</v>
      </c>
      <c r="C123" t="s">
        <v>230</v>
      </c>
      <c r="D123" s="30">
        <v>-87190.540000000066</v>
      </c>
      <c r="E123" s="31">
        <v>45717</v>
      </c>
    </row>
    <row r="124" spans="1:5" x14ac:dyDescent="0.25">
      <c r="A124" s="31" t="s">
        <v>188</v>
      </c>
      <c r="B124" t="s">
        <v>233</v>
      </c>
      <c r="C124" t="s">
        <v>226</v>
      </c>
      <c r="D124" s="30">
        <v>-1097340.2084620004</v>
      </c>
      <c r="E124" s="31">
        <v>45717</v>
      </c>
    </row>
    <row r="125" spans="1:5" x14ac:dyDescent="0.25">
      <c r="A125" s="31" t="s">
        <v>190</v>
      </c>
      <c r="B125" t="s">
        <v>234</v>
      </c>
      <c r="C125" t="s">
        <v>235</v>
      </c>
      <c r="D125" s="30">
        <v>85923.919999999969</v>
      </c>
      <c r="E125" s="31">
        <v>45717</v>
      </c>
    </row>
    <row r="126" spans="1:5" x14ac:dyDescent="0.25">
      <c r="A126" s="31" t="s">
        <v>79</v>
      </c>
      <c r="B126" t="s">
        <v>80</v>
      </c>
      <c r="C126" t="s">
        <v>81</v>
      </c>
      <c r="D126" s="30">
        <v>402525.04000000004</v>
      </c>
      <c r="E126" s="31">
        <v>45717</v>
      </c>
    </row>
    <row r="127" spans="1:5" x14ac:dyDescent="0.25">
      <c r="A127" s="31" t="s">
        <v>94</v>
      </c>
      <c r="B127" t="s">
        <v>95</v>
      </c>
      <c r="C127" t="s">
        <v>152</v>
      </c>
      <c r="D127" s="30">
        <v>571805.65679700009</v>
      </c>
      <c r="E127" s="31">
        <v>45717</v>
      </c>
    </row>
    <row r="128" spans="1:5" x14ac:dyDescent="0.25">
      <c r="A128" s="31" t="s">
        <v>76</v>
      </c>
      <c r="B128" t="s">
        <v>77</v>
      </c>
      <c r="C128" t="s">
        <v>152</v>
      </c>
      <c r="D128" s="30">
        <v>-727649.82000000007</v>
      </c>
      <c r="E128" s="31">
        <v>45717</v>
      </c>
    </row>
    <row r="129" spans="1:5" x14ac:dyDescent="0.25">
      <c r="A129" s="31" t="s">
        <v>124</v>
      </c>
      <c r="B129" t="s">
        <v>125</v>
      </c>
      <c r="C129" t="s">
        <v>152</v>
      </c>
      <c r="D129" s="30">
        <v>-374684.59412499995</v>
      </c>
      <c r="E129" s="31">
        <v>45717</v>
      </c>
    </row>
    <row r="130" spans="1:5" x14ac:dyDescent="0.25">
      <c r="A130" s="31" t="s">
        <v>157</v>
      </c>
      <c r="B130" t="s">
        <v>158</v>
      </c>
      <c r="C130" t="s">
        <v>152</v>
      </c>
      <c r="D130" s="30">
        <v>-60381.669999999991</v>
      </c>
      <c r="E130" s="31">
        <v>45717</v>
      </c>
    </row>
    <row r="131" spans="1:5" x14ac:dyDescent="0.25">
      <c r="A131" s="31" t="s">
        <v>100</v>
      </c>
      <c r="B131" t="s">
        <v>238</v>
      </c>
      <c r="C131" t="s">
        <v>152</v>
      </c>
      <c r="D131" s="30">
        <v>25959.48</v>
      </c>
      <c r="E131" s="31">
        <v>45717</v>
      </c>
    </row>
    <row r="132" spans="1:5" x14ac:dyDescent="0.25">
      <c r="A132" s="31" t="s">
        <v>114</v>
      </c>
      <c r="B132" t="s">
        <v>115</v>
      </c>
      <c r="C132" t="s">
        <v>224</v>
      </c>
      <c r="D132" s="30">
        <v>113002.85000000003</v>
      </c>
      <c r="E132" s="31">
        <v>45717</v>
      </c>
    </row>
    <row r="133" spans="1:5" x14ac:dyDescent="0.25">
      <c r="A133" s="31" t="s">
        <v>70</v>
      </c>
      <c r="B133" t="s">
        <v>71</v>
      </c>
      <c r="C133" t="s">
        <v>152</v>
      </c>
      <c r="D133" s="30">
        <v>93303.29</v>
      </c>
      <c r="E133" s="31">
        <v>45717</v>
      </c>
    </row>
    <row r="134" spans="1:5" x14ac:dyDescent="0.25">
      <c r="A134" s="31" t="s">
        <v>98</v>
      </c>
      <c r="B134" t="s">
        <v>99</v>
      </c>
      <c r="C134" t="s">
        <v>81</v>
      </c>
      <c r="D134" s="30">
        <v>9460205.4399999995</v>
      </c>
      <c r="E134" s="31">
        <v>45717</v>
      </c>
    </row>
    <row r="135" spans="1:5" x14ac:dyDescent="0.25">
      <c r="A135" s="31" t="s">
        <v>133</v>
      </c>
      <c r="B135" t="s">
        <v>240</v>
      </c>
      <c r="C135" t="s">
        <v>241</v>
      </c>
      <c r="D135" s="30">
        <v>306175.2699999999</v>
      </c>
      <c r="E135" s="31">
        <v>45717</v>
      </c>
    </row>
    <row r="136" spans="1:5" x14ac:dyDescent="0.25">
      <c r="A136" s="31" t="s">
        <v>131</v>
      </c>
      <c r="B136" t="s">
        <v>132</v>
      </c>
      <c r="C136" t="s">
        <v>67</v>
      </c>
      <c r="D136" s="30">
        <v>648661.49999999988</v>
      </c>
      <c r="E136" s="31">
        <v>45717</v>
      </c>
    </row>
    <row r="137" spans="1:5" x14ac:dyDescent="0.25">
      <c r="A137" s="31" t="s">
        <v>74</v>
      </c>
      <c r="B137" t="s">
        <v>75</v>
      </c>
      <c r="C137" t="s">
        <v>67</v>
      </c>
      <c r="D137" s="30">
        <v>-1131660.8357299999</v>
      </c>
      <c r="E137" s="31">
        <v>45717</v>
      </c>
    </row>
    <row r="138" spans="1:5" x14ac:dyDescent="0.25">
      <c r="A138" s="31" t="s">
        <v>198</v>
      </c>
      <c r="B138" t="s">
        <v>242</v>
      </c>
      <c r="C138" t="s">
        <v>226</v>
      </c>
      <c r="D138" s="30">
        <v>31595.41</v>
      </c>
      <c r="E138" s="31">
        <v>45717</v>
      </c>
    </row>
    <row r="139" spans="1:5" x14ac:dyDescent="0.25">
      <c r="A139" s="31" t="s">
        <v>192</v>
      </c>
      <c r="B139" t="s">
        <v>243</v>
      </c>
      <c r="C139" t="s">
        <v>230</v>
      </c>
      <c r="D139" s="30">
        <v>216383.25000000006</v>
      </c>
      <c r="E139" s="31">
        <v>45717</v>
      </c>
    </row>
    <row r="140" spans="1:5" x14ac:dyDescent="0.25">
      <c r="A140" s="31" t="s">
        <v>200</v>
      </c>
      <c r="B140" t="s">
        <v>244</v>
      </c>
      <c r="C140" t="s">
        <v>230</v>
      </c>
      <c r="D140" s="30">
        <v>187042.49991800002</v>
      </c>
      <c r="E140" s="31">
        <v>45717</v>
      </c>
    </row>
    <row r="141" spans="1:5" x14ac:dyDescent="0.25">
      <c r="A141" s="31" t="s">
        <v>96</v>
      </c>
      <c r="B141" t="s">
        <v>97</v>
      </c>
      <c r="C141" t="s">
        <v>81</v>
      </c>
      <c r="D141" s="30">
        <v>285262.93000000005</v>
      </c>
      <c r="E141" s="31">
        <v>45717</v>
      </c>
    </row>
    <row r="142" spans="1:5" x14ac:dyDescent="0.25">
      <c r="A142" s="31" t="s">
        <v>90</v>
      </c>
      <c r="B142" t="s">
        <v>91</v>
      </c>
      <c r="C142" t="s">
        <v>81</v>
      </c>
      <c r="D142" s="30">
        <v>1909748.7999999998</v>
      </c>
      <c r="E142" s="31">
        <v>45717</v>
      </c>
    </row>
    <row r="143" spans="1:5" x14ac:dyDescent="0.25">
      <c r="A143" s="31" t="s">
        <v>112</v>
      </c>
      <c r="B143" t="s">
        <v>113</v>
      </c>
      <c r="C143" t="s">
        <v>81</v>
      </c>
      <c r="D143" s="30">
        <v>-1128091.4300000006</v>
      </c>
      <c r="E143" s="31">
        <v>45717</v>
      </c>
    </row>
    <row r="144" spans="1:5" x14ac:dyDescent="0.25">
      <c r="A144" s="31" t="s">
        <v>61</v>
      </c>
      <c r="B144" t="s">
        <v>62</v>
      </c>
      <c r="C144" t="s">
        <v>226</v>
      </c>
      <c r="D144" s="30">
        <v>-360637.41</v>
      </c>
      <c r="E144" s="31">
        <v>45717</v>
      </c>
    </row>
    <row r="145" spans="1:5" x14ac:dyDescent="0.25">
      <c r="A145" s="31" t="s">
        <v>102</v>
      </c>
      <c r="B145" t="s">
        <v>103</v>
      </c>
      <c r="C145" t="s">
        <v>152</v>
      </c>
      <c r="D145" s="30">
        <v>388393.95420199999</v>
      </c>
      <c r="E145" s="31">
        <v>45717</v>
      </c>
    </row>
    <row r="146" spans="1:5" x14ac:dyDescent="0.25">
      <c r="A146" s="31" t="s">
        <v>196</v>
      </c>
      <c r="B146" t="s">
        <v>245</v>
      </c>
      <c r="C146" t="s">
        <v>143</v>
      </c>
      <c r="D146" s="30">
        <v>-2678.5600000000004</v>
      </c>
      <c r="E146" s="31">
        <v>45717</v>
      </c>
    </row>
    <row r="147" spans="1:5" x14ac:dyDescent="0.25">
      <c r="A147" s="31" t="s">
        <v>194</v>
      </c>
      <c r="B147" t="s">
        <v>246</v>
      </c>
      <c r="C147" t="s">
        <v>230</v>
      </c>
      <c r="D147" s="30">
        <v>-494559</v>
      </c>
      <c r="E147" s="31">
        <v>45717</v>
      </c>
    </row>
    <row r="148" spans="1:5" x14ac:dyDescent="0.25">
      <c r="A148" s="31" t="s">
        <v>54</v>
      </c>
      <c r="B148" t="s">
        <v>55</v>
      </c>
      <c r="C148" t="s">
        <v>227</v>
      </c>
      <c r="D148" s="30">
        <v>529353.11999999988</v>
      </c>
      <c r="E148" s="31">
        <v>45717</v>
      </c>
    </row>
    <row r="149" spans="1:5" x14ac:dyDescent="0.25">
      <c r="A149" s="31" t="s">
        <v>118</v>
      </c>
      <c r="B149" t="s">
        <v>119</v>
      </c>
      <c r="C149" t="s">
        <v>143</v>
      </c>
      <c r="D149" s="30">
        <v>1005877.6466</v>
      </c>
      <c r="E149" s="31">
        <v>45717</v>
      </c>
    </row>
    <row r="150" spans="1:5" x14ac:dyDescent="0.25">
      <c r="A150" s="31" t="s">
        <v>86</v>
      </c>
      <c r="B150" t="s">
        <v>87</v>
      </c>
      <c r="C150" t="s">
        <v>152</v>
      </c>
      <c r="D150" s="30">
        <v>230220.92999999996</v>
      </c>
      <c r="E150" s="31">
        <v>45717</v>
      </c>
    </row>
    <row r="151" spans="1:5" x14ac:dyDescent="0.25">
      <c r="A151" s="31" t="s">
        <v>170</v>
      </c>
      <c r="B151" t="s">
        <v>171</v>
      </c>
      <c r="C151" t="s">
        <v>81</v>
      </c>
      <c r="D151" s="30">
        <v>-4174.0599999999995</v>
      </c>
      <c r="E151" s="31">
        <v>45717</v>
      </c>
    </row>
    <row r="152" spans="1:5" x14ac:dyDescent="0.25">
      <c r="A152" s="31" t="s">
        <v>206</v>
      </c>
      <c r="B152" t="s">
        <v>251</v>
      </c>
      <c r="C152" t="s">
        <v>230</v>
      </c>
      <c r="D152" s="30">
        <v>13628.06</v>
      </c>
      <c r="E152" s="31">
        <v>45717</v>
      </c>
    </row>
    <row r="153" spans="1:5" x14ac:dyDescent="0.25">
      <c r="A153" s="31" t="s">
        <v>203</v>
      </c>
      <c r="B153" t="s">
        <v>247</v>
      </c>
      <c r="C153" t="s">
        <v>247</v>
      </c>
      <c r="D153" s="30">
        <v>122906.05</v>
      </c>
      <c r="E153" s="31">
        <v>45717</v>
      </c>
    </row>
    <row r="154" spans="1:5" x14ac:dyDescent="0.25">
      <c r="A154" s="31" t="s">
        <v>205</v>
      </c>
      <c r="B154" t="s">
        <v>250</v>
      </c>
      <c r="C154" t="s">
        <v>152</v>
      </c>
      <c r="D154" s="30">
        <v>-234738.00527999998</v>
      </c>
      <c r="E154" s="31">
        <v>45717</v>
      </c>
    </row>
    <row r="155" spans="1:5" x14ac:dyDescent="0.25">
      <c r="A155" s="31" t="s">
        <v>204</v>
      </c>
      <c r="B155" t="s">
        <v>247</v>
      </c>
      <c r="C155" t="s">
        <v>247</v>
      </c>
      <c r="D155" s="30">
        <v>53005.43990844323</v>
      </c>
      <c r="E155" s="31">
        <v>45717</v>
      </c>
    </row>
    <row r="156" spans="1:5" x14ac:dyDescent="0.25">
      <c r="A156" s="31" t="s">
        <v>197</v>
      </c>
      <c r="B156" t="s">
        <v>248</v>
      </c>
      <c r="C156" t="s">
        <v>224</v>
      </c>
      <c r="D156" s="30">
        <v>-1002338.1051380001</v>
      </c>
      <c r="E156" s="31">
        <v>45717</v>
      </c>
    </row>
    <row r="157" spans="1:5" x14ac:dyDescent="0.25">
      <c r="A157" s="31" t="s">
        <v>202</v>
      </c>
      <c r="B157" t="s">
        <v>223</v>
      </c>
      <c r="C157" t="s">
        <v>224</v>
      </c>
      <c r="D157" s="30">
        <v>3075.51</v>
      </c>
      <c r="E157" s="31">
        <v>45748</v>
      </c>
    </row>
    <row r="158" spans="1:5" x14ac:dyDescent="0.25">
      <c r="A158" s="31" t="s">
        <v>65</v>
      </c>
      <c r="B158" t="s">
        <v>66</v>
      </c>
      <c r="C158" t="s">
        <v>67</v>
      </c>
      <c r="D158" s="30">
        <v>-2195324.9100000011</v>
      </c>
      <c r="E158" s="31">
        <v>45748</v>
      </c>
    </row>
    <row r="159" spans="1:5" x14ac:dyDescent="0.25">
      <c r="A159" s="31" t="s">
        <v>195</v>
      </c>
      <c r="B159" t="s">
        <v>225</v>
      </c>
      <c r="C159" t="s">
        <v>226</v>
      </c>
      <c r="D159" s="30">
        <v>-296219.62</v>
      </c>
      <c r="E159" s="31">
        <v>45748</v>
      </c>
    </row>
    <row r="160" spans="1:5" x14ac:dyDescent="0.25">
      <c r="A160" s="31" t="s">
        <v>72</v>
      </c>
      <c r="B160" t="s">
        <v>73</v>
      </c>
      <c r="C160" t="s">
        <v>227</v>
      </c>
      <c r="D160" s="30">
        <v>3455077.4953780007</v>
      </c>
      <c r="E160" s="31">
        <v>45748</v>
      </c>
    </row>
    <row r="161" spans="1:5" x14ac:dyDescent="0.25">
      <c r="A161" s="31" t="s">
        <v>120</v>
      </c>
      <c r="B161" t="s">
        <v>121</v>
      </c>
      <c r="C161" t="s">
        <v>227</v>
      </c>
      <c r="D161" s="30">
        <v>50462.820000000007</v>
      </c>
      <c r="E161" s="31">
        <v>45748</v>
      </c>
    </row>
    <row r="162" spans="1:5" x14ac:dyDescent="0.25">
      <c r="A162" s="31" t="s">
        <v>63</v>
      </c>
      <c r="B162" t="s">
        <v>64</v>
      </c>
      <c r="C162" t="s">
        <v>227</v>
      </c>
      <c r="D162" s="30">
        <v>-76050.259999999587</v>
      </c>
      <c r="E162" s="31">
        <v>45748</v>
      </c>
    </row>
    <row r="163" spans="1:5" x14ac:dyDescent="0.25">
      <c r="A163" s="31" t="s">
        <v>84</v>
      </c>
      <c r="B163" t="s">
        <v>85</v>
      </c>
      <c r="C163" t="s">
        <v>67</v>
      </c>
      <c r="D163" s="30">
        <v>1348826.6479999998</v>
      </c>
      <c r="E163" s="31">
        <v>45748</v>
      </c>
    </row>
    <row r="164" spans="1:5" x14ac:dyDescent="0.25">
      <c r="A164" s="31" t="s">
        <v>82</v>
      </c>
      <c r="B164" t="s">
        <v>83</v>
      </c>
      <c r="C164" t="s">
        <v>228</v>
      </c>
      <c r="D164" s="30">
        <v>117658.94000000002</v>
      </c>
      <c r="E164" s="31">
        <v>45748</v>
      </c>
    </row>
    <row r="165" spans="1:5" x14ac:dyDescent="0.25">
      <c r="A165" s="31" t="s">
        <v>68</v>
      </c>
      <c r="B165" t="s">
        <v>69</v>
      </c>
      <c r="C165" t="s">
        <v>229</v>
      </c>
      <c r="D165" s="30">
        <v>-1829799.8399999994</v>
      </c>
      <c r="E165" s="31">
        <v>45748</v>
      </c>
    </row>
    <row r="166" spans="1:5" x14ac:dyDescent="0.25">
      <c r="A166" s="31" t="s">
        <v>116</v>
      </c>
      <c r="B166" t="s">
        <v>117</v>
      </c>
      <c r="C166" t="s">
        <v>143</v>
      </c>
      <c r="D166" s="30">
        <v>-998713.18159999978</v>
      </c>
      <c r="E166" s="31">
        <v>45748</v>
      </c>
    </row>
    <row r="167" spans="1:5" x14ac:dyDescent="0.25">
      <c r="A167" s="31" t="s">
        <v>59</v>
      </c>
      <c r="B167" t="s">
        <v>60</v>
      </c>
      <c r="C167" t="s">
        <v>143</v>
      </c>
      <c r="D167" s="30">
        <v>-1690167.9599999997</v>
      </c>
      <c r="E167" s="31">
        <v>45748</v>
      </c>
    </row>
    <row r="168" spans="1:5" x14ac:dyDescent="0.25">
      <c r="A168" s="31" t="s">
        <v>146</v>
      </c>
      <c r="B168" t="s">
        <v>147</v>
      </c>
      <c r="C168" t="s">
        <v>226</v>
      </c>
      <c r="D168" s="30">
        <v>135904.67000000001</v>
      </c>
      <c r="E168" s="31">
        <v>45748</v>
      </c>
    </row>
    <row r="169" spans="1:5" x14ac:dyDescent="0.25">
      <c r="A169" s="31" t="s">
        <v>57</v>
      </c>
      <c r="B169" t="s">
        <v>58</v>
      </c>
      <c r="C169" t="s">
        <v>230</v>
      </c>
      <c r="D169" s="30">
        <v>-133562.28</v>
      </c>
      <c r="E169" s="31">
        <v>45748</v>
      </c>
    </row>
    <row r="170" spans="1:5" x14ac:dyDescent="0.25">
      <c r="A170" s="31" t="s">
        <v>183</v>
      </c>
      <c r="B170" t="s">
        <v>231</v>
      </c>
      <c r="C170" t="s">
        <v>230</v>
      </c>
      <c r="D170" s="30">
        <v>1581551.5199999996</v>
      </c>
      <c r="E170" s="31">
        <v>45748</v>
      </c>
    </row>
    <row r="171" spans="1:5" x14ac:dyDescent="0.25">
      <c r="A171" s="31" t="s">
        <v>106</v>
      </c>
      <c r="B171" t="s">
        <v>107</v>
      </c>
      <c r="C171" t="s">
        <v>143</v>
      </c>
      <c r="D171" s="30">
        <v>295189.60000000009</v>
      </c>
      <c r="E171" s="31">
        <v>45748</v>
      </c>
    </row>
    <row r="172" spans="1:5" x14ac:dyDescent="0.25">
      <c r="A172" s="31" t="s">
        <v>122</v>
      </c>
      <c r="B172" t="s">
        <v>123</v>
      </c>
      <c r="C172" t="s">
        <v>152</v>
      </c>
      <c r="D172" s="30">
        <v>-3590948.75</v>
      </c>
      <c r="E172" s="31">
        <v>45748</v>
      </c>
    </row>
    <row r="173" spans="1:5" x14ac:dyDescent="0.25">
      <c r="A173" s="31" t="s">
        <v>148</v>
      </c>
      <c r="B173" t="s">
        <v>149</v>
      </c>
      <c r="C173" t="s">
        <v>226</v>
      </c>
      <c r="D173" s="30">
        <v>25507.389999999996</v>
      </c>
      <c r="E173" s="31">
        <v>45748</v>
      </c>
    </row>
    <row r="174" spans="1:5" x14ac:dyDescent="0.25">
      <c r="A174" s="31" t="s">
        <v>188</v>
      </c>
      <c r="B174" t="s">
        <v>233</v>
      </c>
      <c r="C174" t="s">
        <v>226</v>
      </c>
      <c r="D174" s="30">
        <v>-867121.39999999991</v>
      </c>
      <c r="E174" s="31">
        <v>45748</v>
      </c>
    </row>
    <row r="175" spans="1:5" x14ac:dyDescent="0.25">
      <c r="A175" s="31" t="s">
        <v>190</v>
      </c>
      <c r="B175" t="s">
        <v>234</v>
      </c>
      <c r="C175" t="s">
        <v>235</v>
      </c>
      <c r="D175" s="30">
        <v>-80747.59</v>
      </c>
      <c r="E175" s="31">
        <v>45748</v>
      </c>
    </row>
    <row r="176" spans="1:5" x14ac:dyDescent="0.25">
      <c r="A176" s="31" t="s">
        <v>79</v>
      </c>
      <c r="B176" t="s">
        <v>80</v>
      </c>
      <c r="C176" t="s">
        <v>81</v>
      </c>
      <c r="D176" s="30">
        <v>417266.22</v>
      </c>
      <c r="E176" s="31">
        <v>45748</v>
      </c>
    </row>
    <row r="177" spans="1:5" x14ac:dyDescent="0.25">
      <c r="A177" s="31" t="s">
        <v>94</v>
      </c>
      <c r="B177" t="s">
        <v>95</v>
      </c>
      <c r="C177" t="s">
        <v>152</v>
      </c>
      <c r="D177" s="30">
        <v>-4407661.6344920006</v>
      </c>
      <c r="E177" s="31">
        <v>45748</v>
      </c>
    </row>
    <row r="178" spans="1:5" x14ac:dyDescent="0.25">
      <c r="A178" s="31" t="s">
        <v>76</v>
      </c>
      <c r="B178" t="s">
        <v>77</v>
      </c>
      <c r="C178" t="s">
        <v>152</v>
      </c>
      <c r="D178" s="30">
        <v>-860033.58502500004</v>
      </c>
      <c r="E178" s="31">
        <v>45748</v>
      </c>
    </row>
    <row r="179" spans="1:5" x14ac:dyDescent="0.25">
      <c r="A179" s="31" t="s">
        <v>124</v>
      </c>
      <c r="B179" t="s">
        <v>125</v>
      </c>
      <c r="C179" t="s">
        <v>152</v>
      </c>
      <c r="D179" s="30">
        <v>-230536.55999999991</v>
      </c>
      <c r="E179" s="31">
        <v>45748</v>
      </c>
    </row>
    <row r="180" spans="1:5" x14ac:dyDescent="0.25">
      <c r="A180" s="31" t="s">
        <v>157</v>
      </c>
      <c r="B180" t="s">
        <v>158</v>
      </c>
      <c r="C180" t="s">
        <v>152</v>
      </c>
      <c r="D180" s="30">
        <v>576854.96696999995</v>
      </c>
      <c r="E180" s="31">
        <v>45748</v>
      </c>
    </row>
    <row r="181" spans="1:5" x14ac:dyDescent="0.25">
      <c r="A181" s="31" t="s">
        <v>100</v>
      </c>
      <c r="B181" t="s">
        <v>238</v>
      </c>
      <c r="C181" t="s">
        <v>152</v>
      </c>
      <c r="D181" s="30">
        <v>304655.01</v>
      </c>
      <c r="E181" s="31">
        <v>45748</v>
      </c>
    </row>
    <row r="182" spans="1:5" x14ac:dyDescent="0.25">
      <c r="A182" s="31" t="s">
        <v>114</v>
      </c>
      <c r="B182" t="s">
        <v>115</v>
      </c>
      <c r="C182" t="s">
        <v>224</v>
      </c>
      <c r="D182" s="30">
        <v>1202230.8700000001</v>
      </c>
      <c r="E182" s="31">
        <v>45748</v>
      </c>
    </row>
    <row r="183" spans="1:5" x14ac:dyDescent="0.25">
      <c r="A183" s="31" t="s">
        <v>70</v>
      </c>
      <c r="B183" t="s">
        <v>71</v>
      </c>
      <c r="C183" t="s">
        <v>152</v>
      </c>
      <c r="D183" s="30">
        <v>95092.58</v>
      </c>
      <c r="E183" s="31">
        <v>45748</v>
      </c>
    </row>
    <row r="184" spans="1:5" x14ac:dyDescent="0.25">
      <c r="A184" s="31" t="s">
        <v>98</v>
      </c>
      <c r="B184" t="s">
        <v>99</v>
      </c>
      <c r="C184" t="s">
        <v>81</v>
      </c>
      <c r="D184" s="30">
        <v>461745.58999999997</v>
      </c>
      <c r="E184" s="31">
        <v>45748</v>
      </c>
    </row>
    <row r="185" spans="1:5" x14ac:dyDescent="0.25">
      <c r="A185" s="31" t="s">
        <v>133</v>
      </c>
      <c r="B185" t="s">
        <v>240</v>
      </c>
      <c r="C185" t="s">
        <v>241</v>
      </c>
      <c r="D185" s="30">
        <v>-100616.18</v>
      </c>
      <c r="E185" s="31">
        <v>45748</v>
      </c>
    </row>
    <row r="186" spans="1:5" x14ac:dyDescent="0.25">
      <c r="A186" s="31" t="s">
        <v>131</v>
      </c>
      <c r="B186" t="s">
        <v>132</v>
      </c>
      <c r="C186" t="s">
        <v>67</v>
      </c>
      <c r="D186" s="30">
        <v>135847.97</v>
      </c>
      <c r="E186" s="31">
        <v>45748</v>
      </c>
    </row>
    <row r="187" spans="1:5" x14ac:dyDescent="0.25">
      <c r="A187" s="31" t="s">
        <v>74</v>
      </c>
      <c r="B187" t="s">
        <v>75</v>
      </c>
      <c r="C187" t="s">
        <v>67</v>
      </c>
      <c r="D187" s="30">
        <v>-973942.57882899989</v>
      </c>
      <c r="E187" s="31">
        <v>45748</v>
      </c>
    </row>
    <row r="188" spans="1:5" x14ac:dyDescent="0.25">
      <c r="A188" s="31" t="s">
        <v>198</v>
      </c>
      <c r="B188" t="s">
        <v>242</v>
      </c>
      <c r="C188" t="s">
        <v>226</v>
      </c>
      <c r="D188" s="30">
        <v>-2122330.4126730002</v>
      </c>
      <c r="E188" s="31">
        <v>45748</v>
      </c>
    </row>
    <row r="189" spans="1:5" x14ac:dyDescent="0.25">
      <c r="A189" s="31" t="s">
        <v>200</v>
      </c>
      <c r="B189" t="s">
        <v>244</v>
      </c>
      <c r="C189" t="s">
        <v>230</v>
      </c>
      <c r="D189" s="30">
        <v>397538.65</v>
      </c>
      <c r="E189" s="31">
        <v>45748</v>
      </c>
    </row>
    <row r="190" spans="1:5" x14ac:dyDescent="0.25">
      <c r="A190" s="31" t="s">
        <v>96</v>
      </c>
      <c r="B190" t="s">
        <v>97</v>
      </c>
      <c r="C190" t="s">
        <v>81</v>
      </c>
      <c r="D190" s="30">
        <v>1617296.7699999998</v>
      </c>
      <c r="E190" s="31">
        <v>45748</v>
      </c>
    </row>
    <row r="191" spans="1:5" x14ac:dyDescent="0.25">
      <c r="A191" s="31" t="s">
        <v>90</v>
      </c>
      <c r="B191" t="s">
        <v>91</v>
      </c>
      <c r="C191" t="s">
        <v>81</v>
      </c>
      <c r="D191" s="30">
        <v>426545.43</v>
      </c>
      <c r="E191" s="31">
        <v>45748</v>
      </c>
    </row>
    <row r="192" spans="1:5" x14ac:dyDescent="0.25">
      <c r="A192" s="31" t="s">
        <v>112</v>
      </c>
      <c r="B192" t="s">
        <v>113</v>
      </c>
      <c r="C192" t="s">
        <v>81</v>
      </c>
      <c r="D192" s="30">
        <v>3594807.9699999993</v>
      </c>
      <c r="E192" s="31">
        <v>45748</v>
      </c>
    </row>
    <row r="193" spans="1:5" x14ac:dyDescent="0.25">
      <c r="A193" s="31" t="s">
        <v>61</v>
      </c>
      <c r="B193" t="s">
        <v>62</v>
      </c>
      <c r="C193" t="s">
        <v>226</v>
      </c>
      <c r="D193" s="30">
        <v>63802.658926000004</v>
      </c>
      <c r="E193" s="31">
        <v>45748</v>
      </c>
    </row>
    <row r="194" spans="1:5" x14ac:dyDescent="0.25">
      <c r="A194" s="31" t="s">
        <v>102</v>
      </c>
      <c r="B194" t="s">
        <v>103</v>
      </c>
      <c r="C194" t="s">
        <v>152</v>
      </c>
      <c r="D194" s="30">
        <v>26720.978949100361</v>
      </c>
      <c r="E194" s="31">
        <v>45748</v>
      </c>
    </row>
    <row r="195" spans="1:5" x14ac:dyDescent="0.25">
      <c r="A195" s="31" t="s">
        <v>196</v>
      </c>
      <c r="B195" t="s">
        <v>245</v>
      </c>
      <c r="C195" t="s">
        <v>143</v>
      </c>
      <c r="D195" s="30">
        <v>-2278.36</v>
      </c>
      <c r="E195" s="31">
        <v>45748</v>
      </c>
    </row>
    <row r="196" spans="1:5" x14ac:dyDescent="0.25">
      <c r="A196" s="31" t="s">
        <v>54</v>
      </c>
      <c r="B196" t="s">
        <v>55</v>
      </c>
      <c r="C196" t="s">
        <v>227</v>
      </c>
      <c r="D196" s="30">
        <v>-38370.530000000028</v>
      </c>
      <c r="E196" s="31">
        <v>45748</v>
      </c>
    </row>
    <row r="197" spans="1:5" x14ac:dyDescent="0.25">
      <c r="A197" s="31" t="s">
        <v>118</v>
      </c>
      <c r="B197" t="s">
        <v>119</v>
      </c>
      <c r="C197" t="s">
        <v>143</v>
      </c>
      <c r="D197" s="30">
        <v>2268662.3000000003</v>
      </c>
      <c r="E197" s="31">
        <v>45748</v>
      </c>
    </row>
    <row r="198" spans="1:5" x14ac:dyDescent="0.25">
      <c r="A198" s="31" t="s">
        <v>86</v>
      </c>
      <c r="B198" t="s">
        <v>87</v>
      </c>
      <c r="C198" t="s">
        <v>152</v>
      </c>
      <c r="D198" s="30">
        <v>-2466931.6727260007</v>
      </c>
      <c r="E198" s="31">
        <v>45748</v>
      </c>
    </row>
    <row r="199" spans="1:5" x14ac:dyDescent="0.25">
      <c r="A199" s="31" t="s">
        <v>170</v>
      </c>
      <c r="B199" t="s">
        <v>171</v>
      </c>
      <c r="C199" t="s">
        <v>81</v>
      </c>
      <c r="D199" s="30">
        <v>55939.99000000002</v>
      </c>
      <c r="E199" s="31">
        <v>45748</v>
      </c>
    </row>
    <row r="200" spans="1:5" x14ac:dyDescent="0.25">
      <c r="A200" s="31" t="s">
        <v>206</v>
      </c>
      <c r="B200" t="s">
        <v>251</v>
      </c>
      <c r="C200" t="s">
        <v>230</v>
      </c>
      <c r="D200" s="30">
        <v>21699.49</v>
      </c>
      <c r="E200" s="31">
        <v>45748</v>
      </c>
    </row>
    <row r="201" spans="1:5" x14ac:dyDescent="0.25">
      <c r="A201" s="31" t="s">
        <v>203</v>
      </c>
      <c r="B201" t="s">
        <v>247</v>
      </c>
      <c r="C201" t="s">
        <v>247</v>
      </c>
      <c r="D201" s="30">
        <v>70184.848776999977</v>
      </c>
      <c r="E201" s="31">
        <v>45748</v>
      </c>
    </row>
    <row r="202" spans="1:5" x14ac:dyDescent="0.25">
      <c r="A202" s="31" t="s">
        <v>205</v>
      </c>
      <c r="B202" t="s">
        <v>250</v>
      </c>
      <c r="C202" t="s">
        <v>152</v>
      </c>
      <c r="D202" s="30">
        <v>75100.340000000026</v>
      </c>
      <c r="E202" s="31">
        <v>45748</v>
      </c>
    </row>
    <row r="203" spans="1:5" x14ac:dyDescent="0.25">
      <c r="A203" s="31" t="s">
        <v>204</v>
      </c>
      <c r="B203" t="s">
        <v>247</v>
      </c>
      <c r="C203" t="s">
        <v>247</v>
      </c>
      <c r="D203" s="30">
        <v>335928.02000000008</v>
      </c>
      <c r="E203" s="31">
        <v>45748</v>
      </c>
    </row>
    <row r="204" spans="1:5" x14ac:dyDescent="0.25">
      <c r="A204" s="31" t="s">
        <v>197</v>
      </c>
      <c r="B204" t="s">
        <v>248</v>
      </c>
      <c r="C204" t="s">
        <v>224</v>
      </c>
      <c r="D204" s="30">
        <v>-1498521.506018</v>
      </c>
      <c r="E204" s="31">
        <v>45748</v>
      </c>
    </row>
    <row r="205" spans="1:5" x14ac:dyDescent="0.25">
      <c r="A205" s="31" t="s">
        <v>202</v>
      </c>
      <c r="B205" t="s">
        <v>223</v>
      </c>
      <c r="C205" t="s">
        <v>224</v>
      </c>
      <c r="D205" s="30">
        <v>-3450</v>
      </c>
      <c r="E205" s="31">
        <v>45778</v>
      </c>
    </row>
    <row r="206" spans="1:5" x14ac:dyDescent="0.25">
      <c r="A206" s="31" t="s">
        <v>65</v>
      </c>
      <c r="B206" t="s">
        <v>66</v>
      </c>
      <c r="C206" t="s">
        <v>67</v>
      </c>
      <c r="D206" s="30">
        <v>-1566410.6099999999</v>
      </c>
      <c r="E206" s="31">
        <v>45778</v>
      </c>
    </row>
    <row r="207" spans="1:5" x14ac:dyDescent="0.25">
      <c r="A207" s="31" t="s">
        <v>144</v>
      </c>
      <c r="B207" t="s">
        <v>145</v>
      </c>
      <c r="C207" t="s">
        <v>67</v>
      </c>
      <c r="D207" s="30">
        <v>-11435</v>
      </c>
      <c r="E207" s="31">
        <v>45778</v>
      </c>
    </row>
    <row r="208" spans="1:5" x14ac:dyDescent="0.25">
      <c r="A208" s="31" t="s">
        <v>72</v>
      </c>
      <c r="B208" t="s">
        <v>73</v>
      </c>
      <c r="C208" t="s">
        <v>227</v>
      </c>
      <c r="D208" s="30">
        <v>17750796.000641998</v>
      </c>
      <c r="E208" s="31">
        <v>45778</v>
      </c>
    </row>
    <row r="209" spans="1:5" x14ac:dyDescent="0.25">
      <c r="A209" s="31" t="s">
        <v>120</v>
      </c>
      <c r="B209" t="s">
        <v>121</v>
      </c>
      <c r="C209" t="s">
        <v>227</v>
      </c>
      <c r="D209" s="30">
        <v>493163.7300000001</v>
      </c>
      <c r="E209" s="31">
        <v>45778</v>
      </c>
    </row>
    <row r="210" spans="1:5" x14ac:dyDescent="0.25">
      <c r="A210" s="31" t="s">
        <v>63</v>
      </c>
      <c r="B210" t="s">
        <v>64</v>
      </c>
      <c r="C210" t="s">
        <v>227</v>
      </c>
      <c r="D210" s="30">
        <v>214101.29457600007</v>
      </c>
      <c r="E210" s="31">
        <v>45778</v>
      </c>
    </row>
    <row r="211" spans="1:5" x14ac:dyDescent="0.25">
      <c r="A211" s="31" t="s">
        <v>84</v>
      </c>
      <c r="B211" t="s">
        <v>85</v>
      </c>
      <c r="C211" t="s">
        <v>67</v>
      </c>
      <c r="D211" s="30">
        <v>159953.56999999998</v>
      </c>
      <c r="E211" s="31">
        <v>45778</v>
      </c>
    </row>
    <row r="212" spans="1:5" x14ac:dyDescent="0.25">
      <c r="A212" s="31" t="s">
        <v>82</v>
      </c>
      <c r="B212" t="s">
        <v>83</v>
      </c>
      <c r="C212" t="s">
        <v>228</v>
      </c>
      <c r="D212" s="30">
        <v>434176.8899999999</v>
      </c>
      <c r="E212" s="31">
        <v>45778</v>
      </c>
    </row>
    <row r="213" spans="1:5" x14ac:dyDescent="0.25">
      <c r="A213" s="31" t="s">
        <v>68</v>
      </c>
      <c r="B213" t="s">
        <v>69</v>
      </c>
      <c r="C213" t="s">
        <v>229</v>
      </c>
      <c r="D213" s="30">
        <v>-4721588.1499999994</v>
      </c>
      <c r="E213" s="31">
        <v>45778</v>
      </c>
    </row>
    <row r="214" spans="1:5" x14ac:dyDescent="0.25">
      <c r="A214" s="31" t="s">
        <v>116</v>
      </c>
      <c r="B214" t="s">
        <v>117</v>
      </c>
      <c r="C214" t="s">
        <v>143</v>
      </c>
      <c r="D214" s="30">
        <v>500864.82999999996</v>
      </c>
      <c r="E214" s="31">
        <v>45778</v>
      </c>
    </row>
    <row r="215" spans="1:5" x14ac:dyDescent="0.25">
      <c r="A215" s="31" t="s">
        <v>59</v>
      </c>
      <c r="B215" t="s">
        <v>60</v>
      </c>
      <c r="C215" t="s">
        <v>143</v>
      </c>
      <c r="D215" s="30">
        <v>924098.05999999994</v>
      </c>
      <c r="E215" s="31">
        <v>45778</v>
      </c>
    </row>
    <row r="216" spans="1:5" x14ac:dyDescent="0.25">
      <c r="A216" s="31" t="s">
        <v>146</v>
      </c>
      <c r="B216" t="s">
        <v>147</v>
      </c>
      <c r="C216" t="s">
        <v>226</v>
      </c>
      <c r="D216" s="30">
        <v>713630.58</v>
      </c>
      <c r="E216" s="31">
        <v>45778</v>
      </c>
    </row>
    <row r="217" spans="1:5" x14ac:dyDescent="0.25">
      <c r="A217" s="31" t="s">
        <v>57</v>
      </c>
      <c r="B217" t="s">
        <v>58</v>
      </c>
      <c r="C217" t="s">
        <v>230</v>
      </c>
      <c r="D217" s="30">
        <v>51581.210000000014</v>
      </c>
      <c r="E217" s="31">
        <v>45778</v>
      </c>
    </row>
    <row r="218" spans="1:5" x14ac:dyDescent="0.25">
      <c r="A218" s="31" t="s">
        <v>183</v>
      </c>
      <c r="B218" t="s">
        <v>231</v>
      </c>
      <c r="C218" t="s">
        <v>230</v>
      </c>
      <c r="D218" s="30">
        <v>-812236.13000000012</v>
      </c>
      <c r="E218" s="31">
        <v>45778</v>
      </c>
    </row>
    <row r="219" spans="1:5" x14ac:dyDescent="0.25">
      <c r="A219" s="31" t="s">
        <v>106</v>
      </c>
      <c r="B219" t="s">
        <v>107</v>
      </c>
      <c r="C219" t="s">
        <v>143</v>
      </c>
      <c r="D219" s="30">
        <v>-1537348.9299999997</v>
      </c>
      <c r="E219" s="31">
        <v>45778</v>
      </c>
    </row>
    <row r="220" spans="1:5" x14ac:dyDescent="0.25">
      <c r="A220" s="31" t="s">
        <v>122</v>
      </c>
      <c r="B220" t="s">
        <v>123</v>
      </c>
      <c r="C220" t="s">
        <v>152</v>
      </c>
      <c r="D220" s="30">
        <v>3898488.7099999995</v>
      </c>
      <c r="E220" s="31">
        <v>45778</v>
      </c>
    </row>
    <row r="221" spans="1:5" x14ac:dyDescent="0.25">
      <c r="A221" s="31" t="s">
        <v>148</v>
      </c>
      <c r="B221" t="s">
        <v>149</v>
      </c>
      <c r="C221" t="s">
        <v>226</v>
      </c>
      <c r="D221" s="30">
        <v>-490361.36569499975</v>
      </c>
      <c r="E221" s="31">
        <v>45778</v>
      </c>
    </row>
    <row r="222" spans="1:5" x14ac:dyDescent="0.25">
      <c r="A222" s="31" t="s">
        <v>190</v>
      </c>
      <c r="B222" t="s">
        <v>234</v>
      </c>
      <c r="C222" t="s">
        <v>235</v>
      </c>
      <c r="D222" s="30">
        <v>179213.66000000006</v>
      </c>
      <c r="E222" s="31">
        <v>45778</v>
      </c>
    </row>
    <row r="223" spans="1:5" x14ac:dyDescent="0.25">
      <c r="A223" s="31" t="s">
        <v>79</v>
      </c>
      <c r="B223" t="s">
        <v>80</v>
      </c>
      <c r="C223" t="s">
        <v>81</v>
      </c>
      <c r="D223" s="30">
        <v>348667.58999999997</v>
      </c>
      <c r="E223" s="31">
        <v>45778</v>
      </c>
    </row>
    <row r="224" spans="1:5" x14ac:dyDescent="0.25">
      <c r="A224" s="31" t="s">
        <v>94</v>
      </c>
      <c r="B224" t="s">
        <v>95</v>
      </c>
      <c r="C224" t="s">
        <v>152</v>
      </c>
      <c r="D224" s="30">
        <v>-10317943.206689999</v>
      </c>
      <c r="E224" s="31">
        <v>45778</v>
      </c>
    </row>
    <row r="225" spans="1:5" x14ac:dyDescent="0.25">
      <c r="A225" s="31" t="s">
        <v>76</v>
      </c>
      <c r="B225" t="s">
        <v>77</v>
      </c>
      <c r="C225" t="s">
        <v>152</v>
      </c>
      <c r="D225" s="30">
        <v>-3583581.8759189988</v>
      </c>
      <c r="E225" s="31">
        <v>45778</v>
      </c>
    </row>
    <row r="226" spans="1:5" x14ac:dyDescent="0.25">
      <c r="A226" s="31" t="s">
        <v>124</v>
      </c>
      <c r="B226" t="s">
        <v>125</v>
      </c>
      <c r="C226" t="s">
        <v>152</v>
      </c>
      <c r="D226" s="30">
        <v>-3252914.6940960004</v>
      </c>
      <c r="E226" s="31">
        <v>45778</v>
      </c>
    </row>
    <row r="227" spans="1:5" x14ac:dyDescent="0.25">
      <c r="A227" s="31" t="s">
        <v>157</v>
      </c>
      <c r="B227" t="s">
        <v>158</v>
      </c>
      <c r="C227" t="s">
        <v>152</v>
      </c>
      <c r="D227" s="30">
        <v>-491311.23000000004</v>
      </c>
      <c r="E227" s="31">
        <v>45778</v>
      </c>
    </row>
    <row r="228" spans="1:5" x14ac:dyDescent="0.25">
      <c r="A228" s="31" t="s">
        <v>100</v>
      </c>
      <c r="B228" t="s">
        <v>238</v>
      </c>
      <c r="C228" t="s">
        <v>152</v>
      </c>
      <c r="D228" s="30">
        <v>949.36000000000013</v>
      </c>
      <c r="E228" s="31">
        <v>45778</v>
      </c>
    </row>
    <row r="229" spans="1:5" x14ac:dyDescent="0.25">
      <c r="A229" s="31" t="s">
        <v>114</v>
      </c>
      <c r="B229" t="s">
        <v>115</v>
      </c>
      <c r="C229" t="s">
        <v>224</v>
      </c>
      <c r="D229" s="30">
        <v>-123427.64</v>
      </c>
      <c r="E229" s="31">
        <v>45778</v>
      </c>
    </row>
    <row r="230" spans="1:5" x14ac:dyDescent="0.25">
      <c r="A230" s="31" t="s">
        <v>70</v>
      </c>
      <c r="B230" t="s">
        <v>71</v>
      </c>
      <c r="C230" t="s">
        <v>152</v>
      </c>
      <c r="D230" s="30">
        <v>-847237.28639899998</v>
      </c>
      <c r="E230" s="31">
        <v>45778</v>
      </c>
    </row>
    <row r="231" spans="1:5" x14ac:dyDescent="0.25">
      <c r="A231" s="31" t="s">
        <v>98</v>
      </c>
      <c r="B231" t="s">
        <v>99</v>
      </c>
      <c r="C231" t="s">
        <v>81</v>
      </c>
      <c r="D231" s="30">
        <v>248137.08000000007</v>
      </c>
      <c r="E231" s="31">
        <v>45778</v>
      </c>
    </row>
    <row r="232" spans="1:5" x14ac:dyDescent="0.25">
      <c r="A232" s="31" t="s">
        <v>133</v>
      </c>
      <c r="B232" t="s">
        <v>240</v>
      </c>
      <c r="C232" t="s">
        <v>241</v>
      </c>
      <c r="D232" s="30">
        <v>220341.86</v>
      </c>
      <c r="E232" s="31">
        <v>45778</v>
      </c>
    </row>
    <row r="233" spans="1:5" x14ac:dyDescent="0.25">
      <c r="A233" s="31" t="s">
        <v>131</v>
      </c>
      <c r="B233" t="s">
        <v>132</v>
      </c>
      <c r="C233" t="s">
        <v>67</v>
      </c>
      <c r="D233" s="30">
        <v>456451.49</v>
      </c>
      <c r="E233" s="31">
        <v>45778</v>
      </c>
    </row>
    <row r="234" spans="1:5" x14ac:dyDescent="0.25">
      <c r="A234" s="31" t="s">
        <v>74</v>
      </c>
      <c r="B234" t="s">
        <v>75</v>
      </c>
      <c r="C234" t="s">
        <v>67</v>
      </c>
      <c r="D234" s="30">
        <v>-727535.53000000014</v>
      </c>
      <c r="E234" s="31">
        <v>45778</v>
      </c>
    </row>
    <row r="235" spans="1:5" x14ac:dyDescent="0.25">
      <c r="A235" s="31" t="s">
        <v>200</v>
      </c>
      <c r="B235" t="s">
        <v>244</v>
      </c>
      <c r="C235" t="s">
        <v>230</v>
      </c>
      <c r="D235" s="30">
        <v>846509.6399999999</v>
      </c>
      <c r="E235" s="31">
        <v>45778</v>
      </c>
    </row>
    <row r="236" spans="1:5" x14ac:dyDescent="0.25">
      <c r="A236" s="31" t="s">
        <v>163</v>
      </c>
      <c r="B236" t="s">
        <v>164</v>
      </c>
      <c r="C236" t="s">
        <v>67</v>
      </c>
      <c r="D236" s="30">
        <v>292000</v>
      </c>
      <c r="E236" s="31">
        <v>45778</v>
      </c>
    </row>
    <row r="237" spans="1:5" x14ac:dyDescent="0.25">
      <c r="A237" s="31" t="s">
        <v>96</v>
      </c>
      <c r="B237" t="s">
        <v>97</v>
      </c>
      <c r="C237" t="s">
        <v>81</v>
      </c>
      <c r="D237" s="30">
        <v>-640363.09000000032</v>
      </c>
      <c r="E237" s="31">
        <v>45778</v>
      </c>
    </row>
    <row r="238" spans="1:5" x14ac:dyDescent="0.25">
      <c r="A238" s="31" t="s">
        <v>90</v>
      </c>
      <c r="B238" t="s">
        <v>91</v>
      </c>
      <c r="C238" t="s">
        <v>81</v>
      </c>
      <c r="D238" s="30">
        <v>-1896201.5199999993</v>
      </c>
      <c r="E238" s="31">
        <v>45778</v>
      </c>
    </row>
    <row r="239" spans="1:5" x14ac:dyDescent="0.25">
      <c r="A239" s="31" t="s">
        <v>112</v>
      </c>
      <c r="B239" t="s">
        <v>113</v>
      </c>
      <c r="C239" t="s">
        <v>81</v>
      </c>
      <c r="D239" s="30">
        <v>715099.66708900023</v>
      </c>
      <c r="E239" s="31">
        <v>45778</v>
      </c>
    </row>
    <row r="240" spans="1:5" x14ac:dyDescent="0.25">
      <c r="A240" s="31" t="s">
        <v>61</v>
      </c>
      <c r="B240" t="s">
        <v>62</v>
      </c>
      <c r="C240" t="s">
        <v>226</v>
      </c>
      <c r="D240" s="30">
        <v>-70117.669999999984</v>
      </c>
      <c r="E240" s="31">
        <v>45778</v>
      </c>
    </row>
    <row r="241" spans="1:5" x14ac:dyDescent="0.25">
      <c r="A241" s="31" t="s">
        <v>102</v>
      </c>
      <c r="B241" t="s">
        <v>103</v>
      </c>
      <c r="C241" t="s">
        <v>152</v>
      </c>
      <c r="D241" s="30">
        <v>-1249140.9239140006</v>
      </c>
      <c r="E241" s="31">
        <v>45778</v>
      </c>
    </row>
    <row r="242" spans="1:5" x14ac:dyDescent="0.25">
      <c r="A242" s="31" t="s">
        <v>54</v>
      </c>
      <c r="B242" t="s">
        <v>55</v>
      </c>
      <c r="C242" t="s">
        <v>227</v>
      </c>
      <c r="D242" s="30">
        <v>-1806797.5222919995</v>
      </c>
      <c r="E242" s="31">
        <v>45778</v>
      </c>
    </row>
    <row r="243" spans="1:5" x14ac:dyDescent="0.25">
      <c r="A243" s="31" t="s">
        <v>118</v>
      </c>
      <c r="B243" t="s">
        <v>119</v>
      </c>
      <c r="C243" t="s">
        <v>143</v>
      </c>
      <c r="D243" s="30">
        <v>913662.67</v>
      </c>
      <c r="E243" s="31">
        <v>45778</v>
      </c>
    </row>
    <row r="244" spans="1:5" x14ac:dyDescent="0.25">
      <c r="A244" s="31" t="s">
        <v>86</v>
      </c>
      <c r="B244" t="s">
        <v>87</v>
      </c>
      <c r="C244" t="s">
        <v>152</v>
      </c>
      <c r="D244" s="30">
        <v>-29638042.363024</v>
      </c>
      <c r="E244" s="31">
        <v>45778</v>
      </c>
    </row>
    <row r="245" spans="1:5" x14ac:dyDescent="0.25">
      <c r="A245" s="31" t="s">
        <v>170</v>
      </c>
      <c r="B245" t="s">
        <v>171</v>
      </c>
      <c r="C245" t="s">
        <v>81</v>
      </c>
      <c r="D245" s="30">
        <v>-11602.550000000014</v>
      </c>
      <c r="E245" s="31">
        <v>45778</v>
      </c>
    </row>
    <row r="246" spans="1:5" x14ac:dyDescent="0.25">
      <c r="A246" s="31" t="s">
        <v>206</v>
      </c>
      <c r="B246" t="s">
        <v>251</v>
      </c>
      <c r="C246" t="s">
        <v>230</v>
      </c>
      <c r="D246" s="30">
        <v>7788.1999999999971</v>
      </c>
      <c r="E246" s="31">
        <v>45778</v>
      </c>
    </row>
    <row r="247" spans="1:5" x14ac:dyDescent="0.25">
      <c r="A247" s="31" t="s">
        <v>203</v>
      </c>
      <c r="B247" t="s">
        <v>247</v>
      </c>
      <c r="C247" t="s">
        <v>247</v>
      </c>
      <c r="D247" s="30">
        <v>-662663.756864</v>
      </c>
      <c r="E247" s="31">
        <v>45778</v>
      </c>
    </row>
    <row r="248" spans="1:5" x14ac:dyDescent="0.25">
      <c r="A248" s="31" t="s">
        <v>205</v>
      </c>
      <c r="B248" t="s">
        <v>250</v>
      </c>
      <c r="C248" t="s">
        <v>152</v>
      </c>
      <c r="D248" s="30">
        <v>-417977.65513699997</v>
      </c>
      <c r="E248" s="31">
        <v>45778</v>
      </c>
    </row>
    <row r="249" spans="1:5" x14ac:dyDescent="0.25">
      <c r="A249" s="31" t="s">
        <v>204</v>
      </c>
      <c r="B249" t="s">
        <v>247</v>
      </c>
      <c r="C249" t="s">
        <v>247</v>
      </c>
      <c r="D249" s="30">
        <v>-319822.6284419999</v>
      </c>
      <c r="E249" s="31">
        <v>45778</v>
      </c>
    </row>
    <row r="250" spans="1:5" x14ac:dyDescent="0.25">
      <c r="A250" s="31" t="s">
        <v>197</v>
      </c>
      <c r="B250" t="s">
        <v>248</v>
      </c>
      <c r="C250" t="s">
        <v>224</v>
      </c>
      <c r="D250" s="30">
        <v>-5145422.0300600007</v>
      </c>
      <c r="E250" s="31">
        <v>45778</v>
      </c>
    </row>
    <row r="251" spans="1:5" x14ac:dyDescent="0.25">
      <c r="A251" s="31" t="s">
        <v>202</v>
      </c>
      <c r="B251" t="s">
        <v>223</v>
      </c>
      <c r="C251" t="s">
        <v>224</v>
      </c>
      <c r="D251" s="30">
        <v>-5010.59</v>
      </c>
      <c r="E251" s="31">
        <v>45809</v>
      </c>
    </row>
    <row r="252" spans="1:5" x14ac:dyDescent="0.25">
      <c r="A252" s="31" t="s">
        <v>65</v>
      </c>
      <c r="B252" t="s">
        <v>66</v>
      </c>
      <c r="C252" t="s">
        <v>67</v>
      </c>
      <c r="D252" s="30">
        <v>4583903.6419999981</v>
      </c>
      <c r="E252" s="31">
        <v>45809</v>
      </c>
    </row>
    <row r="253" spans="1:5" x14ac:dyDescent="0.25">
      <c r="A253" s="31" t="s">
        <v>144</v>
      </c>
      <c r="B253" t="s">
        <v>145</v>
      </c>
      <c r="C253" t="s">
        <v>67</v>
      </c>
      <c r="D253" s="30">
        <v>-40604.83</v>
      </c>
      <c r="E253" s="31">
        <v>45809</v>
      </c>
    </row>
    <row r="254" spans="1:5" x14ac:dyDescent="0.25">
      <c r="A254" s="31" t="s">
        <v>72</v>
      </c>
      <c r="B254" t="s">
        <v>73</v>
      </c>
      <c r="C254" t="s">
        <v>227</v>
      </c>
      <c r="D254" s="30">
        <v>-6760293.4299999997</v>
      </c>
      <c r="E254" s="31">
        <v>45809</v>
      </c>
    </row>
    <row r="255" spans="1:5" x14ac:dyDescent="0.25">
      <c r="A255" s="31" t="s">
        <v>120</v>
      </c>
      <c r="B255" t="s">
        <v>121</v>
      </c>
      <c r="C255" t="s">
        <v>227</v>
      </c>
      <c r="D255" s="30">
        <v>572271.8459999999</v>
      </c>
      <c r="E255" s="31">
        <v>45809</v>
      </c>
    </row>
    <row r="256" spans="1:5" x14ac:dyDescent="0.25">
      <c r="A256" s="31" t="s">
        <v>63</v>
      </c>
      <c r="B256" t="s">
        <v>64</v>
      </c>
      <c r="C256" t="s">
        <v>227</v>
      </c>
      <c r="D256" s="30">
        <v>-368547.59191900014</v>
      </c>
      <c r="E256" s="31">
        <v>45809</v>
      </c>
    </row>
    <row r="257" spans="1:5" x14ac:dyDescent="0.25">
      <c r="A257" s="31" t="s">
        <v>84</v>
      </c>
      <c r="B257" t="s">
        <v>85</v>
      </c>
      <c r="C257" t="s">
        <v>67</v>
      </c>
      <c r="D257" s="30">
        <v>-41785.109999999993</v>
      </c>
      <c r="E257" s="31">
        <v>45809</v>
      </c>
    </row>
    <row r="258" spans="1:5" x14ac:dyDescent="0.25">
      <c r="A258" s="31" t="s">
        <v>82</v>
      </c>
      <c r="B258" t="s">
        <v>83</v>
      </c>
      <c r="C258" t="s">
        <v>228</v>
      </c>
      <c r="D258" s="30">
        <v>-193799.05800000014</v>
      </c>
      <c r="E258" s="31">
        <v>45809</v>
      </c>
    </row>
    <row r="259" spans="1:5" x14ac:dyDescent="0.25">
      <c r="A259" s="31" t="s">
        <v>68</v>
      </c>
      <c r="B259" t="s">
        <v>69</v>
      </c>
      <c r="C259" t="s">
        <v>229</v>
      </c>
      <c r="D259" s="30">
        <v>-303765.62999999989</v>
      </c>
      <c r="E259" s="31">
        <v>45809</v>
      </c>
    </row>
    <row r="260" spans="1:5" x14ac:dyDescent="0.25">
      <c r="A260" s="31" t="s">
        <v>116</v>
      </c>
      <c r="B260" t="s">
        <v>117</v>
      </c>
      <c r="C260" t="s">
        <v>143</v>
      </c>
      <c r="D260" s="30">
        <v>-410841.43590500008</v>
      </c>
      <c r="E260" s="31">
        <v>45809</v>
      </c>
    </row>
    <row r="261" spans="1:5" x14ac:dyDescent="0.25">
      <c r="A261" s="31" t="s">
        <v>59</v>
      </c>
      <c r="B261" t="s">
        <v>60</v>
      </c>
      <c r="C261" t="s">
        <v>143</v>
      </c>
      <c r="D261" s="30">
        <v>-269395.50000000006</v>
      </c>
      <c r="E261" s="31">
        <v>45809</v>
      </c>
    </row>
    <row r="262" spans="1:5" x14ac:dyDescent="0.25">
      <c r="A262" s="31" t="s">
        <v>146</v>
      </c>
      <c r="B262" t="s">
        <v>147</v>
      </c>
      <c r="C262" t="s">
        <v>226</v>
      </c>
      <c r="D262" s="30">
        <v>15816.740000000002</v>
      </c>
      <c r="E262" s="31">
        <v>45809</v>
      </c>
    </row>
    <row r="263" spans="1:5" x14ac:dyDescent="0.25">
      <c r="A263" s="31" t="s">
        <v>57</v>
      </c>
      <c r="B263" t="s">
        <v>58</v>
      </c>
      <c r="C263" t="s">
        <v>230</v>
      </c>
      <c r="D263" s="30">
        <v>-126660.13507300001</v>
      </c>
      <c r="E263" s="31">
        <v>45809</v>
      </c>
    </row>
    <row r="264" spans="1:5" x14ac:dyDescent="0.25">
      <c r="A264" s="31" t="s">
        <v>106</v>
      </c>
      <c r="B264" t="s">
        <v>107</v>
      </c>
      <c r="C264" t="s">
        <v>143</v>
      </c>
      <c r="D264" s="30">
        <v>-2877329.434041</v>
      </c>
      <c r="E264" s="31">
        <v>45809</v>
      </c>
    </row>
    <row r="265" spans="1:5" x14ac:dyDescent="0.25">
      <c r="A265" s="31" t="s">
        <v>122</v>
      </c>
      <c r="B265" t="s">
        <v>123</v>
      </c>
      <c r="C265" t="s">
        <v>152</v>
      </c>
      <c r="D265" s="30">
        <v>349944.14999999979</v>
      </c>
      <c r="E265" s="31">
        <v>45809</v>
      </c>
    </row>
    <row r="266" spans="1:5" x14ac:dyDescent="0.25">
      <c r="A266" s="31" t="s">
        <v>148</v>
      </c>
      <c r="B266" t="s">
        <v>149</v>
      </c>
      <c r="C266" t="s">
        <v>226</v>
      </c>
      <c r="D266" s="30">
        <v>99279.50999999998</v>
      </c>
      <c r="E266" s="31">
        <v>45809</v>
      </c>
    </row>
    <row r="267" spans="1:5" x14ac:dyDescent="0.25">
      <c r="A267" s="31" t="s">
        <v>190</v>
      </c>
      <c r="B267" t="s">
        <v>234</v>
      </c>
      <c r="C267" t="s">
        <v>235</v>
      </c>
      <c r="D267" s="30">
        <v>863547.34</v>
      </c>
      <c r="E267" s="31">
        <v>45809</v>
      </c>
    </row>
    <row r="268" spans="1:5" x14ac:dyDescent="0.25">
      <c r="A268" s="31" t="s">
        <v>79</v>
      </c>
      <c r="B268" t="s">
        <v>80</v>
      </c>
      <c r="C268" t="s">
        <v>81</v>
      </c>
      <c r="D268" s="30">
        <v>481157.18</v>
      </c>
      <c r="E268" s="31">
        <v>45809</v>
      </c>
    </row>
    <row r="269" spans="1:5" x14ac:dyDescent="0.25">
      <c r="A269" s="31" t="s">
        <v>94</v>
      </c>
      <c r="B269" t="s">
        <v>95</v>
      </c>
      <c r="C269" t="s">
        <v>152</v>
      </c>
      <c r="D269" s="30">
        <v>-11187731.347758999</v>
      </c>
      <c r="E269" s="31">
        <v>45809</v>
      </c>
    </row>
    <row r="270" spans="1:5" x14ac:dyDescent="0.25">
      <c r="A270" s="31" t="s">
        <v>76</v>
      </c>
      <c r="B270" t="s">
        <v>77</v>
      </c>
      <c r="C270" t="s">
        <v>152</v>
      </c>
      <c r="D270" s="30">
        <v>-2215043.7652509999</v>
      </c>
      <c r="E270" s="31">
        <v>45809</v>
      </c>
    </row>
    <row r="271" spans="1:5" x14ac:dyDescent="0.25">
      <c r="A271" s="31" t="s">
        <v>124</v>
      </c>
      <c r="B271" t="s">
        <v>125</v>
      </c>
      <c r="C271" t="s">
        <v>152</v>
      </c>
      <c r="D271" s="30">
        <v>-5667466.1813990017</v>
      </c>
      <c r="E271" s="31">
        <v>45809</v>
      </c>
    </row>
    <row r="272" spans="1:5" x14ac:dyDescent="0.25">
      <c r="A272" s="31" t="s">
        <v>157</v>
      </c>
      <c r="B272" t="s">
        <v>158</v>
      </c>
      <c r="C272" t="s">
        <v>152</v>
      </c>
      <c r="D272" s="30">
        <v>20144.879999999983</v>
      </c>
      <c r="E272" s="31">
        <v>45809</v>
      </c>
    </row>
    <row r="273" spans="1:5" x14ac:dyDescent="0.25">
      <c r="A273" s="31" t="s">
        <v>100</v>
      </c>
      <c r="B273" t="s">
        <v>238</v>
      </c>
      <c r="C273" t="s">
        <v>152</v>
      </c>
      <c r="D273" s="30">
        <v>210436.50999999998</v>
      </c>
      <c r="E273" s="31">
        <v>45809</v>
      </c>
    </row>
    <row r="274" spans="1:5" x14ac:dyDescent="0.25">
      <c r="A274" s="31" t="s">
        <v>114</v>
      </c>
      <c r="B274" t="s">
        <v>115</v>
      </c>
      <c r="C274" t="s">
        <v>224</v>
      </c>
      <c r="D274" s="30">
        <v>-1299596.2397809997</v>
      </c>
      <c r="E274" s="31">
        <v>45809</v>
      </c>
    </row>
    <row r="275" spans="1:5" x14ac:dyDescent="0.25">
      <c r="A275" s="31" t="s">
        <v>70</v>
      </c>
      <c r="B275" t="s">
        <v>71</v>
      </c>
      <c r="C275" t="s">
        <v>152</v>
      </c>
      <c r="D275" s="30">
        <v>-994239.87499499996</v>
      </c>
      <c r="E275" s="31">
        <v>45809</v>
      </c>
    </row>
    <row r="276" spans="1:5" x14ac:dyDescent="0.25">
      <c r="A276" s="31" t="s">
        <v>98</v>
      </c>
      <c r="B276" t="s">
        <v>99</v>
      </c>
      <c r="C276" t="s">
        <v>81</v>
      </c>
      <c r="D276" s="30">
        <v>1000463.63717</v>
      </c>
      <c r="E276" s="31">
        <v>45809</v>
      </c>
    </row>
    <row r="277" spans="1:5" x14ac:dyDescent="0.25">
      <c r="A277" s="31" t="s">
        <v>133</v>
      </c>
      <c r="B277" t="s">
        <v>240</v>
      </c>
      <c r="C277" t="s">
        <v>241</v>
      </c>
      <c r="D277" s="30">
        <v>709858.93000000017</v>
      </c>
      <c r="E277" s="31">
        <v>45809</v>
      </c>
    </row>
    <row r="278" spans="1:5" x14ac:dyDescent="0.25">
      <c r="A278" s="31" t="s">
        <v>131</v>
      </c>
      <c r="B278" t="s">
        <v>132</v>
      </c>
      <c r="C278" t="s">
        <v>67</v>
      </c>
      <c r="D278" s="30">
        <v>1125475.1420000002</v>
      </c>
      <c r="E278" s="31">
        <v>45809</v>
      </c>
    </row>
    <row r="279" spans="1:5" x14ac:dyDescent="0.25">
      <c r="A279" s="31" t="s">
        <v>74</v>
      </c>
      <c r="B279" t="s">
        <v>75</v>
      </c>
      <c r="C279" t="s">
        <v>67</v>
      </c>
      <c r="D279" s="30">
        <v>-412052.94999999995</v>
      </c>
      <c r="E279" s="31">
        <v>45809</v>
      </c>
    </row>
    <row r="280" spans="1:5" x14ac:dyDescent="0.25">
      <c r="A280" s="31" t="s">
        <v>200</v>
      </c>
      <c r="B280" t="s">
        <v>244</v>
      </c>
      <c r="C280" t="s">
        <v>230</v>
      </c>
      <c r="D280" s="30">
        <v>-17078.819999999996</v>
      </c>
      <c r="E280" s="31">
        <v>45809</v>
      </c>
    </row>
    <row r="281" spans="1:5" x14ac:dyDescent="0.25">
      <c r="A281" s="31" t="s">
        <v>96</v>
      </c>
      <c r="B281" t="s">
        <v>97</v>
      </c>
      <c r="C281" t="s">
        <v>81</v>
      </c>
      <c r="D281" s="30">
        <v>-1698362.98</v>
      </c>
      <c r="E281" s="31">
        <v>45809</v>
      </c>
    </row>
    <row r="282" spans="1:5" x14ac:dyDescent="0.25">
      <c r="A282" s="31" t="s">
        <v>90</v>
      </c>
      <c r="B282" t="s">
        <v>91</v>
      </c>
      <c r="C282" t="s">
        <v>81</v>
      </c>
      <c r="D282" s="30">
        <v>-236027.44</v>
      </c>
      <c r="E282" s="31">
        <v>45809</v>
      </c>
    </row>
    <row r="283" spans="1:5" x14ac:dyDescent="0.25">
      <c r="A283" s="31" t="s">
        <v>112</v>
      </c>
      <c r="B283" t="s">
        <v>113</v>
      </c>
      <c r="C283" t="s">
        <v>81</v>
      </c>
      <c r="D283" s="30">
        <v>1610795.4799999995</v>
      </c>
      <c r="E283" s="31">
        <v>45809</v>
      </c>
    </row>
    <row r="284" spans="1:5" x14ac:dyDescent="0.25">
      <c r="A284" s="31" t="s">
        <v>61</v>
      </c>
      <c r="B284" t="s">
        <v>62</v>
      </c>
      <c r="C284" t="s">
        <v>226</v>
      </c>
      <c r="D284" s="30">
        <v>1312406.5</v>
      </c>
      <c r="E284" s="31">
        <v>45809</v>
      </c>
    </row>
    <row r="285" spans="1:5" x14ac:dyDescent="0.25">
      <c r="A285" s="31" t="s">
        <v>102</v>
      </c>
      <c r="B285" t="s">
        <v>103</v>
      </c>
      <c r="C285" t="s">
        <v>152</v>
      </c>
      <c r="D285" s="30">
        <v>-4446068.3873070003</v>
      </c>
      <c r="E285" s="31">
        <v>45809</v>
      </c>
    </row>
    <row r="286" spans="1:5" x14ac:dyDescent="0.25">
      <c r="A286" s="31" t="s">
        <v>54</v>
      </c>
      <c r="B286" t="s">
        <v>55</v>
      </c>
      <c r="C286" t="s">
        <v>227</v>
      </c>
      <c r="D286" s="30">
        <v>-308113.74800000008</v>
      </c>
      <c r="E286" s="31">
        <v>45809</v>
      </c>
    </row>
    <row r="287" spans="1:5" x14ac:dyDescent="0.25">
      <c r="A287" s="31" t="s">
        <v>118</v>
      </c>
      <c r="B287" t="s">
        <v>119</v>
      </c>
      <c r="C287" t="s">
        <v>143</v>
      </c>
      <c r="D287" s="30">
        <v>142751.57</v>
      </c>
      <c r="E287" s="31">
        <v>45809</v>
      </c>
    </row>
    <row r="288" spans="1:5" x14ac:dyDescent="0.25">
      <c r="A288" s="31" t="s">
        <v>86</v>
      </c>
      <c r="B288" t="s">
        <v>87</v>
      </c>
      <c r="C288" t="s">
        <v>152</v>
      </c>
      <c r="D288" s="30">
        <v>-3791056.1988139995</v>
      </c>
      <c r="E288" s="31">
        <v>45809</v>
      </c>
    </row>
    <row r="289" spans="1:5" x14ac:dyDescent="0.25">
      <c r="A289" s="31" t="s">
        <v>170</v>
      </c>
      <c r="B289" t="s">
        <v>171</v>
      </c>
      <c r="C289" t="s">
        <v>81</v>
      </c>
      <c r="D289" s="30">
        <v>-86253.035999999978</v>
      </c>
      <c r="E289" s="31">
        <v>45809</v>
      </c>
    </row>
    <row r="290" spans="1:5" x14ac:dyDescent="0.25">
      <c r="A290" s="31" t="s">
        <v>206</v>
      </c>
      <c r="B290" t="s">
        <v>251</v>
      </c>
      <c r="C290" t="s">
        <v>230</v>
      </c>
      <c r="D290" s="30">
        <v>-46377.78</v>
      </c>
      <c r="E290" s="31">
        <v>45809</v>
      </c>
    </row>
    <row r="291" spans="1:5" x14ac:dyDescent="0.25">
      <c r="A291" s="31" t="s">
        <v>203</v>
      </c>
      <c r="B291" t="s">
        <v>247</v>
      </c>
      <c r="C291" t="s">
        <v>247</v>
      </c>
      <c r="D291" s="30">
        <v>-174413.02599999998</v>
      </c>
      <c r="E291" s="31">
        <v>45809</v>
      </c>
    </row>
    <row r="292" spans="1:5" x14ac:dyDescent="0.25">
      <c r="A292" s="31" t="s">
        <v>205</v>
      </c>
      <c r="B292" t="s">
        <v>250</v>
      </c>
      <c r="C292" t="s">
        <v>152</v>
      </c>
      <c r="D292" s="30">
        <v>-681043.5105509999</v>
      </c>
      <c r="E292" s="31">
        <v>45809</v>
      </c>
    </row>
    <row r="293" spans="1:5" x14ac:dyDescent="0.25">
      <c r="A293" s="31" t="s">
        <v>204</v>
      </c>
      <c r="B293" t="s">
        <v>247</v>
      </c>
      <c r="C293" t="s">
        <v>247</v>
      </c>
      <c r="D293" s="30">
        <v>-437331.118158</v>
      </c>
      <c r="E293" s="31">
        <v>45809</v>
      </c>
    </row>
    <row r="294" spans="1:5" x14ac:dyDescent="0.25">
      <c r="A294" s="31" t="s">
        <v>128</v>
      </c>
      <c r="B294" t="s">
        <v>129</v>
      </c>
      <c r="C294" t="s">
        <v>67</v>
      </c>
      <c r="D294" s="30">
        <v>357288.01000000007</v>
      </c>
      <c r="E294" s="31">
        <v>45809</v>
      </c>
    </row>
    <row r="295" spans="1:5" x14ac:dyDescent="0.25">
      <c r="A295" s="31" t="s">
        <v>197</v>
      </c>
      <c r="B295" t="s">
        <v>248</v>
      </c>
      <c r="C295" t="s">
        <v>224</v>
      </c>
      <c r="D295" s="30">
        <v>-6731592.1752390014</v>
      </c>
      <c r="E295" s="31">
        <v>45809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BF8F-89B3-4763-9E9D-3B8336E8E6CD}">
  <dimension ref="A1:E21813"/>
  <sheetViews>
    <sheetView workbookViewId="0">
      <selection activeCell="D95" sqref="D95"/>
    </sheetView>
  </sheetViews>
  <sheetFormatPr defaultRowHeight="15" x14ac:dyDescent="0.25"/>
  <cols>
    <col min="1" max="1" width="11.5703125" bestFit="1" customWidth="1"/>
    <col min="2" max="2" width="20" bestFit="1" customWidth="1"/>
    <col min="3" max="3" width="17.5703125" bestFit="1" customWidth="1"/>
    <col min="4" max="4" width="17.28515625" bestFit="1" customWidth="1"/>
    <col min="5" max="5" width="10.42578125" style="31" bestFit="1" customWidth="1"/>
  </cols>
  <sheetData>
    <row r="1" spans="1:5" x14ac:dyDescent="0.25">
      <c r="A1" t="s">
        <v>213</v>
      </c>
      <c r="B1" t="s">
        <v>219</v>
      </c>
      <c r="C1" t="s">
        <v>40</v>
      </c>
      <c r="D1" t="s">
        <v>220</v>
      </c>
      <c r="E1" s="31" t="s">
        <v>221</v>
      </c>
    </row>
    <row r="2" spans="1:5" x14ac:dyDescent="0.25">
      <c r="A2" s="31" t="s">
        <v>65</v>
      </c>
      <c r="B2" t="s">
        <v>66</v>
      </c>
      <c r="C2" t="s">
        <v>67</v>
      </c>
      <c r="D2" s="30">
        <v>40207918.019999996</v>
      </c>
      <c r="E2" s="31">
        <v>45839</v>
      </c>
    </row>
    <row r="3" spans="1:5" x14ac:dyDescent="0.25">
      <c r="A3" s="31" t="s">
        <v>144</v>
      </c>
      <c r="B3" t="s">
        <v>145</v>
      </c>
      <c r="C3" t="s">
        <v>67</v>
      </c>
      <c r="D3" s="30">
        <v>234197.02000000002</v>
      </c>
      <c r="E3" s="31">
        <v>45839</v>
      </c>
    </row>
    <row r="4" spans="1:5" x14ac:dyDescent="0.25">
      <c r="A4" s="31" t="s">
        <v>72</v>
      </c>
      <c r="B4" t="s">
        <v>73</v>
      </c>
      <c r="C4" t="s">
        <v>227</v>
      </c>
      <c r="D4" s="30">
        <v>-6695814.7978399992</v>
      </c>
      <c r="E4" s="31">
        <v>45839</v>
      </c>
    </row>
    <row r="5" spans="1:5" x14ac:dyDescent="0.25">
      <c r="A5" s="31" t="s">
        <v>120</v>
      </c>
      <c r="B5" t="s">
        <v>121</v>
      </c>
      <c r="C5" t="s">
        <v>227</v>
      </c>
      <c r="D5" s="30">
        <v>1396605.6571480019</v>
      </c>
      <c r="E5" s="31">
        <v>45839</v>
      </c>
    </row>
    <row r="6" spans="1:5" x14ac:dyDescent="0.25">
      <c r="A6" s="31" t="s">
        <v>63</v>
      </c>
      <c r="B6" t="s">
        <v>64</v>
      </c>
      <c r="C6" t="s">
        <v>227</v>
      </c>
      <c r="D6" s="30">
        <v>-466338.33652199997</v>
      </c>
      <c r="E6" s="31">
        <v>45839</v>
      </c>
    </row>
    <row r="7" spans="1:5" x14ac:dyDescent="0.25">
      <c r="A7" s="31" t="s">
        <v>84</v>
      </c>
      <c r="B7" t="s">
        <v>85</v>
      </c>
      <c r="C7" t="s">
        <v>67</v>
      </c>
      <c r="D7" s="30">
        <v>-237950.16000000006</v>
      </c>
      <c r="E7" s="31">
        <v>45839</v>
      </c>
    </row>
    <row r="8" spans="1:5" x14ac:dyDescent="0.25">
      <c r="A8" s="31" t="s">
        <v>82</v>
      </c>
      <c r="B8" t="s">
        <v>83</v>
      </c>
      <c r="C8" t="s">
        <v>228</v>
      </c>
      <c r="D8" s="30">
        <v>2497506.4683279986</v>
      </c>
      <c r="E8" s="31">
        <v>45839</v>
      </c>
    </row>
    <row r="9" spans="1:5" x14ac:dyDescent="0.25">
      <c r="A9" s="31" t="s">
        <v>68</v>
      </c>
      <c r="B9" t="s">
        <v>69</v>
      </c>
      <c r="C9" t="s">
        <v>229</v>
      </c>
      <c r="D9" s="30">
        <v>444218.4099999998</v>
      </c>
      <c r="E9" s="31">
        <v>45839</v>
      </c>
    </row>
    <row r="10" spans="1:5" x14ac:dyDescent="0.25">
      <c r="A10" s="31" t="s">
        <v>116</v>
      </c>
      <c r="B10" t="s">
        <v>117</v>
      </c>
      <c r="C10" t="s">
        <v>143</v>
      </c>
      <c r="D10" s="30">
        <v>74658.782000000021</v>
      </c>
      <c r="E10" s="31">
        <v>45839</v>
      </c>
    </row>
    <row r="11" spans="1:5" x14ac:dyDescent="0.25">
      <c r="A11" s="31" t="s">
        <v>59</v>
      </c>
      <c r="B11" t="s">
        <v>60</v>
      </c>
      <c r="C11" t="s">
        <v>143</v>
      </c>
      <c r="D11" s="30">
        <v>-331810.96199999994</v>
      </c>
      <c r="E11" s="31">
        <v>45839</v>
      </c>
    </row>
    <row r="12" spans="1:5" x14ac:dyDescent="0.25">
      <c r="A12" s="31" t="s">
        <v>146</v>
      </c>
      <c r="B12" t="s">
        <v>147</v>
      </c>
      <c r="C12" t="s">
        <v>226</v>
      </c>
      <c r="D12" s="30">
        <v>64730.825942931304</v>
      </c>
      <c r="E12" s="31">
        <v>45839</v>
      </c>
    </row>
    <row r="13" spans="1:5" x14ac:dyDescent="0.25">
      <c r="A13" s="31" t="s">
        <v>139</v>
      </c>
      <c r="B13" t="s">
        <v>247</v>
      </c>
      <c r="C13" t="s">
        <v>247</v>
      </c>
      <c r="D13" s="30">
        <v>-9381.619999999999</v>
      </c>
      <c r="E13" s="31">
        <v>45839</v>
      </c>
    </row>
    <row r="14" spans="1:5" x14ac:dyDescent="0.25">
      <c r="A14" s="31" t="s">
        <v>57</v>
      </c>
      <c r="B14" t="s">
        <v>58</v>
      </c>
      <c r="C14" t="s">
        <v>230</v>
      </c>
      <c r="D14" s="30">
        <v>-216611.82999999996</v>
      </c>
      <c r="E14" s="31">
        <v>45839</v>
      </c>
    </row>
    <row r="15" spans="1:5" x14ac:dyDescent="0.25">
      <c r="A15" s="31" t="s">
        <v>106</v>
      </c>
      <c r="B15" t="s">
        <v>107</v>
      </c>
      <c r="C15" t="s">
        <v>143</v>
      </c>
      <c r="D15" s="30">
        <v>4463020.7100000009</v>
      </c>
      <c r="E15" s="31">
        <v>45839</v>
      </c>
    </row>
    <row r="16" spans="1:5" x14ac:dyDescent="0.25">
      <c r="A16" s="31" t="s">
        <v>122</v>
      </c>
      <c r="B16" t="s">
        <v>123</v>
      </c>
      <c r="C16" t="s">
        <v>152</v>
      </c>
      <c r="D16" s="30">
        <v>-728982.24000000022</v>
      </c>
      <c r="E16" s="31">
        <v>45839</v>
      </c>
    </row>
    <row r="17" spans="1:5" x14ac:dyDescent="0.25">
      <c r="A17" s="31" t="s">
        <v>148</v>
      </c>
      <c r="B17" t="s">
        <v>149</v>
      </c>
      <c r="C17" t="s">
        <v>226</v>
      </c>
      <c r="D17" s="30">
        <v>-244295.16</v>
      </c>
      <c r="E17" s="31">
        <v>45839</v>
      </c>
    </row>
    <row r="18" spans="1:5" x14ac:dyDescent="0.25">
      <c r="A18" s="31" t="s">
        <v>208</v>
      </c>
      <c r="B18" t="s">
        <v>252</v>
      </c>
      <c r="C18" t="s">
        <v>152</v>
      </c>
      <c r="D18" s="30">
        <v>-354488.50000000006</v>
      </c>
      <c r="E18" s="31">
        <v>45839</v>
      </c>
    </row>
    <row r="19" spans="1:5" x14ac:dyDescent="0.25">
      <c r="A19" s="31" t="s">
        <v>190</v>
      </c>
      <c r="B19" t="s">
        <v>234</v>
      </c>
      <c r="C19" t="s">
        <v>235</v>
      </c>
      <c r="D19" s="30">
        <v>949347.0901179997</v>
      </c>
      <c r="E19" s="31">
        <v>45839</v>
      </c>
    </row>
    <row r="20" spans="1:5" x14ac:dyDescent="0.25">
      <c r="A20" s="31" t="s">
        <v>79</v>
      </c>
      <c r="B20" t="s">
        <v>80</v>
      </c>
      <c r="C20" t="s">
        <v>81</v>
      </c>
      <c r="D20" s="30">
        <v>4275.2399999999616</v>
      </c>
      <c r="E20" s="31">
        <v>45839</v>
      </c>
    </row>
    <row r="21" spans="1:5" x14ac:dyDescent="0.25">
      <c r="A21" s="31" t="s">
        <v>94</v>
      </c>
      <c r="B21" t="s">
        <v>95</v>
      </c>
      <c r="C21" t="s">
        <v>152</v>
      </c>
      <c r="D21" s="30">
        <v>-828363.37507300056</v>
      </c>
      <c r="E21" s="31">
        <v>45839</v>
      </c>
    </row>
    <row r="22" spans="1:5" x14ac:dyDescent="0.25">
      <c r="A22" s="31" t="s">
        <v>76</v>
      </c>
      <c r="B22" t="s">
        <v>77</v>
      </c>
      <c r="C22" t="s">
        <v>152</v>
      </c>
      <c r="D22" s="30">
        <v>-2410234.4549389998</v>
      </c>
      <c r="E22" s="31">
        <v>45839</v>
      </c>
    </row>
    <row r="23" spans="1:5" x14ac:dyDescent="0.25">
      <c r="A23" s="31" t="s">
        <v>124</v>
      </c>
      <c r="B23" t="s">
        <v>125</v>
      </c>
      <c r="C23" t="s">
        <v>152</v>
      </c>
      <c r="D23" s="30">
        <v>-3528056.6222580001</v>
      </c>
      <c r="E23" s="31">
        <v>45839</v>
      </c>
    </row>
    <row r="24" spans="1:5" x14ac:dyDescent="0.25">
      <c r="A24" s="31" t="s">
        <v>157</v>
      </c>
      <c r="B24" t="s">
        <v>158</v>
      </c>
      <c r="C24" t="s">
        <v>152</v>
      </c>
      <c r="D24" s="30">
        <v>473528.91000000009</v>
      </c>
      <c r="E24" s="31">
        <v>45839</v>
      </c>
    </row>
    <row r="25" spans="1:5" x14ac:dyDescent="0.25">
      <c r="A25" s="31" t="s">
        <v>155</v>
      </c>
      <c r="B25" t="s">
        <v>156</v>
      </c>
      <c r="C25" t="s">
        <v>152</v>
      </c>
      <c r="D25" s="30">
        <v>-419208.78354799986</v>
      </c>
      <c r="E25" s="31">
        <v>45839</v>
      </c>
    </row>
    <row r="26" spans="1:5" x14ac:dyDescent="0.25">
      <c r="A26" s="31" t="s">
        <v>100</v>
      </c>
      <c r="B26" t="s">
        <v>238</v>
      </c>
      <c r="C26" t="s">
        <v>152</v>
      </c>
      <c r="D26" s="30">
        <v>19986.638199999998</v>
      </c>
      <c r="E26" s="31">
        <v>45839</v>
      </c>
    </row>
    <row r="27" spans="1:5" x14ac:dyDescent="0.25">
      <c r="A27" s="31" t="s">
        <v>114</v>
      </c>
      <c r="B27" t="s">
        <v>115</v>
      </c>
      <c r="C27" t="s">
        <v>224</v>
      </c>
      <c r="D27" s="30">
        <v>-319636.35000000003</v>
      </c>
      <c r="E27" s="31">
        <v>45839</v>
      </c>
    </row>
    <row r="28" spans="1:5" x14ac:dyDescent="0.25">
      <c r="A28" s="31" t="s">
        <v>70</v>
      </c>
      <c r="B28" t="s">
        <v>71</v>
      </c>
      <c r="C28" t="s">
        <v>152</v>
      </c>
      <c r="D28" s="30">
        <v>-2200974.6779999998</v>
      </c>
      <c r="E28" s="31">
        <v>45839</v>
      </c>
    </row>
    <row r="29" spans="1:5" x14ac:dyDescent="0.25">
      <c r="A29" s="31" t="s">
        <v>88</v>
      </c>
      <c r="B29" t="s">
        <v>89</v>
      </c>
      <c r="C29" t="s">
        <v>152</v>
      </c>
      <c r="D29" s="30">
        <v>-44309.339999999967</v>
      </c>
      <c r="E29" s="31">
        <v>45839</v>
      </c>
    </row>
    <row r="30" spans="1:5" x14ac:dyDescent="0.25">
      <c r="A30" s="31" t="s">
        <v>98</v>
      </c>
      <c r="B30" t="s">
        <v>99</v>
      </c>
      <c r="C30" t="s">
        <v>81</v>
      </c>
      <c r="D30" s="30">
        <v>2069458.1259999999</v>
      </c>
      <c r="E30" s="31">
        <v>45839</v>
      </c>
    </row>
    <row r="31" spans="1:5" x14ac:dyDescent="0.25">
      <c r="A31" s="31" t="s">
        <v>133</v>
      </c>
      <c r="B31" t="s">
        <v>240</v>
      </c>
      <c r="C31" t="s">
        <v>241</v>
      </c>
      <c r="D31" s="30">
        <v>1081468.3600000001</v>
      </c>
      <c r="E31" s="31">
        <v>45839</v>
      </c>
    </row>
    <row r="32" spans="1:5" x14ac:dyDescent="0.25">
      <c r="A32" s="31" t="s">
        <v>128</v>
      </c>
      <c r="B32" t="s">
        <v>129</v>
      </c>
      <c r="C32" t="s">
        <v>67</v>
      </c>
      <c r="D32" s="30">
        <v>15465434.870000001</v>
      </c>
      <c r="E32" s="31">
        <v>45839</v>
      </c>
    </row>
    <row r="33" spans="1:5" x14ac:dyDescent="0.25">
      <c r="A33" s="31" t="s">
        <v>131</v>
      </c>
      <c r="B33" t="s">
        <v>132</v>
      </c>
      <c r="C33" t="s">
        <v>67</v>
      </c>
      <c r="D33" s="30">
        <v>76531.580000000016</v>
      </c>
      <c r="E33" s="31">
        <v>45839</v>
      </c>
    </row>
    <row r="34" spans="1:5" x14ac:dyDescent="0.25">
      <c r="A34" s="31" t="s">
        <v>74</v>
      </c>
      <c r="B34" t="s">
        <v>75</v>
      </c>
      <c r="C34" t="s">
        <v>67</v>
      </c>
      <c r="D34" s="30">
        <v>-938762.22</v>
      </c>
      <c r="E34" s="31">
        <v>45839</v>
      </c>
    </row>
    <row r="35" spans="1:5" x14ac:dyDescent="0.25">
      <c r="A35" s="31" t="s">
        <v>200</v>
      </c>
      <c r="B35" t="s">
        <v>244</v>
      </c>
      <c r="C35" t="s">
        <v>230</v>
      </c>
      <c r="D35" s="30">
        <v>404254.61000000004</v>
      </c>
      <c r="E35" s="31">
        <v>45839</v>
      </c>
    </row>
    <row r="36" spans="1:5" x14ac:dyDescent="0.25">
      <c r="A36" s="31" t="s">
        <v>96</v>
      </c>
      <c r="B36" t="s">
        <v>97</v>
      </c>
      <c r="C36" t="s">
        <v>81</v>
      </c>
      <c r="D36" s="30">
        <v>2576720.33</v>
      </c>
      <c r="E36" s="31">
        <v>45839</v>
      </c>
    </row>
    <row r="37" spans="1:5" x14ac:dyDescent="0.25">
      <c r="A37" s="31" t="s">
        <v>90</v>
      </c>
      <c r="B37" t="s">
        <v>91</v>
      </c>
      <c r="C37" t="s">
        <v>81</v>
      </c>
      <c r="D37" s="30">
        <v>-2114486.1846099999</v>
      </c>
      <c r="E37" s="31">
        <v>45839</v>
      </c>
    </row>
    <row r="38" spans="1:5" x14ac:dyDescent="0.25">
      <c r="A38" s="31" t="s">
        <v>112</v>
      </c>
      <c r="B38" t="s">
        <v>113</v>
      </c>
      <c r="C38" t="s">
        <v>81</v>
      </c>
      <c r="D38" s="30">
        <v>6238017.5900000017</v>
      </c>
      <c r="E38" s="31">
        <v>45839</v>
      </c>
    </row>
    <row r="39" spans="1:5" x14ac:dyDescent="0.25">
      <c r="A39" s="31" t="s">
        <v>61</v>
      </c>
      <c r="B39" t="s">
        <v>62</v>
      </c>
      <c r="C39" t="s">
        <v>226</v>
      </c>
      <c r="D39" s="30">
        <v>-753959.14</v>
      </c>
      <c r="E39" s="31">
        <v>45839</v>
      </c>
    </row>
    <row r="40" spans="1:5" x14ac:dyDescent="0.25">
      <c r="A40" s="31" t="s">
        <v>102</v>
      </c>
      <c r="B40" t="s">
        <v>103</v>
      </c>
      <c r="C40" t="s">
        <v>152</v>
      </c>
      <c r="D40" s="30">
        <v>-950291.738977</v>
      </c>
      <c r="E40" s="31">
        <v>45839</v>
      </c>
    </row>
    <row r="41" spans="1:5" x14ac:dyDescent="0.25">
      <c r="A41" s="31" t="s">
        <v>196</v>
      </c>
      <c r="B41" t="s">
        <v>245</v>
      </c>
      <c r="C41" t="s">
        <v>143</v>
      </c>
      <c r="D41" s="30">
        <v>-1490.86</v>
      </c>
      <c r="E41" s="31">
        <v>45839</v>
      </c>
    </row>
    <row r="42" spans="1:5" x14ac:dyDescent="0.25">
      <c r="A42" s="31" t="s">
        <v>54</v>
      </c>
      <c r="B42" t="s">
        <v>55</v>
      </c>
      <c r="C42" t="s">
        <v>227</v>
      </c>
      <c r="D42" s="30">
        <v>547799.84800000023</v>
      </c>
      <c r="E42" s="31">
        <v>45839</v>
      </c>
    </row>
    <row r="43" spans="1:5" x14ac:dyDescent="0.25">
      <c r="A43" s="31" t="s">
        <v>118</v>
      </c>
      <c r="B43" t="s">
        <v>119</v>
      </c>
      <c r="C43" t="s">
        <v>143</v>
      </c>
      <c r="D43" s="30">
        <v>-837356.62</v>
      </c>
      <c r="E43" s="31">
        <v>45839</v>
      </c>
    </row>
    <row r="44" spans="1:5" x14ac:dyDescent="0.25">
      <c r="A44" s="31" t="s">
        <v>86</v>
      </c>
      <c r="B44" t="s">
        <v>87</v>
      </c>
      <c r="C44" t="s">
        <v>152</v>
      </c>
      <c r="D44" s="30">
        <v>-3507809.4055660004</v>
      </c>
      <c r="E44" s="31">
        <v>45839</v>
      </c>
    </row>
    <row r="45" spans="1:5" x14ac:dyDescent="0.25">
      <c r="A45" s="31" t="s">
        <v>170</v>
      </c>
      <c r="B45" t="s">
        <v>171</v>
      </c>
      <c r="C45" t="s">
        <v>81</v>
      </c>
      <c r="D45" s="30">
        <v>559661.53</v>
      </c>
      <c r="E45" s="31">
        <v>45839</v>
      </c>
    </row>
    <row r="46" spans="1:5" x14ac:dyDescent="0.25">
      <c r="A46" s="31" t="s">
        <v>206</v>
      </c>
      <c r="B46" t="s">
        <v>251</v>
      </c>
      <c r="C46" t="s">
        <v>230</v>
      </c>
      <c r="D46" s="30">
        <v>-239629.31999999998</v>
      </c>
      <c r="E46" s="31">
        <v>45839</v>
      </c>
    </row>
    <row r="47" spans="1:5" x14ac:dyDescent="0.25">
      <c r="A47" s="31" t="s">
        <v>45</v>
      </c>
      <c r="B47" t="s">
        <v>46</v>
      </c>
      <c r="C47" t="s">
        <v>152</v>
      </c>
      <c r="D47" s="30">
        <v>-969083.5943789999</v>
      </c>
      <c r="E47" s="31">
        <v>45839</v>
      </c>
    </row>
    <row r="48" spans="1:5" x14ac:dyDescent="0.25">
      <c r="A48" s="31" t="s">
        <v>65</v>
      </c>
      <c r="B48" t="s">
        <v>66</v>
      </c>
      <c r="C48" t="s">
        <v>67</v>
      </c>
      <c r="D48" s="30">
        <v>8976229.097500002</v>
      </c>
      <c r="E48" s="31">
        <v>45870</v>
      </c>
    </row>
    <row r="49" spans="1:5" x14ac:dyDescent="0.25">
      <c r="A49" s="31" t="s">
        <v>144</v>
      </c>
      <c r="B49" t="s">
        <v>145</v>
      </c>
      <c r="C49" t="s">
        <v>67</v>
      </c>
      <c r="D49" s="30">
        <v>-20933.372302999996</v>
      </c>
      <c r="E49" s="31">
        <v>45870</v>
      </c>
    </row>
    <row r="50" spans="1:5" x14ac:dyDescent="0.25">
      <c r="A50" s="31" t="s">
        <v>72</v>
      </c>
      <c r="B50" t="s">
        <v>73</v>
      </c>
      <c r="C50" t="s">
        <v>227</v>
      </c>
      <c r="D50" s="30">
        <v>670749.12999999896</v>
      </c>
      <c r="E50" s="31">
        <v>45870</v>
      </c>
    </row>
    <row r="51" spans="1:5" x14ac:dyDescent="0.25">
      <c r="A51" s="31" t="s">
        <v>120</v>
      </c>
      <c r="B51" t="s">
        <v>121</v>
      </c>
      <c r="C51" t="s">
        <v>227</v>
      </c>
      <c r="D51" s="30">
        <v>-87813.191599999962</v>
      </c>
      <c r="E51" s="31">
        <v>45870</v>
      </c>
    </row>
    <row r="52" spans="1:5" x14ac:dyDescent="0.25">
      <c r="A52" s="31" t="s">
        <v>63</v>
      </c>
      <c r="B52" t="s">
        <v>64</v>
      </c>
      <c r="C52" t="s">
        <v>227</v>
      </c>
      <c r="D52" s="30">
        <v>-927932.17715000035</v>
      </c>
      <c r="E52" s="31">
        <v>45870</v>
      </c>
    </row>
    <row r="53" spans="1:5" x14ac:dyDescent="0.25">
      <c r="A53" s="31" t="s">
        <v>84</v>
      </c>
      <c r="B53" t="s">
        <v>85</v>
      </c>
      <c r="C53" t="s">
        <v>67</v>
      </c>
      <c r="D53" s="30">
        <v>856082.74999999988</v>
      </c>
      <c r="E53" s="31">
        <v>45870</v>
      </c>
    </row>
    <row r="54" spans="1:5" x14ac:dyDescent="0.25">
      <c r="A54" s="31" t="s">
        <v>82</v>
      </c>
      <c r="B54" t="s">
        <v>83</v>
      </c>
      <c r="C54" t="s">
        <v>228</v>
      </c>
      <c r="D54" s="30">
        <v>-27784.208500000081</v>
      </c>
      <c r="E54" s="31">
        <v>45870</v>
      </c>
    </row>
    <row r="55" spans="1:5" x14ac:dyDescent="0.25">
      <c r="A55" s="31" t="s">
        <v>68</v>
      </c>
      <c r="B55" t="s">
        <v>69</v>
      </c>
      <c r="C55" t="s">
        <v>229</v>
      </c>
      <c r="D55" s="30">
        <v>-442599.60999999993</v>
      </c>
      <c r="E55" s="31">
        <v>45870</v>
      </c>
    </row>
    <row r="56" spans="1:5" x14ac:dyDescent="0.25">
      <c r="A56" s="31" t="s">
        <v>116</v>
      </c>
      <c r="B56" t="s">
        <v>117</v>
      </c>
      <c r="C56" t="s">
        <v>143</v>
      </c>
      <c r="D56" s="30">
        <v>-135895.79999999999</v>
      </c>
      <c r="E56" s="31">
        <v>45870</v>
      </c>
    </row>
    <row r="57" spans="1:5" x14ac:dyDescent="0.25">
      <c r="A57" s="31" t="s">
        <v>59</v>
      </c>
      <c r="B57" t="s">
        <v>60</v>
      </c>
      <c r="C57" t="s">
        <v>143</v>
      </c>
      <c r="D57" s="30">
        <v>481531.03154257068</v>
      </c>
      <c r="E57" s="31">
        <v>45870</v>
      </c>
    </row>
    <row r="58" spans="1:5" x14ac:dyDescent="0.25">
      <c r="A58" s="31" t="s">
        <v>146</v>
      </c>
      <c r="B58" t="s">
        <v>147</v>
      </c>
      <c r="C58" t="s">
        <v>226</v>
      </c>
      <c r="D58" s="30">
        <v>756937.80999999994</v>
      </c>
      <c r="E58" s="31">
        <v>45870</v>
      </c>
    </row>
    <row r="59" spans="1:5" x14ac:dyDescent="0.25">
      <c r="A59" s="31" t="s">
        <v>139</v>
      </c>
      <c r="B59" t="s">
        <v>247</v>
      </c>
      <c r="C59" t="s">
        <v>247</v>
      </c>
      <c r="D59" s="30">
        <v>-249357.69</v>
      </c>
      <c r="E59" s="31">
        <v>45870</v>
      </c>
    </row>
    <row r="60" spans="1:5" x14ac:dyDescent="0.25">
      <c r="A60" s="31" t="s">
        <v>57</v>
      </c>
      <c r="B60" t="s">
        <v>58</v>
      </c>
      <c r="C60" t="s">
        <v>230</v>
      </c>
      <c r="D60" s="30">
        <v>160023.08050000004</v>
      </c>
      <c r="E60" s="31">
        <v>45870</v>
      </c>
    </row>
    <row r="61" spans="1:5" x14ac:dyDescent="0.25">
      <c r="A61" s="31" t="s">
        <v>106</v>
      </c>
      <c r="B61" t="s">
        <v>107</v>
      </c>
      <c r="C61" t="s">
        <v>143</v>
      </c>
      <c r="D61" s="30">
        <v>-154856.99999999997</v>
      </c>
      <c r="E61" s="31">
        <v>45870</v>
      </c>
    </row>
    <row r="62" spans="1:5" x14ac:dyDescent="0.25">
      <c r="A62" s="31" t="s">
        <v>122</v>
      </c>
      <c r="B62" t="s">
        <v>123</v>
      </c>
      <c r="C62" t="s">
        <v>152</v>
      </c>
      <c r="D62" s="30">
        <v>2104417.7800000003</v>
      </c>
      <c r="E62" s="31">
        <v>45870</v>
      </c>
    </row>
    <row r="63" spans="1:5" x14ac:dyDescent="0.25">
      <c r="A63" s="31" t="s">
        <v>148</v>
      </c>
      <c r="B63" t="s">
        <v>149</v>
      </c>
      <c r="C63" t="s">
        <v>226</v>
      </c>
      <c r="D63" s="30">
        <v>194606.78</v>
      </c>
      <c r="E63" s="31">
        <v>45870</v>
      </c>
    </row>
    <row r="64" spans="1:5" x14ac:dyDescent="0.25">
      <c r="A64" s="31" t="s">
        <v>208</v>
      </c>
      <c r="B64" t="s">
        <v>252</v>
      </c>
      <c r="C64" t="s">
        <v>152</v>
      </c>
      <c r="D64" s="30">
        <v>22466.69</v>
      </c>
      <c r="E64" s="31">
        <v>45870</v>
      </c>
    </row>
    <row r="65" spans="1:5" x14ac:dyDescent="0.25">
      <c r="A65" s="31" t="s">
        <v>190</v>
      </c>
      <c r="B65" t="s">
        <v>234</v>
      </c>
      <c r="C65" t="s">
        <v>235</v>
      </c>
      <c r="D65" s="30">
        <v>120016.85999999987</v>
      </c>
      <c r="E65" s="31">
        <v>45870</v>
      </c>
    </row>
    <row r="66" spans="1:5" x14ac:dyDescent="0.25">
      <c r="A66" s="31" t="s">
        <v>79</v>
      </c>
      <c r="B66" t="s">
        <v>80</v>
      </c>
      <c r="C66" t="s">
        <v>81</v>
      </c>
      <c r="D66" s="30">
        <v>233778.25</v>
      </c>
      <c r="E66" s="31">
        <v>45870</v>
      </c>
    </row>
    <row r="67" spans="1:5" x14ac:dyDescent="0.25">
      <c r="A67" s="31" t="s">
        <v>94</v>
      </c>
      <c r="B67" t="s">
        <v>95</v>
      </c>
      <c r="C67" t="s">
        <v>152</v>
      </c>
      <c r="D67" s="30">
        <v>-2579956.3421699991</v>
      </c>
      <c r="E67" s="31">
        <v>45870</v>
      </c>
    </row>
    <row r="68" spans="1:5" x14ac:dyDescent="0.25">
      <c r="A68" s="31" t="s">
        <v>76</v>
      </c>
      <c r="B68" t="s">
        <v>77</v>
      </c>
      <c r="C68" t="s">
        <v>152</v>
      </c>
      <c r="D68" s="30">
        <v>-900085.70259300002</v>
      </c>
      <c r="E68" s="31">
        <v>45870</v>
      </c>
    </row>
    <row r="69" spans="1:5" x14ac:dyDescent="0.25">
      <c r="A69" s="31" t="s">
        <v>124</v>
      </c>
      <c r="B69" t="s">
        <v>125</v>
      </c>
      <c r="C69" t="s">
        <v>152</v>
      </c>
      <c r="D69" s="30">
        <v>314402.42068099987</v>
      </c>
      <c r="E69" s="31">
        <v>45870</v>
      </c>
    </row>
    <row r="70" spans="1:5" x14ac:dyDescent="0.25">
      <c r="A70" s="31" t="s">
        <v>157</v>
      </c>
      <c r="B70" t="s">
        <v>158</v>
      </c>
      <c r="C70" t="s">
        <v>152</v>
      </c>
      <c r="D70" s="30">
        <v>102445.47950000003</v>
      </c>
      <c r="E70" s="31">
        <v>45870</v>
      </c>
    </row>
    <row r="71" spans="1:5" x14ac:dyDescent="0.25">
      <c r="A71" s="31" t="s">
        <v>155</v>
      </c>
      <c r="B71" t="s">
        <v>156</v>
      </c>
      <c r="C71" t="s">
        <v>152</v>
      </c>
      <c r="D71" s="30">
        <v>794328.85820000013</v>
      </c>
      <c r="E71" s="31">
        <v>45870</v>
      </c>
    </row>
    <row r="72" spans="1:5" x14ac:dyDescent="0.25">
      <c r="A72" s="31" t="s">
        <v>100</v>
      </c>
      <c r="B72" t="s">
        <v>238</v>
      </c>
      <c r="C72" t="s">
        <v>152</v>
      </c>
      <c r="D72" s="30">
        <v>-471240.19455500011</v>
      </c>
      <c r="E72" s="31">
        <v>45870</v>
      </c>
    </row>
    <row r="73" spans="1:5" x14ac:dyDescent="0.25">
      <c r="A73" s="31" t="s">
        <v>114</v>
      </c>
      <c r="B73" t="s">
        <v>115</v>
      </c>
      <c r="C73" t="s">
        <v>224</v>
      </c>
      <c r="D73" s="30">
        <v>-1363213.8499999999</v>
      </c>
      <c r="E73" s="31">
        <v>45870</v>
      </c>
    </row>
    <row r="74" spans="1:5" x14ac:dyDescent="0.25">
      <c r="A74" s="31" t="s">
        <v>70</v>
      </c>
      <c r="B74" t="s">
        <v>71</v>
      </c>
      <c r="C74" t="s">
        <v>152</v>
      </c>
      <c r="D74" s="30">
        <v>-329923.11743999994</v>
      </c>
      <c r="E74" s="31">
        <v>45870</v>
      </c>
    </row>
    <row r="75" spans="1:5" x14ac:dyDescent="0.25">
      <c r="A75" s="31" t="s">
        <v>88</v>
      </c>
      <c r="B75" t="s">
        <v>89</v>
      </c>
      <c r="C75" t="s">
        <v>152</v>
      </c>
      <c r="D75" s="30">
        <v>-484452.00397000002</v>
      </c>
      <c r="E75" s="31">
        <v>45870</v>
      </c>
    </row>
    <row r="76" spans="1:5" x14ac:dyDescent="0.25">
      <c r="A76" s="31" t="s">
        <v>98</v>
      </c>
      <c r="B76" t="s">
        <v>99</v>
      </c>
      <c r="C76" t="s">
        <v>81</v>
      </c>
      <c r="D76" s="30">
        <v>1234519.1853</v>
      </c>
      <c r="E76" s="31">
        <v>45870</v>
      </c>
    </row>
    <row r="77" spans="1:5" x14ac:dyDescent="0.25">
      <c r="A77" s="31" t="s">
        <v>133</v>
      </c>
      <c r="B77" t="s">
        <v>240</v>
      </c>
      <c r="C77" t="s">
        <v>241</v>
      </c>
      <c r="D77" s="30">
        <v>-135506.40000000002</v>
      </c>
      <c r="E77" s="31">
        <v>45870</v>
      </c>
    </row>
    <row r="78" spans="1:5" x14ac:dyDescent="0.25">
      <c r="A78" s="31" t="s">
        <v>128</v>
      </c>
      <c r="B78" t="s">
        <v>129</v>
      </c>
      <c r="C78" t="s">
        <v>67</v>
      </c>
      <c r="D78" s="30">
        <v>2025809.6709999999</v>
      </c>
      <c r="E78" s="31">
        <v>45870</v>
      </c>
    </row>
    <row r="79" spans="1:5" x14ac:dyDescent="0.25">
      <c r="A79" s="31" t="s">
        <v>131</v>
      </c>
      <c r="B79" t="s">
        <v>132</v>
      </c>
      <c r="C79" t="s">
        <v>67</v>
      </c>
      <c r="D79" s="30">
        <v>382126.3799999996</v>
      </c>
      <c r="E79" s="31">
        <v>45870</v>
      </c>
    </row>
    <row r="80" spans="1:5" x14ac:dyDescent="0.25">
      <c r="A80" s="31" t="s">
        <v>74</v>
      </c>
      <c r="B80" t="s">
        <v>75</v>
      </c>
      <c r="C80" t="s">
        <v>67</v>
      </c>
      <c r="D80" s="30">
        <v>-6508068.4136999995</v>
      </c>
      <c r="E80" s="31">
        <v>45870</v>
      </c>
    </row>
    <row r="81" spans="1:5" x14ac:dyDescent="0.25">
      <c r="A81" s="31" t="s">
        <v>200</v>
      </c>
      <c r="B81" t="s">
        <v>244</v>
      </c>
      <c r="C81" t="s">
        <v>230</v>
      </c>
      <c r="D81" s="30">
        <v>-55463.74</v>
      </c>
      <c r="E81" s="31">
        <v>45870</v>
      </c>
    </row>
    <row r="82" spans="1:5" x14ac:dyDescent="0.25">
      <c r="A82" s="31" t="s">
        <v>96</v>
      </c>
      <c r="B82" t="s">
        <v>97</v>
      </c>
      <c r="C82" t="s">
        <v>81</v>
      </c>
      <c r="D82" s="30">
        <v>-278822.57999999996</v>
      </c>
      <c r="E82" s="31">
        <v>45870</v>
      </c>
    </row>
    <row r="83" spans="1:5" x14ac:dyDescent="0.25">
      <c r="A83" s="31" t="s">
        <v>90</v>
      </c>
      <c r="B83" t="s">
        <v>91</v>
      </c>
      <c r="C83" t="s">
        <v>81</v>
      </c>
      <c r="D83" s="30">
        <v>-87597.24000000002</v>
      </c>
      <c r="E83" s="31">
        <v>45870</v>
      </c>
    </row>
    <row r="84" spans="1:5" x14ac:dyDescent="0.25">
      <c r="A84" s="31" t="s">
        <v>112</v>
      </c>
      <c r="B84" t="s">
        <v>113</v>
      </c>
      <c r="C84" t="s">
        <v>81</v>
      </c>
      <c r="D84" s="30">
        <v>1160955.4800000002</v>
      </c>
      <c r="E84" s="31">
        <v>45870</v>
      </c>
    </row>
    <row r="85" spans="1:5" x14ac:dyDescent="0.25">
      <c r="A85" s="31" t="s">
        <v>61</v>
      </c>
      <c r="B85" t="s">
        <v>62</v>
      </c>
      <c r="C85" t="s">
        <v>226</v>
      </c>
      <c r="D85" s="30">
        <v>918909.67</v>
      </c>
      <c r="E85" s="31">
        <v>45870</v>
      </c>
    </row>
    <row r="86" spans="1:5" x14ac:dyDescent="0.25">
      <c r="A86" s="31" t="s">
        <v>102</v>
      </c>
      <c r="B86" t="s">
        <v>103</v>
      </c>
      <c r="C86" t="s">
        <v>152</v>
      </c>
      <c r="D86" s="30">
        <v>-227782.65086200001</v>
      </c>
      <c r="E86" s="31">
        <v>45870</v>
      </c>
    </row>
    <row r="87" spans="1:5" x14ac:dyDescent="0.25">
      <c r="A87" s="31" t="s">
        <v>54</v>
      </c>
      <c r="B87" t="s">
        <v>55</v>
      </c>
      <c r="C87" t="s">
        <v>227</v>
      </c>
      <c r="D87" s="30">
        <v>2129190.9028999996</v>
      </c>
      <c r="E87" s="31">
        <v>45870</v>
      </c>
    </row>
    <row r="88" spans="1:5" x14ac:dyDescent="0.25">
      <c r="A88" s="31" t="s">
        <v>118</v>
      </c>
      <c r="B88" t="s">
        <v>119</v>
      </c>
      <c r="C88" t="s">
        <v>143</v>
      </c>
      <c r="D88" s="30">
        <v>-2400416.7200000007</v>
      </c>
      <c r="E88" s="31">
        <v>45870</v>
      </c>
    </row>
    <row r="89" spans="1:5" x14ac:dyDescent="0.25">
      <c r="A89" s="31" t="s">
        <v>86</v>
      </c>
      <c r="B89" t="s">
        <v>87</v>
      </c>
      <c r="C89" t="s">
        <v>152</v>
      </c>
      <c r="D89" s="30">
        <v>343479.78</v>
      </c>
      <c r="E89" s="31">
        <v>45870</v>
      </c>
    </row>
    <row r="90" spans="1:5" x14ac:dyDescent="0.25">
      <c r="A90" s="31" t="s">
        <v>170</v>
      </c>
      <c r="B90" t="s">
        <v>171</v>
      </c>
      <c r="C90" t="s">
        <v>81</v>
      </c>
      <c r="D90" s="30">
        <v>111179.55000000002</v>
      </c>
      <c r="E90" s="31">
        <v>45870</v>
      </c>
    </row>
    <row r="91" spans="1:5" x14ac:dyDescent="0.25">
      <c r="A91" s="31" t="s">
        <v>206</v>
      </c>
      <c r="B91" t="s">
        <v>251</v>
      </c>
      <c r="C91" t="s">
        <v>230</v>
      </c>
      <c r="D91" s="30">
        <v>-77609.900000000009</v>
      </c>
      <c r="E91" s="31">
        <v>45870</v>
      </c>
    </row>
    <row r="92" spans="1:5" x14ac:dyDescent="0.25">
      <c r="A92" s="31" t="s">
        <v>92</v>
      </c>
      <c r="B92" t="s">
        <v>93</v>
      </c>
      <c r="C92" t="s">
        <v>81</v>
      </c>
      <c r="D92" s="30">
        <v>4899.82</v>
      </c>
      <c r="E92" s="31">
        <v>45870</v>
      </c>
    </row>
    <row r="93" spans="1:5" x14ac:dyDescent="0.25">
      <c r="A93" s="31" t="s">
        <v>209</v>
      </c>
      <c r="B93" t="s">
        <v>140</v>
      </c>
      <c r="C93" t="s">
        <v>47</v>
      </c>
      <c r="D93" s="30">
        <v>20000</v>
      </c>
      <c r="E93" s="31">
        <v>45870</v>
      </c>
    </row>
    <row r="94" spans="1:5" x14ac:dyDescent="0.25">
      <c r="A94" s="31" t="s">
        <v>45</v>
      </c>
      <c r="B94" t="s">
        <v>46</v>
      </c>
      <c r="C94" t="s">
        <v>152</v>
      </c>
      <c r="D94" s="30">
        <v>-486207.25743199995</v>
      </c>
      <c r="E94" s="31">
        <v>45870</v>
      </c>
    </row>
    <row r="95" spans="1:5" x14ac:dyDescent="0.25">
      <c r="A95" s="31" t="s">
        <v>65</v>
      </c>
      <c r="B95" t="s">
        <v>66</v>
      </c>
      <c r="C95" t="s">
        <v>67</v>
      </c>
      <c r="D95" s="30">
        <v>2936734.6461831578</v>
      </c>
      <c r="E95" s="31">
        <v>45901</v>
      </c>
    </row>
    <row r="96" spans="1:5" x14ac:dyDescent="0.25">
      <c r="A96" s="31" t="s">
        <v>144</v>
      </c>
      <c r="B96" t="s">
        <v>145</v>
      </c>
      <c r="C96" t="s">
        <v>67</v>
      </c>
      <c r="D96" s="30">
        <v>-34758.559999999983</v>
      </c>
      <c r="E96" s="31">
        <v>45901</v>
      </c>
    </row>
    <row r="97" spans="1:5" x14ac:dyDescent="0.25">
      <c r="A97" s="31" t="s">
        <v>72</v>
      </c>
      <c r="B97" t="s">
        <v>73</v>
      </c>
      <c r="C97" t="s">
        <v>227</v>
      </c>
      <c r="D97" s="30">
        <v>-1812848.4423940002</v>
      </c>
      <c r="E97" s="31">
        <v>45901</v>
      </c>
    </row>
    <row r="98" spans="1:5" x14ac:dyDescent="0.25">
      <c r="A98" s="31" t="s">
        <v>120</v>
      </c>
      <c r="B98" t="s">
        <v>121</v>
      </c>
      <c r="C98" t="s">
        <v>227</v>
      </c>
      <c r="D98" s="30">
        <v>-1160705.0899999999</v>
      </c>
      <c r="E98" s="31">
        <v>45901</v>
      </c>
    </row>
    <row r="99" spans="1:5" x14ac:dyDescent="0.25">
      <c r="A99" s="31" t="s">
        <v>63</v>
      </c>
      <c r="B99" t="s">
        <v>64</v>
      </c>
      <c r="C99" t="s">
        <v>227</v>
      </c>
      <c r="D99" s="30">
        <v>1719357.09</v>
      </c>
      <c r="E99" s="31">
        <v>45901</v>
      </c>
    </row>
    <row r="100" spans="1:5" x14ac:dyDescent="0.25">
      <c r="A100" s="31" t="s">
        <v>84</v>
      </c>
      <c r="B100" t="s">
        <v>85</v>
      </c>
      <c r="C100" t="s">
        <v>67</v>
      </c>
      <c r="D100" s="30">
        <v>4457210.9700000007</v>
      </c>
      <c r="E100" s="31">
        <v>45901</v>
      </c>
    </row>
    <row r="101" spans="1:5" x14ac:dyDescent="0.25">
      <c r="A101" s="31" t="s">
        <v>82</v>
      </c>
      <c r="B101" t="s">
        <v>83</v>
      </c>
      <c r="C101" t="s">
        <v>228</v>
      </c>
      <c r="D101" s="30">
        <v>2822508.6145000006</v>
      </c>
      <c r="E101" s="31">
        <v>45901</v>
      </c>
    </row>
    <row r="102" spans="1:5" x14ac:dyDescent="0.25">
      <c r="A102" s="31" t="s">
        <v>68</v>
      </c>
      <c r="B102" t="s">
        <v>69</v>
      </c>
      <c r="C102" t="s">
        <v>229</v>
      </c>
      <c r="D102" s="30">
        <v>-1364748.7274999982</v>
      </c>
      <c r="E102" s="31">
        <v>45901</v>
      </c>
    </row>
    <row r="103" spans="1:5" x14ac:dyDescent="0.25">
      <c r="A103" s="31" t="s">
        <v>116</v>
      </c>
      <c r="B103" t="s">
        <v>117</v>
      </c>
      <c r="C103" t="s">
        <v>143</v>
      </c>
      <c r="D103" s="30">
        <v>371013.32999999996</v>
      </c>
      <c r="E103" s="31">
        <v>45901</v>
      </c>
    </row>
    <row r="104" spans="1:5" x14ac:dyDescent="0.25">
      <c r="A104" s="31" t="s">
        <v>59</v>
      </c>
      <c r="B104" t="s">
        <v>60</v>
      </c>
      <c r="C104" t="s">
        <v>143</v>
      </c>
      <c r="D104" s="30">
        <v>-228748.72999999998</v>
      </c>
      <c r="E104" s="31">
        <v>45901</v>
      </c>
    </row>
    <row r="105" spans="1:5" x14ac:dyDescent="0.25">
      <c r="A105" s="31" t="s">
        <v>146</v>
      </c>
      <c r="B105" t="s">
        <v>147</v>
      </c>
      <c r="C105" t="s">
        <v>226</v>
      </c>
      <c r="D105" s="30">
        <v>540335.07000000018</v>
      </c>
      <c r="E105" s="31">
        <v>45901</v>
      </c>
    </row>
    <row r="106" spans="1:5" x14ac:dyDescent="0.25">
      <c r="A106" s="31" t="s">
        <v>139</v>
      </c>
      <c r="B106" t="s">
        <v>247</v>
      </c>
      <c r="C106" t="s">
        <v>247</v>
      </c>
      <c r="D106" s="30">
        <v>-9643.65</v>
      </c>
      <c r="E106" s="31">
        <v>45901</v>
      </c>
    </row>
    <row r="107" spans="1:5" x14ac:dyDescent="0.25">
      <c r="A107" s="31" t="s">
        <v>57</v>
      </c>
      <c r="B107" t="s">
        <v>58</v>
      </c>
      <c r="C107" t="s">
        <v>230</v>
      </c>
      <c r="D107" s="30">
        <v>111680.78020000002</v>
      </c>
      <c r="E107" s="31">
        <v>45901</v>
      </c>
    </row>
    <row r="108" spans="1:5" x14ac:dyDescent="0.25">
      <c r="A108" s="31" t="s">
        <v>106</v>
      </c>
      <c r="B108" t="s">
        <v>107</v>
      </c>
      <c r="C108" t="s">
        <v>143</v>
      </c>
      <c r="D108" s="30">
        <v>266628.89999999997</v>
      </c>
      <c r="E108" s="31">
        <v>45901</v>
      </c>
    </row>
    <row r="109" spans="1:5" x14ac:dyDescent="0.25">
      <c r="A109" s="31" t="s">
        <v>122</v>
      </c>
      <c r="B109" t="s">
        <v>123</v>
      </c>
      <c r="C109" t="s">
        <v>152</v>
      </c>
      <c r="D109" s="30">
        <v>-1812535.4300000002</v>
      </c>
      <c r="E109" s="31">
        <v>45901</v>
      </c>
    </row>
    <row r="110" spans="1:5" x14ac:dyDescent="0.25">
      <c r="A110" s="31" t="s">
        <v>148</v>
      </c>
      <c r="B110" t="s">
        <v>149</v>
      </c>
      <c r="C110" t="s">
        <v>226</v>
      </c>
      <c r="D110" s="30">
        <v>-88602.835000000006</v>
      </c>
      <c r="E110" s="31">
        <v>45901</v>
      </c>
    </row>
    <row r="111" spans="1:5" x14ac:dyDescent="0.25">
      <c r="A111" s="31" t="s">
        <v>190</v>
      </c>
      <c r="B111" t="s">
        <v>234</v>
      </c>
      <c r="C111" t="s">
        <v>235</v>
      </c>
      <c r="D111" s="30">
        <v>324301.25332600006</v>
      </c>
      <c r="E111" s="31">
        <v>45901</v>
      </c>
    </row>
    <row r="112" spans="1:5" x14ac:dyDescent="0.25">
      <c r="A112" s="31" t="s">
        <v>79</v>
      </c>
      <c r="B112" t="s">
        <v>80</v>
      </c>
      <c r="C112" t="s">
        <v>81</v>
      </c>
      <c r="D112" s="30">
        <v>301180.15999999992</v>
      </c>
      <c r="E112" s="31">
        <v>45901</v>
      </c>
    </row>
    <row r="113" spans="1:5" x14ac:dyDescent="0.25">
      <c r="A113" s="31" t="s">
        <v>94</v>
      </c>
      <c r="B113" t="s">
        <v>95</v>
      </c>
      <c r="C113" t="s">
        <v>152</v>
      </c>
      <c r="D113" s="30">
        <v>-212154.11000000022</v>
      </c>
      <c r="E113" s="31">
        <v>45901</v>
      </c>
    </row>
    <row r="114" spans="1:5" x14ac:dyDescent="0.25">
      <c r="A114" s="31" t="s">
        <v>76</v>
      </c>
      <c r="B114" t="s">
        <v>77</v>
      </c>
      <c r="C114" t="s">
        <v>152</v>
      </c>
      <c r="D114" s="30">
        <v>-423929.24264699995</v>
      </c>
      <c r="E114" s="31">
        <v>45901</v>
      </c>
    </row>
    <row r="115" spans="1:5" x14ac:dyDescent="0.25">
      <c r="A115" s="31" t="s">
        <v>124</v>
      </c>
      <c r="B115" t="s">
        <v>125</v>
      </c>
      <c r="C115" t="s">
        <v>152</v>
      </c>
      <c r="D115" s="30">
        <v>-583093.60044299974</v>
      </c>
      <c r="E115" s="31">
        <v>45901</v>
      </c>
    </row>
    <row r="116" spans="1:5" x14ac:dyDescent="0.25">
      <c r="A116" s="31" t="s">
        <v>157</v>
      </c>
      <c r="B116" t="s">
        <v>158</v>
      </c>
      <c r="C116" t="s">
        <v>152</v>
      </c>
      <c r="D116" s="30">
        <v>-73373.717470000018</v>
      </c>
      <c r="E116" s="31">
        <v>45901</v>
      </c>
    </row>
    <row r="117" spans="1:5" x14ac:dyDescent="0.25">
      <c r="A117" s="31" t="s">
        <v>155</v>
      </c>
      <c r="B117" t="s">
        <v>156</v>
      </c>
      <c r="C117" t="s">
        <v>152</v>
      </c>
      <c r="D117" s="30">
        <v>-62465.528526000016</v>
      </c>
      <c r="E117" s="31">
        <v>45901</v>
      </c>
    </row>
    <row r="118" spans="1:5" x14ac:dyDescent="0.25">
      <c r="A118" s="31" t="s">
        <v>100</v>
      </c>
      <c r="B118" t="s">
        <v>238</v>
      </c>
      <c r="C118" t="s">
        <v>152</v>
      </c>
      <c r="D118" s="30">
        <v>-479975.34520400013</v>
      </c>
      <c r="E118" s="31">
        <v>45901</v>
      </c>
    </row>
    <row r="119" spans="1:5" x14ac:dyDescent="0.25">
      <c r="A119" s="31" t="s">
        <v>114</v>
      </c>
      <c r="B119" t="s">
        <v>115</v>
      </c>
      <c r="C119" t="s">
        <v>224</v>
      </c>
      <c r="D119" s="30">
        <v>-1389386.3199999998</v>
      </c>
      <c r="E119" s="31">
        <v>45901</v>
      </c>
    </row>
    <row r="120" spans="1:5" x14ac:dyDescent="0.25">
      <c r="A120" s="31" t="s">
        <v>70</v>
      </c>
      <c r="B120" t="s">
        <v>71</v>
      </c>
      <c r="C120" t="s">
        <v>152</v>
      </c>
      <c r="D120" s="30">
        <v>290453.902</v>
      </c>
      <c r="E120" s="31">
        <v>45901</v>
      </c>
    </row>
    <row r="121" spans="1:5" x14ac:dyDescent="0.25">
      <c r="A121" s="31" t="s">
        <v>88</v>
      </c>
      <c r="B121" t="s">
        <v>89</v>
      </c>
      <c r="C121" t="s">
        <v>152</v>
      </c>
      <c r="D121" s="30">
        <v>33727.435123000032</v>
      </c>
      <c r="E121" s="31">
        <v>45901</v>
      </c>
    </row>
    <row r="122" spans="1:5" x14ac:dyDescent="0.25">
      <c r="A122" s="31" t="s">
        <v>98</v>
      </c>
      <c r="B122" t="s">
        <v>99</v>
      </c>
      <c r="C122" t="s">
        <v>81</v>
      </c>
      <c r="D122" s="30">
        <v>1026593.5</v>
      </c>
      <c r="E122" s="31">
        <v>45901</v>
      </c>
    </row>
    <row r="123" spans="1:5" x14ac:dyDescent="0.25">
      <c r="A123" s="31" t="s">
        <v>133</v>
      </c>
      <c r="B123" t="s">
        <v>240</v>
      </c>
      <c r="C123" t="s">
        <v>241</v>
      </c>
      <c r="D123" s="30">
        <v>167720.44680641714</v>
      </c>
      <c r="E123" s="31">
        <v>45901</v>
      </c>
    </row>
    <row r="124" spans="1:5" x14ac:dyDescent="0.25">
      <c r="A124" s="31" t="s">
        <v>128</v>
      </c>
      <c r="B124" t="s">
        <v>129</v>
      </c>
      <c r="C124" t="s">
        <v>67</v>
      </c>
      <c r="D124" s="30">
        <v>506743.64999999979</v>
      </c>
      <c r="E124" s="31">
        <v>45901</v>
      </c>
    </row>
    <row r="125" spans="1:5" x14ac:dyDescent="0.25">
      <c r="A125" s="31" t="s">
        <v>131</v>
      </c>
      <c r="B125" t="s">
        <v>132</v>
      </c>
      <c r="C125" t="s">
        <v>67</v>
      </c>
      <c r="D125" s="30">
        <v>442882.13000000012</v>
      </c>
      <c r="E125" s="31">
        <v>45901</v>
      </c>
    </row>
    <row r="126" spans="1:5" x14ac:dyDescent="0.25">
      <c r="A126" s="31" t="s">
        <v>74</v>
      </c>
      <c r="B126" t="s">
        <v>75</v>
      </c>
      <c r="C126" t="s">
        <v>67</v>
      </c>
      <c r="D126" s="30">
        <v>-3670600.2881390005</v>
      </c>
      <c r="E126" s="31">
        <v>45901</v>
      </c>
    </row>
    <row r="127" spans="1:5" x14ac:dyDescent="0.25">
      <c r="A127" s="31" t="s">
        <v>200</v>
      </c>
      <c r="B127" t="s">
        <v>244</v>
      </c>
      <c r="C127" t="s">
        <v>230</v>
      </c>
      <c r="D127" s="30">
        <v>-8601.130000000001</v>
      </c>
      <c r="E127" s="31">
        <v>45901</v>
      </c>
    </row>
    <row r="128" spans="1:5" x14ac:dyDescent="0.25">
      <c r="A128" s="31" t="s">
        <v>163</v>
      </c>
      <c r="B128" t="s">
        <v>164</v>
      </c>
      <c r="C128" t="s">
        <v>67</v>
      </c>
      <c r="D128" s="30">
        <v>-11900</v>
      </c>
      <c r="E128" s="31">
        <v>45901</v>
      </c>
    </row>
    <row r="129" spans="1:5" x14ac:dyDescent="0.25">
      <c r="A129" s="31" t="s">
        <v>96</v>
      </c>
      <c r="B129" t="s">
        <v>97</v>
      </c>
      <c r="C129" t="s">
        <v>81</v>
      </c>
      <c r="D129" s="30">
        <v>-679435.66999999993</v>
      </c>
      <c r="E129" s="31">
        <v>45901</v>
      </c>
    </row>
    <row r="130" spans="1:5" x14ac:dyDescent="0.25">
      <c r="A130" s="31" t="s">
        <v>90</v>
      </c>
      <c r="B130" t="s">
        <v>91</v>
      </c>
      <c r="C130" t="s">
        <v>81</v>
      </c>
      <c r="D130" s="30">
        <v>-107828.91999999991</v>
      </c>
      <c r="E130" s="31">
        <v>45901</v>
      </c>
    </row>
    <row r="131" spans="1:5" x14ac:dyDescent="0.25">
      <c r="A131" s="31" t="s">
        <v>112</v>
      </c>
      <c r="B131" t="s">
        <v>113</v>
      </c>
      <c r="C131" t="s">
        <v>81</v>
      </c>
      <c r="D131" s="30">
        <v>13052371.549999997</v>
      </c>
      <c r="E131" s="31">
        <v>45901</v>
      </c>
    </row>
    <row r="132" spans="1:5" x14ac:dyDescent="0.25">
      <c r="A132" s="31" t="s">
        <v>61</v>
      </c>
      <c r="B132" t="s">
        <v>62</v>
      </c>
      <c r="C132" t="s">
        <v>226</v>
      </c>
      <c r="D132" s="30">
        <v>-305360.71999999986</v>
      </c>
      <c r="E132" s="31">
        <v>45901</v>
      </c>
    </row>
    <row r="133" spans="1:5" x14ac:dyDescent="0.25">
      <c r="A133" s="31" t="s">
        <v>102</v>
      </c>
      <c r="B133" t="s">
        <v>103</v>
      </c>
      <c r="C133" t="s">
        <v>152</v>
      </c>
      <c r="D133" s="30">
        <v>-332430.25459999999</v>
      </c>
      <c r="E133" s="31">
        <v>45901</v>
      </c>
    </row>
    <row r="134" spans="1:5" x14ac:dyDescent="0.25">
      <c r="A134" s="31" t="s">
        <v>196</v>
      </c>
      <c r="B134" t="s">
        <v>245</v>
      </c>
      <c r="C134" t="s">
        <v>143</v>
      </c>
      <c r="D134" s="30">
        <v>-11842.25</v>
      </c>
      <c r="E134" s="31">
        <v>45901</v>
      </c>
    </row>
    <row r="135" spans="1:5" x14ac:dyDescent="0.25">
      <c r="A135" s="31" t="s">
        <v>54</v>
      </c>
      <c r="B135" t="s">
        <v>55</v>
      </c>
      <c r="C135" t="s">
        <v>227</v>
      </c>
      <c r="D135" s="30">
        <v>1994713.1212999998</v>
      </c>
      <c r="E135" s="31">
        <v>45901</v>
      </c>
    </row>
    <row r="136" spans="1:5" x14ac:dyDescent="0.25">
      <c r="A136" s="31" t="s">
        <v>118</v>
      </c>
      <c r="B136" t="s">
        <v>119</v>
      </c>
      <c r="C136" t="s">
        <v>143</v>
      </c>
      <c r="D136" s="30">
        <v>149668.35999999999</v>
      </c>
      <c r="E136" s="31">
        <v>45901</v>
      </c>
    </row>
    <row r="137" spans="1:5" x14ac:dyDescent="0.25">
      <c r="A137" s="31" t="s">
        <v>86</v>
      </c>
      <c r="B137" t="s">
        <v>87</v>
      </c>
      <c r="C137" t="s">
        <v>152</v>
      </c>
      <c r="D137" s="30">
        <v>2811243.3157000002</v>
      </c>
      <c r="E137" s="31">
        <v>45901</v>
      </c>
    </row>
    <row r="138" spans="1:5" x14ac:dyDescent="0.25">
      <c r="A138" s="31" t="s">
        <v>170</v>
      </c>
      <c r="B138" t="s">
        <v>171</v>
      </c>
      <c r="C138" t="s">
        <v>81</v>
      </c>
      <c r="D138" s="30">
        <v>98122.212</v>
      </c>
      <c r="E138" s="31">
        <v>45901</v>
      </c>
    </row>
    <row r="139" spans="1:5" x14ac:dyDescent="0.25">
      <c r="A139" s="31" t="s">
        <v>206</v>
      </c>
      <c r="B139" t="s">
        <v>251</v>
      </c>
      <c r="C139" t="s">
        <v>230</v>
      </c>
      <c r="D139" s="30">
        <v>-30082.26</v>
      </c>
      <c r="E139" s="31">
        <v>45901</v>
      </c>
    </row>
    <row r="140" spans="1:5" x14ac:dyDescent="0.25">
      <c r="A140" s="31" t="s">
        <v>50</v>
      </c>
      <c r="B140" t="s">
        <v>51</v>
      </c>
      <c r="C140" t="s">
        <v>152</v>
      </c>
      <c r="D140" s="30">
        <v>-3301.3900000000003</v>
      </c>
      <c r="E140" s="31">
        <v>45901</v>
      </c>
    </row>
    <row r="141" spans="1:5" x14ac:dyDescent="0.25">
      <c r="A141" s="31" t="s">
        <v>92</v>
      </c>
      <c r="B141" t="s">
        <v>93</v>
      </c>
      <c r="C141" t="s">
        <v>81</v>
      </c>
      <c r="D141" s="30">
        <v>259442.71</v>
      </c>
      <c r="E141" s="31">
        <v>45901</v>
      </c>
    </row>
    <row r="142" spans="1:5" x14ac:dyDescent="0.25">
      <c r="A142" s="31" t="s">
        <v>45</v>
      </c>
      <c r="B142" t="s">
        <v>46</v>
      </c>
      <c r="C142" t="s">
        <v>152</v>
      </c>
      <c r="D142" s="30">
        <v>-107618.86000000002</v>
      </c>
      <c r="E142" s="31">
        <v>45901</v>
      </c>
    </row>
    <row r="143" spans="1:5" x14ac:dyDescent="0.25">
      <c r="A143" s="31" t="s">
        <v>65</v>
      </c>
      <c r="B143" t="s">
        <v>66</v>
      </c>
      <c r="C143" t="s">
        <v>67</v>
      </c>
      <c r="D143" s="30">
        <v>-3665030.1804553065</v>
      </c>
      <c r="E143" s="31">
        <v>45931</v>
      </c>
    </row>
    <row r="144" spans="1:5" x14ac:dyDescent="0.25">
      <c r="A144" s="31" t="s">
        <v>144</v>
      </c>
      <c r="B144" t="s">
        <v>145</v>
      </c>
      <c r="C144" t="s">
        <v>67</v>
      </c>
      <c r="D144" s="30">
        <v>-104299.58</v>
      </c>
      <c r="E144" s="31">
        <v>45931</v>
      </c>
    </row>
    <row r="145" spans="1:5" x14ac:dyDescent="0.25">
      <c r="A145" s="31" t="s">
        <v>72</v>
      </c>
      <c r="B145" t="s">
        <v>73</v>
      </c>
      <c r="C145" t="s">
        <v>227</v>
      </c>
      <c r="D145" s="30">
        <v>3255030.7922999994</v>
      </c>
      <c r="E145" s="31">
        <v>45931</v>
      </c>
    </row>
    <row r="146" spans="1:5" x14ac:dyDescent="0.25">
      <c r="A146" s="31" t="s">
        <v>120</v>
      </c>
      <c r="B146" t="s">
        <v>121</v>
      </c>
      <c r="C146" t="s">
        <v>227</v>
      </c>
      <c r="D146" s="30">
        <v>6211.4559999999401</v>
      </c>
      <c r="E146" s="31">
        <v>45931</v>
      </c>
    </row>
    <row r="147" spans="1:5" x14ac:dyDescent="0.25">
      <c r="A147" s="31" t="s">
        <v>63</v>
      </c>
      <c r="B147" t="s">
        <v>64</v>
      </c>
      <c r="C147" t="s">
        <v>227</v>
      </c>
      <c r="D147" s="30">
        <v>-3418276.9441600004</v>
      </c>
      <c r="E147" s="31">
        <v>45931</v>
      </c>
    </row>
    <row r="148" spans="1:5" x14ac:dyDescent="0.25">
      <c r="A148" s="31" t="s">
        <v>84</v>
      </c>
      <c r="B148" t="s">
        <v>85</v>
      </c>
      <c r="C148" t="s">
        <v>67</v>
      </c>
      <c r="D148" s="30">
        <v>517217.28000000009</v>
      </c>
      <c r="E148" s="31">
        <v>45931</v>
      </c>
    </row>
    <row r="149" spans="1:5" x14ac:dyDescent="0.25">
      <c r="A149" s="31" t="s">
        <v>108</v>
      </c>
      <c r="B149" t="s">
        <v>249</v>
      </c>
      <c r="C149" t="s">
        <v>227</v>
      </c>
      <c r="D149" s="30">
        <v>1500.4</v>
      </c>
      <c r="E149" s="31">
        <v>45931</v>
      </c>
    </row>
    <row r="150" spans="1:5" x14ac:dyDescent="0.25">
      <c r="A150" s="31" t="s">
        <v>82</v>
      </c>
      <c r="B150" t="s">
        <v>83</v>
      </c>
      <c r="C150" t="s">
        <v>228</v>
      </c>
      <c r="D150" s="30">
        <v>-535541.60629999998</v>
      </c>
      <c r="E150" s="31">
        <v>45931</v>
      </c>
    </row>
    <row r="151" spans="1:5" x14ac:dyDescent="0.25">
      <c r="A151" s="31" t="s">
        <v>68</v>
      </c>
      <c r="B151" t="s">
        <v>69</v>
      </c>
      <c r="C151" t="s">
        <v>229</v>
      </c>
      <c r="D151" s="30">
        <v>-1044892.8499999982</v>
      </c>
      <c r="E151" s="31">
        <v>45931</v>
      </c>
    </row>
    <row r="152" spans="1:5" x14ac:dyDescent="0.25">
      <c r="A152" s="31" t="s">
        <v>116</v>
      </c>
      <c r="B152" t="s">
        <v>117</v>
      </c>
      <c r="C152" t="s">
        <v>143</v>
      </c>
      <c r="D152" s="30">
        <v>-413011.76</v>
      </c>
      <c r="E152" s="31">
        <v>45931</v>
      </c>
    </row>
    <row r="153" spans="1:5" x14ac:dyDescent="0.25">
      <c r="A153" s="31" t="s">
        <v>59</v>
      </c>
      <c r="B153" t="s">
        <v>60</v>
      </c>
      <c r="C153" t="s">
        <v>143</v>
      </c>
      <c r="D153" s="30">
        <v>636748.63</v>
      </c>
      <c r="E153" s="31">
        <v>45931</v>
      </c>
    </row>
    <row r="154" spans="1:5" x14ac:dyDescent="0.25">
      <c r="A154" s="31" t="s">
        <v>146</v>
      </c>
      <c r="B154" t="s">
        <v>147</v>
      </c>
      <c r="C154" t="s">
        <v>226</v>
      </c>
      <c r="D154" s="30">
        <v>357856.35</v>
      </c>
      <c r="E154" s="31">
        <v>45931</v>
      </c>
    </row>
    <row r="155" spans="1:5" x14ac:dyDescent="0.25">
      <c r="A155" s="31" t="s">
        <v>139</v>
      </c>
      <c r="B155" t="s">
        <v>247</v>
      </c>
      <c r="C155" t="s">
        <v>247</v>
      </c>
      <c r="D155" s="30">
        <v>-103835.90000000002</v>
      </c>
      <c r="E155" s="31">
        <v>45931</v>
      </c>
    </row>
    <row r="156" spans="1:5" x14ac:dyDescent="0.25">
      <c r="A156" s="31" t="s">
        <v>57</v>
      </c>
      <c r="B156" t="s">
        <v>58</v>
      </c>
      <c r="C156" t="s">
        <v>230</v>
      </c>
      <c r="D156" s="30">
        <v>-562149.08287399996</v>
      </c>
      <c r="E156" s="31">
        <v>45931</v>
      </c>
    </row>
    <row r="157" spans="1:5" x14ac:dyDescent="0.25">
      <c r="A157" s="31" t="s">
        <v>106</v>
      </c>
      <c r="B157" t="s">
        <v>107</v>
      </c>
      <c r="C157" t="s">
        <v>143</v>
      </c>
      <c r="D157" s="30">
        <v>-586921.65</v>
      </c>
      <c r="E157" s="31">
        <v>45931</v>
      </c>
    </row>
    <row r="158" spans="1:5" x14ac:dyDescent="0.25">
      <c r="A158" s="31" t="s">
        <v>122</v>
      </c>
      <c r="B158" t="s">
        <v>123</v>
      </c>
      <c r="C158" t="s">
        <v>152</v>
      </c>
      <c r="D158" s="30">
        <v>-1535428.976426</v>
      </c>
      <c r="E158" s="31">
        <v>45931</v>
      </c>
    </row>
    <row r="159" spans="1:5" x14ac:dyDescent="0.25">
      <c r="A159" s="31" t="s">
        <v>148</v>
      </c>
      <c r="B159" t="s">
        <v>149</v>
      </c>
      <c r="C159" t="s">
        <v>226</v>
      </c>
      <c r="D159" s="30">
        <v>-73773.23000000001</v>
      </c>
      <c r="E159" s="31">
        <v>45931</v>
      </c>
    </row>
    <row r="160" spans="1:5" x14ac:dyDescent="0.25">
      <c r="A160" s="31" t="s">
        <v>190</v>
      </c>
      <c r="B160" t="s">
        <v>234</v>
      </c>
      <c r="C160" t="s">
        <v>235</v>
      </c>
      <c r="D160" s="30">
        <v>-267276.44</v>
      </c>
      <c r="E160" s="31">
        <v>45931</v>
      </c>
    </row>
    <row r="161" spans="1:5" x14ac:dyDescent="0.25">
      <c r="A161" s="31" t="s">
        <v>79</v>
      </c>
      <c r="B161" t="s">
        <v>80</v>
      </c>
      <c r="C161" t="s">
        <v>81</v>
      </c>
      <c r="D161" s="30">
        <v>25900.829999999973</v>
      </c>
      <c r="E161" s="31">
        <v>45931</v>
      </c>
    </row>
    <row r="162" spans="1:5" x14ac:dyDescent="0.25">
      <c r="A162" s="31" t="s">
        <v>94</v>
      </c>
      <c r="B162" t="s">
        <v>95</v>
      </c>
      <c r="C162" t="s">
        <v>152</v>
      </c>
      <c r="D162" s="30">
        <v>-2043757.36</v>
      </c>
      <c r="E162" s="31">
        <v>45931</v>
      </c>
    </row>
    <row r="163" spans="1:5" x14ac:dyDescent="0.25">
      <c r="A163" s="31" t="s">
        <v>76</v>
      </c>
      <c r="B163" t="s">
        <v>77</v>
      </c>
      <c r="C163" t="s">
        <v>152</v>
      </c>
      <c r="D163" s="30">
        <v>-270904.15000000002</v>
      </c>
      <c r="E163" s="31">
        <v>45931</v>
      </c>
    </row>
    <row r="164" spans="1:5" x14ac:dyDescent="0.25">
      <c r="A164" s="31" t="s">
        <v>124</v>
      </c>
      <c r="B164" t="s">
        <v>125</v>
      </c>
      <c r="C164" t="s">
        <v>152</v>
      </c>
      <c r="D164" s="30">
        <v>-396268.11878600001</v>
      </c>
      <c r="E164" s="31">
        <v>45931</v>
      </c>
    </row>
    <row r="165" spans="1:5" x14ac:dyDescent="0.25">
      <c r="A165" s="31" t="s">
        <v>155</v>
      </c>
      <c r="B165" t="s">
        <v>156</v>
      </c>
      <c r="C165" t="s">
        <v>152</v>
      </c>
      <c r="D165" s="30">
        <v>-306548.07380000001</v>
      </c>
      <c r="E165" s="31">
        <v>45931</v>
      </c>
    </row>
    <row r="166" spans="1:5" x14ac:dyDescent="0.25">
      <c r="A166" s="31" t="s">
        <v>100</v>
      </c>
      <c r="B166" t="s">
        <v>238</v>
      </c>
      <c r="C166" t="s">
        <v>152</v>
      </c>
      <c r="D166" s="30">
        <v>-808355.17881599965</v>
      </c>
      <c r="E166" s="31">
        <v>45931</v>
      </c>
    </row>
    <row r="167" spans="1:5" x14ac:dyDescent="0.25">
      <c r="A167" s="31" t="s">
        <v>114</v>
      </c>
      <c r="B167" t="s">
        <v>115</v>
      </c>
      <c r="C167" t="s">
        <v>224</v>
      </c>
      <c r="D167" s="30">
        <v>-129216.17000000001</v>
      </c>
      <c r="E167" s="31">
        <v>45931</v>
      </c>
    </row>
    <row r="168" spans="1:5" x14ac:dyDescent="0.25">
      <c r="A168" s="31" t="s">
        <v>70</v>
      </c>
      <c r="B168" t="s">
        <v>71</v>
      </c>
      <c r="C168" t="s">
        <v>152</v>
      </c>
      <c r="D168" s="30">
        <v>-277322.31059999997</v>
      </c>
      <c r="E168" s="31">
        <v>45931</v>
      </c>
    </row>
    <row r="169" spans="1:5" x14ac:dyDescent="0.25">
      <c r="A169" s="31" t="s">
        <v>88</v>
      </c>
      <c r="B169" t="s">
        <v>89</v>
      </c>
      <c r="C169" t="s">
        <v>152</v>
      </c>
      <c r="D169" s="30">
        <v>197649.81805399997</v>
      </c>
      <c r="E169" s="31">
        <v>45931</v>
      </c>
    </row>
    <row r="170" spans="1:5" x14ac:dyDescent="0.25">
      <c r="A170" s="31" t="s">
        <v>98</v>
      </c>
      <c r="B170" t="s">
        <v>99</v>
      </c>
      <c r="C170" t="s">
        <v>81</v>
      </c>
      <c r="D170" s="30">
        <v>1209933.6400000001</v>
      </c>
      <c r="E170" s="31">
        <v>45931</v>
      </c>
    </row>
    <row r="171" spans="1:5" x14ac:dyDescent="0.25">
      <c r="A171" s="31" t="s">
        <v>133</v>
      </c>
      <c r="B171" t="s">
        <v>240</v>
      </c>
      <c r="C171" t="s">
        <v>241</v>
      </c>
      <c r="D171" s="30">
        <v>297425.31450532813</v>
      </c>
      <c r="E171" s="31">
        <v>45931</v>
      </c>
    </row>
    <row r="172" spans="1:5" x14ac:dyDescent="0.25">
      <c r="A172" s="31" t="s">
        <v>128</v>
      </c>
      <c r="B172" t="s">
        <v>129</v>
      </c>
      <c r="C172" t="s">
        <v>67</v>
      </c>
      <c r="D172" s="30">
        <v>4233805.7915770002</v>
      </c>
      <c r="E172" s="31">
        <v>45931</v>
      </c>
    </row>
    <row r="173" spans="1:5" x14ac:dyDescent="0.25">
      <c r="A173" s="31" t="s">
        <v>131</v>
      </c>
      <c r="B173" t="s">
        <v>132</v>
      </c>
      <c r="C173" t="s">
        <v>67</v>
      </c>
      <c r="D173" s="30">
        <v>-72078.419999999984</v>
      </c>
      <c r="E173" s="31">
        <v>45931</v>
      </c>
    </row>
    <row r="174" spans="1:5" x14ac:dyDescent="0.25">
      <c r="A174" s="31" t="s">
        <v>168</v>
      </c>
      <c r="B174" t="s">
        <v>169</v>
      </c>
      <c r="C174" t="s">
        <v>226</v>
      </c>
      <c r="D174" s="30">
        <v>3051547.66</v>
      </c>
      <c r="E174" s="31">
        <v>45931</v>
      </c>
    </row>
    <row r="175" spans="1:5" x14ac:dyDescent="0.25">
      <c r="A175" s="31" t="s">
        <v>74</v>
      </c>
      <c r="B175" t="s">
        <v>75</v>
      </c>
      <c r="C175" t="s">
        <v>67</v>
      </c>
      <c r="D175" s="30">
        <v>4231384.7842400009</v>
      </c>
      <c r="E175" s="31">
        <v>45931</v>
      </c>
    </row>
    <row r="176" spans="1:5" x14ac:dyDescent="0.25">
      <c r="A176" s="31" t="s">
        <v>96</v>
      </c>
      <c r="B176" t="s">
        <v>97</v>
      </c>
      <c r="C176" t="s">
        <v>81</v>
      </c>
      <c r="D176" s="30">
        <v>-246267.90999999997</v>
      </c>
      <c r="E176" s="31">
        <v>45931</v>
      </c>
    </row>
    <row r="177" spans="1:5" x14ac:dyDescent="0.25">
      <c r="A177" s="31" t="s">
        <v>90</v>
      </c>
      <c r="B177" t="s">
        <v>91</v>
      </c>
      <c r="C177" t="s">
        <v>81</v>
      </c>
      <c r="D177" s="30">
        <v>-3464804.2854009997</v>
      </c>
      <c r="E177" s="31">
        <v>45931</v>
      </c>
    </row>
    <row r="178" spans="1:5" x14ac:dyDescent="0.25">
      <c r="A178" s="31" t="s">
        <v>112</v>
      </c>
      <c r="B178" t="s">
        <v>113</v>
      </c>
      <c r="C178" t="s">
        <v>81</v>
      </c>
      <c r="D178" s="30">
        <v>-15455110.820000002</v>
      </c>
      <c r="E178" s="31">
        <v>45931</v>
      </c>
    </row>
    <row r="179" spans="1:5" x14ac:dyDescent="0.25">
      <c r="A179" s="31" t="s">
        <v>61</v>
      </c>
      <c r="B179" t="s">
        <v>62</v>
      </c>
      <c r="C179" t="s">
        <v>226</v>
      </c>
      <c r="D179" s="30">
        <v>641158.65</v>
      </c>
      <c r="E179" s="31">
        <v>45931</v>
      </c>
    </row>
    <row r="180" spans="1:5" x14ac:dyDescent="0.25">
      <c r="A180" s="31" t="s">
        <v>102</v>
      </c>
      <c r="B180" t="s">
        <v>103</v>
      </c>
      <c r="C180" t="s">
        <v>152</v>
      </c>
      <c r="D180" s="30">
        <v>-125833.10899399999</v>
      </c>
      <c r="E180" s="31">
        <v>45931</v>
      </c>
    </row>
    <row r="181" spans="1:5" x14ac:dyDescent="0.25">
      <c r="A181" s="31" t="s">
        <v>54</v>
      </c>
      <c r="B181" t="s">
        <v>55</v>
      </c>
      <c r="C181" t="s">
        <v>227</v>
      </c>
      <c r="D181" s="30">
        <v>167130.65000000005</v>
      </c>
      <c r="E181" s="31">
        <v>45931</v>
      </c>
    </row>
    <row r="182" spans="1:5" x14ac:dyDescent="0.25">
      <c r="A182" s="31" t="s">
        <v>118</v>
      </c>
      <c r="B182" t="s">
        <v>119</v>
      </c>
      <c r="C182" t="s">
        <v>143</v>
      </c>
      <c r="D182" s="30">
        <v>443236.22000000009</v>
      </c>
      <c r="E182" s="31">
        <v>45931</v>
      </c>
    </row>
    <row r="183" spans="1:5" x14ac:dyDescent="0.25">
      <c r="A183" s="31" t="s">
        <v>86</v>
      </c>
      <c r="B183" t="s">
        <v>87</v>
      </c>
      <c r="C183" t="s">
        <v>152</v>
      </c>
      <c r="D183" s="30">
        <v>651977.09581199952</v>
      </c>
      <c r="E183" s="31">
        <v>45931</v>
      </c>
    </row>
    <row r="184" spans="1:5" x14ac:dyDescent="0.25">
      <c r="A184" s="31" t="s">
        <v>170</v>
      </c>
      <c r="B184" t="s">
        <v>171</v>
      </c>
      <c r="C184" t="s">
        <v>81</v>
      </c>
      <c r="D184" s="30">
        <v>101205.7414</v>
      </c>
      <c r="E184" s="31">
        <v>45931</v>
      </c>
    </row>
    <row r="185" spans="1:5" x14ac:dyDescent="0.25">
      <c r="A185" s="31" t="s">
        <v>50</v>
      </c>
      <c r="B185" t="s">
        <v>51</v>
      </c>
      <c r="C185" t="s">
        <v>152</v>
      </c>
      <c r="D185" s="30">
        <v>-44642.770000000004</v>
      </c>
      <c r="E185" s="31">
        <v>45931</v>
      </c>
    </row>
    <row r="186" spans="1:5" x14ac:dyDescent="0.25">
      <c r="A186" s="31" t="s">
        <v>92</v>
      </c>
      <c r="B186" t="s">
        <v>93</v>
      </c>
      <c r="C186" t="s">
        <v>81</v>
      </c>
      <c r="D186" s="30">
        <v>-64403.869999999995</v>
      </c>
      <c r="E186" s="31">
        <v>45931</v>
      </c>
    </row>
    <row r="187" spans="1:5" x14ac:dyDescent="0.25">
      <c r="A187" s="31" t="s">
        <v>209</v>
      </c>
      <c r="B187" t="s">
        <v>140</v>
      </c>
      <c r="C187" t="s">
        <v>47</v>
      </c>
      <c r="D187" s="30">
        <v>19000</v>
      </c>
      <c r="E187" s="31">
        <v>45931</v>
      </c>
    </row>
    <row r="188" spans="1:5" x14ac:dyDescent="0.25">
      <c r="A188" s="31" t="s">
        <v>45</v>
      </c>
      <c r="B188" t="s">
        <v>46</v>
      </c>
      <c r="C188" t="s">
        <v>152</v>
      </c>
      <c r="D188" s="30">
        <v>106199.42000000001</v>
      </c>
      <c r="E188" s="31">
        <v>45931</v>
      </c>
    </row>
    <row r="189" spans="1:5" x14ac:dyDescent="0.25">
      <c r="A189" s="31" t="s">
        <v>65</v>
      </c>
      <c r="B189" t="s">
        <v>66</v>
      </c>
      <c r="C189" t="s">
        <v>67</v>
      </c>
      <c r="D189" s="30">
        <v>-6275662.1655140016</v>
      </c>
      <c r="E189" s="31">
        <v>45962</v>
      </c>
    </row>
    <row r="190" spans="1:5" x14ac:dyDescent="0.25">
      <c r="A190" s="31" t="s">
        <v>144</v>
      </c>
      <c r="B190" t="s">
        <v>145</v>
      </c>
      <c r="C190" t="s">
        <v>67</v>
      </c>
      <c r="D190" s="30">
        <v>-20065.32</v>
      </c>
      <c r="E190" s="31">
        <v>45962</v>
      </c>
    </row>
    <row r="191" spans="1:5" x14ac:dyDescent="0.25">
      <c r="A191" s="31" t="s">
        <v>72</v>
      </c>
      <c r="B191" t="s">
        <v>73</v>
      </c>
      <c r="C191" t="s">
        <v>227</v>
      </c>
      <c r="D191" s="30">
        <v>-1306524.2600000054</v>
      </c>
      <c r="E191" s="31">
        <v>45962</v>
      </c>
    </row>
    <row r="192" spans="1:5" x14ac:dyDescent="0.25">
      <c r="A192" s="31" t="s">
        <v>120</v>
      </c>
      <c r="B192" t="s">
        <v>121</v>
      </c>
      <c r="C192" t="s">
        <v>227</v>
      </c>
      <c r="D192" s="30">
        <v>-2661366.3631600002</v>
      </c>
      <c r="E192" s="31">
        <v>45962</v>
      </c>
    </row>
    <row r="193" spans="1:5" x14ac:dyDescent="0.25">
      <c r="A193" s="31" t="s">
        <v>135</v>
      </c>
      <c r="B193" t="s">
        <v>136</v>
      </c>
      <c r="C193" t="s">
        <v>226</v>
      </c>
      <c r="D193" s="30">
        <v>1246619.8762934266</v>
      </c>
      <c r="E193" s="31">
        <v>45962</v>
      </c>
    </row>
    <row r="194" spans="1:5" x14ac:dyDescent="0.25">
      <c r="A194" s="31" t="s">
        <v>63</v>
      </c>
      <c r="B194" t="s">
        <v>64</v>
      </c>
      <c r="C194" t="s">
        <v>227</v>
      </c>
      <c r="D194" s="30">
        <v>-1908879.2443390002</v>
      </c>
      <c r="E194" s="31">
        <v>45962</v>
      </c>
    </row>
    <row r="195" spans="1:5" x14ac:dyDescent="0.25">
      <c r="A195" s="31" t="s">
        <v>84</v>
      </c>
      <c r="B195" t="s">
        <v>85</v>
      </c>
      <c r="C195" t="s">
        <v>67</v>
      </c>
      <c r="D195" s="30">
        <v>4669666.5099999988</v>
      </c>
      <c r="E195" s="31">
        <v>45962</v>
      </c>
    </row>
    <row r="196" spans="1:5" x14ac:dyDescent="0.25">
      <c r="A196" s="31" t="s">
        <v>108</v>
      </c>
      <c r="B196" t="s">
        <v>249</v>
      </c>
      <c r="C196" t="s">
        <v>227</v>
      </c>
      <c r="D196" s="30">
        <v>1518.5</v>
      </c>
      <c r="E196" s="31">
        <v>45962</v>
      </c>
    </row>
    <row r="197" spans="1:5" x14ac:dyDescent="0.25">
      <c r="A197" s="31" t="s">
        <v>82</v>
      </c>
      <c r="B197" t="s">
        <v>83</v>
      </c>
      <c r="C197" t="s">
        <v>228</v>
      </c>
      <c r="D197" s="30">
        <v>-53779.34</v>
      </c>
      <c r="E197" s="31">
        <v>45962</v>
      </c>
    </row>
    <row r="198" spans="1:5" x14ac:dyDescent="0.25">
      <c r="A198" s="31" t="s">
        <v>68</v>
      </c>
      <c r="B198" t="s">
        <v>69</v>
      </c>
      <c r="C198" t="s">
        <v>229</v>
      </c>
      <c r="D198" s="30">
        <v>-2022645.9499999993</v>
      </c>
      <c r="E198" s="31">
        <v>45962</v>
      </c>
    </row>
    <row r="199" spans="1:5" x14ac:dyDescent="0.25">
      <c r="A199" s="31" t="s">
        <v>116</v>
      </c>
      <c r="B199" t="s">
        <v>117</v>
      </c>
      <c r="C199" t="s">
        <v>143</v>
      </c>
      <c r="D199" s="30">
        <v>432677.79235499981</v>
      </c>
      <c r="E199" s="31">
        <v>45962</v>
      </c>
    </row>
    <row r="200" spans="1:5" x14ac:dyDescent="0.25">
      <c r="A200" s="31" t="s">
        <v>59</v>
      </c>
      <c r="B200" t="s">
        <v>60</v>
      </c>
      <c r="C200" t="s">
        <v>143</v>
      </c>
      <c r="D200" s="30">
        <v>-435630.3</v>
      </c>
      <c r="E200" s="31">
        <v>45962</v>
      </c>
    </row>
    <row r="201" spans="1:5" x14ac:dyDescent="0.25">
      <c r="A201" s="31" t="s">
        <v>146</v>
      </c>
      <c r="B201" t="s">
        <v>147</v>
      </c>
      <c r="C201" t="s">
        <v>226</v>
      </c>
      <c r="D201" s="30">
        <v>305060.40999999997</v>
      </c>
      <c r="E201" s="31">
        <v>45962</v>
      </c>
    </row>
    <row r="202" spans="1:5" x14ac:dyDescent="0.25">
      <c r="A202" s="31" t="s">
        <v>139</v>
      </c>
      <c r="B202" t="s">
        <v>247</v>
      </c>
      <c r="C202" t="s">
        <v>247</v>
      </c>
      <c r="D202" s="30">
        <v>-76239.049999999988</v>
      </c>
      <c r="E202" s="31">
        <v>45962</v>
      </c>
    </row>
    <row r="203" spans="1:5" x14ac:dyDescent="0.25">
      <c r="A203" s="31" t="s">
        <v>57</v>
      </c>
      <c r="B203" t="s">
        <v>58</v>
      </c>
      <c r="C203" t="s">
        <v>230</v>
      </c>
      <c r="D203" s="30">
        <v>-93816.970826999954</v>
      </c>
      <c r="E203" s="31">
        <v>45962</v>
      </c>
    </row>
    <row r="204" spans="1:5" x14ac:dyDescent="0.25">
      <c r="A204" s="31" t="s">
        <v>106</v>
      </c>
      <c r="B204" t="s">
        <v>107</v>
      </c>
      <c r="C204" t="s">
        <v>143</v>
      </c>
      <c r="D204" s="30">
        <v>184745.67000000016</v>
      </c>
      <c r="E204" s="31">
        <v>45962</v>
      </c>
    </row>
    <row r="205" spans="1:5" x14ac:dyDescent="0.25">
      <c r="A205" s="31" t="s">
        <v>122</v>
      </c>
      <c r="B205" t="s">
        <v>123</v>
      </c>
      <c r="C205" t="s">
        <v>152</v>
      </c>
      <c r="D205" s="30">
        <v>-54971.379996999982</v>
      </c>
      <c r="E205" s="31">
        <v>45962</v>
      </c>
    </row>
    <row r="206" spans="1:5" x14ac:dyDescent="0.25">
      <c r="A206" s="31" t="s">
        <v>148</v>
      </c>
      <c r="B206" t="s">
        <v>149</v>
      </c>
      <c r="C206" t="s">
        <v>226</v>
      </c>
      <c r="D206" s="30">
        <v>-9024.0299999999988</v>
      </c>
      <c r="E206" s="31">
        <v>45962</v>
      </c>
    </row>
    <row r="207" spans="1:5" x14ac:dyDescent="0.25">
      <c r="A207" s="31" t="s">
        <v>190</v>
      </c>
      <c r="B207" t="s">
        <v>234</v>
      </c>
      <c r="C207" t="s">
        <v>235</v>
      </c>
      <c r="D207" s="30">
        <v>-83267.529999999984</v>
      </c>
      <c r="E207" s="31">
        <v>45962</v>
      </c>
    </row>
    <row r="208" spans="1:5" x14ac:dyDescent="0.25">
      <c r="A208" s="31" t="s">
        <v>79</v>
      </c>
      <c r="B208" t="s">
        <v>80</v>
      </c>
      <c r="C208" t="s">
        <v>81</v>
      </c>
      <c r="D208" s="30">
        <v>520541.58000000007</v>
      </c>
      <c r="E208" s="31">
        <v>45962</v>
      </c>
    </row>
    <row r="209" spans="1:5" x14ac:dyDescent="0.25">
      <c r="A209" s="31" t="s">
        <v>94</v>
      </c>
      <c r="B209" t="s">
        <v>95</v>
      </c>
      <c r="C209" t="s">
        <v>152</v>
      </c>
      <c r="D209" s="30">
        <v>-1833651.5249920001</v>
      </c>
      <c r="E209" s="31">
        <v>45962</v>
      </c>
    </row>
    <row r="210" spans="1:5" x14ac:dyDescent="0.25">
      <c r="A210" s="31" t="s">
        <v>76</v>
      </c>
      <c r="B210" t="s">
        <v>77</v>
      </c>
      <c r="C210" t="s">
        <v>152</v>
      </c>
      <c r="D210" s="30">
        <v>-844819.18971999991</v>
      </c>
      <c r="E210" s="31">
        <v>45962</v>
      </c>
    </row>
    <row r="211" spans="1:5" x14ac:dyDescent="0.25">
      <c r="A211" s="31" t="s">
        <v>124</v>
      </c>
      <c r="B211" t="s">
        <v>125</v>
      </c>
      <c r="C211" t="s">
        <v>152</v>
      </c>
      <c r="D211" s="30">
        <v>-1571017.0299999991</v>
      </c>
      <c r="E211" s="31">
        <v>45962</v>
      </c>
    </row>
    <row r="212" spans="1:5" x14ac:dyDescent="0.25">
      <c r="A212" s="31" t="s">
        <v>155</v>
      </c>
      <c r="B212" t="s">
        <v>156</v>
      </c>
      <c r="C212" t="s">
        <v>152</v>
      </c>
      <c r="D212" s="30">
        <v>7432.9900000000007</v>
      </c>
      <c r="E212" s="31">
        <v>45962</v>
      </c>
    </row>
    <row r="213" spans="1:5" x14ac:dyDescent="0.25">
      <c r="A213" s="31" t="s">
        <v>100</v>
      </c>
      <c r="B213" t="s">
        <v>238</v>
      </c>
      <c r="C213" t="s">
        <v>152</v>
      </c>
      <c r="D213" s="30">
        <v>-38146.140000000007</v>
      </c>
      <c r="E213" s="31">
        <v>45962</v>
      </c>
    </row>
    <row r="214" spans="1:5" x14ac:dyDescent="0.25">
      <c r="A214" s="31" t="s">
        <v>114</v>
      </c>
      <c r="B214" t="s">
        <v>115</v>
      </c>
      <c r="C214" t="s">
        <v>224</v>
      </c>
      <c r="D214" s="30">
        <v>911827.21</v>
      </c>
      <c r="E214" s="31">
        <v>45962</v>
      </c>
    </row>
    <row r="215" spans="1:5" x14ac:dyDescent="0.25">
      <c r="A215" s="31" t="s">
        <v>70</v>
      </c>
      <c r="B215" t="s">
        <v>71</v>
      </c>
      <c r="C215" t="s">
        <v>152</v>
      </c>
      <c r="D215" s="30">
        <v>176272.24999999997</v>
      </c>
      <c r="E215" s="31">
        <v>45962</v>
      </c>
    </row>
    <row r="216" spans="1:5" x14ac:dyDescent="0.25">
      <c r="A216" s="31" t="s">
        <v>88</v>
      </c>
      <c r="B216" t="s">
        <v>89</v>
      </c>
      <c r="C216" t="s">
        <v>152</v>
      </c>
      <c r="D216" s="30">
        <v>398245.28</v>
      </c>
      <c r="E216" s="31">
        <v>45962</v>
      </c>
    </row>
    <row r="217" spans="1:5" x14ac:dyDescent="0.25">
      <c r="A217" s="31" t="s">
        <v>98</v>
      </c>
      <c r="B217" t="s">
        <v>99</v>
      </c>
      <c r="C217" t="s">
        <v>81</v>
      </c>
      <c r="D217" s="30">
        <v>502607.90999999986</v>
      </c>
      <c r="E217" s="31">
        <v>45962</v>
      </c>
    </row>
    <row r="218" spans="1:5" x14ac:dyDescent="0.25">
      <c r="A218" s="31" t="s">
        <v>133</v>
      </c>
      <c r="B218" t="s">
        <v>240</v>
      </c>
      <c r="C218" t="s">
        <v>241</v>
      </c>
      <c r="D218" s="30">
        <v>-317795.38000000006</v>
      </c>
      <c r="E218" s="31">
        <v>45962</v>
      </c>
    </row>
    <row r="219" spans="1:5" x14ac:dyDescent="0.25">
      <c r="A219" s="31" t="s">
        <v>128</v>
      </c>
      <c r="B219" t="s">
        <v>129</v>
      </c>
      <c r="C219" t="s">
        <v>67</v>
      </c>
      <c r="D219" s="30">
        <v>-1378720.1099999999</v>
      </c>
      <c r="E219" s="31">
        <v>45962</v>
      </c>
    </row>
    <row r="220" spans="1:5" x14ac:dyDescent="0.25">
      <c r="A220" s="31" t="s">
        <v>131</v>
      </c>
      <c r="B220" t="s">
        <v>132</v>
      </c>
      <c r="C220" t="s">
        <v>67</v>
      </c>
      <c r="D220" s="30">
        <v>269839.32</v>
      </c>
      <c r="E220" s="31">
        <v>45962</v>
      </c>
    </row>
    <row r="221" spans="1:5" x14ac:dyDescent="0.25">
      <c r="A221" s="31" t="s">
        <v>168</v>
      </c>
      <c r="B221" t="s">
        <v>169</v>
      </c>
      <c r="C221" t="s">
        <v>226</v>
      </c>
      <c r="D221" s="30">
        <v>9064.57</v>
      </c>
      <c r="E221" s="31">
        <v>45962</v>
      </c>
    </row>
    <row r="222" spans="1:5" x14ac:dyDescent="0.25">
      <c r="A222" s="31" t="s">
        <v>74</v>
      </c>
      <c r="B222" t="s">
        <v>75</v>
      </c>
      <c r="C222" t="s">
        <v>67</v>
      </c>
      <c r="D222" s="30">
        <v>266234.36547900009</v>
      </c>
      <c r="E222" s="31">
        <v>45962</v>
      </c>
    </row>
    <row r="223" spans="1:5" x14ac:dyDescent="0.25">
      <c r="A223" s="31" t="s">
        <v>96</v>
      </c>
      <c r="B223" t="s">
        <v>97</v>
      </c>
      <c r="C223" t="s">
        <v>81</v>
      </c>
      <c r="D223" s="30">
        <v>679561.58000000007</v>
      </c>
      <c r="E223" s="31">
        <v>45962</v>
      </c>
    </row>
    <row r="224" spans="1:5" x14ac:dyDescent="0.25">
      <c r="A224" s="31" t="s">
        <v>90</v>
      </c>
      <c r="B224" t="s">
        <v>91</v>
      </c>
      <c r="C224" t="s">
        <v>81</v>
      </c>
      <c r="D224" s="30">
        <v>201429.54</v>
      </c>
      <c r="E224" s="31">
        <v>45962</v>
      </c>
    </row>
    <row r="225" spans="1:5" x14ac:dyDescent="0.25">
      <c r="A225" s="31" t="s">
        <v>112</v>
      </c>
      <c r="B225" t="s">
        <v>113</v>
      </c>
      <c r="C225" t="s">
        <v>81</v>
      </c>
      <c r="D225" s="30">
        <v>-2572958.7299999995</v>
      </c>
      <c r="E225" s="31">
        <v>45962</v>
      </c>
    </row>
    <row r="226" spans="1:5" x14ac:dyDescent="0.25">
      <c r="A226" s="31" t="s">
        <v>61</v>
      </c>
      <c r="B226" t="s">
        <v>62</v>
      </c>
      <c r="C226" t="s">
        <v>226</v>
      </c>
      <c r="D226" s="30">
        <v>685565.09</v>
      </c>
      <c r="E226" s="31">
        <v>45962</v>
      </c>
    </row>
    <row r="227" spans="1:5" x14ac:dyDescent="0.25">
      <c r="A227" s="31" t="s">
        <v>102</v>
      </c>
      <c r="B227" t="s">
        <v>103</v>
      </c>
      <c r="C227" t="s">
        <v>152</v>
      </c>
      <c r="D227" s="30">
        <v>-318471.18464999995</v>
      </c>
      <c r="E227" s="31">
        <v>45962</v>
      </c>
    </row>
    <row r="228" spans="1:5" x14ac:dyDescent="0.25">
      <c r="A228" s="31" t="s">
        <v>54</v>
      </c>
      <c r="B228" t="s">
        <v>55</v>
      </c>
      <c r="C228" t="s">
        <v>227</v>
      </c>
      <c r="D228" s="30">
        <v>517684.37999999995</v>
      </c>
      <c r="E228" s="31">
        <v>45962</v>
      </c>
    </row>
    <row r="229" spans="1:5" x14ac:dyDescent="0.25">
      <c r="A229" s="31" t="s">
        <v>118</v>
      </c>
      <c r="B229" t="s">
        <v>119</v>
      </c>
      <c r="C229" t="s">
        <v>143</v>
      </c>
      <c r="D229" s="30">
        <v>1305480.9099999997</v>
      </c>
      <c r="E229" s="31">
        <v>45962</v>
      </c>
    </row>
    <row r="230" spans="1:5" x14ac:dyDescent="0.25">
      <c r="A230" s="31" t="s">
        <v>86</v>
      </c>
      <c r="B230" t="s">
        <v>87</v>
      </c>
      <c r="C230" t="s">
        <v>152</v>
      </c>
      <c r="D230" s="30">
        <v>-2480883.9169219993</v>
      </c>
      <c r="E230" s="31">
        <v>45962</v>
      </c>
    </row>
    <row r="231" spans="1:5" x14ac:dyDescent="0.25">
      <c r="A231" s="31" t="s">
        <v>170</v>
      </c>
      <c r="B231" t="s">
        <v>171</v>
      </c>
      <c r="C231" t="s">
        <v>81</v>
      </c>
      <c r="D231" s="30">
        <v>-22648.95</v>
      </c>
      <c r="E231" s="31">
        <v>45962</v>
      </c>
    </row>
    <row r="232" spans="1:5" x14ac:dyDescent="0.25">
      <c r="A232" s="31" t="s">
        <v>50</v>
      </c>
      <c r="B232" t="s">
        <v>51</v>
      </c>
      <c r="C232" t="s">
        <v>152</v>
      </c>
      <c r="D232" s="30">
        <v>-454575.45548829861</v>
      </c>
      <c r="E232" s="31">
        <v>45962</v>
      </c>
    </row>
    <row r="233" spans="1:5" x14ac:dyDescent="0.25">
      <c r="A233" s="31" t="s">
        <v>92</v>
      </c>
      <c r="B233" t="s">
        <v>93</v>
      </c>
      <c r="C233" t="s">
        <v>81</v>
      </c>
      <c r="D233" s="30">
        <v>-407520.26</v>
      </c>
      <c r="E233" s="31">
        <v>45962</v>
      </c>
    </row>
    <row r="234" spans="1:5" x14ac:dyDescent="0.25">
      <c r="A234" s="31" t="s">
        <v>45</v>
      </c>
      <c r="B234" t="s">
        <v>46</v>
      </c>
      <c r="C234" t="s">
        <v>152</v>
      </c>
      <c r="D234" s="30">
        <v>548492.1450189997</v>
      </c>
      <c r="E234" s="31">
        <v>45962</v>
      </c>
    </row>
    <row r="235" spans="1:5" x14ac:dyDescent="0.25">
      <c r="A235" s="31" t="s">
        <v>65</v>
      </c>
      <c r="B235" t="s">
        <v>66</v>
      </c>
      <c r="C235" t="s">
        <v>67</v>
      </c>
      <c r="D235" s="30">
        <v>-3050089.8048950001</v>
      </c>
      <c r="E235" s="31">
        <v>45992</v>
      </c>
    </row>
    <row r="236" spans="1:5" x14ac:dyDescent="0.25">
      <c r="A236" s="31" t="s">
        <v>144</v>
      </c>
      <c r="B236" t="s">
        <v>145</v>
      </c>
      <c r="C236" t="s">
        <v>67</v>
      </c>
      <c r="D236" s="30">
        <v>1846106.99</v>
      </c>
      <c r="E236" s="31">
        <v>45992</v>
      </c>
    </row>
    <row r="237" spans="1:5" x14ac:dyDescent="0.25">
      <c r="A237" s="31" t="s">
        <v>72</v>
      </c>
      <c r="B237" t="s">
        <v>73</v>
      </c>
      <c r="C237" t="s">
        <v>67</v>
      </c>
      <c r="D237" s="30">
        <v>-13478555.439776001</v>
      </c>
      <c r="E237" s="31">
        <v>45992</v>
      </c>
    </row>
    <row r="238" spans="1:5" x14ac:dyDescent="0.25">
      <c r="A238" s="31" t="s">
        <v>120</v>
      </c>
      <c r="B238" t="s">
        <v>121</v>
      </c>
      <c r="C238" t="s">
        <v>67</v>
      </c>
      <c r="D238" s="30">
        <v>-11295913.522429999</v>
      </c>
      <c r="E238" s="31">
        <v>45992</v>
      </c>
    </row>
    <row r="239" spans="1:5" x14ac:dyDescent="0.25">
      <c r="A239" s="31" t="s">
        <v>135</v>
      </c>
      <c r="B239" t="s">
        <v>136</v>
      </c>
      <c r="C239" t="s">
        <v>226</v>
      </c>
      <c r="D239" s="30">
        <v>9678297.3847483974</v>
      </c>
      <c r="E239" s="31">
        <v>45992</v>
      </c>
    </row>
    <row r="240" spans="1:5" x14ac:dyDescent="0.25">
      <c r="A240" s="31" t="s">
        <v>63</v>
      </c>
      <c r="B240" t="s">
        <v>64</v>
      </c>
      <c r="C240" t="s">
        <v>226</v>
      </c>
      <c r="D240" s="30">
        <v>-842562.17074400012</v>
      </c>
      <c r="E240" s="31">
        <v>45992</v>
      </c>
    </row>
    <row r="241" spans="1:5" x14ac:dyDescent="0.25">
      <c r="A241" s="31" t="s">
        <v>84</v>
      </c>
      <c r="B241" t="s">
        <v>85</v>
      </c>
      <c r="C241" t="s">
        <v>67</v>
      </c>
      <c r="D241" s="30">
        <v>1325644.3700000001</v>
      </c>
      <c r="E241" s="31">
        <v>45992</v>
      </c>
    </row>
    <row r="242" spans="1:5" x14ac:dyDescent="0.25">
      <c r="A242" s="31" t="s">
        <v>108</v>
      </c>
      <c r="B242" t="s">
        <v>109</v>
      </c>
      <c r="C242" t="s">
        <v>67</v>
      </c>
      <c r="D242" s="30">
        <v>1500</v>
      </c>
      <c r="E242" s="31">
        <v>45992</v>
      </c>
    </row>
    <row r="243" spans="1:5" x14ac:dyDescent="0.25">
      <c r="A243" s="31" t="s">
        <v>82</v>
      </c>
      <c r="B243" t="s">
        <v>83</v>
      </c>
      <c r="C243" t="s">
        <v>226</v>
      </c>
      <c r="D243" s="30">
        <v>1257246.2948639998</v>
      </c>
      <c r="E243" s="31">
        <v>45992</v>
      </c>
    </row>
    <row r="244" spans="1:5" x14ac:dyDescent="0.25">
      <c r="A244" s="31" t="s">
        <v>210</v>
      </c>
      <c r="B244" t="s">
        <v>253</v>
      </c>
      <c r="C244" t="s">
        <v>226</v>
      </c>
      <c r="D244" s="30">
        <v>-630054.6100000001</v>
      </c>
      <c r="E244" s="31">
        <v>45992</v>
      </c>
    </row>
    <row r="245" spans="1:5" x14ac:dyDescent="0.25">
      <c r="A245" s="31" t="s">
        <v>68</v>
      </c>
      <c r="B245" t="s">
        <v>69</v>
      </c>
      <c r="C245" t="s">
        <v>226</v>
      </c>
      <c r="D245" s="30">
        <v>3758232.7725699991</v>
      </c>
      <c r="E245" s="31">
        <v>45992</v>
      </c>
    </row>
    <row r="246" spans="1:5" x14ac:dyDescent="0.25">
      <c r="A246" s="31" t="s">
        <v>116</v>
      </c>
      <c r="B246" t="s">
        <v>117</v>
      </c>
      <c r="C246" t="s">
        <v>47</v>
      </c>
      <c r="D246" s="30">
        <v>-1097882.6375679998</v>
      </c>
      <c r="E246" s="31">
        <v>45992</v>
      </c>
    </row>
    <row r="247" spans="1:5" x14ac:dyDescent="0.25">
      <c r="A247" s="31" t="s">
        <v>59</v>
      </c>
      <c r="B247" t="s">
        <v>60</v>
      </c>
      <c r="C247" t="s">
        <v>226</v>
      </c>
      <c r="D247" s="30">
        <v>-33555.377280000015</v>
      </c>
      <c r="E247" s="31">
        <v>45992</v>
      </c>
    </row>
    <row r="248" spans="1:5" x14ac:dyDescent="0.25">
      <c r="A248" s="31" t="s">
        <v>146</v>
      </c>
      <c r="B248" t="s">
        <v>147</v>
      </c>
      <c r="C248" t="s">
        <v>226</v>
      </c>
      <c r="D248" s="30">
        <v>413891.95999999996</v>
      </c>
      <c r="E248" s="31">
        <v>45992</v>
      </c>
    </row>
    <row r="249" spans="1:5" x14ac:dyDescent="0.25">
      <c r="A249" s="31" t="s">
        <v>139</v>
      </c>
      <c r="B249" t="s">
        <v>140</v>
      </c>
      <c r="C249" t="s">
        <v>47</v>
      </c>
      <c r="D249" s="30">
        <v>73679.350000000006</v>
      </c>
      <c r="E249" s="31">
        <v>45992</v>
      </c>
    </row>
    <row r="250" spans="1:5" x14ac:dyDescent="0.25">
      <c r="A250" s="31" t="s">
        <v>57</v>
      </c>
      <c r="B250" t="s">
        <v>58</v>
      </c>
      <c r="C250" t="s">
        <v>226</v>
      </c>
      <c r="D250" s="30">
        <v>-888282.20703840011</v>
      </c>
      <c r="E250" s="31">
        <v>45992</v>
      </c>
    </row>
    <row r="251" spans="1:5" x14ac:dyDescent="0.25">
      <c r="A251" s="31" t="s">
        <v>106</v>
      </c>
      <c r="B251" t="s">
        <v>107</v>
      </c>
      <c r="C251" t="s">
        <v>226</v>
      </c>
      <c r="D251" s="30">
        <v>620973.36626879999</v>
      </c>
      <c r="E251" s="31">
        <v>45992</v>
      </c>
    </row>
    <row r="252" spans="1:5" x14ac:dyDescent="0.25">
      <c r="A252" s="31" t="s">
        <v>122</v>
      </c>
      <c r="B252" t="s">
        <v>123</v>
      </c>
      <c r="C252" t="s">
        <v>52</v>
      </c>
      <c r="D252" s="30">
        <v>2223410.46</v>
      </c>
      <c r="E252" s="31">
        <v>45992</v>
      </c>
    </row>
    <row r="253" spans="1:5" x14ac:dyDescent="0.25">
      <c r="A253" s="31" t="s">
        <v>79</v>
      </c>
      <c r="B253" t="s">
        <v>80</v>
      </c>
      <c r="C253" t="s">
        <v>81</v>
      </c>
      <c r="D253" s="30">
        <v>84631.818623999949</v>
      </c>
      <c r="E253" s="31">
        <v>45992</v>
      </c>
    </row>
    <row r="254" spans="1:5" x14ac:dyDescent="0.25">
      <c r="A254" s="31" t="s">
        <v>94</v>
      </c>
      <c r="B254" t="s">
        <v>95</v>
      </c>
      <c r="C254" t="s">
        <v>78</v>
      </c>
      <c r="D254" s="30">
        <v>-1325105.431936</v>
      </c>
      <c r="E254" s="31">
        <v>45992</v>
      </c>
    </row>
    <row r="255" spans="1:5" x14ac:dyDescent="0.25">
      <c r="A255" s="31" t="s">
        <v>76</v>
      </c>
      <c r="B255" t="s">
        <v>77</v>
      </c>
      <c r="C255" t="s">
        <v>78</v>
      </c>
      <c r="D255" s="30">
        <v>938555.49944000016</v>
      </c>
      <c r="E255" s="31">
        <v>45992</v>
      </c>
    </row>
    <row r="256" spans="1:5" x14ac:dyDescent="0.25">
      <c r="A256" s="31" t="s">
        <v>124</v>
      </c>
      <c r="B256" t="s">
        <v>125</v>
      </c>
      <c r="C256" t="s">
        <v>78</v>
      </c>
      <c r="D256" s="30">
        <v>-268716.68000000005</v>
      </c>
      <c r="E256" s="31">
        <v>45992</v>
      </c>
    </row>
    <row r="257" spans="1:5" x14ac:dyDescent="0.25">
      <c r="A257" s="31" t="s">
        <v>157</v>
      </c>
      <c r="B257" t="s">
        <v>158</v>
      </c>
      <c r="C257" t="s">
        <v>226</v>
      </c>
      <c r="D257" s="30">
        <v>-1596.66</v>
      </c>
      <c r="E257" s="31">
        <v>45992</v>
      </c>
    </row>
    <row r="258" spans="1:5" x14ac:dyDescent="0.25">
      <c r="A258" s="31" t="s">
        <v>100</v>
      </c>
      <c r="B258" t="s">
        <v>101</v>
      </c>
      <c r="C258" t="s">
        <v>52</v>
      </c>
      <c r="D258" s="30">
        <v>34855.680000000022</v>
      </c>
      <c r="E258" s="31">
        <v>45992</v>
      </c>
    </row>
    <row r="259" spans="1:5" x14ac:dyDescent="0.25">
      <c r="A259" s="31" t="s">
        <v>114</v>
      </c>
      <c r="B259" t="s">
        <v>115</v>
      </c>
      <c r="C259" t="s">
        <v>226</v>
      </c>
      <c r="D259" s="30">
        <v>235570.01668800006</v>
      </c>
      <c r="E259" s="31">
        <v>45992</v>
      </c>
    </row>
    <row r="260" spans="1:5" x14ac:dyDescent="0.25">
      <c r="A260" s="31" t="s">
        <v>70</v>
      </c>
      <c r="B260" t="s">
        <v>71</v>
      </c>
      <c r="C260" t="s">
        <v>47</v>
      </c>
      <c r="D260" s="30">
        <v>-13436.590000000004</v>
      </c>
      <c r="E260" s="31">
        <v>45992</v>
      </c>
    </row>
    <row r="261" spans="1:5" x14ac:dyDescent="0.25">
      <c r="A261" s="31" t="s">
        <v>88</v>
      </c>
      <c r="B261" t="s">
        <v>89</v>
      </c>
      <c r="C261" t="s">
        <v>78</v>
      </c>
      <c r="D261" s="30">
        <v>-1029073.1932000001</v>
      </c>
      <c r="E261" s="31">
        <v>45992</v>
      </c>
    </row>
    <row r="262" spans="1:5" x14ac:dyDescent="0.25">
      <c r="A262" s="31" t="s">
        <v>98</v>
      </c>
      <c r="B262" t="s">
        <v>99</v>
      </c>
      <c r="C262" t="s">
        <v>81</v>
      </c>
      <c r="D262" s="30">
        <v>1495306.0700000003</v>
      </c>
      <c r="E262" s="31">
        <v>45992</v>
      </c>
    </row>
    <row r="263" spans="1:5" x14ac:dyDescent="0.25">
      <c r="A263" s="31" t="s">
        <v>133</v>
      </c>
      <c r="B263" t="s">
        <v>134</v>
      </c>
      <c r="C263" t="s">
        <v>47</v>
      </c>
      <c r="D263" s="30">
        <v>-1026809.1148000001</v>
      </c>
      <c r="E263" s="31">
        <v>45992</v>
      </c>
    </row>
    <row r="264" spans="1:5" x14ac:dyDescent="0.25">
      <c r="A264" s="31" t="s">
        <v>128</v>
      </c>
      <c r="B264" t="s">
        <v>129</v>
      </c>
      <c r="C264" t="s">
        <v>67</v>
      </c>
      <c r="D264" s="30">
        <v>-8896555.4132000003</v>
      </c>
      <c r="E264" s="31">
        <v>45992</v>
      </c>
    </row>
    <row r="265" spans="1:5" x14ac:dyDescent="0.25">
      <c r="A265" s="31" t="s">
        <v>131</v>
      </c>
      <c r="B265" t="s">
        <v>132</v>
      </c>
      <c r="C265" t="s">
        <v>67</v>
      </c>
      <c r="D265" s="30">
        <v>-417664.23000000004</v>
      </c>
      <c r="E265" s="31">
        <v>45992</v>
      </c>
    </row>
    <row r="266" spans="1:5" x14ac:dyDescent="0.25">
      <c r="A266" s="31" t="s">
        <v>168</v>
      </c>
      <c r="B266" t="s">
        <v>169</v>
      </c>
      <c r="C266" t="s">
        <v>226</v>
      </c>
      <c r="D266" s="30">
        <v>29764.325470232798</v>
      </c>
      <c r="E266" s="31">
        <v>45992</v>
      </c>
    </row>
    <row r="267" spans="1:5" x14ac:dyDescent="0.25">
      <c r="A267" s="31" t="s">
        <v>74</v>
      </c>
      <c r="B267" t="s">
        <v>75</v>
      </c>
      <c r="C267" t="s">
        <v>67</v>
      </c>
      <c r="D267" s="30">
        <v>721660.35785599984</v>
      </c>
      <c r="E267" s="31">
        <v>45992</v>
      </c>
    </row>
    <row r="268" spans="1:5" x14ac:dyDescent="0.25">
      <c r="A268" s="31" t="s">
        <v>96</v>
      </c>
      <c r="B268" t="s">
        <v>97</v>
      </c>
      <c r="C268" t="s">
        <v>81</v>
      </c>
      <c r="D268" s="30">
        <v>-353209.56200000003</v>
      </c>
      <c r="E268" s="31">
        <v>45992</v>
      </c>
    </row>
    <row r="269" spans="1:5" x14ac:dyDescent="0.25">
      <c r="A269" s="31" t="s">
        <v>90</v>
      </c>
      <c r="B269" t="s">
        <v>91</v>
      </c>
      <c r="C269" t="s">
        <v>81</v>
      </c>
      <c r="D269" s="30">
        <v>-1679589.9114399988</v>
      </c>
      <c r="E269" s="31">
        <v>45992</v>
      </c>
    </row>
    <row r="270" spans="1:5" x14ac:dyDescent="0.25">
      <c r="A270" s="31" t="s">
        <v>112</v>
      </c>
      <c r="B270" t="s">
        <v>113</v>
      </c>
      <c r="C270" t="s">
        <v>81</v>
      </c>
      <c r="D270" s="30">
        <v>4486916.6345599946</v>
      </c>
      <c r="E270" s="31">
        <v>45992</v>
      </c>
    </row>
    <row r="271" spans="1:5" x14ac:dyDescent="0.25">
      <c r="A271" s="31" t="s">
        <v>61</v>
      </c>
      <c r="B271" t="s">
        <v>62</v>
      </c>
      <c r="C271" t="s">
        <v>226</v>
      </c>
      <c r="D271" s="30">
        <v>-359172.9499999999</v>
      </c>
      <c r="E271" s="31">
        <v>45992</v>
      </c>
    </row>
    <row r="272" spans="1:5" x14ac:dyDescent="0.25">
      <c r="A272" s="31" t="s">
        <v>102</v>
      </c>
      <c r="B272" t="s">
        <v>103</v>
      </c>
      <c r="C272" t="s">
        <v>47</v>
      </c>
      <c r="D272" s="30">
        <v>-1030388.8211619781</v>
      </c>
      <c r="E272" s="31">
        <v>45992</v>
      </c>
    </row>
    <row r="273" spans="1:5" x14ac:dyDescent="0.25">
      <c r="A273" s="31" t="s">
        <v>54</v>
      </c>
      <c r="B273" t="s">
        <v>55</v>
      </c>
      <c r="C273" t="s">
        <v>226</v>
      </c>
      <c r="D273" s="30">
        <v>-84969.01596160006</v>
      </c>
      <c r="E273" s="31">
        <v>45992</v>
      </c>
    </row>
    <row r="274" spans="1:5" x14ac:dyDescent="0.25">
      <c r="A274" s="31" t="s">
        <v>118</v>
      </c>
      <c r="B274" t="s">
        <v>119</v>
      </c>
      <c r="C274" t="s">
        <v>226</v>
      </c>
      <c r="D274" s="30">
        <v>-3126557.6683408003</v>
      </c>
      <c r="E274" s="31">
        <v>45992</v>
      </c>
    </row>
    <row r="275" spans="1:5" x14ac:dyDescent="0.25">
      <c r="A275" s="31" t="s">
        <v>86</v>
      </c>
      <c r="B275" t="s">
        <v>87</v>
      </c>
      <c r="C275" t="s">
        <v>78</v>
      </c>
      <c r="D275" s="30">
        <v>-892538.96239999984</v>
      </c>
      <c r="E275" s="31">
        <v>45992</v>
      </c>
    </row>
    <row r="276" spans="1:5" x14ac:dyDescent="0.25">
      <c r="A276" s="31" t="s">
        <v>50</v>
      </c>
      <c r="B276" t="s">
        <v>51</v>
      </c>
      <c r="C276" t="s">
        <v>52</v>
      </c>
      <c r="D276" s="30">
        <v>-295715.78006999986</v>
      </c>
      <c r="E276" s="31">
        <v>45992</v>
      </c>
    </row>
    <row r="277" spans="1:5" x14ac:dyDescent="0.25">
      <c r="A277" s="31" t="s">
        <v>92</v>
      </c>
      <c r="B277" t="s">
        <v>93</v>
      </c>
      <c r="C277" t="s">
        <v>81</v>
      </c>
      <c r="D277" s="30">
        <v>-408964.00999999983</v>
      </c>
      <c r="E277" s="31">
        <v>45992</v>
      </c>
    </row>
    <row r="278" spans="1:5" x14ac:dyDescent="0.25">
      <c r="A278" s="31" t="s">
        <v>45</v>
      </c>
      <c r="B278" t="s">
        <v>46</v>
      </c>
      <c r="C278" t="s">
        <v>47</v>
      </c>
      <c r="D278" s="30">
        <v>100947.38694980997</v>
      </c>
      <c r="E278" s="31">
        <v>45992</v>
      </c>
    </row>
    <row r="279" spans="1:5" x14ac:dyDescent="0.25">
      <c r="A279" s="31" t="s">
        <v>159</v>
      </c>
      <c r="B279" t="s">
        <v>160</v>
      </c>
      <c r="C279" t="s">
        <v>52</v>
      </c>
      <c r="D279" s="30">
        <v>-100</v>
      </c>
      <c r="E279" s="31">
        <v>45992</v>
      </c>
    </row>
    <row r="280" spans="1:5" x14ac:dyDescent="0.25">
      <c r="A280" s="31"/>
      <c r="D280" s="30"/>
    </row>
    <row r="281" spans="1:5" x14ac:dyDescent="0.25">
      <c r="A281" s="31"/>
      <c r="D281" s="30"/>
    </row>
    <row r="282" spans="1:5" x14ac:dyDescent="0.25">
      <c r="A282" s="31"/>
      <c r="D282" s="30"/>
    </row>
    <row r="283" spans="1:5" x14ac:dyDescent="0.25">
      <c r="A283" s="31"/>
      <c r="D283" s="30"/>
    </row>
    <row r="284" spans="1:5" x14ac:dyDescent="0.25">
      <c r="A284" s="31"/>
      <c r="D284" s="30"/>
    </row>
    <row r="285" spans="1:5" x14ac:dyDescent="0.25">
      <c r="A285" s="31"/>
      <c r="D285" s="30"/>
    </row>
    <row r="286" spans="1:5" x14ac:dyDescent="0.25">
      <c r="A286" s="31"/>
      <c r="D286" s="30"/>
    </row>
    <row r="287" spans="1:5" x14ac:dyDescent="0.25">
      <c r="A287" s="31"/>
      <c r="D287" s="30"/>
    </row>
    <row r="288" spans="1:5" x14ac:dyDescent="0.25">
      <c r="A288" s="31"/>
      <c r="D288" s="30"/>
    </row>
    <row r="289" spans="1:4" x14ac:dyDescent="0.25">
      <c r="A289" s="31"/>
      <c r="D289" s="30"/>
    </row>
    <row r="290" spans="1:4" x14ac:dyDescent="0.25">
      <c r="A290" s="31"/>
      <c r="D290" s="30"/>
    </row>
    <row r="291" spans="1:4" x14ac:dyDescent="0.25">
      <c r="A291" s="31"/>
      <c r="D291" s="30"/>
    </row>
    <row r="292" spans="1:4" x14ac:dyDescent="0.25">
      <c r="A292" s="31"/>
      <c r="D292" s="30"/>
    </row>
    <row r="293" spans="1:4" x14ac:dyDescent="0.25">
      <c r="A293" s="31"/>
      <c r="D293" s="30"/>
    </row>
    <row r="294" spans="1:4" x14ac:dyDescent="0.25">
      <c r="A294" s="31"/>
      <c r="D294" s="30"/>
    </row>
    <row r="295" spans="1:4" x14ac:dyDescent="0.25">
      <c r="A295" s="31"/>
      <c r="D295" s="30"/>
    </row>
    <row r="296" spans="1:4" x14ac:dyDescent="0.25">
      <c r="A296" s="31"/>
      <c r="D296" s="30"/>
    </row>
    <row r="297" spans="1:4" x14ac:dyDescent="0.25">
      <c r="A297" s="31"/>
      <c r="D297" s="30"/>
    </row>
    <row r="298" spans="1:4" x14ac:dyDescent="0.25">
      <c r="A298" s="31"/>
      <c r="D298" s="30"/>
    </row>
    <row r="299" spans="1:4" x14ac:dyDescent="0.25">
      <c r="A299" s="31"/>
      <c r="D299" s="30"/>
    </row>
    <row r="300" spans="1:4" x14ac:dyDescent="0.25">
      <c r="A300" s="31"/>
      <c r="D300" s="30"/>
    </row>
    <row r="301" spans="1:4" x14ac:dyDescent="0.25">
      <c r="A301" s="31"/>
      <c r="D301" s="30"/>
    </row>
    <row r="302" spans="1:4" x14ac:dyDescent="0.25">
      <c r="A302" s="31"/>
      <c r="D302" s="30"/>
    </row>
    <row r="303" spans="1:4" x14ac:dyDescent="0.25">
      <c r="A303" s="31"/>
      <c r="D303" s="30"/>
    </row>
    <row r="304" spans="1:4" x14ac:dyDescent="0.25">
      <c r="A304" s="31"/>
      <c r="D304" s="30"/>
    </row>
    <row r="305" spans="1:4" x14ac:dyDescent="0.25">
      <c r="A305" s="31"/>
      <c r="D305" s="30"/>
    </row>
    <row r="306" spans="1:4" x14ac:dyDescent="0.25">
      <c r="A306" s="31"/>
      <c r="D306" s="30"/>
    </row>
    <row r="307" spans="1:4" x14ac:dyDescent="0.25">
      <c r="A307" s="31"/>
      <c r="D307" s="30"/>
    </row>
    <row r="308" spans="1:4" x14ac:dyDescent="0.25">
      <c r="A308" s="31"/>
      <c r="D308" s="30"/>
    </row>
    <row r="309" spans="1:4" x14ac:dyDescent="0.25">
      <c r="A309" s="31"/>
      <c r="D309" s="30"/>
    </row>
    <row r="310" spans="1:4" x14ac:dyDescent="0.25">
      <c r="A310" s="31"/>
      <c r="D310" s="30"/>
    </row>
    <row r="311" spans="1:4" x14ac:dyDescent="0.25">
      <c r="A311" s="31"/>
      <c r="D311" s="30"/>
    </row>
    <row r="312" spans="1:4" x14ac:dyDescent="0.25">
      <c r="A312" s="31"/>
      <c r="D312" s="30"/>
    </row>
    <row r="313" spans="1:4" x14ac:dyDescent="0.25">
      <c r="A313" s="31"/>
      <c r="D313" s="30"/>
    </row>
    <row r="314" spans="1:4" x14ac:dyDescent="0.25">
      <c r="A314" s="31"/>
      <c r="D314" s="30"/>
    </row>
    <row r="315" spans="1:4" x14ac:dyDescent="0.25">
      <c r="A315" s="31"/>
      <c r="D315" s="30"/>
    </row>
    <row r="316" spans="1:4" x14ac:dyDescent="0.25">
      <c r="A316" s="31"/>
      <c r="D316" s="30"/>
    </row>
    <row r="317" spans="1:4" x14ac:dyDescent="0.25">
      <c r="A317" s="31"/>
      <c r="D317" s="30"/>
    </row>
    <row r="318" spans="1:4" x14ac:dyDescent="0.25">
      <c r="A318" s="31"/>
      <c r="D318" s="30"/>
    </row>
    <row r="319" spans="1:4" x14ac:dyDescent="0.25">
      <c r="A319" s="31"/>
      <c r="D319" s="30"/>
    </row>
    <row r="320" spans="1:4" x14ac:dyDescent="0.25">
      <c r="A320" s="31"/>
      <c r="D320" s="30"/>
    </row>
    <row r="321" spans="1:4" x14ac:dyDescent="0.25">
      <c r="A321" s="31"/>
      <c r="D321" s="30"/>
    </row>
    <row r="322" spans="1:4" x14ac:dyDescent="0.25">
      <c r="A322" s="31"/>
      <c r="D322" s="30"/>
    </row>
    <row r="323" spans="1:4" x14ac:dyDescent="0.25">
      <c r="A323" s="31"/>
      <c r="D323" s="30"/>
    </row>
    <row r="324" spans="1:4" x14ac:dyDescent="0.25">
      <c r="A324" s="31"/>
      <c r="D324" s="30"/>
    </row>
    <row r="325" spans="1:4" x14ac:dyDescent="0.25">
      <c r="A325" s="31"/>
      <c r="D325" s="30"/>
    </row>
    <row r="326" spans="1:4" x14ac:dyDescent="0.25">
      <c r="A326" s="31"/>
      <c r="D326" s="30"/>
    </row>
    <row r="327" spans="1:4" x14ac:dyDescent="0.25">
      <c r="A327" s="31"/>
      <c r="D327" s="30"/>
    </row>
    <row r="328" spans="1:4" x14ac:dyDescent="0.25">
      <c r="A328" s="31"/>
      <c r="D328" s="30"/>
    </row>
    <row r="329" spans="1:4" x14ac:dyDescent="0.25">
      <c r="A329" s="31"/>
      <c r="D329" s="30"/>
    </row>
    <row r="330" spans="1:4" x14ac:dyDescent="0.25">
      <c r="A330" s="31"/>
      <c r="D330" s="30"/>
    </row>
    <row r="331" spans="1:4" x14ac:dyDescent="0.25">
      <c r="A331" s="31"/>
      <c r="D331" s="30"/>
    </row>
    <row r="332" spans="1:4" x14ac:dyDescent="0.25">
      <c r="A332" s="31"/>
      <c r="D332" s="30"/>
    </row>
    <row r="333" spans="1:4" x14ac:dyDescent="0.25">
      <c r="A333" s="31"/>
      <c r="D333" s="30"/>
    </row>
    <row r="334" spans="1:4" x14ac:dyDescent="0.25">
      <c r="A334" s="31"/>
      <c r="D334" s="30"/>
    </row>
    <row r="335" spans="1:4" x14ac:dyDescent="0.25">
      <c r="A335" s="31"/>
      <c r="D335" s="30"/>
    </row>
    <row r="336" spans="1:4" x14ac:dyDescent="0.25">
      <c r="A336" s="31"/>
      <c r="D336" s="30"/>
    </row>
    <row r="337" spans="1:4" x14ac:dyDescent="0.25">
      <c r="A337" s="31"/>
      <c r="D337" s="30"/>
    </row>
    <row r="338" spans="1:4" x14ac:dyDescent="0.25">
      <c r="A338" s="31"/>
      <c r="D338" s="30"/>
    </row>
    <row r="339" spans="1:4" x14ac:dyDescent="0.25">
      <c r="A339" s="31"/>
      <c r="D339" s="30"/>
    </row>
    <row r="340" spans="1:4" x14ac:dyDescent="0.25">
      <c r="A340" s="31"/>
      <c r="D340" s="30"/>
    </row>
    <row r="341" spans="1:4" x14ac:dyDescent="0.25">
      <c r="A341" s="31"/>
      <c r="D341" s="30"/>
    </row>
    <row r="342" spans="1:4" x14ac:dyDescent="0.25">
      <c r="A342" s="31"/>
      <c r="D342" s="30"/>
    </row>
    <row r="343" spans="1:4" x14ac:dyDescent="0.25">
      <c r="A343" s="31"/>
      <c r="D343" s="30"/>
    </row>
    <row r="344" spans="1:4" x14ac:dyDescent="0.25">
      <c r="A344" s="31"/>
      <c r="D344" s="30"/>
    </row>
    <row r="345" spans="1:4" x14ac:dyDescent="0.25">
      <c r="A345" s="31"/>
      <c r="D345" s="30"/>
    </row>
    <row r="346" spans="1:4" x14ac:dyDescent="0.25">
      <c r="A346" s="31"/>
      <c r="D346" s="30"/>
    </row>
    <row r="347" spans="1:4" x14ac:dyDescent="0.25">
      <c r="A347" s="31"/>
      <c r="D347" s="30"/>
    </row>
    <row r="348" spans="1:4" x14ac:dyDescent="0.25">
      <c r="A348" s="31"/>
      <c r="D348" s="30"/>
    </row>
    <row r="349" spans="1:4" x14ac:dyDescent="0.25">
      <c r="A349" s="31"/>
      <c r="D349" s="30"/>
    </row>
    <row r="350" spans="1:4" x14ac:dyDescent="0.25">
      <c r="A350" s="31"/>
      <c r="D350" s="30"/>
    </row>
    <row r="351" spans="1:4" x14ac:dyDescent="0.25">
      <c r="A351" s="31"/>
      <c r="D351" s="30"/>
    </row>
    <row r="352" spans="1:4" x14ac:dyDescent="0.25">
      <c r="A352" s="31"/>
      <c r="D352" s="30"/>
    </row>
    <row r="353" spans="1:4" x14ac:dyDescent="0.25">
      <c r="A353" s="31"/>
      <c r="D353" s="30"/>
    </row>
    <row r="354" spans="1:4" x14ac:dyDescent="0.25">
      <c r="A354" s="31"/>
      <c r="D354" s="30"/>
    </row>
    <row r="355" spans="1:4" x14ac:dyDescent="0.25">
      <c r="A355" s="31"/>
      <c r="D355" s="30"/>
    </row>
    <row r="356" spans="1:4" x14ac:dyDescent="0.25">
      <c r="A356" s="31"/>
      <c r="D356" s="30"/>
    </row>
    <row r="357" spans="1:4" x14ac:dyDescent="0.25">
      <c r="A357" s="31"/>
      <c r="D357" s="30"/>
    </row>
    <row r="358" spans="1:4" x14ac:dyDescent="0.25">
      <c r="A358" s="31"/>
      <c r="D358" s="30"/>
    </row>
    <row r="359" spans="1:4" x14ac:dyDescent="0.25">
      <c r="A359" s="31"/>
      <c r="D359" s="30"/>
    </row>
    <row r="360" spans="1:4" x14ac:dyDescent="0.25">
      <c r="A360" s="31"/>
      <c r="D360" s="30"/>
    </row>
    <row r="361" spans="1:4" x14ac:dyDescent="0.25">
      <c r="A361" s="31"/>
      <c r="D361" s="30"/>
    </row>
    <row r="362" spans="1:4" x14ac:dyDescent="0.25">
      <c r="A362" s="31"/>
      <c r="D362" s="30"/>
    </row>
    <row r="363" spans="1:4" x14ac:dyDescent="0.25">
      <c r="A363" s="31"/>
      <c r="D363" s="30"/>
    </row>
    <row r="364" spans="1:4" x14ac:dyDescent="0.25">
      <c r="A364" s="31"/>
      <c r="D364" s="30"/>
    </row>
    <row r="365" spans="1:4" x14ac:dyDescent="0.25">
      <c r="A365" s="31"/>
      <c r="D365" s="30"/>
    </row>
    <row r="366" spans="1:4" x14ac:dyDescent="0.25">
      <c r="A366" s="31"/>
      <c r="D366" s="30"/>
    </row>
    <row r="367" spans="1:4" x14ac:dyDescent="0.25">
      <c r="A367" s="31"/>
      <c r="D367" s="30"/>
    </row>
    <row r="368" spans="1:4" x14ac:dyDescent="0.25">
      <c r="A368" s="31"/>
      <c r="D368" s="30"/>
    </row>
    <row r="369" spans="1:4" x14ac:dyDescent="0.25">
      <c r="A369" s="31"/>
      <c r="D369" s="30"/>
    </row>
    <row r="370" spans="1:4" x14ac:dyDescent="0.25">
      <c r="A370" s="31"/>
      <c r="D370" s="30"/>
    </row>
    <row r="371" spans="1:4" x14ac:dyDescent="0.25">
      <c r="A371" s="31"/>
      <c r="D371" s="30"/>
    </row>
    <row r="372" spans="1:4" x14ac:dyDescent="0.25">
      <c r="A372" s="31"/>
      <c r="D372" s="30"/>
    </row>
    <row r="373" spans="1:4" x14ac:dyDescent="0.25">
      <c r="A373" s="31"/>
      <c r="D373" s="30"/>
    </row>
    <row r="374" spans="1:4" x14ac:dyDescent="0.25">
      <c r="A374" s="31"/>
      <c r="D374" s="30"/>
    </row>
    <row r="375" spans="1:4" x14ac:dyDescent="0.25">
      <c r="A375" s="31"/>
      <c r="D375" s="30"/>
    </row>
    <row r="376" spans="1:4" x14ac:dyDescent="0.25">
      <c r="A376" s="31"/>
      <c r="D376" s="30"/>
    </row>
    <row r="377" spans="1:4" x14ac:dyDescent="0.25">
      <c r="A377" s="31"/>
      <c r="D377" s="30"/>
    </row>
    <row r="378" spans="1:4" x14ac:dyDescent="0.25">
      <c r="A378" s="31"/>
      <c r="D378" s="30"/>
    </row>
    <row r="379" spans="1:4" x14ac:dyDescent="0.25">
      <c r="A379" s="31"/>
      <c r="D379" s="30"/>
    </row>
    <row r="380" spans="1:4" x14ac:dyDescent="0.25">
      <c r="A380" s="31"/>
      <c r="D380" s="30"/>
    </row>
    <row r="381" spans="1:4" x14ac:dyDescent="0.25">
      <c r="A381" s="31"/>
      <c r="D381" s="30"/>
    </row>
    <row r="382" spans="1:4" x14ac:dyDescent="0.25">
      <c r="A382" s="31"/>
      <c r="D382" s="30"/>
    </row>
    <row r="383" spans="1:4" x14ac:dyDescent="0.25">
      <c r="A383" s="31"/>
      <c r="D383" s="30"/>
    </row>
    <row r="384" spans="1:4" x14ac:dyDescent="0.25">
      <c r="A384" s="31"/>
      <c r="D384" s="30"/>
    </row>
    <row r="385" spans="1:4" x14ac:dyDescent="0.25">
      <c r="A385" s="31"/>
      <c r="D385" s="30"/>
    </row>
    <row r="386" spans="1:4" x14ac:dyDescent="0.25">
      <c r="A386" s="31"/>
      <c r="D386" s="30"/>
    </row>
    <row r="387" spans="1:4" x14ac:dyDescent="0.25">
      <c r="A387" s="31"/>
      <c r="D387" s="30"/>
    </row>
    <row r="388" spans="1:4" x14ac:dyDescent="0.25">
      <c r="A388" s="31"/>
      <c r="D388" s="30"/>
    </row>
    <row r="389" spans="1:4" x14ac:dyDescent="0.25">
      <c r="A389" s="31"/>
      <c r="D389" s="30"/>
    </row>
    <row r="390" spans="1:4" x14ac:dyDescent="0.25">
      <c r="A390" s="31"/>
      <c r="D390" s="30"/>
    </row>
    <row r="391" spans="1:4" x14ac:dyDescent="0.25">
      <c r="A391" s="31"/>
      <c r="D391" s="30"/>
    </row>
    <row r="392" spans="1:4" x14ac:dyDescent="0.25">
      <c r="A392" s="31"/>
      <c r="D392" s="30"/>
    </row>
    <row r="393" spans="1:4" x14ac:dyDescent="0.25">
      <c r="A393" s="31"/>
      <c r="D393" s="30"/>
    </row>
    <row r="394" spans="1:4" x14ac:dyDescent="0.25">
      <c r="A394" s="31"/>
      <c r="D394" s="30"/>
    </row>
    <row r="395" spans="1:4" x14ac:dyDescent="0.25">
      <c r="A395" s="31"/>
      <c r="D395" s="30"/>
    </row>
    <row r="396" spans="1:4" x14ac:dyDescent="0.25">
      <c r="A396" s="31"/>
      <c r="D396" s="30"/>
    </row>
    <row r="397" spans="1:4" x14ac:dyDescent="0.25">
      <c r="A397" s="31"/>
      <c r="D397" s="30"/>
    </row>
    <row r="398" spans="1:4" x14ac:dyDescent="0.25">
      <c r="A398" s="31"/>
      <c r="D398" s="30"/>
    </row>
    <row r="399" spans="1:4" x14ac:dyDescent="0.25">
      <c r="A399" s="31"/>
      <c r="D399" s="30"/>
    </row>
    <row r="400" spans="1:4" x14ac:dyDescent="0.25">
      <c r="A400" s="31"/>
      <c r="D400" s="30"/>
    </row>
    <row r="401" spans="1:4" x14ac:dyDescent="0.25">
      <c r="A401" s="31"/>
      <c r="D401" s="30"/>
    </row>
    <row r="402" spans="1:4" x14ac:dyDescent="0.25">
      <c r="A402" s="31"/>
      <c r="D402" s="30"/>
    </row>
    <row r="403" spans="1:4" x14ac:dyDescent="0.25">
      <c r="A403" s="31"/>
      <c r="D403" s="30"/>
    </row>
    <row r="404" spans="1:4" x14ac:dyDescent="0.25">
      <c r="A404" s="31"/>
      <c r="D404" s="30"/>
    </row>
    <row r="405" spans="1:4" x14ac:dyDescent="0.25">
      <c r="A405" s="31"/>
      <c r="D405" s="30"/>
    </row>
    <row r="406" spans="1:4" x14ac:dyDescent="0.25">
      <c r="A406" s="31"/>
      <c r="D406" s="30"/>
    </row>
    <row r="407" spans="1:4" x14ac:dyDescent="0.25">
      <c r="A407" s="31"/>
      <c r="D407" s="30"/>
    </row>
    <row r="408" spans="1:4" x14ac:dyDescent="0.25">
      <c r="A408" s="31"/>
      <c r="D408" s="30"/>
    </row>
    <row r="409" spans="1:4" x14ac:dyDescent="0.25">
      <c r="A409" s="31"/>
      <c r="D409" s="30"/>
    </row>
    <row r="410" spans="1:4" x14ac:dyDescent="0.25">
      <c r="A410" s="31"/>
      <c r="D410" s="30"/>
    </row>
    <row r="411" spans="1:4" x14ac:dyDescent="0.25">
      <c r="A411" s="31"/>
      <c r="D411" s="30"/>
    </row>
    <row r="412" spans="1:4" x14ac:dyDescent="0.25">
      <c r="A412" s="31"/>
      <c r="D412" s="30"/>
    </row>
    <row r="413" spans="1:4" x14ac:dyDescent="0.25">
      <c r="A413" s="31"/>
      <c r="D413" s="30"/>
    </row>
    <row r="414" spans="1:4" x14ac:dyDescent="0.25">
      <c r="A414" s="31"/>
      <c r="D414" s="30"/>
    </row>
    <row r="415" spans="1:4" x14ac:dyDescent="0.25">
      <c r="A415" s="31"/>
      <c r="D415" s="30"/>
    </row>
    <row r="416" spans="1:4" x14ac:dyDescent="0.25">
      <c r="A416" s="31"/>
      <c r="D416" s="30"/>
    </row>
    <row r="417" spans="1:4" x14ac:dyDescent="0.25">
      <c r="A417" s="31"/>
      <c r="D417" s="30"/>
    </row>
    <row r="418" spans="1:4" x14ac:dyDescent="0.25">
      <c r="A418" s="31"/>
      <c r="D418" s="30"/>
    </row>
    <row r="419" spans="1:4" x14ac:dyDescent="0.25">
      <c r="A419" s="31"/>
      <c r="D419" s="30"/>
    </row>
    <row r="420" spans="1:4" x14ac:dyDescent="0.25">
      <c r="A420" s="31"/>
      <c r="D420" s="30"/>
    </row>
    <row r="421" spans="1:4" x14ac:dyDescent="0.25">
      <c r="A421" s="31"/>
      <c r="D421" s="30"/>
    </row>
    <row r="422" spans="1:4" x14ac:dyDescent="0.25">
      <c r="A422" s="31"/>
      <c r="D422" s="30"/>
    </row>
    <row r="423" spans="1:4" x14ac:dyDescent="0.25">
      <c r="A423" s="31"/>
      <c r="D423" s="30"/>
    </row>
    <row r="424" spans="1:4" x14ac:dyDescent="0.25">
      <c r="A424" s="31"/>
      <c r="D424" s="30"/>
    </row>
    <row r="425" spans="1:4" x14ac:dyDescent="0.25">
      <c r="A425" s="31"/>
      <c r="D425" s="30"/>
    </row>
    <row r="426" spans="1:4" x14ac:dyDescent="0.25">
      <c r="A426" s="31"/>
      <c r="D426" s="30"/>
    </row>
    <row r="427" spans="1:4" x14ac:dyDescent="0.25">
      <c r="A427" s="31"/>
      <c r="D427" s="30"/>
    </row>
    <row r="428" spans="1:4" x14ac:dyDescent="0.25">
      <c r="A428" s="31"/>
      <c r="D428" s="30"/>
    </row>
    <row r="429" spans="1:4" x14ac:dyDescent="0.25">
      <c r="A429" s="31"/>
      <c r="D429" s="30"/>
    </row>
    <row r="430" spans="1:4" x14ac:dyDescent="0.25">
      <c r="A430" s="31"/>
      <c r="D430" s="30"/>
    </row>
    <row r="431" spans="1:4" x14ac:dyDescent="0.25">
      <c r="A431" s="31"/>
      <c r="D431" s="30"/>
    </row>
    <row r="432" spans="1:4" x14ac:dyDescent="0.25">
      <c r="A432" s="31"/>
      <c r="D432" s="30"/>
    </row>
    <row r="433" spans="1:4" x14ac:dyDescent="0.25">
      <c r="A433" s="31"/>
      <c r="D433" s="30"/>
    </row>
    <row r="434" spans="1:4" x14ac:dyDescent="0.25">
      <c r="A434" s="31"/>
      <c r="D434" s="30"/>
    </row>
    <row r="435" spans="1:4" x14ac:dyDescent="0.25">
      <c r="A435" s="31"/>
      <c r="D435" s="30"/>
    </row>
    <row r="436" spans="1:4" x14ac:dyDescent="0.25">
      <c r="A436" s="31"/>
      <c r="D436" s="30"/>
    </row>
    <row r="437" spans="1:4" x14ac:dyDescent="0.25">
      <c r="A437" s="31"/>
      <c r="D437" s="30"/>
    </row>
    <row r="438" spans="1:4" x14ac:dyDescent="0.25">
      <c r="A438" s="31"/>
      <c r="D438" s="30"/>
    </row>
    <row r="439" spans="1:4" x14ac:dyDescent="0.25">
      <c r="A439" s="31"/>
      <c r="D439" s="30"/>
    </row>
    <row r="440" spans="1:4" x14ac:dyDescent="0.25">
      <c r="A440" s="31"/>
      <c r="D440" s="30"/>
    </row>
    <row r="441" spans="1:4" x14ac:dyDescent="0.25">
      <c r="A441" s="31"/>
      <c r="D441" s="30"/>
    </row>
    <row r="442" spans="1:4" x14ac:dyDescent="0.25">
      <c r="A442" s="31"/>
      <c r="D442" s="30"/>
    </row>
    <row r="443" spans="1:4" x14ac:dyDescent="0.25">
      <c r="A443" s="31"/>
      <c r="D443" s="30"/>
    </row>
    <row r="444" spans="1:4" x14ac:dyDescent="0.25">
      <c r="A444" s="31"/>
      <c r="D444" s="30"/>
    </row>
    <row r="445" spans="1:4" x14ac:dyDescent="0.25">
      <c r="A445" s="31"/>
      <c r="D445" s="30"/>
    </row>
    <row r="446" spans="1:4" x14ac:dyDescent="0.25">
      <c r="A446" s="31"/>
      <c r="D446" s="30"/>
    </row>
    <row r="447" spans="1:4" x14ac:dyDescent="0.25">
      <c r="A447" s="31"/>
      <c r="D447" s="30"/>
    </row>
    <row r="448" spans="1:4" x14ac:dyDescent="0.25">
      <c r="A448" s="31"/>
      <c r="D448" s="30"/>
    </row>
    <row r="449" spans="1:4" x14ac:dyDescent="0.25">
      <c r="A449" s="31"/>
      <c r="D449" s="30"/>
    </row>
    <row r="450" spans="1:4" x14ac:dyDescent="0.25">
      <c r="A450" s="31"/>
      <c r="D450" s="30"/>
    </row>
    <row r="451" spans="1:4" x14ac:dyDescent="0.25">
      <c r="A451" s="31"/>
      <c r="D451" s="30"/>
    </row>
    <row r="452" spans="1:4" x14ac:dyDescent="0.25">
      <c r="A452" s="31"/>
      <c r="D452" s="30"/>
    </row>
    <row r="453" spans="1:4" x14ac:dyDescent="0.25">
      <c r="A453" s="31"/>
      <c r="D453" s="30"/>
    </row>
    <row r="454" spans="1:4" x14ac:dyDescent="0.25">
      <c r="A454" s="31"/>
      <c r="D454" s="30"/>
    </row>
    <row r="455" spans="1:4" x14ac:dyDescent="0.25">
      <c r="A455" s="31"/>
      <c r="D455" s="30"/>
    </row>
    <row r="456" spans="1:4" x14ac:dyDescent="0.25">
      <c r="A456" s="31"/>
      <c r="D456" s="30"/>
    </row>
    <row r="457" spans="1:4" x14ac:dyDescent="0.25">
      <c r="A457" s="31"/>
      <c r="D457" s="30"/>
    </row>
    <row r="458" spans="1:4" x14ac:dyDescent="0.25">
      <c r="A458" s="31"/>
      <c r="D458" s="30"/>
    </row>
    <row r="459" spans="1:4" x14ac:dyDescent="0.25">
      <c r="A459" s="31"/>
      <c r="D459" s="30"/>
    </row>
    <row r="460" spans="1:4" x14ac:dyDescent="0.25">
      <c r="A460" s="31"/>
      <c r="D460" s="30"/>
    </row>
    <row r="461" spans="1:4" x14ac:dyDescent="0.25">
      <c r="A461" s="31"/>
      <c r="D461" s="30"/>
    </row>
    <row r="462" spans="1:4" x14ac:dyDescent="0.25">
      <c r="A462" s="31"/>
      <c r="D462" s="30"/>
    </row>
    <row r="463" spans="1:4" x14ac:dyDescent="0.25">
      <c r="A463" s="31"/>
      <c r="D463" s="30"/>
    </row>
    <row r="464" spans="1:4" x14ac:dyDescent="0.25">
      <c r="A464" s="31"/>
      <c r="D464" s="30"/>
    </row>
    <row r="465" spans="1:4" x14ac:dyDescent="0.25">
      <c r="A465" s="31"/>
      <c r="D465" s="30"/>
    </row>
    <row r="466" spans="1:4" x14ac:dyDescent="0.25">
      <c r="A466" s="31"/>
      <c r="D466" s="30"/>
    </row>
    <row r="467" spans="1:4" x14ac:dyDescent="0.25">
      <c r="A467" s="31"/>
      <c r="D467" s="30"/>
    </row>
    <row r="468" spans="1:4" x14ac:dyDescent="0.25">
      <c r="A468" s="31"/>
      <c r="D468" s="30"/>
    </row>
    <row r="469" spans="1:4" x14ac:dyDescent="0.25">
      <c r="A469" s="31"/>
      <c r="D469" s="30"/>
    </row>
    <row r="470" spans="1:4" x14ac:dyDescent="0.25">
      <c r="A470" s="31"/>
      <c r="D470" s="30"/>
    </row>
    <row r="471" spans="1:4" x14ac:dyDescent="0.25">
      <c r="A471" s="31"/>
      <c r="D471" s="30"/>
    </row>
    <row r="472" spans="1:4" x14ac:dyDescent="0.25">
      <c r="A472" s="31"/>
      <c r="D472" s="30"/>
    </row>
    <row r="473" spans="1:4" x14ac:dyDescent="0.25">
      <c r="A473" s="31"/>
      <c r="D473" s="30"/>
    </row>
    <row r="474" spans="1:4" x14ac:dyDescent="0.25">
      <c r="A474" s="31"/>
      <c r="D474" s="30"/>
    </row>
    <row r="475" spans="1:4" x14ac:dyDescent="0.25">
      <c r="A475" s="31"/>
      <c r="D475" s="30"/>
    </row>
    <row r="476" spans="1:4" x14ac:dyDescent="0.25">
      <c r="A476" s="31"/>
      <c r="D476" s="30"/>
    </row>
    <row r="477" spans="1:4" x14ac:dyDescent="0.25">
      <c r="A477" s="31"/>
      <c r="D477" s="30"/>
    </row>
    <row r="478" spans="1:4" x14ac:dyDescent="0.25">
      <c r="A478" s="31"/>
      <c r="D478" s="30"/>
    </row>
    <row r="479" spans="1:4" x14ac:dyDescent="0.25">
      <c r="A479" s="31"/>
      <c r="D479" s="30"/>
    </row>
    <row r="480" spans="1:4" x14ac:dyDescent="0.25">
      <c r="A480" s="31"/>
      <c r="D480" s="30"/>
    </row>
    <row r="481" spans="1:4" x14ac:dyDescent="0.25">
      <c r="A481" s="31"/>
      <c r="D481" s="30"/>
    </row>
    <row r="482" spans="1:4" x14ac:dyDescent="0.25">
      <c r="A482" s="31"/>
      <c r="D482" s="30"/>
    </row>
    <row r="483" spans="1:4" x14ac:dyDescent="0.25">
      <c r="A483" s="31"/>
      <c r="D483" s="30"/>
    </row>
    <row r="484" spans="1:4" x14ac:dyDescent="0.25">
      <c r="A484" s="31"/>
      <c r="D484" s="30"/>
    </row>
    <row r="485" spans="1:4" x14ac:dyDescent="0.25">
      <c r="A485" s="31"/>
      <c r="D485" s="30"/>
    </row>
    <row r="486" spans="1:4" x14ac:dyDescent="0.25">
      <c r="A486" s="31"/>
      <c r="D486" s="30"/>
    </row>
    <row r="487" spans="1:4" x14ac:dyDescent="0.25">
      <c r="A487" s="31"/>
      <c r="D487" s="30"/>
    </row>
    <row r="488" spans="1:4" x14ac:dyDescent="0.25">
      <c r="A488" s="31"/>
      <c r="D488" s="30"/>
    </row>
    <row r="489" spans="1:4" x14ac:dyDescent="0.25">
      <c r="A489" s="31"/>
      <c r="D489" s="30"/>
    </row>
    <row r="490" spans="1:4" x14ac:dyDescent="0.25">
      <c r="A490" s="31"/>
      <c r="D490" s="30"/>
    </row>
    <row r="491" spans="1:4" x14ac:dyDescent="0.25">
      <c r="A491" s="31"/>
      <c r="D491" s="30"/>
    </row>
    <row r="492" spans="1:4" x14ac:dyDescent="0.25">
      <c r="A492" s="31"/>
      <c r="D492" s="30"/>
    </row>
    <row r="493" spans="1:4" x14ac:dyDescent="0.25">
      <c r="A493" s="31"/>
      <c r="D493" s="30"/>
    </row>
    <row r="494" spans="1:4" x14ac:dyDescent="0.25">
      <c r="A494" s="31"/>
      <c r="D494" s="30"/>
    </row>
    <row r="495" spans="1:4" x14ac:dyDescent="0.25">
      <c r="A495" s="31"/>
      <c r="D495" s="30"/>
    </row>
    <row r="496" spans="1:4" x14ac:dyDescent="0.25">
      <c r="A496" s="31"/>
      <c r="D496" s="30"/>
    </row>
    <row r="497" spans="1:4" x14ac:dyDescent="0.25">
      <c r="A497" s="31"/>
      <c r="D497" s="30"/>
    </row>
    <row r="498" spans="1:4" x14ac:dyDescent="0.25">
      <c r="A498" s="31"/>
      <c r="D498" s="30"/>
    </row>
    <row r="499" spans="1:4" x14ac:dyDescent="0.25">
      <c r="A499" s="31"/>
      <c r="D499" s="30"/>
    </row>
    <row r="500" spans="1:4" x14ac:dyDescent="0.25">
      <c r="A500" s="31"/>
      <c r="D500" s="30"/>
    </row>
    <row r="501" spans="1:4" x14ac:dyDescent="0.25">
      <c r="A501" s="31"/>
      <c r="D501" s="30"/>
    </row>
    <row r="502" spans="1:4" x14ac:dyDescent="0.25">
      <c r="A502" s="31"/>
      <c r="D502" s="30"/>
    </row>
    <row r="503" spans="1:4" x14ac:dyDescent="0.25">
      <c r="A503" s="31"/>
      <c r="D503" s="30"/>
    </row>
    <row r="504" spans="1:4" x14ac:dyDescent="0.25">
      <c r="A504" s="31"/>
      <c r="D504" s="30"/>
    </row>
    <row r="505" spans="1:4" x14ac:dyDescent="0.25">
      <c r="A505" s="31"/>
      <c r="D505" s="30"/>
    </row>
    <row r="506" spans="1:4" x14ac:dyDescent="0.25">
      <c r="A506" s="31"/>
      <c r="D506" s="30"/>
    </row>
    <row r="507" spans="1:4" x14ac:dyDescent="0.25">
      <c r="A507" s="31"/>
      <c r="D507" s="30"/>
    </row>
    <row r="508" spans="1:4" x14ac:dyDescent="0.25">
      <c r="A508" s="31"/>
      <c r="D508" s="30"/>
    </row>
    <row r="509" spans="1:4" x14ac:dyDescent="0.25">
      <c r="A509" s="31"/>
      <c r="D509" s="30"/>
    </row>
    <row r="510" spans="1:4" x14ac:dyDescent="0.25">
      <c r="A510" s="31"/>
      <c r="D510" s="30"/>
    </row>
    <row r="511" spans="1:4" x14ac:dyDescent="0.25">
      <c r="A511" s="31"/>
      <c r="D511" s="30"/>
    </row>
    <row r="512" spans="1:4" x14ac:dyDescent="0.25">
      <c r="A512" s="31"/>
      <c r="D512" s="30"/>
    </row>
    <row r="513" spans="1:4" x14ac:dyDescent="0.25">
      <c r="A513" s="31"/>
      <c r="D513" s="30"/>
    </row>
    <row r="514" spans="1:4" x14ac:dyDescent="0.25">
      <c r="A514" s="31"/>
      <c r="D514" s="30"/>
    </row>
    <row r="515" spans="1:4" x14ac:dyDescent="0.25">
      <c r="A515" s="31"/>
      <c r="D515" s="30"/>
    </row>
    <row r="516" spans="1:4" x14ac:dyDescent="0.25">
      <c r="A516" s="31"/>
      <c r="D516" s="30"/>
    </row>
    <row r="517" spans="1:4" x14ac:dyDescent="0.25">
      <c r="A517" s="31"/>
      <c r="D517" s="30"/>
    </row>
    <row r="518" spans="1:4" x14ac:dyDescent="0.25">
      <c r="A518" s="31"/>
      <c r="D518" s="30"/>
    </row>
    <row r="519" spans="1:4" x14ac:dyDescent="0.25">
      <c r="A519" s="31"/>
      <c r="D519" s="30"/>
    </row>
    <row r="520" spans="1:4" x14ac:dyDescent="0.25">
      <c r="A520" s="31"/>
      <c r="D520" s="30"/>
    </row>
    <row r="521" spans="1:4" x14ac:dyDescent="0.25">
      <c r="A521" s="31"/>
      <c r="D521" s="30"/>
    </row>
    <row r="522" spans="1:4" x14ac:dyDescent="0.25">
      <c r="A522" s="31"/>
      <c r="D522" s="30"/>
    </row>
    <row r="523" spans="1:4" x14ac:dyDescent="0.25">
      <c r="A523" s="31"/>
      <c r="D523" s="30"/>
    </row>
    <row r="524" spans="1:4" x14ac:dyDescent="0.25">
      <c r="A524" s="31"/>
      <c r="D524" s="30"/>
    </row>
    <row r="525" spans="1:4" x14ac:dyDescent="0.25">
      <c r="A525" s="31"/>
      <c r="D525" s="30"/>
    </row>
    <row r="526" spans="1:4" x14ac:dyDescent="0.25">
      <c r="A526" s="31"/>
      <c r="D526" s="30"/>
    </row>
    <row r="527" spans="1:4" x14ac:dyDescent="0.25">
      <c r="A527" s="31"/>
      <c r="D527" s="30"/>
    </row>
    <row r="528" spans="1:4" x14ac:dyDescent="0.25">
      <c r="A528" s="31"/>
      <c r="D528" s="30"/>
    </row>
    <row r="529" spans="1:4" x14ac:dyDescent="0.25">
      <c r="A529" s="31"/>
      <c r="D529" s="30"/>
    </row>
    <row r="530" spans="1:4" x14ac:dyDescent="0.25">
      <c r="A530" s="31"/>
      <c r="D530" s="30"/>
    </row>
    <row r="531" spans="1:4" x14ac:dyDescent="0.25">
      <c r="A531" s="31"/>
      <c r="D531" s="30"/>
    </row>
    <row r="532" spans="1:4" x14ac:dyDescent="0.25">
      <c r="A532" s="31"/>
      <c r="D532" s="30"/>
    </row>
    <row r="533" spans="1:4" x14ac:dyDescent="0.25">
      <c r="A533" s="31"/>
      <c r="D533" s="30"/>
    </row>
    <row r="534" spans="1:4" x14ac:dyDescent="0.25">
      <c r="A534" s="31"/>
      <c r="D534" s="30"/>
    </row>
    <row r="535" spans="1:4" x14ac:dyDescent="0.25">
      <c r="A535" s="31"/>
      <c r="D535" s="30"/>
    </row>
    <row r="536" spans="1:4" x14ac:dyDescent="0.25">
      <c r="A536" s="31"/>
      <c r="D536" s="30"/>
    </row>
    <row r="537" spans="1:4" x14ac:dyDescent="0.25">
      <c r="A537" s="31"/>
      <c r="D537" s="30"/>
    </row>
    <row r="538" spans="1:4" x14ac:dyDescent="0.25">
      <c r="A538" s="31"/>
      <c r="D538" s="30"/>
    </row>
    <row r="539" spans="1:4" x14ac:dyDescent="0.25">
      <c r="A539" s="31"/>
      <c r="D539" s="30"/>
    </row>
    <row r="540" spans="1:4" x14ac:dyDescent="0.25">
      <c r="A540" s="31"/>
      <c r="D540" s="30"/>
    </row>
    <row r="541" spans="1:4" x14ac:dyDescent="0.25">
      <c r="A541" s="31"/>
      <c r="D541" s="30"/>
    </row>
    <row r="542" spans="1:4" x14ac:dyDescent="0.25">
      <c r="A542" s="31"/>
      <c r="D542" s="30"/>
    </row>
    <row r="543" spans="1:4" x14ac:dyDescent="0.25">
      <c r="A543" s="31"/>
      <c r="D543" s="30"/>
    </row>
    <row r="544" spans="1:4" x14ac:dyDescent="0.25">
      <c r="A544" s="31"/>
      <c r="D544" s="30"/>
    </row>
    <row r="545" spans="1:4" x14ac:dyDescent="0.25">
      <c r="A545" s="31"/>
      <c r="D545" s="30"/>
    </row>
    <row r="546" spans="1:4" x14ac:dyDescent="0.25">
      <c r="A546" s="31"/>
      <c r="D546" s="30"/>
    </row>
    <row r="547" spans="1:4" x14ac:dyDescent="0.25">
      <c r="A547" s="31"/>
      <c r="D547" s="30"/>
    </row>
    <row r="548" spans="1:4" x14ac:dyDescent="0.25">
      <c r="A548" s="31"/>
      <c r="D548" s="30"/>
    </row>
    <row r="549" spans="1:4" x14ac:dyDescent="0.25">
      <c r="A549" s="31"/>
      <c r="D549" s="30"/>
    </row>
    <row r="550" spans="1:4" x14ac:dyDescent="0.25">
      <c r="A550" s="31"/>
      <c r="D550" s="30"/>
    </row>
    <row r="551" spans="1:4" x14ac:dyDescent="0.25">
      <c r="A551" s="31"/>
      <c r="D551" s="30"/>
    </row>
    <row r="552" spans="1:4" x14ac:dyDescent="0.25">
      <c r="A552" s="31"/>
      <c r="D552" s="30"/>
    </row>
    <row r="553" spans="1:4" x14ac:dyDescent="0.25">
      <c r="A553" s="31"/>
      <c r="D553" s="30"/>
    </row>
    <row r="554" spans="1:4" x14ac:dyDescent="0.25">
      <c r="A554" s="31"/>
      <c r="D554" s="30"/>
    </row>
    <row r="555" spans="1:4" x14ac:dyDescent="0.25">
      <c r="A555" s="31"/>
      <c r="D555" s="30"/>
    </row>
    <row r="556" spans="1:4" x14ac:dyDescent="0.25">
      <c r="A556" s="31"/>
      <c r="D556" s="30"/>
    </row>
    <row r="557" spans="1:4" x14ac:dyDescent="0.25">
      <c r="A557" s="31"/>
      <c r="D557" s="30"/>
    </row>
    <row r="558" spans="1:4" x14ac:dyDescent="0.25">
      <c r="A558" s="31"/>
      <c r="D558" s="30"/>
    </row>
    <row r="559" spans="1:4" x14ac:dyDescent="0.25">
      <c r="A559" s="31"/>
      <c r="D559" s="30"/>
    </row>
    <row r="560" spans="1:4" x14ac:dyDescent="0.25">
      <c r="A560" s="31"/>
      <c r="D560" s="30"/>
    </row>
    <row r="561" spans="1:4" x14ac:dyDescent="0.25">
      <c r="A561" s="31"/>
      <c r="D561" s="30"/>
    </row>
    <row r="562" spans="1:4" x14ac:dyDescent="0.25">
      <c r="A562" s="31"/>
      <c r="D562" s="30"/>
    </row>
    <row r="563" spans="1:4" x14ac:dyDescent="0.25">
      <c r="A563" s="31"/>
      <c r="D563" s="30"/>
    </row>
    <row r="564" spans="1:4" x14ac:dyDescent="0.25">
      <c r="A564" s="31"/>
      <c r="D564" s="30"/>
    </row>
    <row r="565" spans="1:4" x14ac:dyDescent="0.25">
      <c r="A565" s="31"/>
      <c r="D565" s="30"/>
    </row>
    <row r="566" spans="1:4" x14ac:dyDescent="0.25">
      <c r="A566" s="31"/>
      <c r="D566" s="30"/>
    </row>
    <row r="567" spans="1:4" x14ac:dyDescent="0.25">
      <c r="A567" s="31"/>
      <c r="D567" s="30"/>
    </row>
    <row r="568" spans="1:4" x14ac:dyDescent="0.25">
      <c r="A568" s="31"/>
      <c r="D568" s="30"/>
    </row>
    <row r="569" spans="1:4" x14ac:dyDescent="0.25">
      <c r="A569" s="31"/>
      <c r="D569" s="30"/>
    </row>
    <row r="570" spans="1:4" x14ac:dyDescent="0.25">
      <c r="A570" s="31"/>
      <c r="D570" s="30"/>
    </row>
    <row r="571" spans="1:4" x14ac:dyDescent="0.25">
      <c r="A571" s="31"/>
      <c r="D571" s="30"/>
    </row>
    <row r="572" spans="1:4" x14ac:dyDescent="0.25">
      <c r="A572" s="31"/>
      <c r="D572" s="30"/>
    </row>
    <row r="573" spans="1:4" x14ac:dyDescent="0.25">
      <c r="A573" s="31"/>
      <c r="D573" s="30"/>
    </row>
    <row r="574" spans="1:4" x14ac:dyDescent="0.25">
      <c r="A574" s="31"/>
      <c r="D574" s="30"/>
    </row>
    <row r="575" spans="1:4" x14ac:dyDescent="0.25">
      <c r="A575" s="31"/>
      <c r="D575" s="30"/>
    </row>
    <row r="576" spans="1:4" x14ac:dyDescent="0.25">
      <c r="A576" s="31"/>
      <c r="D576" s="30"/>
    </row>
    <row r="577" spans="1:4" x14ac:dyDescent="0.25">
      <c r="A577" s="31"/>
      <c r="D577" s="30"/>
    </row>
    <row r="578" spans="1:4" x14ac:dyDescent="0.25">
      <c r="A578" s="31"/>
      <c r="D578" s="30"/>
    </row>
    <row r="579" spans="1:4" x14ac:dyDescent="0.25">
      <c r="A579" s="31"/>
      <c r="D579" s="30"/>
    </row>
    <row r="580" spans="1:4" x14ac:dyDescent="0.25">
      <c r="A580" s="31"/>
      <c r="D580" s="30"/>
    </row>
    <row r="581" spans="1:4" x14ac:dyDescent="0.25">
      <c r="A581" s="31"/>
      <c r="D581" s="30"/>
    </row>
    <row r="582" spans="1:4" x14ac:dyDescent="0.25">
      <c r="A582" s="31"/>
      <c r="D582" s="30"/>
    </row>
    <row r="583" spans="1:4" x14ac:dyDescent="0.25">
      <c r="A583" s="31"/>
      <c r="D583" s="30"/>
    </row>
    <row r="584" spans="1:4" x14ac:dyDescent="0.25">
      <c r="A584" s="31"/>
      <c r="D584" s="30"/>
    </row>
    <row r="585" spans="1:4" x14ac:dyDescent="0.25">
      <c r="A585" s="31"/>
      <c r="D585" s="30"/>
    </row>
    <row r="586" spans="1:4" x14ac:dyDescent="0.25">
      <c r="A586" s="31"/>
      <c r="D586" s="30"/>
    </row>
    <row r="587" spans="1:4" x14ac:dyDescent="0.25">
      <c r="A587" s="31"/>
      <c r="D587" s="30"/>
    </row>
    <row r="588" spans="1:4" x14ac:dyDescent="0.25">
      <c r="A588" s="31"/>
      <c r="D588" s="30"/>
    </row>
    <row r="589" spans="1:4" x14ac:dyDescent="0.25">
      <c r="A589" s="31"/>
      <c r="D589" s="30"/>
    </row>
    <row r="590" spans="1:4" x14ac:dyDescent="0.25">
      <c r="A590" s="31"/>
      <c r="D590" s="30"/>
    </row>
    <row r="591" spans="1:4" x14ac:dyDescent="0.25">
      <c r="A591" s="31"/>
      <c r="D591" s="30"/>
    </row>
    <row r="592" spans="1:4" x14ac:dyDescent="0.25">
      <c r="A592" s="31"/>
      <c r="D592" s="30"/>
    </row>
    <row r="593" spans="1:4" x14ac:dyDescent="0.25">
      <c r="A593" s="31"/>
      <c r="D593" s="30"/>
    </row>
    <row r="594" spans="1:4" x14ac:dyDescent="0.25">
      <c r="A594" s="31"/>
      <c r="D594" s="30"/>
    </row>
    <row r="595" spans="1:4" x14ac:dyDescent="0.25">
      <c r="A595" s="31"/>
      <c r="D595" s="30"/>
    </row>
    <row r="596" spans="1:4" x14ac:dyDescent="0.25">
      <c r="A596" s="31"/>
      <c r="D596" s="30"/>
    </row>
    <row r="597" spans="1:4" x14ac:dyDescent="0.25">
      <c r="A597" s="31"/>
      <c r="D597" s="30"/>
    </row>
    <row r="598" spans="1:4" x14ac:dyDescent="0.25">
      <c r="A598" s="31"/>
      <c r="D598" s="30"/>
    </row>
    <row r="599" spans="1:4" x14ac:dyDescent="0.25">
      <c r="A599" s="31"/>
      <c r="D599" s="30"/>
    </row>
    <row r="600" spans="1:4" x14ac:dyDescent="0.25">
      <c r="A600" s="31"/>
      <c r="D600" s="30"/>
    </row>
    <row r="601" spans="1:4" x14ac:dyDescent="0.25">
      <c r="A601" s="31"/>
      <c r="D601" s="30"/>
    </row>
    <row r="602" spans="1:4" x14ac:dyDescent="0.25">
      <c r="A602" s="31"/>
      <c r="D602" s="30"/>
    </row>
    <row r="603" spans="1:4" x14ac:dyDescent="0.25">
      <c r="A603" s="31"/>
      <c r="D603" s="30"/>
    </row>
    <row r="604" spans="1:4" x14ac:dyDescent="0.25">
      <c r="A604" s="31"/>
      <c r="D604" s="30"/>
    </row>
    <row r="605" spans="1:4" x14ac:dyDescent="0.25">
      <c r="A605" s="31"/>
      <c r="D605" s="30"/>
    </row>
    <row r="606" spans="1:4" x14ac:dyDescent="0.25">
      <c r="A606" s="31"/>
      <c r="D606" s="30"/>
    </row>
    <row r="607" spans="1:4" x14ac:dyDescent="0.25">
      <c r="A607" s="31"/>
      <c r="D607" s="30"/>
    </row>
    <row r="608" spans="1:4" x14ac:dyDescent="0.25">
      <c r="A608" s="31"/>
      <c r="D608" s="30"/>
    </row>
    <row r="609" spans="1:4" x14ac:dyDescent="0.25">
      <c r="A609" s="31"/>
      <c r="D609" s="30"/>
    </row>
    <row r="610" spans="1:4" x14ac:dyDescent="0.25">
      <c r="A610" s="31"/>
      <c r="D610" s="30"/>
    </row>
    <row r="611" spans="1:4" x14ac:dyDescent="0.25">
      <c r="A611" s="31"/>
      <c r="D611" s="30"/>
    </row>
    <row r="612" spans="1:4" x14ac:dyDescent="0.25">
      <c r="A612" s="31"/>
      <c r="D612" s="30"/>
    </row>
    <row r="613" spans="1:4" x14ac:dyDescent="0.25">
      <c r="A613" s="31"/>
      <c r="D613" s="30"/>
    </row>
    <row r="614" spans="1:4" x14ac:dyDescent="0.25">
      <c r="A614" s="31"/>
      <c r="D614" s="30"/>
    </row>
    <row r="615" spans="1:4" x14ac:dyDescent="0.25">
      <c r="A615" s="31"/>
      <c r="D615" s="30"/>
    </row>
    <row r="616" spans="1:4" x14ac:dyDescent="0.25">
      <c r="A616" s="31"/>
      <c r="D616" s="30"/>
    </row>
    <row r="617" spans="1:4" x14ac:dyDescent="0.25">
      <c r="A617" s="31"/>
      <c r="D617" s="30"/>
    </row>
    <row r="618" spans="1:4" x14ac:dyDescent="0.25">
      <c r="A618" s="31"/>
      <c r="D618" s="30"/>
    </row>
    <row r="619" spans="1:4" x14ac:dyDescent="0.25">
      <c r="A619" s="31"/>
      <c r="D619" s="30"/>
    </row>
    <row r="620" spans="1:4" x14ac:dyDescent="0.25">
      <c r="A620" s="31"/>
      <c r="D620" s="30"/>
    </row>
    <row r="621" spans="1:4" x14ac:dyDescent="0.25">
      <c r="A621" s="31"/>
      <c r="D621" s="30"/>
    </row>
    <row r="622" spans="1:4" x14ac:dyDescent="0.25">
      <c r="A622" s="31"/>
      <c r="D622" s="30"/>
    </row>
    <row r="623" spans="1:4" x14ac:dyDescent="0.25">
      <c r="A623" s="31"/>
      <c r="D623" s="30"/>
    </row>
    <row r="624" spans="1:4" x14ac:dyDescent="0.25">
      <c r="A624" s="31"/>
      <c r="D624" s="30"/>
    </row>
    <row r="625" spans="1:4" x14ac:dyDescent="0.25">
      <c r="A625" s="31"/>
      <c r="D625" s="30"/>
    </row>
    <row r="626" spans="1:4" x14ac:dyDescent="0.25">
      <c r="A626" s="31"/>
      <c r="D626" s="30"/>
    </row>
    <row r="627" spans="1:4" x14ac:dyDescent="0.25">
      <c r="A627" s="31"/>
      <c r="D627" s="30"/>
    </row>
    <row r="628" spans="1:4" x14ac:dyDescent="0.25">
      <c r="A628" s="31"/>
      <c r="D628" s="30"/>
    </row>
    <row r="629" spans="1:4" x14ac:dyDescent="0.25">
      <c r="A629" s="31"/>
      <c r="D629" s="30"/>
    </row>
    <row r="630" spans="1:4" x14ac:dyDescent="0.25">
      <c r="A630" s="31"/>
      <c r="D630" s="30"/>
    </row>
    <row r="631" spans="1:4" x14ac:dyDescent="0.25">
      <c r="A631" s="31"/>
      <c r="D631" s="30"/>
    </row>
    <row r="632" spans="1:4" x14ac:dyDescent="0.25">
      <c r="A632" s="31"/>
      <c r="D632" s="30"/>
    </row>
    <row r="633" spans="1:4" x14ac:dyDescent="0.25">
      <c r="A633" s="31"/>
      <c r="D633" s="30"/>
    </row>
    <row r="634" spans="1:4" x14ac:dyDescent="0.25">
      <c r="A634" s="31"/>
      <c r="D634" s="30"/>
    </row>
    <row r="635" spans="1:4" x14ac:dyDescent="0.25">
      <c r="A635" s="31"/>
      <c r="D635" s="30"/>
    </row>
    <row r="636" spans="1:4" x14ac:dyDescent="0.25">
      <c r="A636" s="31"/>
      <c r="D636" s="30"/>
    </row>
    <row r="637" spans="1:4" x14ac:dyDescent="0.25">
      <c r="A637" s="31"/>
      <c r="D637" s="30"/>
    </row>
    <row r="638" spans="1:4" x14ac:dyDescent="0.25">
      <c r="A638" s="31"/>
      <c r="D638" s="30"/>
    </row>
    <row r="639" spans="1:4" x14ac:dyDescent="0.25">
      <c r="A639" s="31"/>
      <c r="D639" s="30"/>
    </row>
    <row r="640" spans="1:4" x14ac:dyDescent="0.25">
      <c r="A640" s="31"/>
      <c r="D640" s="30"/>
    </row>
    <row r="641" spans="1:4" x14ac:dyDescent="0.25">
      <c r="A641" s="31"/>
      <c r="D641" s="30"/>
    </row>
    <row r="642" spans="1:4" x14ac:dyDescent="0.25">
      <c r="A642" s="31"/>
      <c r="D642" s="30"/>
    </row>
    <row r="643" spans="1:4" x14ac:dyDescent="0.25">
      <c r="A643" s="31"/>
      <c r="D643" s="30"/>
    </row>
    <row r="644" spans="1:4" x14ac:dyDescent="0.25">
      <c r="A644" s="31"/>
      <c r="D644" s="30"/>
    </row>
    <row r="645" spans="1:4" x14ac:dyDescent="0.25">
      <c r="A645" s="31"/>
      <c r="D645" s="30"/>
    </row>
    <row r="646" spans="1:4" x14ac:dyDescent="0.25">
      <c r="A646" s="31"/>
      <c r="D646" s="30"/>
    </row>
    <row r="647" spans="1:4" x14ac:dyDescent="0.25">
      <c r="A647" s="31"/>
      <c r="D647" s="30"/>
    </row>
    <row r="648" spans="1:4" x14ac:dyDescent="0.25">
      <c r="A648" s="31"/>
      <c r="D648" s="30"/>
    </row>
    <row r="649" spans="1:4" x14ac:dyDescent="0.25">
      <c r="A649" s="31"/>
      <c r="D649" s="30"/>
    </row>
    <row r="650" spans="1:4" x14ac:dyDescent="0.25">
      <c r="A650" s="31"/>
      <c r="D650" s="30"/>
    </row>
    <row r="651" spans="1:4" x14ac:dyDescent="0.25">
      <c r="A651" s="31"/>
      <c r="D651" s="30"/>
    </row>
    <row r="652" spans="1:4" x14ac:dyDescent="0.25">
      <c r="A652" s="31"/>
      <c r="D652" s="30"/>
    </row>
    <row r="653" spans="1:4" x14ac:dyDescent="0.25">
      <c r="A653" s="31"/>
      <c r="D653" s="30"/>
    </row>
    <row r="654" spans="1:4" x14ac:dyDescent="0.25">
      <c r="A654" s="31"/>
      <c r="D654" s="30"/>
    </row>
    <row r="655" spans="1:4" x14ac:dyDescent="0.25">
      <c r="A655" s="31"/>
      <c r="D655" s="30"/>
    </row>
    <row r="656" spans="1:4" x14ac:dyDescent="0.25">
      <c r="A656" s="31"/>
      <c r="D656" s="30"/>
    </row>
    <row r="657" spans="1:4" x14ac:dyDescent="0.25">
      <c r="A657" s="31"/>
      <c r="D657" s="30"/>
    </row>
    <row r="658" spans="1:4" x14ac:dyDescent="0.25">
      <c r="A658" s="31"/>
      <c r="D658" s="30"/>
    </row>
    <row r="659" spans="1:4" x14ac:dyDescent="0.25">
      <c r="A659" s="31"/>
      <c r="D659" s="30"/>
    </row>
    <row r="660" spans="1:4" x14ac:dyDescent="0.25">
      <c r="A660" s="31"/>
      <c r="D660" s="30"/>
    </row>
    <row r="661" spans="1:4" x14ac:dyDescent="0.25">
      <c r="A661" s="31"/>
      <c r="D661" s="30"/>
    </row>
    <row r="662" spans="1:4" x14ac:dyDescent="0.25">
      <c r="A662" s="31"/>
      <c r="D662" s="30"/>
    </row>
    <row r="663" spans="1:4" x14ac:dyDescent="0.25">
      <c r="A663" s="31"/>
      <c r="D663" s="30"/>
    </row>
    <row r="664" spans="1:4" x14ac:dyDescent="0.25">
      <c r="A664" s="31"/>
      <c r="D664" s="30"/>
    </row>
    <row r="665" spans="1:4" x14ac:dyDescent="0.25">
      <c r="A665" s="31"/>
      <c r="D665" s="30"/>
    </row>
    <row r="666" spans="1:4" x14ac:dyDescent="0.25">
      <c r="A666" s="31"/>
      <c r="D666" s="30"/>
    </row>
    <row r="667" spans="1:4" x14ac:dyDescent="0.25">
      <c r="A667" s="31"/>
      <c r="D667" s="30"/>
    </row>
    <row r="668" spans="1:4" x14ac:dyDescent="0.25">
      <c r="A668" s="31"/>
      <c r="D668" s="30"/>
    </row>
    <row r="669" spans="1:4" x14ac:dyDescent="0.25">
      <c r="A669" s="31"/>
      <c r="D669" s="30"/>
    </row>
    <row r="670" spans="1:4" x14ac:dyDescent="0.25">
      <c r="A670" s="31"/>
      <c r="D670" s="30"/>
    </row>
    <row r="671" spans="1:4" x14ac:dyDescent="0.25">
      <c r="A671" s="31"/>
      <c r="D671" s="30"/>
    </row>
    <row r="672" spans="1:4" x14ac:dyDescent="0.25">
      <c r="A672" s="31"/>
      <c r="D672" s="30"/>
    </row>
    <row r="673" spans="1:4" x14ac:dyDescent="0.25">
      <c r="A673" s="31"/>
      <c r="D673" s="30"/>
    </row>
    <row r="674" spans="1:4" x14ac:dyDescent="0.25">
      <c r="A674" s="31"/>
      <c r="D674" s="30"/>
    </row>
    <row r="675" spans="1:4" x14ac:dyDescent="0.25">
      <c r="A675" s="31"/>
      <c r="D675" s="30"/>
    </row>
    <row r="676" spans="1:4" x14ac:dyDescent="0.25">
      <c r="A676" s="31"/>
      <c r="D676" s="30"/>
    </row>
    <row r="677" spans="1:4" x14ac:dyDescent="0.25">
      <c r="A677" s="31"/>
      <c r="D677" s="30"/>
    </row>
    <row r="678" spans="1:4" x14ac:dyDescent="0.25">
      <c r="A678" s="31"/>
      <c r="D678" s="30"/>
    </row>
    <row r="679" spans="1:4" x14ac:dyDescent="0.25">
      <c r="A679" s="31"/>
      <c r="D679" s="30"/>
    </row>
    <row r="680" spans="1:4" x14ac:dyDescent="0.25">
      <c r="A680" s="31"/>
      <c r="D680" s="30"/>
    </row>
    <row r="681" spans="1:4" x14ac:dyDescent="0.25">
      <c r="A681" s="31"/>
      <c r="D681" s="30"/>
    </row>
    <row r="682" spans="1:4" x14ac:dyDescent="0.25">
      <c r="A682" s="31"/>
      <c r="D682" s="30"/>
    </row>
    <row r="683" spans="1:4" x14ac:dyDescent="0.25">
      <c r="A683" s="31"/>
      <c r="D683" s="30"/>
    </row>
    <row r="684" spans="1:4" x14ac:dyDescent="0.25">
      <c r="A684" s="31"/>
      <c r="D684" s="30"/>
    </row>
    <row r="685" spans="1:4" x14ac:dyDescent="0.25">
      <c r="A685" s="31"/>
      <c r="D685" s="30"/>
    </row>
    <row r="686" spans="1:4" x14ac:dyDescent="0.25">
      <c r="A686" s="31"/>
      <c r="D686" s="30"/>
    </row>
    <row r="687" spans="1:4" x14ac:dyDescent="0.25">
      <c r="A687" s="31"/>
      <c r="D687" s="30"/>
    </row>
    <row r="688" spans="1:4" x14ac:dyDescent="0.25">
      <c r="A688" s="31"/>
      <c r="D688" s="30"/>
    </row>
    <row r="689" spans="1:4" x14ac:dyDescent="0.25">
      <c r="A689" s="31"/>
      <c r="D689" s="30"/>
    </row>
    <row r="690" spans="1:4" x14ac:dyDescent="0.25">
      <c r="A690" s="31"/>
      <c r="D690" s="30"/>
    </row>
    <row r="691" spans="1:4" x14ac:dyDescent="0.25">
      <c r="A691" s="31"/>
      <c r="D691" s="30"/>
    </row>
    <row r="692" spans="1:4" x14ac:dyDescent="0.25">
      <c r="A692" s="31"/>
      <c r="D692" s="30"/>
    </row>
    <row r="693" spans="1:4" x14ac:dyDescent="0.25">
      <c r="A693" s="31"/>
      <c r="D693" s="30"/>
    </row>
    <row r="694" spans="1:4" x14ac:dyDescent="0.25">
      <c r="A694" s="31"/>
      <c r="D694" s="30"/>
    </row>
    <row r="695" spans="1:4" x14ac:dyDescent="0.25">
      <c r="A695" s="31"/>
      <c r="D695" s="30"/>
    </row>
    <row r="696" spans="1:4" x14ac:dyDescent="0.25">
      <c r="A696" s="31"/>
      <c r="D696" s="30"/>
    </row>
    <row r="697" spans="1:4" x14ac:dyDescent="0.25">
      <c r="A697" s="31"/>
      <c r="D697" s="30"/>
    </row>
    <row r="698" spans="1:4" x14ac:dyDescent="0.25">
      <c r="A698" s="31"/>
      <c r="D698" s="30"/>
    </row>
    <row r="699" spans="1:4" x14ac:dyDescent="0.25">
      <c r="A699" s="31"/>
      <c r="D699" s="30"/>
    </row>
    <row r="700" spans="1:4" x14ac:dyDescent="0.25">
      <c r="A700" s="31"/>
      <c r="D700" s="30"/>
    </row>
    <row r="701" spans="1:4" x14ac:dyDescent="0.25">
      <c r="A701" s="31"/>
      <c r="D701" s="30"/>
    </row>
    <row r="702" spans="1:4" x14ac:dyDescent="0.25">
      <c r="A702" s="31"/>
      <c r="D702" s="30"/>
    </row>
    <row r="703" spans="1:4" x14ac:dyDescent="0.25">
      <c r="A703" s="31"/>
      <c r="D703" s="30"/>
    </row>
    <row r="704" spans="1:4" x14ac:dyDescent="0.25">
      <c r="A704" s="31"/>
      <c r="D704" s="30"/>
    </row>
    <row r="705" spans="1:4" x14ac:dyDescent="0.25">
      <c r="A705" s="31"/>
      <c r="D705" s="30"/>
    </row>
    <row r="706" spans="1:4" x14ac:dyDescent="0.25">
      <c r="A706" s="31"/>
      <c r="D706" s="30"/>
    </row>
    <row r="707" spans="1:4" x14ac:dyDescent="0.25">
      <c r="A707" s="31"/>
      <c r="D707" s="30"/>
    </row>
    <row r="708" spans="1:4" x14ac:dyDescent="0.25">
      <c r="A708" s="31"/>
      <c r="D708" s="30"/>
    </row>
    <row r="709" spans="1:4" x14ac:dyDescent="0.25">
      <c r="A709" s="31"/>
      <c r="D709" s="30"/>
    </row>
    <row r="710" spans="1:4" x14ac:dyDescent="0.25">
      <c r="A710" s="31"/>
      <c r="D710" s="30"/>
    </row>
    <row r="711" spans="1:4" x14ac:dyDescent="0.25">
      <c r="A711" s="31"/>
      <c r="D711" s="30"/>
    </row>
    <row r="712" spans="1:4" x14ac:dyDescent="0.25">
      <c r="A712" s="31"/>
      <c r="D712" s="30"/>
    </row>
    <row r="713" spans="1:4" x14ac:dyDescent="0.25">
      <c r="A713" s="31"/>
      <c r="D713" s="30"/>
    </row>
    <row r="714" spans="1:4" x14ac:dyDescent="0.25">
      <c r="A714" s="31"/>
      <c r="D714" s="30"/>
    </row>
    <row r="715" spans="1:4" x14ac:dyDescent="0.25">
      <c r="A715" s="31"/>
      <c r="D715" s="30"/>
    </row>
    <row r="716" spans="1:4" x14ac:dyDescent="0.25">
      <c r="A716" s="31"/>
      <c r="D716" s="30"/>
    </row>
    <row r="717" spans="1:4" x14ac:dyDescent="0.25">
      <c r="A717" s="31"/>
      <c r="D717" s="30"/>
    </row>
    <row r="718" spans="1:4" x14ac:dyDescent="0.25">
      <c r="A718" s="31"/>
      <c r="D718" s="30"/>
    </row>
    <row r="719" spans="1:4" x14ac:dyDescent="0.25">
      <c r="A719" s="31"/>
      <c r="D719" s="30"/>
    </row>
    <row r="720" spans="1:4" x14ac:dyDescent="0.25">
      <c r="A720" s="31"/>
      <c r="D720" s="30"/>
    </row>
    <row r="721" spans="1:4" x14ac:dyDescent="0.25">
      <c r="A721" s="31"/>
      <c r="D721" s="30"/>
    </row>
    <row r="722" spans="1:4" x14ac:dyDescent="0.25">
      <c r="A722" s="31"/>
      <c r="D722" s="30"/>
    </row>
    <row r="723" spans="1:4" x14ac:dyDescent="0.25">
      <c r="A723" s="31"/>
      <c r="D723" s="30"/>
    </row>
    <row r="724" spans="1:4" x14ac:dyDescent="0.25">
      <c r="A724" s="31"/>
      <c r="D724" s="30"/>
    </row>
    <row r="725" spans="1:4" x14ac:dyDescent="0.25">
      <c r="A725" s="31"/>
      <c r="D725" s="30"/>
    </row>
    <row r="726" spans="1:4" x14ac:dyDescent="0.25">
      <c r="A726" s="31"/>
      <c r="D726" s="30"/>
    </row>
    <row r="727" spans="1:4" x14ac:dyDescent="0.25">
      <c r="A727" s="31"/>
      <c r="D727" s="30"/>
    </row>
    <row r="728" spans="1:4" x14ac:dyDescent="0.25">
      <c r="A728" s="31"/>
      <c r="D728" s="30"/>
    </row>
    <row r="729" spans="1:4" x14ac:dyDescent="0.25">
      <c r="A729" s="31"/>
      <c r="D729" s="30"/>
    </row>
    <row r="730" spans="1:4" x14ac:dyDescent="0.25">
      <c r="A730" s="31"/>
      <c r="D730" s="30"/>
    </row>
    <row r="731" spans="1:4" x14ac:dyDescent="0.25">
      <c r="A731" s="31"/>
      <c r="D731" s="30"/>
    </row>
    <row r="732" spans="1:4" x14ac:dyDescent="0.25">
      <c r="A732" s="31"/>
      <c r="D732" s="30"/>
    </row>
    <row r="733" spans="1:4" x14ac:dyDescent="0.25">
      <c r="A733" s="31"/>
      <c r="D733" s="30"/>
    </row>
    <row r="734" spans="1:4" x14ac:dyDescent="0.25">
      <c r="A734" s="31"/>
      <c r="D734" s="30"/>
    </row>
    <row r="735" spans="1:4" x14ac:dyDescent="0.25">
      <c r="A735" s="31"/>
      <c r="D735" s="30"/>
    </row>
    <row r="736" spans="1:4" x14ac:dyDescent="0.25">
      <c r="A736" s="31"/>
      <c r="D736" s="30"/>
    </row>
    <row r="737" spans="1:4" x14ac:dyDescent="0.25">
      <c r="A737" s="31"/>
      <c r="D737" s="30"/>
    </row>
    <row r="738" spans="1:4" x14ac:dyDescent="0.25">
      <c r="A738" s="31"/>
      <c r="D738" s="30"/>
    </row>
    <row r="739" spans="1:4" x14ac:dyDescent="0.25">
      <c r="A739" s="31"/>
      <c r="D739" s="30"/>
    </row>
    <row r="740" spans="1:4" x14ac:dyDescent="0.25">
      <c r="A740" s="31"/>
      <c r="D740" s="30"/>
    </row>
    <row r="741" spans="1:4" x14ac:dyDescent="0.25">
      <c r="A741" s="31"/>
      <c r="D741" s="30"/>
    </row>
    <row r="742" spans="1:4" x14ac:dyDescent="0.25">
      <c r="A742" s="31"/>
      <c r="D742" s="30"/>
    </row>
    <row r="743" spans="1:4" x14ac:dyDescent="0.25">
      <c r="A743" s="31"/>
      <c r="D743" s="30"/>
    </row>
    <row r="744" spans="1:4" x14ac:dyDescent="0.25">
      <c r="A744" s="31"/>
      <c r="D744" s="30"/>
    </row>
    <row r="745" spans="1:4" x14ac:dyDescent="0.25">
      <c r="A745" s="31"/>
      <c r="D745" s="30"/>
    </row>
    <row r="746" spans="1:4" x14ac:dyDescent="0.25">
      <c r="A746" s="31"/>
      <c r="D746" s="30"/>
    </row>
    <row r="747" spans="1:4" x14ac:dyDescent="0.25">
      <c r="A747" s="31"/>
      <c r="D747" s="30"/>
    </row>
    <row r="748" spans="1:4" x14ac:dyDescent="0.25">
      <c r="A748" s="31"/>
      <c r="D748" s="30"/>
    </row>
    <row r="749" spans="1:4" x14ac:dyDescent="0.25">
      <c r="A749" s="31"/>
      <c r="D749" s="30"/>
    </row>
    <row r="750" spans="1:4" x14ac:dyDescent="0.25">
      <c r="A750" s="31"/>
      <c r="D750" s="30"/>
    </row>
    <row r="751" spans="1:4" x14ac:dyDescent="0.25">
      <c r="A751" s="31"/>
      <c r="D751" s="30"/>
    </row>
    <row r="752" spans="1:4" x14ac:dyDescent="0.25">
      <c r="A752" s="31"/>
      <c r="D752" s="30"/>
    </row>
    <row r="753" spans="1:4" x14ac:dyDescent="0.25">
      <c r="A753" s="31"/>
      <c r="D753" s="30"/>
    </row>
    <row r="754" spans="1:4" x14ac:dyDescent="0.25">
      <c r="A754" s="31"/>
      <c r="D754" s="30"/>
    </row>
    <row r="755" spans="1:4" x14ac:dyDescent="0.25">
      <c r="A755" s="31"/>
      <c r="D755" s="30"/>
    </row>
    <row r="756" spans="1:4" x14ac:dyDescent="0.25">
      <c r="A756" s="31"/>
      <c r="D756" s="30"/>
    </row>
    <row r="757" spans="1:4" x14ac:dyDescent="0.25">
      <c r="A757" s="31"/>
      <c r="D757" s="30"/>
    </row>
    <row r="758" spans="1:4" x14ac:dyDescent="0.25">
      <c r="A758" s="31"/>
      <c r="D758" s="30"/>
    </row>
    <row r="759" spans="1:4" x14ac:dyDescent="0.25">
      <c r="A759" s="31"/>
      <c r="D759" s="30"/>
    </row>
    <row r="760" spans="1:4" x14ac:dyDescent="0.25">
      <c r="A760" s="31"/>
      <c r="D760" s="30"/>
    </row>
    <row r="761" spans="1:4" x14ac:dyDescent="0.25">
      <c r="A761" s="31"/>
      <c r="D761" s="30"/>
    </row>
    <row r="762" spans="1:4" x14ac:dyDescent="0.25">
      <c r="A762" s="31"/>
      <c r="D762" s="30"/>
    </row>
    <row r="763" spans="1:4" x14ac:dyDescent="0.25">
      <c r="A763" s="31"/>
      <c r="D763" s="30"/>
    </row>
    <row r="764" spans="1:4" x14ac:dyDescent="0.25">
      <c r="A764" s="31"/>
      <c r="D764" s="30"/>
    </row>
    <row r="765" spans="1:4" x14ac:dyDescent="0.25">
      <c r="A765" s="31"/>
      <c r="D765" s="30"/>
    </row>
    <row r="766" spans="1:4" x14ac:dyDescent="0.25">
      <c r="A766" s="31"/>
      <c r="D766" s="30"/>
    </row>
    <row r="767" spans="1:4" x14ac:dyDescent="0.25">
      <c r="A767" s="31"/>
      <c r="D767" s="30"/>
    </row>
    <row r="768" spans="1:4" x14ac:dyDescent="0.25">
      <c r="A768" s="31"/>
      <c r="D768" s="30"/>
    </row>
    <row r="769" spans="1:4" x14ac:dyDescent="0.25">
      <c r="A769" s="31"/>
      <c r="D769" s="30"/>
    </row>
    <row r="770" spans="1:4" x14ac:dyDescent="0.25">
      <c r="A770" s="31"/>
      <c r="D770" s="30"/>
    </row>
    <row r="771" spans="1:4" x14ac:dyDescent="0.25">
      <c r="A771" s="31"/>
      <c r="D771" s="30"/>
    </row>
    <row r="772" spans="1:4" x14ac:dyDescent="0.25">
      <c r="A772" s="31"/>
      <c r="D772" s="30"/>
    </row>
    <row r="773" spans="1:4" x14ac:dyDescent="0.25">
      <c r="A773" s="31"/>
      <c r="D773" s="30"/>
    </row>
    <row r="774" spans="1:4" x14ac:dyDescent="0.25">
      <c r="A774" s="31"/>
      <c r="D774" s="30"/>
    </row>
    <row r="775" spans="1:4" x14ac:dyDescent="0.25">
      <c r="A775" s="31"/>
      <c r="D775" s="30"/>
    </row>
    <row r="776" spans="1:4" x14ac:dyDescent="0.25">
      <c r="A776" s="31"/>
      <c r="D776" s="30"/>
    </row>
    <row r="777" spans="1:4" x14ac:dyDescent="0.25">
      <c r="A777" s="31"/>
      <c r="D777" s="30"/>
    </row>
    <row r="778" spans="1:4" x14ac:dyDescent="0.25">
      <c r="A778" s="31"/>
      <c r="D778" s="30"/>
    </row>
    <row r="779" spans="1:4" x14ac:dyDescent="0.25">
      <c r="A779" s="31"/>
      <c r="D779" s="30"/>
    </row>
    <row r="780" spans="1:4" x14ac:dyDescent="0.25">
      <c r="A780" s="31"/>
      <c r="D780" s="30"/>
    </row>
    <row r="781" spans="1:4" x14ac:dyDescent="0.25">
      <c r="A781" s="31"/>
      <c r="D781" s="30"/>
    </row>
    <row r="782" spans="1:4" x14ac:dyDescent="0.25">
      <c r="A782" s="31"/>
      <c r="D782" s="30"/>
    </row>
    <row r="783" spans="1:4" x14ac:dyDescent="0.25">
      <c r="A783" s="31"/>
      <c r="D783" s="30"/>
    </row>
    <row r="784" spans="1:4" x14ac:dyDescent="0.25">
      <c r="A784" s="31"/>
      <c r="D784" s="30"/>
    </row>
    <row r="785" spans="1:4" x14ac:dyDescent="0.25">
      <c r="A785" s="31"/>
      <c r="D785" s="30"/>
    </row>
    <row r="786" spans="1:4" x14ac:dyDescent="0.25">
      <c r="A786" s="31"/>
      <c r="D786" s="30"/>
    </row>
    <row r="787" spans="1:4" x14ac:dyDescent="0.25">
      <c r="A787" s="31"/>
      <c r="D787" s="30"/>
    </row>
    <row r="788" spans="1:4" x14ac:dyDescent="0.25">
      <c r="A788" s="31"/>
      <c r="D788" s="30"/>
    </row>
    <row r="789" spans="1:4" x14ac:dyDescent="0.25">
      <c r="A789" s="31"/>
      <c r="D789" s="30"/>
    </row>
    <row r="790" spans="1:4" x14ac:dyDescent="0.25">
      <c r="A790" s="31"/>
      <c r="D790" s="30"/>
    </row>
    <row r="791" spans="1:4" x14ac:dyDescent="0.25">
      <c r="A791" s="31"/>
      <c r="D791" s="30"/>
    </row>
    <row r="792" spans="1:4" x14ac:dyDescent="0.25">
      <c r="A792" s="31"/>
      <c r="D792" s="30"/>
    </row>
    <row r="793" spans="1:4" x14ac:dyDescent="0.25">
      <c r="A793" s="31"/>
      <c r="D793" s="30"/>
    </row>
    <row r="794" spans="1:4" x14ac:dyDescent="0.25">
      <c r="A794" s="31"/>
      <c r="D794" s="30"/>
    </row>
    <row r="795" spans="1:4" x14ac:dyDescent="0.25">
      <c r="A795" s="31"/>
      <c r="D795" s="30"/>
    </row>
    <row r="796" spans="1:4" x14ac:dyDescent="0.25">
      <c r="A796" s="31"/>
      <c r="D796" s="30"/>
    </row>
    <row r="797" spans="1:4" x14ac:dyDescent="0.25">
      <c r="A797" s="31"/>
      <c r="D797" s="30"/>
    </row>
    <row r="798" spans="1:4" x14ac:dyDescent="0.25">
      <c r="A798" s="31"/>
      <c r="D798" s="30"/>
    </row>
    <row r="799" spans="1:4" x14ac:dyDescent="0.25">
      <c r="A799" s="31"/>
      <c r="D799" s="30"/>
    </row>
    <row r="800" spans="1:4" x14ac:dyDescent="0.25">
      <c r="A800" s="31"/>
      <c r="D800" s="30"/>
    </row>
    <row r="801" spans="1:4" x14ac:dyDescent="0.25">
      <c r="A801" s="31"/>
      <c r="D801" s="30"/>
    </row>
    <row r="802" spans="1:4" x14ac:dyDescent="0.25">
      <c r="A802" s="31"/>
      <c r="D802" s="30"/>
    </row>
    <row r="803" spans="1:4" x14ac:dyDescent="0.25">
      <c r="A803" s="31"/>
      <c r="D803" s="30"/>
    </row>
    <row r="804" spans="1:4" x14ac:dyDescent="0.25">
      <c r="A804" s="31"/>
      <c r="D804" s="30"/>
    </row>
    <row r="805" spans="1:4" x14ac:dyDescent="0.25">
      <c r="A805" s="31"/>
      <c r="D805" s="30"/>
    </row>
    <row r="806" spans="1:4" x14ac:dyDescent="0.25">
      <c r="A806" s="31"/>
      <c r="D806" s="30"/>
    </row>
    <row r="807" spans="1:4" x14ac:dyDescent="0.25">
      <c r="A807" s="31"/>
      <c r="D807" s="30"/>
    </row>
    <row r="808" spans="1:4" x14ac:dyDescent="0.25">
      <c r="A808" s="31"/>
      <c r="D808" s="30"/>
    </row>
    <row r="809" spans="1:4" x14ac:dyDescent="0.25">
      <c r="A809" s="31"/>
      <c r="D809" s="30"/>
    </row>
    <row r="810" spans="1:4" x14ac:dyDescent="0.25">
      <c r="A810" s="31"/>
      <c r="D810" s="30"/>
    </row>
    <row r="811" spans="1:4" x14ac:dyDescent="0.25">
      <c r="A811" s="31"/>
      <c r="D811" s="30"/>
    </row>
    <row r="812" spans="1:4" x14ac:dyDescent="0.25">
      <c r="A812" s="31"/>
      <c r="D812" s="30"/>
    </row>
    <row r="813" spans="1:4" x14ac:dyDescent="0.25">
      <c r="A813" s="31"/>
      <c r="D813" s="30"/>
    </row>
    <row r="814" spans="1:4" x14ac:dyDescent="0.25">
      <c r="A814" s="31"/>
      <c r="D814" s="30"/>
    </row>
    <row r="815" spans="1:4" x14ac:dyDescent="0.25">
      <c r="A815" s="31"/>
      <c r="D815" s="30"/>
    </row>
    <row r="816" spans="1:4" x14ac:dyDescent="0.25">
      <c r="A816" s="31"/>
      <c r="D816" s="30"/>
    </row>
    <row r="817" spans="1:4" x14ac:dyDescent="0.25">
      <c r="A817" s="31"/>
      <c r="D817" s="30"/>
    </row>
    <row r="818" spans="1:4" x14ac:dyDescent="0.25">
      <c r="A818" s="31"/>
      <c r="D818" s="30"/>
    </row>
    <row r="819" spans="1:4" x14ac:dyDescent="0.25">
      <c r="A819" s="31"/>
      <c r="D819" s="30"/>
    </row>
    <row r="820" spans="1:4" x14ac:dyDescent="0.25">
      <c r="A820" s="31"/>
      <c r="D820" s="30"/>
    </row>
    <row r="821" spans="1:4" x14ac:dyDescent="0.25">
      <c r="A821" s="31"/>
      <c r="D821" s="30"/>
    </row>
    <row r="822" spans="1:4" x14ac:dyDescent="0.25">
      <c r="A822" s="31"/>
      <c r="D822" s="30"/>
    </row>
    <row r="823" spans="1:4" x14ac:dyDescent="0.25">
      <c r="A823" s="31"/>
      <c r="D823" s="30"/>
    </row>
    <row r="824" spans="1:4" x14ac:dyDescent="0.25">
      <c r="A824" s="31"/>
      <c r="D824" s="30"/>
    </row>
    <row r="825" spans="1:4" x14ac:dyDescent="0.25">
      <c r="A825" s="31"/>
      <c r="D825" s="30"/>
    </row>
    <row r="826" spans="1:4" x14ac:dyDescent="0.25">
      <c r="A826" s="31"/>
      <c r="D826" s="30"/>
    </row>
    <row r="827" spans="1:4" x14ac:dyDescent="0.25">
      <c r="A827" s="31"/>
      <c r="D827" s="30"/>
    </row>
    <row r="828" spans="1:4" x14ac:dyDescent="0.25">
      <c r="A828" s="31"/>
      <c r="D828" s="30"/>
    </row>
    <row r="829" spans="1:4" x14ac:dyDescent="0.25">
      <c r="A829" s="31"/>
      <c r="D829" s="30"/>
    </row>
    <row r="830" spans="1:4" x14ac:dyDescent="0.25">
      <c r="A830" s="31"/>
      <c r="D830" s="30"/>
    </row>
    <row r="831" spans="1:4" x14ac:dyDescent="0.25">
      <c r="A831" s="31"/>
      <c r="D831" s="30"/>
    </row>
    <row r="832" spans="1:4" x14ac:dyDescent="0.25">
      <c r="A832" s="31"/>
      <c r="D832" s="30"/>
    </row>
    <row r="833" spans="1:4" x14ac:dyDescent="0.25">
      <c r="A833" s="31"/>
      <c r="D833" s="30"/>
    </row>
    <row r="834" spans="1:4" x14ac:dyDescent="0.25">
      <c r="A834" s="31"/>
      <c r="D834" s="30"/>
    </row>
    <row r="835" spans="1:4" x14ac:dyDescent="0.25">
      <c r="A835" s="31"/>
      <c r="D835" s="30"/>
    </row>
    <row r="836" spans="1:4" x14ac:dyDescent="0.25">
      <c r="A836" s="31"/>
      <c r="D836" s="30"/>
    </row>
    <row r="837" spans="1:4" x14ac:dyDescent="0.25">
      <c r="A837" s="31"/>
      <c r="D837" s="30"/>
    </row>
    <row r="838" spans="1:4" x14ac:dyDescent="0.25">
      <c r="A838" s="31"/>
      <c r="D838" s="30"/>
    </row>
    <row r="839" spans="1:4" x14ac:dyDescent="0.25">
      <c r="A839" s="31"/>
      <c r="D839" s="30"/>
    </row>
    <row r="840" spans="1:4" x14ac:dyDescent="0.25">
      <c r="A840" s="31"/>
      <c r="D840" s="30"/>
    </row>
    <row r="841" spans="1:4" x14ac:dyDescent="0.25">
      <c r="A841" s="31"/>
      <c r="D841" s="30"/>
    </row>
    <row r="842" spans="1:4" x14ac:dyDescent="0.25">
      <c r="A842" s="31"/>
      <c r="D842" s="30"/>
    </row>
    <row r="843" spans="1:4" x14ac:dyDescent="0.25">
      <c r="A843" s="31"/>
      <c r="D843" s="30"/>
    </row>
    <row r="844" spans="1:4" x14ac:dyDescent="0.25">
      <c r="A844" s="31"/>
      <c r="D844" s="30"/>
    </row>
    <row r="845" spans="1:4" x14ac:dyDescent="0.25">
      <c r="A845" s="31"/>
      <c r="D845" s="30"/>
    </row>
    <row r="846" spans="1:4" x14ac:dyDescent="0.25">
      <c r="A846" s="31"/>
      <c r="D846" s="30"/>
    </row>
    <row r="847" spans="1:4" x14ac:dyDescent="0.25">
      <c r="A847" s="31"/>
      <c r="D847" s="30"/>
    </row>
    <row r="848" spans="1:4" x14ac:dyDescent="0.25">
      <c r="A848" s="31"/>
      <c r="D848" s="30"/>
    </row>
    <row r="849" spans="1:4" x14ac:dyDescent="0.25">
      <c r="A849" s="31"/>
      <c r="D849" s="30"/>
    </row>
    <row r="850" spans="1:4" x14ac:dyDescent="0.25">
      <c r="A850" s="31"/>
      <c r="D850" s="30"/>
    </row>
    <row r="851" spans="1:4" x14ac:dyDescent="0.25">
      <c r="A851" s="31"/>
      <c r="D851" s="30"/>
    </row>
    <row r="852" spans="1:4" x14ac:dyDescent="0.25">
      <c r="A852" s="31"/>
      <c r="D852" s="30"/>
    </row>
    <row r="853" spans="1:4" x14ac:dyDescent="0.25">
      <c r="A853" s="31"/>
      <c r="D853" s="30"/>
    </row>
    <row r="854" spans="1:4" x14ac:dyDescent="0.25">
      <c r="A854" s="31"/>
      <c r="D854" s="30"/>
    </row>
    <row r="855" spans="1:4" x14ac:dyDescent="0.25">
      <c r="A855" s="31"/>
      <c r="D855" s="30"/>
    </row>
    <row r="856" spans="1:4" x14ac:dyDescent="0.25">
      <c r="A856" s="31"/>
      <c r="D856" s="30"/>
    </row>
    <row r="857" spans="1:4" x14ac:dyDescent="0.25">
      <c r="A857" s="31"/>
      <c r="D857" s="30"/>
    </row>
    <row r="858" spans="1:4" x14ac:dyDescent="0.25">
      <c r="A858" s="31"/>
      <c r="D858" s="30"/>
    </row>
    <row r="859" spans="1:4" x14ac:dyDescent="0.25">
      <c r="A859" s="31"/>
      <c r="D859" s="30"/>
    </row>
    <row r="860" spans="1:4" x14ac:dyDescent="0.25">
      <c r="A860" s="31"/>
      <c r="D860" s="30"/>
    </row>
    <row r="861" spans="1:4" x14ac:dyDescent="0.25">
      <c r="A861" s="31"/>
      <c r="D861" s="30"/>
    </row>
    <row r="862" spans="1:4" x14ac:dyDescent="0.25">
      <c r="A862" s="31"/>
      <c r="D862" s="30"/>
    </row>
    <row r="863" spans="1:4" x14ac:dyDescent="0.25">
      <c r="A863" s="31"/>
      <c r="D863" s="30"/>
    </row>
    <row r="864" spans="1:4" x14ac:dyDescent="0.25">
      <c r="A864" s="31"/>
      <c r="D864" s="30"/>
    </row>
    <row r="865" spans="1:4" x14ac:dyDescent="0.25">
      <c r="A865" s="31"/>
      <c r="D865" s="30"/>
    </row>
    <row r="866" spans="1:4" x14ac:dyDescent="0.25">
      <c r="A866" s="31"/>
      <c r="D866" s="30"/>
    </row>
    <row r="867" spans="1:4" x14ac:dyDescent="0.25">
      <c r="A867" s="31"/>
      <c r="D867" s="30"/>
    </row>
    <row r="868" spans="1:4" x14ac:dyDescent="0.25">
      <c r="A868" s="31"/>
      <c r="D868" s="30"/>
    </row>
    <row r="869" spans="1:4" x14ac:dyDescent="0.25">
      <c r="A869" s="31"/>
      <c r="D869" s="30"/>
    </row>
    <row r="870" spans="1:4" x14ac:dyDescent="0.25">
      <c r="A870" s="31"/>
      <c r="D870" s="30"/>
    </row>
    <row r="871" spans="1:4" x14ac:dyDescent="0.25">
      <c r="A871" s="31"/>
      <c r="D871" s="30"/>
    </row>
    <row r="872" spans="1:4" x14ac:dyDescent="0.25">
      <c r="A872" s="31"/>
      <c r="D872" s="30"/>
    </row>
    <row r="873" spans="1:4" x14ac:dyDescent="0.25">
      <c r="A873" s="31"/>
      <c r="D873" s="30"/>
    </row>
    <row r="874" spans="1:4" x14ac:dyDescent="0.25">
      <c r="A874" s="31"/>
      <c r="D874" s="30"/>
    </row>
    <row r="875" spans="1:4" x14ac:dyDescent="0.25">
      <c r="A875" s="31"/>
      <c r="D875" s="30"/>
    </row>
    <row r="876" spans="1:4" x14ac:dyDescent="0.25">
      <c r="A876" s="31"/>
      <c r="D876" s="30"/>
    </row>
    <row r="877" spans="1:4" x14ac:dyDescent="0.25">
      <c r="A877" s="31"/>
      <c r="D877" s="30"/>
    </row>
    <row r="878" spans="1:4" x14ac:dyDescent="0.25">
      <c r="A878" s="31"/>
      <c r="D878" s="30"/>
    </row>
    <row r="879" spans="1:4" x14ac:dyDescent="0.25">
      <c r="A879" s="31"/>
      <c r="D879" s="30"/>
    </row>
    <row r="880" spans="1:4" x14ac:dyDescent="0.25">
      <c r="A880" s="31"/>
      <c r="D880" s="30"/>
    </row>
    <row r="881" spans="1:4" x14ac:dyDescent="0.25">
      <c r="A881" s="31"/>
      <c r="D881" s="30"/>
    </row>
    <row r="882" spans="1:4" x14ac:dyDescent="0.25">
      <c r="A882" s="31"/>
      <c r="D882" s="30"/>
    </row>
    <row r="883" spans="1:4" x14ac:dyDescent="0.25">
      <c r="A883" s="31"/>
      <c r="D883" s="30"/>
    </row>
    <row r="884" spans="1:4" x14ac:dyDescent="0.25">
      <c r="A884" s="31"/>
      <c r="D884" s="30"/>
    </row>
    <row r="885" spans="1:4" x14ac:dyDescent="0.25">
      <c r="A885" s="31"/>
      <c r="D885" s="30"/>
    </row>
    <row r="886" spans="1:4" x14ac:dyDescent="0.25">
      <c r="A886" s="31"/>
      <c r="D886" s="30"/>
    </row>
    <row r="887" spans="1:4" x14ac:dyDescent="0.25">
      <c r="A887" s="31"/>
      <c r="D887" s="30"/>
    </row>
    <row r="888" spans="1:4" x14ac:dyDescent="0.25">
      <c r="A888" s="31"/>
      <c r="D888" s="30"/>
    </row>
    <row r="889" spans="1:4" x14ac:dyDescent="0.25">
      <c r="A889" s="31"/>
      <c r="D889" s="30"/>
    </row>
    <row r="890" spans="1:4" x14ac:dyDescent="0.25">
      <c r="A890" s="31"/>
      <c r="D890" s="30"/>
    </row>
    <row r="891" spans="1:4" x14ac:dyDescent="0.25">
      <c r="A891" s="31"/>
      <c r="D891" s="30"/>
    </row>
    <row r="892" spans="1:4" x14ac:dyDescent="0.25">
      <c r="A892" s="31"/>
      <c r="D892" s="30"/>
    </row>
    <row r="893" spans="1:4" x14ac:dyDescent="0.25">
      <c r="A893" s="31"/>
      <c r="D893" s="30"/>
    </row>
    <row r="894" spans="1:4" x14ac:dyDescent="0.25">
      <c r="A894" s="31"/>
      <c r="D894" s="30"/>
    </row>
    <row r="895" spans="1:4" x14ac:dyDescent="0.25">
      <c r="A895" s="31"/>
      <c r="D895" s="30"/>
    </row>
    <row r="896" spans="1:4" x14ac:dyDescent="0.25">
      <c r="A896" s="31"/>
      <c r="D896" s="30"/>
    </row>
    <row r="897" spans="1:4" x14ac:dyDescent="0.25">
      <c r="A897" s="31"/>
      <c r="D897" s="30"/>
    </row>
    <row r="898" spans="1:4" x14ac:dyDescent="0.25">
      <c r="A898" s="31"/>
      <c r="D898" s="30"/>
    </row>
    <row r="899" spans="1:4" x14ac:dyDescent="0.25">
      <c r="A899" s="31"/>
      <c r="D899" s="30"/>
    </row>
    <row r="900" spans="1:4" x14ac:dyDescent="0.25">
      <c r="A900" s="31"/>
      <c r="D900" s="30"/>
    </row>
    <row r="901" spans="1:4" x14ac:dyDescent="0.25">
      <c r="A901" s="31"/>
      <c r="D901" s="30"/>
    </row>
    <row r="902" spans="1:4" x14ac:dyDescent="0.25">
      <c r="A902" s="31"/>
      <c r="D902" s="30"/>
    </row>
    <row r="903" spans="1:4" x14ac:dyDescent="0.25">
      <c r="A903" s="31"/>
      <c r="D903" s="30"/>
    </row>
    <row r="904" spans="1:4" x14ac:dyDescent="0.25">
      <c r="A904" s="31"/>
      <c r="D904" s="30"/>
    </row>
    <row r="905" spans="1:4" x14ac:dyDescent="0.25">
      <c r="A905" s="31"/>
      <c r="D905" s="30"/>
    </row>
    <row r="906" spans="1:4" x14ac:dyDescent="0.25">
      <c r="A906" s="31"/>
      <c r="D906" s="30"/>
    </row>
    <row r="907" spans="1:4" x14ac:dyDescent="0.25">
      <c r="A907" s="31"/>
      <c r="D907" s="30"/>
    </row>
    <row r="908" spans="1:4" x14ac:dyDescent="0.25">
      <c r="A908" s="31"/>
      <c r="D908" s="30"/>
    </row>
    <row r="909" spans="1:4" x14ac:dyDescent="0.25">
      <c r="A909" s="31"/>
      <c r="D909" s="30"/>
    </row>
    <row r="910" spans="1:4" x14ac:dyDescent="0.25">
      <c r="A910" s="31"/>
      <c r="D910" s="30"/>
    </row>
    <row r="911" spans="1:4" x14ac:dyDescent="0.25">
      <c r="A911" s="31"/>
      <c r="D911" s="30"/>
    </row>
    <row r="912" spans="1:4" x14ac:dyDescent="0.25">
      <c r="A912" s="31"/>
      <c r="D912" s="30"/>
    </row>
    <row r="913" spans="1:4" x14ac:dyDescent="0.25">
      <c r="A913" s="31"/>
      <c r="D913" s="30"/>
    </row>
    <row r="914" spans="1:4" x14ac:dyDescent="0.25">
      <c r="A914" s="31"/>
      <c r="D914" s="30"/>
    </row>
    <row r="915" spans="1:4" x14ac:dyDescent="0.25">
      <c r="A915" s="31"/>
      <c r="D915" s="30"/>
    </row>
    <row r="916" spans="1:4" x14ac:dyDescent="0.25">
      <c r="A916" s="31"/>
      <c r="D916" s="30"/>
    </row>
    <row r="917" spans="1:4" x14ac:dyDescent="0.25">
      <c r="A917" s="31"/>
      <c r="D917" s="30"/>
    </row>
    <row r="918" spans="1:4" x14ac:dyDescent="0.25">
      <c r="A918" s="31"/>
      <c r="D918" s="30"/>
    </row>
    <row r="919" spans="1:4" x14ac:dyDescent="0.25">
      <c r="A919" s="31"/>
      <c r="D919" s="30"/>
    </row>
    <row r="920" spans="1:4" x14ac:dyDescent="0.25">
      <c r="A920" s="31"/>
      <c r="D920" s="30"/>
    </row>
    <row r="921" spans="1:4" x14ac:dyDescent="0.25">
      <c r="A921" s="31"/>
      <c r="D921" s="30"/>
    </row>
    <row r="922" spans="1:4" x14ac:dyDescent="0.25">
      <c r="A922" s="31"/>
      <c r="D922" s="30"/>
    </row>
    <row r="923" spans="1:4" x14ac:dyDescent="0.25">
      <c r="A923" s="31"/>
      <c r="D923" s="30"/>
    </row>
    <row r="924" spans="1:4" x14ac:dyDescent="0.25">
      <c r="A924" s="31"/>
      <c r="D924" s="30"/>
    </row>
    <row r="925" spans="1:4" x14ac:dyDescent="0.25">
      <c r="A925" s="31"/>
      <c r="D925" s="30"/>
    </row>
    <row r="926" spans="1:4" x14ac:dyDescent="0.25">
      <c r="A926" s="31"/>
      <c r="D926" s="30"/>
    </row>
    <row r="927" spans="1:4" x14ac:dyDescent="0.25">
      <c r="A927" s="31"/>
      <c r="D927" s="30"/>
    </row>
    <row r="928" spans="1:4" x14ac:dyDescent="0.25">
      <c r="A928" s="31"/>
      <c r="D928" s="30"/>
    </row>
    <row r="929" spans="1:4" x14ac:dyDescent="0.25">
      <c r="A929" s="31"/>
      <c r="D929" s="30"/>
    </row>
    <row r="930" spans="1:4" x14ac:dyDescent="0.25">
      <c r="A930" s="31"/>
      <c r="D930" s="30"/>
    </row>
    <row r="931" spans="1:4" x14ac:dyDescent="0.25">
      <c r="A931" s="31"/>
      <c r="D931" s="30"/>
    </row>
    <row r="932" spans="1:4" x14ac:dyDescent="0.25">
      <c r="A932" s="31"/>
      <c r="D932" s="30"/>
    </row>
    <row r="933" spans="1:4" x14ac:dyDescent="0.25">
      <c r="A933" s="31"/>
      <c r="D933" s="30"/>
    </row>
    <row r="934" spans="1:4" x14ac:dyDescent="0.25">
      <c r="A934" s="31"/>
      <c r="D934" s="30"/>
    </row>
    <row r="935" spans="1:4" x14ac:dyDescent="0.25">
      <c r="A935" s="31"/>
      <c r="D935" s="30"/>
    </row>
    <row r="936" spans="1:4" x14ac:dyDescent="0.25">
      <c r="A936" s="31"/>
      <c r="D936" s="30"/>
    </row>
    <row r="937" spans="1:4" x14ac:dyDescent="0.25">
      <c r="A937" s="31"/>
      <c r="D937" s="30"/>
    </row>
    <row r="938" spans="1:4" x14ac:dyDescent="0.25">
      <c r="A938" s="31"/>
      <c r="D938" s="30"/>
    </row>
    <row r="939" spans="1:4" x14ac:dyDescent="0.25">
      <c r="A939" s="31"/>
      <c r="D939" s="30"/>
    </row>
    <row r="940" spans="1:4" x14ac:dyDescent="0.25">
      <c r="A940" s="31"/>
      <c r="D940" s="30"/>
    </row>
    <row r="941" spans="1:4" x14ac:dyDescent="0.25">
      <c r="A941" s="31"/>
      <c r="D941" s="30"/>
    </row>
    <row r="942" spans="1:4" x14ac:dyDescent="0.25">
      <c r="A942" s="31"/>
      <c r="D942" s="30"/>
    </row>
    <row r="943" spans="1:4" x14ac:dyDescent="0.25">
      <c r="A943" s="31"/>
      <c r="D943" s="30"/>
    </row>
    <row r="944" spans="1:4" x14ac:dyDescent="0.25">
      <c r="A944" s="31"/>
      <c r="D944" s="30"/>
    </row>
    <row r="945" spans="1:4" x14ac:dyDescent="0.25">
      <c r="A945" s="31"/>
      <c r="D945" s="30"/>
    </row>
    <row r="946" spans="1:4" x14ac:dyDescent="0.25">
      <c r="A946" s="31"/>
      <c r="D946" s="30"/>
    </row>
    <row r="947" spans="1:4" x14ac:dyDescent="0.25">
      <c r="A947" s="31"/>
      <c r="D947" s="30"/>
    </row>
    <row r="948" spans="1:4" x14ac:dyDescent="0.25">
      <c r="A948" s="31"/>
      <c r="D948" s="30"/>
    </row>
    <row r="949" spans="1:4" x14ac:dyDescent="0.25">
      <c r="A949" s="31"/>
      <c r="D949" s="30"/>
    </row>
    <row r="950" spans="1:4" x14ac:dyDescent="0.25">
      <c r="A950" s="31"/>
      <c r="D950" s="30"/>
    </row>
    <row r="951" spans="1:4" x14ac:dyDescent="0.25">
      <c r="A951" s="31"/>
      <c r="D951" s="30"/>
    </row>
    <row r="952" spans="1:4" x14ac:dyDescent="0.25">
      <c r="A952" s="31"/>
      <c r="D952" s="30"/>
    </row>
    <row r="953" spans="1:4" x14ac:dyDescent="0.25">
      <c r="A953" s="31"/>
      <c r="D953" s="30"/>
    </row>
    <row r="954" spans="1:4" x14ac:dyDescent="0.25">
      <c r="A954" s="31"/>
      <c r="D954" s="30"/>
    </row>
    <row r="955" spans="1:4" x14ac:dyDescent="0.25">
      <c r="A955" s="31"/>
      <c r="D955" s="30"/>
    </row>
    <row r="956" spans="1:4" x14ac:dyDescent="0.25">
      <c r="A956" s="31"/>
      <c r="D956" s="30"/>
    </row>
    <row r="957" spans="1:4" x14ac:dyDescent="0.25">
      <c r="A957" s="31"/>
      <c r="D957" s="30"/>
    </row>
    <row r="958" spans="1:4" x14ac:dyDescent="0.25">
      <c r="A958" s="31"/>
      <c r="D958" s="30"/>
    </row>
    <row r="959" spans="1:4" x14ac:dyDescent="0.25">
      <c r="A959" s="31"/>
      <c r="D959" s="30"/>
    </row>
    <row r="960" spans="1:4" x14ac:dyDescent="0.25">
      <c r="A960" s="31"/>
      <c r="D960" s="30"/>
    </row>
    <row r="961" spans="1:4" x14ac:dyDescent="0.25">
      <c r="A961" s="31"/>
      <c r="D961" s="30"/>
    </row>
    <row r="962" spans="1:4" x14ac:dyDescent="0.25">
      <c r="A962" s="31"/>
      <c r="D962" s="30"/>
    </row>
    <row r="963" spans="1:4" x14ac:dyDescent="0.25">
      <c r="A963" s="31"/>
      <c r="D963" s="30"/>
    </row>
    <row r="964" spans="1:4" x14ac:dyDescent="0.25">
      <c r="A964" s="31"/>
      <c r="D964" s="30"/>
    </row>
    <row r="965" spans="1:4" x14ac:dyDescent="0.25">
      <c r="A965" s="31"/>
      <c r="D965" s="30"/>
    </row>
    <row r="966" spans="1:4" x14ac:dyDescent="0.25">
      <c r="A966" s="31"/>
      <c r="D966" s="30"/>
    </row>
    <row r="967" spans="1:4" x14ac:dyDescent="0.25">
      <c r="A967" s="31"/>
      <c r="D967" s="30"/>
    </row>
    <row r="968" spans="1:4" x14ac:dyDescent="0.25">
      <c r="A968" s="31"/>
      <c r="D968" s="30"/>
    </row>
    <row r="969" spans="1:4" x14ac:dyDescent="0.25">
      <c r="A969" s="31"/>
      <c r="D969" s="30"/>
    </row>
    <row r="970" spans="1:4" x14ac:dyDescent="0.25">
      <c r="A970" s="31"/>
      <c r="D970" s="30"/>
    </row>
    <row r="971" spans="1:4" x14ac:dyDescent="0.25">
      <c r="A971" s="31"/>
      <c r="D971" s="30"/>
    </row>
    <row r="972" spans="1:4" x14ac:dyDescent="0.25">
      <c r="A972" s="31"/>
      <c r="D972" s="30"/>
    </row>
    <row r="973" spans="1:4" x14ac:dyDescent="0.25">
      <c r="A973" s="31"/>
      <c r="D973" s="30"/>
    </row>
    <row r="974" spans="1:4" x14ac:dyDescent="0.25">
      <c r="A974" s="31"/>
      <c r="D974" s="30"/>
    </row>
    <row r="975" spans="1:4" x14ac:dyDescent="0.25">
      <c r="A975" s="31"/>
      <c r="D975" s="30"/>
    </row>
    <row r="976" spans="1:4" x14ac:dyDescent="0.25">
      <c r="A976" s="31"/>
      <c r="D976" s="30"/>
    </row>
    <row r="977" spans="1:4" x14ac:dyDescent="0.25">
      <c r="A977" s="31"/>
      <c r="D977" s="30"/>
    </row>
    <row r="978" spans="1:4" x14ac:dyDescent="0.25">
      <c r="A978" s="31"/>
      <c r="D978" s="30"/>
    </row>
    <row r="979" spans="1:4" x14ac:dyDescent="0.25">
      <c r="A979" s="31"/>
      <c r="D979" s="30"/>
    </row>
    <row r="980" spans="1:4" x14ac:dyDescent="0.25">
      <c r="A980" s="31"/>
      <c r="D980" s="30"/>
    </row>
    <row r="981" spans="1:4" x14ac:dyDescent="0.25">
      <c r="A981" s="31"/>
      <c r="D981" s="30"/>
    </row>
    <row r="982" spans="1:4" x14ac:dyDescent="0.25">
      <c r="A982" s="31"/>
      <c r="D982" s="30"/>
    </row>
    <row r="983" spans="1:4" x14ac:dyDescent="0.25">
      <c r="A983" s="31"/>
      <c r="D983" s="30"/>
    </row>
    <row r="984" spans="1:4" x14ac:dyDescent="0.25">
      <c r="A984" s="31"/>
      <c r="D984" s="30"/>
    </row>
    <row r="985" spans="1:4" x14ac:dyDescent="0.25">
      <c r="A985" s="31"/>
      <c r="D985" s="30"/>
    </row>
    <row r="986" spans="1:4" x14ac:dyDescent="0.25">
      <c r="A986" s="31"/>
      <c r="D986" s="30"/>
    </row>
    <row r="987" spans="1:4" x14ac:dyDescent="0.25">
      <c r="A987" s="31"/>
      <c r="D987" s="30"/>
    </row>
    <row r="988" spans="1:4" x14ac:dyDescent="0.25">
      <c r="A988" s="31"/>
      <c r="D988" s="30"/>
    </row>
    <row r="989" spans="1:4" x14ac:dyDescent="0.25">
      <c r="A989" s="31"/>
      <c r="D989" s="30"/>
    </row>
    <row r="990" spans="1:4" x14ac:dyDescent="0.25">
      <c r="A990" s="31"/>
      <c r="D990" s="30"/>
    </row>
    <row r="991" spans="1:4" x14ac:dyDescent="0.25">
      <c r="A991" s="31"/>
      <c r="D991" s="30"/>
    </row>
    <row r="992" spans="1:4" x14ac:dyDescent="0.25">
      <c r="A992" s="31"/>
      <c r="D992" s="30"/>
    </row>
    <row r="993" spans="1:4" x14ac:dyDescent="0.25">
      <c r="A993" s="31"/>
      <c r="D993" s="30"/>
    </row>
    <row r="994" spans="1:4" x14ac:dyDescent="0.25">
      <c r="A994" s="31"/>
      <c r="D994" s="30"/>
    </row>
    <row r="995" spans="1:4" x14ac:dyDescent="0.25">
      <c r="A995" s="31"/>
      <c r="D995" s="30"/>
    </row>
    <row r="996" spans="1:4" x14ac:dyDescent="0.25">
      <c r="A996" s="31"/>
      <c r="D996" s="30"/>
    </row>
    <row r="997" spans="1:4" x14ac:dyDescent="0.25">
      <c r="A997" s="31"/>
      <c r="D997" s="30"/>
    </row>
    <row r="998" spans="1:4" x14ac:dyDescent="0.25">
      <c r="A998" s="31"/>
      <c r="D998" s="30"/>
    </row>
    <row r="999" spans="1:4" x14ac:dyDescent="0.25">
      <c r="A999" s="31"/>
      <c r="D999" s="30"/>
    </row>
    <row r="1000" spans="1:4" x14ac:dyDescent="0.25">
      <c r="A1000" s="31"/>
      <c r="D1000" s="30"/>
    </row>
    <row r="1001" spans="1:4" x14ac:dyDescent="0.25">
      <c r="A1001" s="31"/>
      <c r="D1001" s="30"/>
    </row>
    <row r="1002" spans="1:4" x14ac:dyDescent="0.25">
      <c r="A1002" s="31"/>
      <c r="D1002" s="30"/>
    </row>
    <row r="1003" spans="1:4" x14ac:dyDescent="0.25">
      <c r="A1003" s="31"/>
      <c r="D1003" s="30"/>
    </row>
    <row r="1004" spans="1:4" x14ac:dyDescent="0.25">
      <c r="A1004" s="31"/>
      <c r="D1004" s="30"/>
    </row>
    <row r="1005" spans="1:4" x14ac:dyDescent="0.25">
      <c r="A1005" s="31"/>
      <c r="D1005" s="30"/>
    </row>
    <row r="1006" spans="1:4" x14ac:dyDescent="0.25">
      <c r="A1006" s="31"/>
      <c r="D1006" s="30"/>
    </row>
    <row r="1007" spans="1:4" x14ac:dyDescent="0.25">
      <c r="A1007" s="31"/>
      <c r="D1007" s="30"/>
    </row>
    <row r="1008" spans="1:4" x14ac:dyDescent="0.25">
      <c r="A1008" s="31"/>
      <c r="D1008" s="30"/>
    </row>
    <row r="1009" spans="1:4" x14ac:dyDescent="0.25">
      <c r="A1009" s="31"/>
      <c r="D1009" s="30"/>
    </row>
    <row r="1010" spans="1:4" x14ac:dyDescent="0.25">
      <c r="A1010" s="31"/>
      <c r="D1010" s="30"/>
    </row>
    <row r="1011" spans="1:4" x14ac:dyDescent="0.25">
      <c r="A1011" s="31"/>
      <c r="D1011" s="30"/>
    </row>
    <row r="1012" spans="1:4" x14ac:dyDescent="0.25">
      <c r="A1012" s="31"/>
      <c r="D1012" s="30"/>
    </row>
    <row r="1013" spans="1:4" x14ac:dyDescent="0.25">
      <c r="A1013" s="31"/>
      <c r="D1013" s="30"/>
    </row>
    <row r="1014" spans="1:4" x14ac:dyDescent="0.25">
      <c r="A1014" s="31"/>
      <c r="D1014" s="30"/>
    </row>
    <row r="1015" spans="1:4" x14ac:dyDescent="0.25">
      <c r="A1015" s="31"/>
      <c r="D1015" s="30"/>
    </row>
    <row r="1016" spans="1:4" x14ac:dyDescent="0.25">
      <c r="A1016" s="31"/>
      <c r="D1016" s="30"/>
    </row>
    <row r="1017" spans="1:4" x14ac:dyDescent="0.25">
      <c r="A1017" s="31"/>
      <c r="D1017" s="30"/>
    </row>
    <row r="1018" spans="1:4" x14ac:dyDescent="0.25">
      <c r="A1018" s="31"/>
      <c r="D1018" s="30"/>
    </row>
    <row r="1019" spans="1:4" x14ac:dyDescent="0.25">
      <c r="A1019" s="31"/>
      <c r="D1019" s="30"/>
    </row>
    <row r="1020" spans="1:4" x14ac:dyDescent="0.25">
      <c r="A1020" s="31"/>
      <c r="D1020" s="30"/>
    </row>
    <row r="1021" spans="1:4" x14ac:dyDescent="0.25">
      <c r="A1021" s="31"/>
      <c r="D1021" s="30"/>
    </row>
    <row r="1022" spans="1:4" x14ac:dyDescent="0.25">
      <c r="A1022" s="31"/>
      <c r="D1022" s="30"/>
    </row>
    <row r="1023" spans="1:4" x14ac:dyDescent="0.25">
      <c r="A1023" s="31"/>
      <c r="D1023" s="30"/>
    </row>
    <row r="1024" spans="1:4" x14ac:dyDescent="0.25">
      <c r="A1024" s="31"/>
      <c r="D1024" s="30"/>
    </row>
    <row r="1025" spans="1:4" x14ac:dyDescent="0.25">
      <c r="A1025" s="31"/>
      <c r="D1025" s="30"/>
    </row>
    <row r="1026" spans="1:4" x14ac:dyDescent="0.25">
      <c r="A1026" s="31"/>
      <c r="D1026" s="30"/>
    </row>
    <row r="1027" spans="1:4" x14ac:dyDescent="0.25">
      <c r="A1027" s="31"/>
      <c r="D1027" s="30"/>
    </row>
    <row r="1028" spans="1:4" x14ac:dyDescent="0.25">
      <c r="A1028" s="31"/>
      <c r="D1028" s="30"/>
    </row>
    <row r="1029" spans="1:4" x14ac:dyDescent="0.25">
      <c r="A1029" s="31"/>
      <c r="D1029" s="30"/>
    </row>
    <row r="1030" spans="1:4" x14ac:dyDescent="0.25">
      <c r="A1030" s="31"/>
      <c r="D1030" s="30"/>
    </row>
    <row r="1031" spans="1:4" x14ac:dyDescent="0.25">
      <c r="A1031" s="31"/>
      <c r="D1031" s="30"/>
    </row>
    <row r="1032" spans="1:4" x14ac:dyDescent="0.25">
      <c r="A1032" s="31"/>
      <c r="D1032" s="30"/>
    </row>
    <row r="1033" spans="1:4" x14ac:dyDescent="0.25">
      <c r="A1033" s="31"/>
      <c r="D1033" s="30"/>
    </row>
    <row r="1034" spans="1:4" x14ac:dyDescent="0.25">
      <c r="A1034" s="31"/>
      <c r="D1034" s="30"/>
    </row>
    <row r="1035" spans="1:4" x14ac:dyDescent="0.25">
      <c r="A1035" s="31"/>
      <c r="D1035" s="30"/>
    </row>
    <row r="1036" spans="1:4" x14ac:dyDescent="0.25">
      <c r="A1036" s="31"/>
      <c r="D1036" s="30"/>
    </row>
    <row r="1037" spans="1:4" x14ac:dyDescent="0.25">
      <c r="A1037" s="31"/>
      <c r="D1037" s="30"/>
    </row>
    <row r="1038" spans="1:4" x14ac:dyDescent="0.25">
      <c r="A1038" s="31"/>
      <c r="D1038" s="30"/>
    </row>
    <row r="1039" spans="1:4" x14ac:dyDescent="0.25">
      <c r="A1039" s="31"/>
      <c r="D1039" s="30"/>
    </row>
    <row r="1040" spans="1:4" x14ac:dyDescent="0.25">
      <c r="A1040" s="31"/>
      <c r="D1040" s="30"/>
    </row>
    <row r="1041" spans="1:4" x14ac:dyDescent="0.25">
      <c r="A1041" s="31"/>
      <c r="D1041" s="30"/>
    </row>
    <row r="1042" spans="1:4" x14ac:dyDescent="0.25">
      <c r="A1042" s="31"/>
      <c r="D1042" s="30"/>
    </row>
    <row r="1043" spans="1:4" x14ac:dyDescent="0.25">
      <c r="A1043" s="31"/>
      <c r="D1043" s="30"/>
    </row>
    <row r="1044" spans="1:4" x14ac:dyDescent="0.25">
      <c r="A1044" s="31"/>
      <c r="D1044" s="30"/>
    </row>
    <row r="1045" spans="1:4" x14ac:dyDescent="0.25">
      <c r="A1045" s="31"/>
      <c r="D1045" s="30"/>
    </row>
    <row r="1046" spans="1:4" x14ac:dyDescent="0.25">
      <c r="A1046" s="31"/>
      <c r="D1046" s="30"/>
    </row>
    <row r="1047" spans="1:4" x14ac:dyDescent="0.25">
      <c r="A1047" s="31"/>
      <c r="D1047" s="30"/>
    </row>
    <row r="1048" spans="1:4" x14ac:dyDescent="0.25">
      <c r="A1048" s="31"/>
      <c r="D1048" s="30"/>
    </row>
    <row r="1049" spans="1:4" x14ac:dyDescent="0.25">
      <c r="A1049" s="31"/>
      <c r="D1049" s="30"/>
    </row>
    <row r="1050" spans="1:4" x14ac:dyDescent="0.25">
      <c r="A1050" s="31"/>
      <c r="D1050" s="30"/>
    </row>
    <row r="1051" spans="1:4" x14ac:dyDescent="0.25">
      <c r="A1051" s="31"/>
      <c r="D1051" s="30"/>
    </row>
    <row r="1052" spans="1:4" x14ac:dyDescent="0.25">
      <c r="A1052" s="31"/>
      <c r="D1052" s="30"/>
    </row>
    <row r="1053" spans="1:4" x14ac:dyDescent="0.25">
      <c r="A1053" s="31"/>
      <c r="D1053" s="30"/>
    </row>
    <row r="1054" spans="1:4" x14ac:dyDescent="0.25">
      <c r="A1054" s="31"/>
      <c r="D1054" s="30"/>
    </row>
    <row r="1055" spans="1:4" x14ac:dyDescent="0.25">
      <c r="A1055" s="31"/>
      <c r="D1055" s="30"/>
    </row>
    <row r="1056" spans="1:4" x14ac:dyDescent="0.25">
      <c r="A1056" s="31"/>
      <c r="D1056" s="30"/>
    </row>
    <row r="1057" spans="1:4" x14ac:dyDescent="0.25">
      <c r="A1057" s="31"/>
      <c r="D1057" s="30"/>
    </row>
    <row r="1058" spans="1:4" x14ac:dyDescent="0.25">
      <c r="A1058" s="31"/>
      <c r="D1058" s="30"/>
    </row>
    <row r="1059" spans="1:4" x14ac:dyDescent="0.25">
      <c r="A1059" s="31"/>
      <c r="D1059" s="30"/>
    </row>
    <row r="1060" spans="1:4" x14ac:dyDescent="0.25">
      <c r="A1060" s="31"/>
      <c r="D1060" s="30"/>
    </row>
    <row r="1061" spans="1:4" x14ac:dyDescent="0.25">
      <c r="A1061" s="31"/>
      <c r="D1061" s="30"/>
    </row>
    <row r="1062" spans="1:4" x14ac:dyDescent="0.25">
      <c r="A1062" s="31"/>
      <c r="D1062" s="30"/>
    </row>
    <row r="1063" spans="1:4" x14ac:dyDescent="0.25">
      <c r="A1063" s="31"/>
      <c r="D1063" s="30"/>
    </row>
    <row r="1064" spans="1:4" x14ac:dyDescent="0.25">
      <c r="A1064" s="31"/>
      <c r="D1064" s="30"/>
    </row>
    <row r="1065" spans="1:4" x14ac:dyDescent="0.25">
      <c r="A1065" s="31"/>
      <c r="D1065" s="30"/>
    </row>
    <row r="1066" spans="1:4" x14ac:dyDescent="0.25">
      <c r="A1066" s="31"/>
      <c r="D1066" s="30"/>
    </row>
    <row r="1067" spans="1:4" x14ac:dyDescent="0.25">
      <c r="A1067" s="31"/>
      <c r="D1067" s="30"/>
    </row>
    <row r="1068" spans="1:4" x14ac:dyDescent="0.25">
      <c r="A1068" s="31"/>
      <c r="D1068" s="30"/>
    </row>
    <row r="1069" spans="1:4" x14ac:dyDescent="0.25">
      <c r="A1069" s="31"/>
      <c r="D1069" s="30"/>
    </row>
    <row r="1070" spans="1:4" x14ac:dyDescent="0.25">
      <c r="A1070" s="31"/>
      <c r="D1070" s="30"/>
    </row>
    <row r="1071" spans="1:4" x14ac:dyDescent="0.25">
      <c r="A1071" s="31"/>
      <c r="D1071" s="30"/>
    </row>
    <row r="1072" spans="1:4" x14ac:dyDescent="0.25">
      <c r="A1072" s="31"/>
      <c r="D1072" s="30"/>
    </row>
    <row r="1073" spans="1:4" x14ac:dyDescent="0.25">
      <c r="A1073" s="31"/>
      <c r="D1073" s="30"/>
    </row>
    <row r="1074" spans="1:4" x14ac:dyDescent="0.25">
      <c r="A1074" s="31"/>
      <c r="D1074" s="30"/>
    </row>
    <row r="1075" spans="1:4" x14ac:dyDescent="0.25">
      <c r="A1075" s="31"/>
      <c r="D1075" s="30"/>
    </row>
    <row r="1076" spans="1:4" x14ac:dyDescent="0.25">
      <c r="A1076" s="31"/>
      <c r="D1076" s="30"/>
    </row>
    <row r="1077" spans="1:4" x14ac:dyDescent="0.25">
      <c r="A1077" s="31"/>
      <c r="D1077" s="30"/>
    </row>
    <row r="1078" spans="1:4" x14ac:dyDescent="0.25">
      <c r="A1078" s="31"/>
      <c r="D1078" s="30"/>
    </row>
    <row r="1079" spans="1:4" x14ac:dyDescent="0.25">
      <c r="A1079" s="31"/>
      <c r="D1079" s="30"/>
    </row>
    <row r="1080" spans="1:4" x14ac:dyDescent="0.25">
      <c r="A1080" s="31"/>
      <c r="D1080" s="30"/>
    </row>
    <row r="1081" spans="1:4" x14ac:dyDescent="0.25">
      <c r="A1081" s="31"/>
      <c r="D1081" s="30"/>
    </row>
    <row r="1082" spans="1:4" x14ac:dyDescent="0.25">
      <c r="A1082" s="31"/>
      <c r="D1082" s="30"/>
    </row>
    <row r="1083" spans="1:4" x14ac:dyDescent="0.25">
      <c r="A1083" s="31"/>
      <c r="D1083" s="30"/>
    </row>
    <row r="1084" spans="1:4" x14ac:dyDescent="0.25">
      <c r="A1084" s="31"/>
      <c r="D1084" s="30"/>
    </row>
    <row r="1085" spans="1:4" x14ac:dyDescent="0.25">
      <c r="A1085" s="31"/>
      <c r="D1085" s="30"/>
    </row>
    <row r="1086" spans="1:4" x14ac:dyDescent="0.25">
      <c r="A1086" s="31"/>
      <c r="D1086" s="30"/>
    </row>
    <row r="1087" spans="1:4" x14ac:dyDescent="0.25">
      <c r="A1087" s="31"/>
      <c r="D1087" s="30"/>
    </row>
    <row r="1088" spans="1:4" x14ac:dyDescent="0.25">
      <c r="A1088" s="31"/>
      <c r="D1088" s="30"/>
    </row>
    <row r="1089" spans="1:4" x14ac:dyDescent="0.25">
      <c r="A1089" s="31"/>
      <c r="D1089" s="30"/>
    </row>
    <row r="1090" spans="1:4" x14ac:dyDescent="0.25">
      <c r="A1090" s="31"/>
      <c r="D1090" s="30"/>
    </row>
    <row r="1091" spans="1:4" x14ac:dyDescent="0.25">
      <c r="A1091" s="31"/>
      <c r="D1091" s="30"/>
    </row>
    <row r="1092" spans="1:4" x14ac:dyDescent="0.25">
      <c r="A1092" s="31"/>
      <c r="D1092" s="30"/>
    </row>
    <row r="1093" spans="1:4" x14ac:dyDescent="0.25">
      <c r="A1093" s="31"/>
      <c r="D1093" s="30"/>
    </row>
    <row r="1094" spans="1:4" x14ac:dyDescent="0.25">
      <c r="A1094" s="31"/>
      <c r="D1094" s="30"/>
    </row>
    <row r="1095" spans="1:4" x14ac:dyDescent="0.25">
      <c r="A1095" s="31"/>
      <c r="D1095" s="30"/>
    </row>
    <row r="1096" spans="1:4" x14ac:dyDescent="0.25">
      <c r="A1096" s="31"/>
      <c r="D1096" s="30"/>
    </row>
    <row r="1097" spans="1:4" x14ac:dyDescent="0.25">
      <c r="A1097" s="31"/>
      <c r="D1097" s="30"/>
    </row>
    <row r="1098" spans="1:4" x14ac:dyDescent="0.25">
      <c r="A1098" s="31"/>
      <c r="D1098" s="30"/>
    </row>
    <row r="1099" spans="1:4" x14ac:dyDescent="0.25">
      <c r="A1099" s="31"/>
      <c r="D1099" s="30"/>
    </row>
    <row r="1100" spans="1:4" x14ac:dyDescent="0.25">
      <c r="A1100" s="31"/>
      <c r="D1100" s="30"/>
    </row>
    <row r="1101" spans="1:4" x14ac:dyDescent="0.25">
      <c r="A1101" s="31"/>
      <c r="D1101" s="30"/>
    </row>
    <row r="1102" spans="1:4" x14ac:dyDescent="0.25">
      <c r="A1102" s="31"/>
      <c r="D1102" s="30"/>
    </row>
    <row r="1103" spans="1:4" x14ac:dyDescent="0.25">
      <c r="A1103" s="31"/>
      <c r="D1103" s="30"/>
    </row>
    <row r="1104" spans="1:4" x14ac:dyDescent="0.25">
      <c r="A1104" s="31"/>
      <c r="D1104" s="30"/>
    </row>
    <row r="1105" spans="1:4" x14ac:dyDescent="0.25">
      <c r="A1105" s="31"/>
      <c r="D1105" s="30"/>
    </row>
    <row r="1106" spans="1:4" x14ac:dyDescent="0.25">
      <c r="A1106" s="31"/>
      <c r="D1106" s="30"/>
    </row>
    <row r="1107" spans="1:4" x14ac:dyDescent="0.25">
      <c r="A1107" s="31"/>
      <c r="D1107" s="30"/>
    </row>
    <row r="1108" spans="1:4" x14ac:dyDescent="0.25">
      <c r="A1108" s="31"/>
      <c r="D1108" s="30"/>
    </row>
    <row r="1109" spans="1:4" x14ac:dyDescent="0.25">
      <c r="A1109" s="31"/>
      <c r="D1109" s="30"/>
    </row>
    <row r="1110" spans="1:4" x14ac:dyDescent="0.25">
      <c r="A1110" s="31"/>
      <c r="D1110" s="30"/>
    </row>
    <row r="1111" spans="1:4" x14ac:dyDescent="0.25">
      <c r="A1111" s="31"/>
      <c r="D1111" s="30"/>
    </row>
    <row r="1112" spans="1:4" x14ac:dyDescent="0.25">
      <c r="A1112" s="31"/>
      <c r="D1112" s="30"/>
    </row>
    <row r="1113" spans="1:4" x14ac:dyDescent="0.25">
      <c r="A1113" s="31"/>
      <c r="D1113" s="30"/>
    </row>
    <row r="1114" spans="1:4" x14ac:dyDescent="0.25">
      <c r="A1114" s="31"/>
      <c r="D1114" s="30"/>
    </row>
    <row r="1115" spans="1:4" x14ac:dyDescent="0.25">
      <c r="A1115" s="31"/>
      <c r="D1115" s="30"/>
    </row>
    <row r="1116" spans="1:4" x14ac:dyDescent="0.25">
      <c r="A1116" s="31"/>
      <c r="D1116" s="30"/>
    </row>
    <row r="1117" spans="1:4" x14ac:dyDescent="0.25">
      <c r="A1117" s="31"/>
      <c r="D1117" s="30"/>
    </row>
    <row r="1118" spans="1:4" x14ac:dyDescent="0.25">
      <c r="A1118" s="31"/>
      <c r="D1118" s="30"/>
    </row>
    <row r="1119" spans="1:4" x14ac:dyDescent="0.25">
      <c r="A1119" s="31"/>
      <c r="D1119" s="30"/>
    </row>
    <row r="1120" spans="1:4" x14ac:dyDescent="0.25">
      <c r="A1120" s="31"/>
      <c r="D1120" s="30"/>
    </row>
    <row r="1121" spans="1:4" x14ac:dyDescent="0.25">
      <c r="A1121" s="31"/>
      <c r="D1121" s="30"/>
    </row>
    <row r="1122" spans="1:4" x14ac:dyDescent="0.25">
      <c r="A1122" s="31"/>
      <c r="D1122" s="30"/>
    </row>
    <row r="1123" spans="1:4" x14ac:dyDescent="0.25">
      <c r="A1123" s="31"/>
      <c r="D1123" s="30"/>
    </row>
    <row r="1124" spans="1:4" x14ac:dyDescent="0.25">
      <c r="A1124" s="31"/>
      <c r="D1124" s="30"/>
    </row>
    <row r="1125" spans="1:4" x14ac:dyDescent="0.25">
      <c r="A1125" s="31"/>
      <c r="D1125" s="30"/>
    </row>
    <row r="1126" spans="1:4" x14ac:dyDescent="0.25">
      <c r="A1126" s="31"/>
      <c r="D1126" s="30"/>
    </row>
    <row r="1127" spans="1:4" x14ac:dyDescent="0.25">
      <c r="A1127" s="31"/>
      <c r="D1127" s="30"/>
    </row>
    <row r="1128" spans="1:4" x14ac:dyDescent="0.25">
      <c r="A1128" s="31"/>
      <c r="D1128" s="30"/>
    </row>
    <row r="1129" spans="1:4" x14ac:dyDescent="0.25">
      <c r="A1129" s="31"/>
      <c r="D1129" s="30"/>
    </row>
    <row r="1130" spans="1:4" x14ac:dyDescent="0.25">
      <c r="A1130" s="31"/>
      <c r="D1130" s="30"/>
    </row>
    <row r="1131" spans="1:4" x14ac:dyDescent="0.25">
      <c r="A1131" s="31"/>
      <c r="D1131" s="30"/>
    </row>
    <row r="1132" spans="1:4" x14ac:dyDescent="0.25">
      <c r="A1132" s="31"/>
      <c r="D1132" s="30"/>
    </row>
    <row r="1133" spans="1:4" x14ac:dyDescent="0.25">
      <c r="A1133" s="31"/>
      <c r="D1133" s="30"/>
    </row>
    <row r="1134" spans="1:4" x14ac:dyDescent="0.25">
      <c r="A1134" s="31"/>
      <c r="D1134" s="30"/>
    </row>
    <row r="1135" spans="1:4" x14ac:dyDescent="0.25">
      <c r="A1135" s="31"/>
      <c r="D1135" s="30"/>
    </row>
    <row r="1136" spans="1:4" x14ac:dyDescent="0.25">
      <c r="A1136" s="31"/>
      <c r="D1136" s="30"/>
    </row>
    <row r="1137" spans="1:4" x14ac:dyDescent="0.25">
      <c r="A1137" s="31"/>
      <c r="D1137" s="30"/>
    </row>
    <row r="1138" spans="1:4" x14ac:dyDescent="0.25">
      <c r="A1138" s="31"/>
      <c r="D1138" s="30"/>
    </row>
    <row r="1139" spans="1:4" x14ac:dyDescent="0.25">
      <c r="A1139" s="31"/>
      <c r="D1139" s="30"/>
    </row>
    <row r="1140" spans="1:4" x14ac:dyDescent="0.25">
      <c r="A1140" s="31"/>
      <c r="D1140" s="30"/>
    </row>
    <row r="1141" spans="1:4" x14ac:dyDescent="0.25">
      <c r="A1141" s="31"/>
      <c r="D1141" s="30"/>
    </row>
    <row r="1142" spans="1:4" x14ac:dyDescent="0.25">
      <c r="A1142" s="31"/>
      <c r="D1142" s="30"/>
    </row>
    <row r="1143" spans="1:4" x14ac:dyDescent="0.25">
      <c r="A1143" s="31"/>
      <c r="D1143" s="30"/>
    </row>
    <row r="1144" spans="1:4" x14ac:dyDescent="0.25">
      <c r="A1144" s="31"/>
      <c r="D1144" s="30"/>
    </row>
    <row r="1145" spans="1:4" x14ac:dyDescent="0.25">
      <c r="A1145" s="31"/>
      <c r="D1145" s="30"/>
    </row>
    <row r="1146" spans="1:4" x14ac:dyDescent="0.25">
      <c r="A1146" s="31"/>
      <c r="D1146" s="30"/>
    </row>
    <row r="1147" spans="1:4" x14ac:dyDescent="0.25">
      <c r="A1147" s="31"/>
      <c r="D1147" s="30"/>
    </row>
    <row r="1148" spans="1:4" x14ac:dyDescent="0.25">
      <c r="A1148" s="31"/>
      <c r="D1148" s="30"/>
    </row>
    <row r="1149" spans="1:4" x14ac:dyDescent="0.25">
      <c r="A1149" s="31"/>
      <c r="D1149" s="30"/>
    </row>
    <row r="1150" spans="1:4" x14ac:dyDescent="0.25">
      <c r="A1150" s="31"/>
      <c r="D1150" s="30"/>
    </row>
    <row r="1151" spans="1:4" x14ac:dyDescent="0.25">
      <c r="A1151" s="31"/>
      <c r="D1151" s="30"/>
    </row>
    <row r="1152" spans="1:4" x14ac:dyDescent="0.25">
      <c r="A1152" s="31"/>
      <c r="D1152" s="30"/>
    </row>
    <row r="1153" spans="1:4" x14ac:dyDescent="0.25">
      <c r="A1153" s="31"/>
      <c r="D1153" s="30"/>
    </row>
    <row r="1154" spans="1:4" x14ac:dyDescent="0.25">
      <c r="A1154" s="31"/>
      <c r="D1154" s="30"/>
    </row>
    <row r="1155" spans="1:4" x14ac:dyDescent="0.25">
      <c r="A1155" s="31"/>
      <c r="D1155" s="30"/>
    </row>
    <row r="1156" spans="1:4" x14ac:dyDescent="0.25">
      <c r="A1156" s="31"/>
      <c r="D1156" s="30"/>
    </row>
    <row r="1157" spans="1:4" x14ac:dyDescent="0.25">
      <c r="A1157" s="31"/>
      <c r="D1157" s="30"/>
    </row>
    <row r="1158" spans="1:4" x14ac:dyDescent="0.25">
      <c r="A1158" s="31"/>
      <c r="D1158" s="30"/>
    </row>
    <row r="1159" spans="1:4" x14ac:dyDescent="0.25">
      <c r="A1159" s="31"/>
      <c r="D1159" s="30"/>
    </row>
    <row r="1160" spans="1:4" x14ac:dyDescent="0.25">
      <c r="A1160" s="31"/>
      <c r="D1160" s="30"/>
    </row>
    <row r="1161" spans="1:4" x14ac:dyDescent="0.25">
      <c r="A1161" s="31"/>
      <c r="D1161" s="30"/>
    </row>
    <row r="1162" spans="1:4" x14ac:dyDescent="0.25">
      <c r="A1162" s="31"/>
      <c r="D1162" s="30"/>
    </row>
    <row r="1163" spans="1:4" x14ac:dyDescent="0.25">
      <c r="A1163" s="31"/>
      <c r="D1163" s="30"/>
    </row>
    <row r="1164" spans="1:4" x14ac:dyDescent="0.25">
      <c r="A1164" s="31"/>
      <c r="D1164" s="30"/>
    </row>
    <row r="1165" spans="1:4" x14ac:dyDescent="0.25">
      <c r="A1165" s="31"/>
      <c r="D1165" s="30"/>
    </row>
    <row r="1166" spans="1:4" x14ac:dyDescent="0.25">
      <c r="A1166" s="31"/>
      <c r="D1166" s="30"/>
    </row>
    <row r="1167" spans="1:4" x14ac:dyDescent="0.25">
      <c r="A1167" s="31"/>
      <c r="D1167" s="30"/>
    </row>
    <row r="1168" spans="1:4" x14ac:dyDescent="0.25">
      <c r="A1168" s="31"/>
      <c r="D1168" s="30"/>
    </row>
    <row r="1169" spans="1:4" x14ac:dyDescent="0.25">
      <c r="A1169" s="31"/>
      <c r="D1169" s="30"/>
    </row>
    <row r="1170" spans="1:4" x14ac:dyDescent="0.25">
      <c r="A1170" s="31"/>
      <c r="D1170" s="30"/>
    </row>
    <row r="1171" spans="1:4" x14ac:dyDescent="0.25">
      <c r="A1171" s="31"/>
      <c r="D1171" s="30"/>
    </row>
    <row r="1172" spans="1:4" x14ac:dyDescent="0.25">
      <c r="A1172" s="31"/>
      <c r="D1172" s="30"/>
    </row>
    <row r="1173" spans="1:4" x14ac:dyDescent="0.25">
      <c r="A1173" s="31"/>
      <c r="D1173" s="30"/>
    </row>
    <row r="1174" spans="1:4" x14ac:dyDescent="0.25">
      <c r="A1174" s="31"/>
      <c r="D1174" s="30"/>
    </row>
    <row r="1175" spans="1:4" x14ac:dyDescent="0.25">
      <c r="A1175" s="31"/>
      <c r="D1175" s="30"/>
    </row>
    <row r="1176" spans="1:4" x14ac:dyDescent="0.25">
      <c r="A1176" s="31"/>
      <c r="D1176" s="30"/>
    </row>
    <row r="1177" spans="1:4" x14ac:dyDescent="0.25">
      <c r="A1177" s="31"/>
      <c r="D1177" s="30"/>
    </row>
    <row r="1178" spans="1:4" x14ac:dyDescent="0.25">
      <c r="A1178" s="31"/>
      <c r="D1178" s="30"/>
    </row>
    <row r="1179" spans="1:4" x14ac:dyDescent="0.25">
      <c r="A1179" s="31"/>
      <c r="D1179" s="30"/>
    </row>
    <row r="1180" spans="1:4" x14ac:dyDescent="0.25">
      <c r="A1180" s="31"/>
      <c r="D1180" s="30"/>
    </row>
    <row r="1181" spans="1:4" x14ac:dyDescent="0.25">
      <c r="A1181" s="31"/>
      <c r="D1181" s="30"/>
    </row>
    <row r="1182" spans="1:4" x14ac:dyDescent="0.25">
      <c r="A1182" s="31"/>
      <c r="D1182" s="30"/>
    </row>
    <row r="1183" spans="1:4" x14ac:dyDescent="0.25">
      <c r="A1183" s="31"/>
      <c r="D1183" s="30"/>
    </row>
    <row r="1184" spans="1:4" x14ac:dyDescent="0.25">
      <c r="A1184" s="31"/>
      <c r="D1184" s="30"/>
    </row>
    <row r="1185" spans="1:4" x14ac:dyDescent="0.25">
      <c r="A1185" s="31"/>
      <c r="D1185" s="30"/>
    </row>
    <row r="1186" spans="1:4" x14ac:dyDescent="0.25">
      <c r="A1186" s="31"/>
      <c r="D1186" s="30"/>
    </row>
    <row r="1187" spans="1:4" x14ac:dyDescent="0.25">
      <c r="A1187" s="31"/>
      <c r="D1187" s="30"/>
    </row>
    <row r="1188" spans="1:4" x14ac:dyDescent="0.25">
      <c r="A1188" s="31"/>
      <c r="D1188" s="30"/>
    </row>
    <row r="1189" spans="1:4" x14ac:dyDescent="0.25">
      <c r="A1189" s="31"/>
      <c r="D1189" s="30"/>
    </row>
    <row r="1190" spans="1:4" x14ac:dyDescent="0.25">
      <c r="A1190" s="31"/>
      <c r="D1190" s="30"/>
    </row>
    <row r="1191" spans="1:4" x14ac:dyDescent="0.25">
      <c r="A1191" s="31"/>
      <c r="D1191" s="30"/>
    </row>
    <row r="1192" spans="1:4" x14ac:dyDescent="0.25">
      <c r="A1192" s="31"/>
      <c r="D1192" s="30"/>
    </row>
    <row r="1193" spans="1:4" x14ac:dyDescent="0.25">
      <c r="A1193" s="31"/>
      <c r="D1193" s="30"/>
    </row>
    <row r="1194" spans="1:4" x14ac:dyDescent="0.25">
      <c r="A1194" s="31"/>
      <c r="D1194" s="30"/>
    </row>
    <row r="1195" spans="1:4" x14ac:dyDescent="0.25">
      <c r="A1195" s="31"/>
      <c r="D1195" s="30"/>
    </row>
    <row r="1196" spans="1:4" x14ac:dyDescent="0.25">
      <c r="A1196" s="31"/>
      <c r="D1196" s="30"/>
    </row>
    <row r="1197" spans="1:4" x14ac:dyDescent="0.25">
      <c r="A1197" s="31"/>
      <c r="D1197" s="30"/>
    </row>
    <row r="1198" spans="1:4" x14ac:dyDescent="0.25">
      <c r="A1198" s="31"/>
      <c r="D1198" s="30"/>
    </row>
    <row r="1199" spans="1:4" x14ac:dyDescent="0.25">
      <c r="A1199" s="31"/>
      <c r="D1199" s="30"/>
    </row>
    <row r="1200" spans="1:4" x14ac:dyDescent="0.25">
      <c r="A1200" s="31"/>
      <c r="D1200" s="30"/>
    </row>
    <row r="1201" spans="1:4" x14ac:dyDescent="0.25">
      <c r="A1201" s="31"/>
      <c r="D1201" s="30"/>
    </row>
    <row r="1202" spans="1:4" x14ac:dyDescent="0.25">
      <c r="A1202" s="31"/>
      <c r="D1202" s="30"/>
    </row>
    <row r="1203" spans="1:4" x14ac:dyDescent="0.25">
      <c r="A1203" s="31"/>
      <c r="D1203" s="30"/>
    </row>
    <row r="1204" spans="1:4" x14ac:dyDescent="0.25">
      <c r="A1204" s="31"/>
      <c r="D1204" s="30"/>
    </row>
    <row r="1205" spans="1:4" x14ac:dyDescent="0.25">
      <c r="A1205" s="31"/>
      <c r="D1205" s="30"/>
    </row>
    <row r="1206" spans="1:4" x14ac:dyDescent="0.25">
      <c r="A1206" s="31"/>
      <c r="D1206" s="30"/>
    </row>
    <row r="1207" spans="1:4" x14ac:dyDescent="0.25">
      <c r="A1207" s="31"/>
      <c r="D1207" s="30"/>
    </row>
    <row r="1208" spans="1:4" x14ac:dyDescent="0.25">
      <c r="A1208" s="31"/>
      <c r="D1208" s="30"/>
    </row>
    <row r="1209" spans="1:4" x14ac:dyDescent="0.25">
      <c r="A1209" s="31"/>
      <c r="D1209" s="30"/>
    </row>
    <row r="1210" spans="1:4" x14ac:dyDescent="0.25">
      <c r="A1210" s="31"/>
      <c r="D1210" s="30"/>
    </row>
    <row r="1211" spans="1:4" x14ac:dyDescent="0.25">
      <c r="A1211" s="31"/>
      <c r="D1211" s="30"/>
    </row>
    <row r="1212" spans="1:4" x14ac:dyDescent="0.25">
      <c r="A1212" s="31"/>
      <c r="D1212" s="30"/>
    </row>
    <row r="1213" spans="1:4" x14ac:dyDescent="0.25">
      <c r="A1213" s="31"/>
      <c r="D1213" s="30"/>
    </row>
    <row r="1214" spans="1:4" x14ac:dyDescent="0.25">
      <c r="A1214" s="31"/>
      <c r="D1214" s="30"/>
    </row>
    <row r="1215" spans="1:4" x14ac:dyDescent="0.25">
      <c r="A1215" s="31"/>
      <c r="D1215" s="30"/>
    </row>
    <row r="1216" spans="1:4" x14ac:dyDescent="0.25">
      <c r="A1216" s="31"/>
      <c r="D1216" s="30"/>
    </row>
    <row r="1217" spans="1:4" x14ac:dyDescent="0.25">
      <c r="A1217" s="31"/>
      <c r="D1217" s="30"/>
    </row>
    <row r="1218" spans="1:4" x14ac:dyDescent="0.25">
      <c r="A1218" s="31"/>
      <c r="D1218" s="30"/>
    </row>
    <row r="1219" spans="1:4" x14ac:dyDescent="0.25">
      <c r="A1219" s="31"/>
      <c r="D1219" s="30"/>
    </row>
    <row r="1220" spans="1:4" x14ac:dyDescent="0.25">
      <c r="A1220" s="31"/>
      <c r="D1220" s="30"/>
    </row>
    <row r="1221" spans="1:4" x14ac:dyDescent="0.25">
      <c r="A1221" s="31"/>
      <c r="D1221" s="30"/>
    </row>
    <row r="1222" spans="1:4" x14ac:dyDescent="0.25">
      <c r="A1222" s="31"/>
      <c r="D1222" s="30"/>
    </row>
    <row r="1223" spans="1:4" x14ac:dyDescent="0.25">
      <c r="A1223" s="31"/>
      <c r="D1223" s="30"/>
    </row>
    <row r="1224" spans="1:4" x14ac:dyDescent="0.25">
      <c r="A1224" s="31"/>
      <c r="D1224" s="30"/>
    </row>
    <row r="1225" spans="1:4" x14ac:dyDescent="0.25">
      <c r="A1225" s="31"/>
      <c r="D1225" s="30"/>
    </row>
    <row r="1226" spans="1:4" x14ac:dyDescent="0.25">
      <c r="A1226" s="31"/>
      <c r="D1226" s="30"/>
    </row>
    <row r="1227" spans="1:4" x14ac:dyDescent="0.25">
      <c r="A1227" s="31"/>
      <c r="D1227" s="30"/>
    </row>
    <row r="1228" spans="1:4" x14ac:dyDescent="0.25">
      <c r="A1228" s="31"/>
      <c r="D1228" s="30"/>
    </row>
    <row r="1229" spans="1:4" x14ac:dyDescent="0.25">
      <c r="A1229" s="31"/>
      <c r="D1229" s="30"/>
    </row>
    <row r="1230" spans="1:4" x14ac:dyDescent="0.25">
      <c r="A1230" s="31"/>
      <c r="D1230" s="30"/>
    </row>
    <row r="1231" spans="1:4" x14ac:dyDescent="0.25">
      <c r="A1231" s="31"/>
      <c r="D1231" s="30"/>
    </row>
    <row r="1232" spans="1:4" x14ac:dyDescent="0.25">
      <c r="A1232" s="31"/>
      <c r="D1232" s="30"/>
    </row>
    <row r="1233" spans="1:4" x14ac:dyDescent="0.25">
      <c r="A1233" s="31"/>
      <c r="D1233" s="30"/>
    </row>
    <row r="1234" spans="1:4" x14ac:dyDescent="0.25">
      <c r="A1234" s="31"/>
      <c r="D1234" s="30"/>
    </row>
    <row r="1235" spans="1:4" x14ac:dyDescent="0.25">
      <c r="A1235" s="31"/>
      <c r="D1235" s="30"/>
    </row>
    <row r="1236" spans="1:4" x14ac:dyDescent="0.25">
      <c r="A1236" s="31"/>
      <c r="D1236" s="30"/>
    </row>
    <row r="1237" spans="1:4" x14ac:dyDescent="0.25">
      <c r="A1237" s="31"/>
      <c r="D1237" s="30"/>
    </row>
    <row r="1238" spans="1:4" x14ac:dyDescent="0.25">
      <c r="A1238" s="31"/>
      <c r="D1238" s="30"/>
    </row>
    <row r="1239" spans="1:4" x14ac:dyDescent="0.25">
      <c r="A1239" s="31"/>
      <c r="D1239" s="30"/>
    </row>
    <row r="1240" spans="1:4" x14ac:dyDescent="0.25">
      <c r="A1240" s="31"/>
      <c r="D1240" s="30"/>
    </row>
    <row r="1241" spans="1:4" x14ac:dyDescent="0.25">
      <c r="A1241" s="31"/>
      <c r="D1241" s="30"/>
    </row>
    <row r="1242" spans="1:4" x14ac:dyDescent="0.25">
      <c r="A1242" s="31"/>
      <c r="D1242" s="30"/>
    </row>
    <row r="1243" spans="1:4" x14ac:dyDescent="0.25">
      <c r="A1243" s="31"/>
      <c r="D1243" s="30"/>
    </row>
    <row r="1244" spans="1:4" x14ac:dyDescent="0.25">
      <c r="A1244" s="31"/>
      <c r="D1244" s="30"/>
    </row>
    <row r="1245" spans="1:4" x14ac:dyDescent="0.25">
      <c r="A1245" s="31"/>
      <c r="D1245" s="30"/>
    </row>
    <row r="1246" spans="1:4" x14ac:dyDescent="0.25">
      <c r="A1246" s="31"/>
      <c r="D1246" s="30"/>
    </row>
    <row r="1247" spans="1:4" x14ac:dyDescent="0.25">
      <c r="A1247" s="31"/>
      <c r="D1247" s="30"/>
    </row>
    <row r="1248" spans="1:4" x14ac:dyDescent="0.25">
      <c r="A1248" s="31"/>
      <c r="D1248" s="30"/>
    </row>
    <row r="1249" spans="1:4" x14ac:dyDescent="0.25">
      <c r="A1249" s="31"/>
      <c r="D1249" s="30"/>
    </row>
    <row r="1250" spans="1:4" x14ac:dyDescent="0.25">
      <c r="A1250" s="31"/>
      <c r="D1250" s="30"/>
    </row>
    <row r="1251" spans="1:4" x14ac:dyDescent="0.25">
      <c r="A1251" s="31"/>
      <c r="D1251" s="30"/>
    </row>
    <row r="1252" spans="1:4" x14ac:dyDescent="0.25">
      <c r="A1252" s="31"/>
      <c r="D1252" s="30"/>
    </row>
    <row r="1253" spans="1:4" x14ac:dyDescent="0.25">
      <c r="A1253" s="31"/>
      <c r="D1253" s="30"/>
    </row>
    <row r="1254" spans="1:4" x14ac:dyDescent="0.25">
      <c r="A1254" s="31"/>
      <c r="D1254" s="30"/>
    </row>
    <row r="1255" spans="1:4" x14ac:dyDescent="0.25">
      <c r="A1255" s="31"/>
      <c r="D1255" s="30"/>
    </row>
    <row r="1256" spans="1:4" x14ac:dyDescent="0.25">
      <c r="A1256" s="31"/>
      <c r="D1256" s="30"/>
    </row>
    <row r="1257" spans="1:4" x14ac:dyDescent="0.25">
      <c r="A1257" s="31"/>
      <c r="D1257" s="30"/>
    </row>
    <row r="1258" spans="1:4" x14ac:dyDescent="0.25">
      <c r="A1258" s="31"/>
      <c r="D1258" s="30"/>
    </row>
    <row r="1259" spans="1:4" x14ac:dyDescent="0.25">
      <c r="A1259" s="31"/>
      <c r="D1259" s="30"/>
    </row>
    <row r="1260" spans="1:4" x14ac:dyDescent="0.25">
      <c r="A1260" s="31"/>
      <c r="D1260" s="30"/>
    </row>
    <row r="1261" spans="1:4" x14ac:dyDescent="0.25">
      <c r="A1261" s="31"/>
      <c r="D1261" s="30"/>
    </row>
    <row r="1262" spans="1:4" x14ac:dyDescent="0.25">
      <c r="A1262" s="31"/>
      <c r="D1262" s="30"/>
    </row>
    <row r="1263" spans="1:4" x14ac:dyDescent="0.25">
      <c r="A1263" s="31"/>
      <c r="D1263" s="30"/>
    </row>
    <row r="1264" spans="1:4" x14ac:dyDescent="0.25">
      <c r="A1264" s="31"/>
      <c r="D1264" s="30"/>
    </row>
    <row r="1265" spans="1:4" x14ac:dyDescent="0.25">
      <c r="A1265" s="31"/>
      <c r="D1265" s="30"/>
    </row>
    <row r="1266" spans="1:4" x14ac:dyDescent="0.25">
      <c r="A1266" s="31"/>
      <c r="D1266" s="30"/>
    </row>
    <row r="1267" spans="1:4" x14ac:dyDescent="0.25">
      <c r="A1267" s="31"/>
      <c r="D1267" s="30"/>
    </row>
    <row r="1268" spans="1:4" x14ac:dyDescent="0.25">
      <c r="A1268" s="31"/>
      <c r="D1268" s="30"/>
    </row>
    <row r="1269" spans="1:4" x14ac:dyDescent="0.25">
      <c r="A1269" s="31"/>
      <c r="D1269" s="30"/>
    </row>
    <row r="1270" spans="1:4" x14ac:dyDescent="0.25">
      <c r="A1270" s="31"/>
      <c r="D1270" s="30"/>
    </row>
    <row r="1271" spans="1:4" x14ac:dyDescent="0.25">
      <c r="A1271" s="31"/>
      <c r="D1271" s="30"/>
    </row>
    <row r="1272" spans="1:4" x14ac:dyDescent="0.25">
      <c r="A1272" s="31"/>
      <c r="D1272" s="30"/>
    </row>
    <row r="1273" spans="1:4" x14ac:dyDescent="0.25">
      <c r="A1273" s="31"/>
      <c r="D1273" s="30"/>
    </row>
    <row r="1274" spans="1:4" x14ac:dyDescent="0.25">
      <c r="A1274" s="31"/>
      <c r="D1274" s="30"/>
    </row>
    <row r="1275" spans="1:4" x14ac:dyDescent="0.25">
      <c r="A1275" s="31"/>
      <c r="D1275" s="30"/>
    </row>
    <row r="1276" spans="1:4" x14ac:dyDescent="0.25">
      <c r="A1276" s="31"/>
      <c r="D1276" s="30"/>
    </row>
    <row r="1277" spans="1:4" x14ac:dyDescent="0.25">
      <c r="A1277" s="31"/>
      <c r="D1277" s="30"/>
    </row>
    <row r="1278" spans="1:4" x14ac:dyDescent="0.25">
      <c r="A1278" s="31"/>
      <c r="D1278" s="30"/>
    </row>
    <row r="1279" spans="1:4" x14ac:dyDescent="0.25">
      <c r="A1279" s="31"/>
      <c r="D1279" s="30"/>
    </row>
    <row r="1280" spans="1:4" x14ac:dyDescent="0.25">
      <c r="A1280" s="31"/>
      <c r="D1280" s="30"/>
    </row>
    <row r="1281" spans="1:4" x14ac:dyDescent="0.25">
      <c r="A1281" s="31"/>
      <c r="D1281" s="30"/>
    </row>
    <row r="1282" spans="1:4" x14ac:dyDescent="0.25">
      <c r="A1282" s="31"/>
      <c r="D1282" s="30"/>
    </row>
    <row r="1283" spans="1:4" x14ac:dyDescent="0.25">
      <c r="A1283" s="31"/>
      <c r="D1283" s="30"/>
    </row>
    <row r="1284" spans="1:4" x14ac:dyDescent="0.25">
      <c r="A1284" s="31"/>
      <c r="D1284" s="30"/>
    </row>
    <row r="1285" spans="1:4" x14ac:dyDescent="0.25">
      <c r="A1285" s="31"/>
      <c r="D1285" s="30"/>
    </row>
    <row r="1286" spans="1:4" x14ac:dyDescent="0.25">
      <c r="A1286" s="31"/>
      <c r="D1286" s="30"/>
    </row>
    <row r="1287" spans="1:4" x14ac:dyDescent="0.25">
      <c r="A1287" s="31"/>
      <c r="D1287" s="30"/>
    </row>
    <row r="1288" spans="1:4" x14ac:dyDescent="0.25">
      <c r="A1288" s="31"/>
      <c r="D1288" s="30"/>
    </row>
    <row r="1289" spans="1:4" x14ac:dyDescent="0.25">
      <c r="A1289" s="31"/>
      <c r="D1289" s="30"/>
    </row>
    <row r="1290" spans="1:4" x14ac:dyDescent="0.25">
      <c r="A1290" s="31"/>
      <c r="D1290" s="30"/>
    </row>
    <row r="1291" spans="1:4" x14ac:dyDescent="0.25">
      <c r="A1291" s="31"/>
      <c r="D1291" s="30"/>
    </row>
    <row r="1292" spans="1:4" x14ac:dyDescent="0.25">
      <c r="A1292" s="31"/>
      <c r="D1292" s="30"/>
    </row>
    <row r="1293" spans="1:4" x14ac:dyDescent="0.25">
      <c r="A1293" s="31"/>
      <c r="D1293" s="30"/>
    </row>
    <row r="1294" spans="1:4" x14ac:dyDescent="0.25">
      <c r="A1294" s="31"/>
      <c r="D1294" s="30"/>
    </row>
    <row r="1295" spans="1:4" x14ac:dyDescent="0.25">
      <c r="A1295" s="31"/>
      <c r="D1295" s="30"/>
    </row>
    <row r="1296" spans="1:4" x14ac:dyDescent="0.25">
      <c r="A1296" s="31"/>
      <c r="D1296" s="30"/>
    </row>
    <row r="1297" spans="1:4" x14ac:dyDescent="0.25">
      <c r="A1297" s="31"/>
      <c r="D1297" s="30"/>
    </row>
    <row r="1298" spans="1:4" x14ac:dyDescent="0.25">
      <c r="A1298" s="31"/>
      <c r="D1298" s="30"/>
    </row>
    <row r="1299" spans="1:4" x14ac:dyDescent="0.25">
      <c r="A1299" s="31"/>
      <c r="D1299" s="30"/>
    </row>
    <row r="1300" spans="1:4" x14ac:dyDescent="0.25">
      <c r="A1300" s="31"/>
      <c r="D1300" s="30"/>
    </row>
    <row r="1301" spans="1:4" x14ac:dyDescent="0.25">
      <c r="A1301" s="31"/>
      <c r="D1301" s="30"/>
    </row>
    <row r="1302" spans="1:4" x14ac:dyDescent="0.25">
      <c r="A1302" s="31"/>
      <c r="D1302" s="30"/>
    </row>
    <row r="1303" spans="1:4" x14ac:dyDescent="0.25">
      <c r="A1303" s="31"/>
      <c r="D1303" s="30"/>
    </row>
    <row r="1304" spans="1:4" x14ac:dyDescent="0.25">
      <c r="A1304" s="31"/>
      <c r="D1304" s="30"/>
    </row>
    <row r="1305" spans="1:4" x14ac:dyDescent="0.25">
      <c r="A1305" s="31"/>
      <c r="D1305" s="30"/>
    </row>
    <row r="1306" spans="1:4" x14ac:dyDescent="0.25">
      <c r="A1306" s="31"/>
      <c r="D1306" s="30"/>
    </row>
    <row r="1307" spans="1:4" x14ac:dyDescent="0.25">
      <c r="A1307" s="31"/>
      <c r="D1307" s="30"/>
    </row>
    <row r="1308" spans="1:4" x14ac:dyDescent="0.25">
      <c r="A1308" s="31"/>
      <c r="D1308" s="30"/>
    </row>
    <row r="1309" spans="1:4" x14ac:dyDescent="0.25">
      <c r="A1309" s="31"/>
      <c r="D1309" s="30"/>
    </row>
    <row r="1310" spans="1:4" x14ac:dyDescent="0.25">
      <c r="A1310" s="31"/>
      <c r="D1310" s="30"/>
    </row>
    <row r="1311" spans="1:4" x14ac:dyDescent="0.25">
      <c r="A1311" s="31"/>
      <c r="D1311" s="30"/>
    </row>
    <row r="1312" spans="1:4" x14ac:dyDescent="0.25">
      <c r="A1312" s="31"/>
      <c r="D1312" s="30"/>
    </row>
    <row r="1313" spans="1:4" x14ac:dyDescent="0.25">
      <c r="A1313" s="31"/>
      <c r="D1313" s="30"/>
    </row>
    <row r="1314" spans="1:4" x14ac:dyDescent="0.25">
      <c r="A1314" s="31"/>
      <c r="D1314" s="30"/>
    </row>
    <row r="1315" spans="1:4" x14ac:dyDescent="0.25">
      <c r="A1315" s="31"/>
      <c r="D1315" s="30"/>
    </row>
    <row r="1316" spans="1:4" x14ac:dyDescent="0.25">
      <c r="A1316" s="31"/>
      <c r="D1316" s="30"/>
    </row>
    <row r="1317" spans="1:4" x14ac:dyDescent="0.25">
      <c r="A1317" s="31"/>
      <c r="D1317" s="30"/>
    </row>
    <row r="1318" spans="1:4" x14ac:dyDescent="0.25">
      <c r="A1318" s="31"/>
      <c r="D1318" s="30"/>
    </row>
    <row r="1319" spans="1:4" x14ac:dyDescent="0.25">
      <c r="A1319" s="31"/>
      <c r="D1319" s="30"/>
    </row>
    <row r="1320" spans="1:4" x14ac:dyDescent="0.25">
      <c r="A1320" s="31"/>
      <c r="D1320" s="30"/>
    </row>
    <row r="1321" spans="1:4" x14ac:dyDescent="0.25">
      <c r="A1321" s="31"/>
      <c r="D1321" s="30"/>
    </row>
    <row r="1322" spans="1:4" x14ac:dyDescent="0.25">
      <c r="A1322" s="31"/>
      <c r="D1322" s="30"/>
    </row>
    <row r="1323" spans="1:4" x14ac:dyDescent="0.25">
      <c r="A1323" s="31"/>
      <c r="D1323" s="30"/>
    </row>
    <row r="1324" spans="1:4" x14ac:dyDescent="0.25">
      <c r="A1324" s="31"/>
      <c r="D1324" s="30"/>
    </row>
    <row r="1325" spans="1:4" x14ac:dyDescent="0.25">
      <c r="A1325" s="31"/>
      <c r="D1325" s="30"/>
    </row>
    <row r="1326" spans="1:4" x14ac:dyDescent="0.25">
      <c r="A1326" s="31"/>
      <c r="D1326" s="30"/>
    </row>
    <row r="1327" spans="1:4" x14ac:dyDescent="0.25">
      <c r="A1327" s="31"/>
      <c r="D1327" s="30"/>
    </row>
    <row r="1328" spans="1:4" x14ac:dyDescent="0.25">
      <c r="A1328" s="31"/>
      <c r="D1328" s="30"/>
    </row>
    <row r="1329" spans="1:4" x14ac:dyDescent="0.25">
      <c r="A1329" s="31"/>
      <c r="D1329" s="30"/>
    </row>
    <row r="1330" spans="1:4" x14ac:dyDescent="0.25">
      <c r="A1330" s="31"/>
      <c r="D1330" s="30"/>
    </row>
    <row r="1331" spans="1:4" x14ac:dyDescent="0.25">
      <c r="A1331" s="31"/>
      <c r="D1331" s="30"/>
    </row>
    <row r="1332" spans="1:4" x14ac:dyDescent="0.25">
      <c r="A1332" s="31"/>
      <c r="D1332" s="30"/>
    </row>
    <row r="1333" spans="1:4" x14ac:dyDescent="0.25">
      <c r="A1333" s="31"/>
      <c r="D1333" s="30"/>
    </row>
    <row r="1334" spans="1:4" x14ac:dyDescent="0.25">
      <c r="A1334" s="31"/>
      <c r="D1334" s="30"/>
    </row>
    <row r="1335" spans="1:4" x14ac:dyDescent="0.25">
      <c r="A1335" s="31"/>
      <c r="D1335" s="30"/>
    </row>
    <row r="1336" spans="1:4" x14ac:dyDescent="0.25">
      <c r="A1336" s="31"/>
      <c r="D1336" s="30"/>
    </row>
    <row r="1337" spans="1:4" x14ac:dyDescent="0.25">
      <c r="A1337" s="31"/>
      <c r="D1337" s="30"/>
    </row>
    <row r="1338" spans="1:4" x14ac:dyDescent="0.25">
      <c r="A1338" s="31"/>
      <c r="D1338" s="30"/>
    </row>
    <row r="1339" spans="1:4" x14ac:dyDescent="0.25">
      <c r="A1339" s="31"/>
      <c r="D1339" s="30"/>
    </row>
    <row r="1340" spans="1:4" x14ac:dyDescent="0.25">
      <c r="A1340" s="31"/>
      <c r="D1340" s="30"/>
    </row>
    <row r="1341" spans="1:4" x14ac:dyDescent="0.25">
      <c r="A1341" s="31"/>
      <c r="D1341" s="30"/>
    </row>
    <row r="1342" spans="1:4" x14ac:dyDescent="0.25">
      <c r="A1342" s="31"/>
      <c r="D1342" s="30"/>
    </row>
    <row r="1343" spans="1:4" x14ac:dyDescent="0.25">
      <c r="A1343" s="31"/>
      <c r="D1343" s="30"/>
    </row>
    <row r="1344" spans="1:4" x14ac:dyDescent="0.25">
      <c r="A1344" s="31"/>
      <c r="D1344" s="30"/>
    </row>
    <row r="1345" spans="1:4" x14ac:dyDescent="0.25">
      <c r="A1345" s="31"/>
      <c r="D1345" s="30"/>
    </row>
    <row r="1346" spans="1:4" x14ac:dyDescent="0.25">
      <c r="A1346" s="31"/>
      <c r="D1346" s="30"/>
    </row>
    <row r="1347" spans="1:4" x14ac:dyDescent="0.25">
      <c r="A1347" s="31"/>
      <c r="D1347" s="30"/>
    </row>
    <row r="1348" spans="1:4" x14ac:dyDescent="0.25">
      <c r="A1348" s="31"/>
      <c r="D1348" s="30"/>
    </row>
    <row r="1349" spans="1:4" x14ac:dyDescent="0.25">
      <c r="A1349" s="31"/>
      <c r="D1349" s="30"/>
    </row>
    <row r="1350" spans="1:4" x14ac:dyDescent="0.25">
      <c r="A1350" s="31"/>
      <c r="D1350" s="30"/>
    </row>
    <row r="1351" spans="1:4" x14ac:dyDescent="0.25">
      <c r="A1351" s="31"/>
      <c r="D1351" s="30"/>
    </row>
    <row r="1352" spans="1:4" x14ac:dyDescent="0.25">
      <c r="A1352" s="31"/>
      <c r="D1352" s="30"/>
    </row>
    <row r="1353" spans="1:4" x14ac:dyDescent="0.25">
      <c r="A1353" s="31"/>
      <c r="D1353" s="30"/>
    </row>
    <row r="1354" spans="1:4" x14ac:dyDescent="0.25">
      <c r="A1354" s="31"/>
      <c r="D1354" s="30"/>
    </row>
    <row r="1355" spans="1:4" x14ac:dyDescent="0.25">
      <c r="A1355" s="31"/>
      <c r="D1355" s="30"/>
    </row>
    <row r="1356" spans="1:4" x14ac:dyDescent="0.25">
      <c r="A1356" s="31"/>
      <c r="D1356" s="30"/>
    </row>
    <row r="1357" spans="1:4" x14ac:dyDescent="0.25">
      <c r="A1357" s="31"/>
      <c r="D1357" s="30"/>
    </row>
    <row r="1358" spans="1:4" x14ac:dyDescent="0.25">
      <c r="A1358" s="31"/>
      <c r="D1358" s="30"/>
    </row>
    <row r="1359" spans="1:4" x14ac:dyDescent="0.25">
      <c r="A1359" s="31"/>
      <c r="D1359" s="30"/>
    </row>
    <row r="1360" spans="1:4" x14ac:dyDescent="0.25">
      <c r="A1360" s="31"/>
      <c r="D1360" s="30"/>
    </row>
    <row r="1361" spans="1:4" x14ac:dyDescent="0.25">
      <c r="A1361" s="31"/>
      <c r="D1361" s="30"/>
    </row>
    <row r="1362" spans="1:4" x14ac:dyDescent="0.25">
      <c r="A1362" s="31"/>
      <c r="D1362" s="30"/>
    </row>
    <row r="1363" spans="1:4" x14ac:dyDescent="0.25">
      <c r="A1363" s="31"/>
      <c r="D1363" s="30"/>
    </row>
    <row r="1364" spans="1:4" x14ac:dyDescent="0.25">
      <c r="A1364" s="31"/>
      <c r="D1364" s="30"/>
    </row>
    <row r="1365" spans="1:4" x14ac:dyDescent="0.25">
      <c r="A1365" s="31"/>
      <c r="D1365" s="30"/>
    </row>
    <row r="1366" spans="1:4" x14ac:dyDescent="0.25">
      <c r="A1366" s="31"/>
      <c r="D1366" s="30"/>
    </row>
    <row r="1367" spans="1:4" x14ac:dyDescent="0.25">
      <c r="A1367" s="31"/>
      <c r="D1367" s="30"/>
    </row>
    <row r="1368" spans="1:4" x14ac:dyDescent="0.25">
      <c r="A1368" s="31"/>
      <c r="D1368" s="30"/>
    </row>
    <row r="1369" spans="1:4" x14ac:dyDescent="0.25">
      <c r="A1369" s="31"/>
      <c r="D1369" s="30"/>
    </row>
    <row r="1370" spans="1:4" x14ac:dyDescent="0.25">
      <c r="A1370" s="31"/>
      <c r="D1370" s="30"/>
    </row>
    <row r="1371" spans="1:4" x14ac:dyDescent="0.25">
      <c r="A1371" s="31"/>
      <c r="D1371" s="30"/>
    </row>
    <row r="1372" spans="1:4" x14ac:dyDescent="0.25">
      <c r="A1372" s="31"/>
      <c r="D1372" s="30"/>
    </row>
    <row r="1373" spans="1:4" x14ac:dyDescent="0.25">
      <c r="A1373" s="31"/>
      <c r="D1373" s="30"/>
    </row>
    <row r="1374" spans="1:4" x14ac:dyDescent="0.25">
      <c r="A1374" s="31"/>
      <c r="D1374" s="30"/>
    </row>
    <row r="1375" spans="1:4" x14ac:dyDescent="0.25">
      <c r="A1375" s="31"/>
      <c r="D1375" s="30"/>
    </row>
    <row r="1376" spans="1:4" x14ac:dyDescent="0.25">
      <c r="A1376" s="31"/>
      <c r="D1376" s="30"/>
    </row>
    <row r="1377" spans="1:4" x14ac:dyDescent="0.25">
      <c r="A1377" s="31"/>
      <c r="D1377" s="30"/>
    </row>
    <row r="1378" spans="1:4" x14ac:dyDescent="0.25">
      <c r="A1378" s="31"/>
      <c r="D1378" s="30"/>
    </row>
    <row r="1379" spans="1:4" x14ac:dyDescent="0.25">
      <c r="A1379" s="31"/>
      <c r="D1379" s="30"/>
    </row>
    <row r="1380" spans="1:4" x14ac:dyDescent="0.25">
      <c r="A1380" s="31"/>
      <c r="D1380" s="30"/>
    </row>
    <row r="1381" spans="1:4" x14ac:dyDescent="0.25">
      <c r="A1381" s="31"/>
      <c r="D1381" s="30"/>
    </row>
    <row r="1382" spans="1:4" x14ac:dyDescent="0.25">
      <c r="A1382" s="31"/>
      <c r="D1382" s="30"/>
    </row>
    <row r="1383" spans="1:4" x14ac:dyDescent="0.25">
      <c r="A1383" s="31"/>
      <c r="D1383" s="30"/>
    </row>
    <row r="1384" spans="1:4" x14ac:dyDescent="0.25">
      <c r="A1384" s="31"/>
      <c r="D1384" s="30"/>
    </row>
    <row r="1385" spans="1:4" x14ac:dyDescent="0.25">
      <c r="A1385" s="31"/>
      <c r="D1385" s="30"/>
    </row>
    <row r="1386" spans="1:4" x14ac:dyDescent="0.25">
      <c r="A1386" s="31"/>
      <c r="D1386" s="30"/>
    </row>
    <row r="1387" spans="1:4" x14ac:dyDescent="0.25">
      <c r="A1387" s="31"/>
      <c r="D1387" s="30"/>
    </row>
    <row r="1388" spans="1:4" x14ac:dyDescent="0.25">
      <c r="A1388" s="31"/>
      <c r="D1388" s="30"/>
    </row>
    <row r="1389" spans="1:4" x14ac:dyDescent="0.25">
      <c r="A1389" s="31"/>
      <c r="D1389" s="30"/>
    </row>
    <row r="1390" spans="1:4" x14ac:dyDescent="0.25">
      <c r="A1390" s="31"/>
      <c r="D1390" s="30"/>
    </row>
    <row r="1391" spans="1:4" x14ac:dyDescent="0.25">
      <c r="A1391" s="31"/>
      <c r="D1391" s="30"/>
    </row>
    <row r="1392" spans="1:4" x14ac:dyDescent="0.25">
      <c r="A1392" s="31"/>
      <c r="D1392" s="30"/>
    </row>
    <row r="1393" spans="1:4" x14ac:dyDescent="0.25">
      <c r="A1393" s="31"/>
      <c r="D1393" s="30"/>
    </row>
    <row r="1394" spans="1:4" x14ac:dyDescent="0.25">
      <c r="A1394" s="31"/>
      <c r="D1394" s="30"/>
    </row>
    <row r="1395" spans="1:4" x14ac:dyDescent="0.25">
      <c r="A1395" s="31"/>
      <c r="D1395" s="30"/>
    </row>
    <row r="1396" spans="1:4" x14ac:dyDescent="0.25">
      <c r="A1396" s="31"/>
      <c r="D1396" s="30"/>
    </row>
    <row r="1397" spans="1:4" x14ac:dyDescent="0.25">
      <c r="A1397" s="31"/>
      <c r="D1397" s="30"/>
    </row>
    <row r="1398" spans="1:4" x14ac:dyDescent="0.25">
      <c r="A1398" s="31"/>
      <c r="D1398" s="30"/>
    </row>
    <row r="1399" spans="1:4" x14ac:dyDescent="0.25">
      <c r="A1399" s="31"/>
      <c r="D1399" s="30"/>
    </row>
    <row r="1400" spans="1:4" x14ac:dyDescent="0.25">
      <c r="A1400" s="31"/>
      <c r="D1400" s="30"/>
    </row>
    <row r="1401" spans="1:4" x14ac:dyDescent="0.25">
      <c r="A1401" s="31"/>
      <c r="D1401" s="30"/>
    </row>
    <row r="1402" spans="1:4" x14ac:dyDescent="0.25">
      <c r="A1402" s="31"/>
      <c r="D1402" s="30"/>
    </row>
    <row r="1403" spans="1:4" x14ac:dyDescent="0.25">
      <c r="A1403" s="31"/>
      <c r="D1403" s="30"/>
    </row>
    <row r="1404" spans="1:4" x14ac:dyDescent="0.25">
      <c r="A1404" s="31"/>
      <c r="D1404" s="30"/>
    </row>
    <row r="1405" spans="1:4" x14ac:dyDescent="0.25">
      <c r="A1405" s="31"/>
      <c r="D1405" s="30"/>
    </row>
    <row r="1406" spans="1:4" x14ac:dyDescent="0.25">
      <c r="A1406" s="31"/>
      <c r="D1406" s="30"/>
    </row>
    <row r="1407" spans="1:4" x14ac:dyDescent="0.25">
      <c r="A1407" s="31"/>
      <c r="D1407" s="30"/>
    </row>
    <row r="1408" spans="1:4" x14ac:dyDescent="0.25">
      <c r="A1408" s="31"/>
      <c r="D1408" s="30"/>
    </row>
    <row r="1409" spans="1:4" x14ac:dyDescent="0.25">
      <c r="A1409" s="31"/>
      <c r="D1409" s="30"/>
    </row>
    <row r="1410" spans="1:4" x14ac:dyDescent="0.25">
      <c r="A1410" s="31"/>
      <c r="D1410" s="30"/>
    </row>
    <row r="1411" spans="1:4" x14ac:dyDescent="0.25">
      <c r="A1411" s="31"/>
      <c r="D1411" s="30"/>
    </row>
    <row r="1412" spans="1:4" x14ac:dyDescent="0.25">
      <c r="A1412" s="31"/>
      <c r="D1412" s="30"/>
    </row>
    <row r="1413" spans="1:4" x14ac:dyDescent="0.25">
      <c r="A1413" s="31"/>
      <c r="D1413" s="30"/>
    </row>
    <row r="1414" spans="1:4" x14ac:dyDescent="0.25">
      <c r="A1414" s="31"/>
      <c r="D1414" s="30"/>
    </row>
    <row r="1415" spans="1:4" x14ac:dyDescent="0.25">
      <c r="A1415" s="31"/>
      <c r="D1415" s="30"/>
    </row>
    <row r="1416" spans="1:4" x14ac:dyDescent="0.25">
      <c r="A1416" s="31"/>
      <c r="D1416" s="30"/>
    </row>
    <row r="1417" spans="1:4" x14ac:dyDescent="0.25">
      <c r="A1417" s="31"/>
      <c r="D1417" s="30"/>
    </row>
    <row r="1418" spans="1:4" x14ac:dyDescent="0.25">
      <c r="A1418" s="31"/>
      <c r="D1418" s="30"/>
    </row>
    <row r="1419" spans="1:4" x14ac:dyDescent="0.25">
      <c r="A1419" s="31"/>
      <c r="D1419" s="30"/>
    </row>
    <row r="1420" spans="1:4" x14ac:dyDescent="0.25">
      <c r="A1420" s="31"/>
      <c r="D1420" s="30"/>
    </row>
    <row r="1421" spans="1:4" x14ac:dyDescent="0.25">
      <c r="A1421" s="31"/>
      <c r="D1421" s="30"/>
    </row>
    <row r="1422" spans="1:4" x14ac:dyDescent="0.25">
      <c r="A1422" s="31"/>
      <c r="D1422" s="30"/>
    </row>
    <row r="1423" spans="1:4" x14ac:dyDescent="0.25">
      <c r="A1423" s="31"/>
      <c r="D1423" s="30"/>
    </row>
    <row r="1424" spans="1:4" x14ac:dyDescent="0.25">
      <c r="A1424" s="31"/>
      <c r="D1424" s="30"/>
    </row>
    <row r="1425" spans="1:4" x14ac:dyDescent="0.25">
      <c r="A1425" s="31"/>
      <c r="D1425" s="30"/>
    </row>
    <row r="1426" spans="1:4" x14ac:dyDescent="0.25">
      <c r="A1426" s="31"/>
      <c r="D1426" s="30"/>
    </row>
    <row r="1427" spans="1:4" x14ac:dyDescent="0.25">
      <c r="A1427" s="31"/>
      <c r="D1427" s="30"/>
    </row>
    <row r="1428" spans="1:4" x14ac:dyDescent="0.25">
      <c r="A1428" s="31"/>
      <c r="D1428" s="30"/>
    </row>
    <row r="1429" spans="1:4" x14ac:dyDescent="0.25">
      <c r="A1429" s="31"/>
      <c r="D1429" s="30"/>
    </row>
    <row r="1430" spans="1:4" x14ac:dyDescent="0.25">
      <c r="A1430" s="31"/>
      <c r="D1430" s="30"/>
    </row>
    <row r="1431" spans="1:4" x14ac:dyDescent="0.25">
      <c r="A1431" s="31"/>
      <c r="D1431" s="30"/>
    </row>
    <row r="1432" spans="1:4" x14ac:dyDescent="0.25">
      <c r="A1432" s="31"/>
      <c r="D1432" s="30"/>
    </row>
    <row r="1433" spans="1:4" x14ac:dyDescent="0.25">
      <c r="A1433" s="31"/>
      <c r="D1433" s="30"/>
    </row>
    <row r="1434" spans="1:4" x14ac:dyDescent="0.25">
      <c r="A1434" s="31"/>
      <c r="D1434" s="30"/>
    </row>
    <row r="1435" spans="1:4" x14ac:dyDescent="0.25">
      <c r="A1435" s="31"/>
      <c r="D1435" s="30"/>
    </row>
    <row r="1436" spans="1:4" x14ac:dyDescent="0.25">
      <c r="A1436" s="31"/>
      <c r="D1436" s="30"/>
    </row>
    <row r="1437" spans="1:4" x14ac:dyDescent="0.25">
      <c r="A1437" s="31"/>
      <c r="D1437" s="30"/>
    </row>
    <row r="1438" spans="1:4" x14ac:dyDescent="0.25">
      <c r="A1438" s="31"/>
      <c r="D1438" s="30"/>
    </row>
    <row r="1439" spans="1:4" x14ac:dyDescent="0.25">
      <c r="A1439" s="31"/>
      <c r="D1439" s="30"/>
    </row>
    <row r="1440" spans="1:4" x14ac:dyDescent="0.25">
      <c r="A1440" s="31"/>
      <c r="D1440" s="30"/>
    </row>
    <row r="1441" spans="1:4" x14ac:dyDescent="0.25">
      <c r="A1441" s="31"/>
      <c r="D1441" s="30"/>
    </row>
    <row r="1442" spans="1:4" x14ac:dyDescent="0.25">
      <c r="A1442" s="31"/>
      <c r="D1442" s="30"/>
    </row>
    <row r="1443" spans="1:4" x14ac:dyDescent="0.25">
      <c r="A1443" s="31"/>
      <c r="D1443" s="30"/>
    </row>
    <row r="1444" spans="1:4" x14ac:dyDescent="0.25">
      <c r="A1444" s="31"/>
      <c r="D1444" s="30"/>
    </row>
    <row r="1445" spans="1:4" x14ac:dyDescent="0.25">
      <c r="A1445" s="31"/>
      <c r="D1445" s="30"/>
    </row>
    <row r="1446" spans="1:4" x14ac:dyDescent="0.25">
      <c r="A1446" s="31"/>
      <c r="D1446" s="30"/>
    </row>
    <row r="1447" spans="1:4" x14ac:dyDescent="0.25">
      <c r="A1447" s="31"/>
      <c r="D1447" s="30"/>
    </row>
    <row r="1448" spans="1:4" x14ac:dyDescent="0.25">
      <c r="A1448" s="31"/>
      <c r="D1448" s="30"/>
    </row>
    <row r="1449" spans="1:4" x14ac:dyDescent="0.25">
      <c r="A1449" s="31"/>
      <c r="D1449" s="30"/>
    </row>
    <row r="1450" spans="1:4" x14ac:dyDescent="0.25">
      <c r="A1450" s="31"/>
      <c r="D1450" s="30"/>
    </row>
    <row r="1451" spans="1:4" x14ac:dyDescent="0.25">
      <c r="A1451" s="31"/>
      <c r="D1451" s="30"/>
    </row>
    <row r="1452" spans="1:4" x14ac:dyDescent="0.25">
      <c r="A1452" s="31"/>
      <c r="D1452" s="30"/>
    </row>
    <row r="1453" spans="1:4" x14ac:dyDescent="0.25">
      <c r="A1453" s="31"/>
      <c r="D1453" s="30"/>
    </row>
    <row r="1454" spans="1:4" x14ac:dyDescent="0.25">
      <c r="A1454" s="31"/>
      <c r="D1454" s="30"/>
    </row>
    <row r="1455" spans="1:4" x14ac:dyDescent="0.25">
      <c r="A1455" s="31"/>
      <c r="D1455" s="30"/>
    </row>
    <row r="1456" spans="1:4" x14ac:dyDescent="0.25">
      <c r="A1456" s="31"/>
      <c r="D1456" s="30"/>
    </row>
    <row r="1457" spans="1:4" x14ac:dyDescent="0.25">
      <c r="A1457" s="31"/>
      <c r="D1457" s="30"/>
    </row>
    <row r="1458" spans="1:4" x14ac:dyDescent="0.25">
      <c r="A1458" s="31"/>
      <c r="D1458" s="30"/>
    </row>
    <row r="1459" spans="1:4" x14ac:dyDescent="0.25">
      <c r="A1459" s="31"/>
      <c r="D1459" s="30"/>
    </row>
    <row r="1460" spans="1:4" x14ac:dyDescent="0.25">
      <c r="A1460" s="31"/>
      <c r="D1460" s="30"/>
    </row>
    <row r="1461" spans="1:4" x14ac:dyDescent="0.25">
      <c r="A1461" s="31"/>
      <c r="D1461" s="30"/>
    </row>
    <row r="1462" spans="1:4" x14ac:dyDescent="0.25">
      <c r="A1462" s="31"/>
      <c r="D1462" s="30"/>
    </row>
    <row r="1463" spans="1:4" x14ac:dyDescent="0.25">
      <c r="A1463" s="31"/>
      <c r="D1463" s="30"/>
    </row>
    <row r="1464" spans="1:4" x14ac:dyDescent="0.25">
      <c r="A1464" s="31"/>
      <c r="D1464" s="30"/>
    </row>
    <row r="1465" spans="1:4" x14ac:dyDescent="0.25">
      <c r="A1465" s="31"/>
      <c r="D1465" s="30"/>
    </row>
    <row r="1466" spans="1:4" x14ac:dyDescent="0.25">
      <c r="A1466" s="31"/>
      <c r="D1466" s="30"/>
    </row>
    <row r="1467" spans="1:4" x14ac:dyDescent="0.25">
      <c r="A1467" s="31"/>
      <c r="D1467" s="30"/>
    </row>
    <row r="1468" spans="1:4" x14ac:dyDescent="0.25">
      <c r="A1468" s="31"/>
      <c r="D1468" s="30"/>
    </row>
    <row r="1469" spans="1:4" x14ac:dyDescent="0.25">
      <c r="A1469" s="31"/>
      <c r="D1469" s="30"/>
    </row>
    <row r="1470" spans="1:4" x14ac:dyDescent="0.25">
      <c r="A1470" s="31"/>
      <c r="D1470" s="30"/>
    </row>
    <row r="1471" spans="1:4" x14ac:dyDescent="0.25">
      <c r="A1471" s="31"/>
      <c r="D1471" s="30"/>
    </row>
    <row r="1472" spans="1:4" x14ac:dyDescent="0.25">
      <c r="A1472" s="31"/>
      <c r="D1472" s="30"/>
    </row>
    <row r="1473" spans="1:4" x14ac:dyDescent="0.25">
      <c r="A1473" s="31"/>
      <c r="D1473" s="30"/>
    </row>
    <row r="1474" spans="1:4" x14ac:dyDescent="0.25">
      <c r="A1474" s="31"/>
      <c r="D1474" s="30"/>
    </row>
    <row r="1475" spans="1:4" x14ac:dyDescent="0.25">
      <c r="A1475" s="31"/>
      <c r="D1475" s="30"/>
    </row>
    <row r="1476" spans="1:4" x14ac:dyDescent="0.25">
      <c r="A1476" s="31"/>
      <c r="D1476" s="30"/>
    </row>
    <row r="1477" spans="1:4" x14ac:dyDescent="0.25">
      <c r="A1477" s="31"/>
      <c r="D1477" s="30"/>
    </row>
    <row r="1478" spans="1:4" x14ac:dyDescent="0.25">
      <c r="A1478" s="31"/>
      <c r="D1478" s="30"/>
    </row>
    <row r="1479" spans="1:4" x14ac:dyDescent="0.25">
      <c r="A1479" s="31"/>
      <c r="D1479" s="30"/>
    </row>
    <row r="1480" spans="1:4" x14ac:dyDescent="0.25">
      <c r="A1480" s="31"/>
      <c r="D1480" s="30"/>
    </row>
    <row r="1481" spans="1:4" x14ac:dyDescent="0.25">
      <c r="A1481" s="31"/>
      <c r="D1481" s="30"/>
    </row>
    <row r="1482" spans="1:4" x14ac:dyDescent="0.25">
      <c r="A1482" s="31"/>
      <c r="D1482" s="30"/>
    </row>
    <row r="1483" spans="1:4" x14ac:dyDescent="0.25">
      <c r="A1483" s="31"/>
      <c r="D1483" s="30"/>
    </row>
    <row r="1484" spans="1:4" x14ac:dyDescent="0.25">
      <c r="A1484" s="31"/>
      <c r="D1484" s="30"/>
    </row>
    <row r="1485" spans="1:4" x14ac:dyDescent="0.25">
      <c r="A1485" s="31"/>
      <c r="D1485" s="30"/>
    </row>
    <row r="1486" spans="1:4" x14ac:dyDescent="0.25">
      <c r="A1486" s="31"/>
      <c r="D1486" s="30"/>
    </row>
    <row r="1487" spans="1:4" x14ac:dyDescent="0.25">
      <c r="A1487" s="31"/>
      <c r="D1487" s="30"/>
    </row>
    <row r="1488" spans="1:4" x14ac:dyDescent="0.25">
      <c r="A1488" s="31"/>
      <c r="D1488" s="30"/>
    </row>
    <row r="1489" spans="1:4" x14ac:dyDescent="0.25">
      <c r="A1489" s="31"/>
      <c r="D1489" s="30"/>
    </row>
    <row r="1490" spans="1:4" x14ac:dyDescent="0.25">
      <c r="A1490" s="31"/>
      <c r="D1490" s="30"/>
    </row>
    <row r="1491" spans="1:4" x14ac:dyDescent="0.25">
      <c r="A1491" s="31"/>
      <c r="D1491" s="30"/>
    </row>
    <row r="1492" spans="1:4" x14ac:dyDescent="0.25">
      <c r="A1492" s="31"/>
      <c r="D1492" s="30"/>
    </row>
    <row r="1493" spans="1:4" x14ac:dyDescent="0.25">
      <c r="A1493" s="31"/>
      <c r="D1493" s="30"/>
    </row>
    <row r="1494" spans="1:4" x14ac:dyDescent="0.25">
      <c r="A1494" s="31"/>
      <c r="D1494" s="30"/>
    </row>
    <row r="1495" spans="1:4" x14ac:dyDescent="0.25">
      <c r="A1495" s="31"/>
      <c r="D1495" s="30"/>
    </row>
    <row r="1496" spans="1:4" x14ac:dyDescent="0.25">
      <c r="A1496" s="31"/>
      <c r="D1496" s="30"/>
    </row>
    <row r="1497" spans="1:4" x14ac:dyDescent="0.25">
      <c r="A1497" s="31"/>
      <c r="D1497" s="30"/>
    </row>
    <row r="1498" spans="1:4" x14ac:dyDescent="0.25">
      <c r="A1498" s="31"/>
      <c r="D1498" s="30"/>
    </row>
    <row r="1499" spans="1:4" x14ac:dyDescent="0.25">
      <c r="A1499" s="31"/>
      <c r="D1499" s="30"/>
    </row>
    <row r="1500" spans="1:4" x14ac:dyDescent="0.25">
      <c r="A1500" s="31"/>
      <c r="D1500" s="30"/>
    </row>
    <row r="1501" spans="1:4" x14ac:dyDescent="0.25">
      <c r="A1501" s="31"/>
      <c r="D1501" s="30"/>
    </row>
    <row r="1502" spans="1:4" x14ac:dyDescent="0.25">
      <c r="A1502" s="31"/>
      <c r="D1502" s="30"/>
    </row>
    <row r="1503" spans="1:4" x14ac:dyDescent="0.25">
      <c r="A1503" s="31"/>
      <c r="D1503" s="30"/>
    </row>
    <row r="1504" spans="1:4" x14ac:dyDescent="0.25">
      <c r="A1504" s="31"/>
      <c r="D1504" s="30"/>
    </row>
    <row r="1505" spans="1:4" x14ac:dyDescent="0.25">
      <c r="A1505" s="31"/>
      <c r="D1505" s="30"/>
    </row>
    <row r="1506" spans="1:4" x14ac:dyDescent="0.25">
      <c r="A1506" s="31"/>
      <c r="D1506" s="30"/>
    </row>
    <row r="1507" spans="1:4" x14ac:dyDescent="0.25">
      <c r="A1507" s="31"/>
      <c r="D1507" s="30"/>
    </row>
    <row r="1508" spans="1:4" x14ac:dyDescent="0.25">
      <c r="A1508" s="31"/>
      <c r="D1508" s="30"/>
    </row>
    <row r="1509" spans="1:4" x14ac:dyDescent="0.25">
      <c r="A1509" s="31"/>
      <c r="D1509" s="30"/>
    </row>
    <row r="1510" spans="1:4" x14ac:dyDescent="0.25">
      <c r="A1510" s="31"/>
      <c r="D1510" s="30"/>
    </row>
    <row r="1511" spans="1:4" x14ac:dyDescent="0.25">
      <c r="A1511" s="31"/>
      <c r="D1511" s="30"/>
    </row>
    <row r="1512" spans="1:4" x14ac:dyDescent="0.25">
      <c r="A1512" s="31"/>
      <c r="D1512" s="30"/>
    </row>
    <row r="1513" spans="1:4" x14ac:dyDescent="0.25">
      <c r="A1513" s="31"/>
      <c r="D1513" s="30"/>
    </row>
    <row r="1514" spans="1:4" x14ac:dyDescent="0.25">
      <c r="A1514" s="31"/>
      <c r="D1514" s="30"/>
    </row>
    <row r="1515" spans="1:4" x14ac:dyDescent="0.25">
      <c r="A1515" s="31"/>
      <c r="D1515" s="30"/>
    </row>
    <row r="1516" spans="1:4" x14ac:dyDescent="0.25">
      <c r="A1516" s="31"/>
      <c r="D1516" s="30"/>
    </row>
    <row r="1517" spans="1:4" x14ac:dyDescent="0.25">
      <c r="A1517" s="31"/>
      <c r="D1517" s="30"/>
    </row>
    <row r="1518" spans="1:4" x14ac:dyDescent="0.25">
      <c r="A1518" s="31"/>
      <c r="D1518" s="30"/>
    </row>
    <row r="1519" spans="1:4" x14ac:dyDescent="0.25">
      <c r="A1519" s="31"/>
      <c r="D1519" s="30"/>
    </row>
    <row r="1520" spans="1:4" x14ac:dyDescent="0.25">
      <c r="A1520" s="31"/>
      <c r="D1520" s="30"/>
    </row>
    <row r="1521" spans="1:4" x14ac:dyDescent="0.25">
      <c r="A1521" s="31"/>
      <c r="D1521" s="30"/>
    </row>
    <row r="1522" spans="1:4" x14ac:dyDescent="0.25">
      <c r="A1522" s="31"/>
      <c r="D1522" s="30"/>
    </row>
    <row r="1523" spans="1:4" x14ac:dyDescent="0.25">
      <c r="A1523" s="31"/>
      <c r="D1523" s="30"/>
    </row>
    <row r="1524" spans="1:4" x14ac:dyDescent="0.25">
      <c r="A1524" s="31"/>
      <c r="D1524" s="30"/>
    </row>
    <row r="1525" spans="1:4" x14ac:dyDescent="0.25">
      <c r="A1525" s="31"/>
      <c r="D1525" s="30"/>
    </row>
    <row r="1526" spans="1:4" x14ac:dyDescent="0.25">
      <c r="A1526" s="31"/>
      <c r="D1526" s="30"/>
    </row>
    <row r="1527" spans="1:4" x14ac:dyDescent="0.25">
      <c r="A1527" s="31"/>
      <c r="D1527" s="30"/>
    </row>
    <row r="1528" spans="1:4" x14ac:dyDescent="0.25">
      <c r="A1528" s="31"/>
      <c r="D1528" s="30"/>
    </row>
    <row r="1529" spans="1:4" x14ac:dyDescent="0.25">
      <c r="A1529" s="31"/>
      <c r="D1529" s="30"/>
    </row>
    <row r="1530" spans="1:4" x14ac:dyDescent="0.25">
      <c r="A1530" s="31"/>
      <c r="D1530" s="30"/>
    </row>
    <row r="1531" spans="1:4" x14ac:dyDescent="0.25">
      <c r="A1531" s="31"/>
      <c r="D1531" s="30"/>
    </row>
    <row r="1532" spans="1:4" x14ac:dyDescent="0.25">
      <c r="A1532" s="31"/>
      <c r="D1532" s="30"/>
    </row>
    <row r="1533" spans="1:4" x14ac:dyDescent="0.25">
      <c r="A1533" s="31"/>
      <c r="D1533" s="30"/>
    </row>
    <row r="1534" spans="1:4" x14ac:dyDescent="0.25">
      <c r="A1534" s="31"/>
      <c r="D1534" s="30"/>
    </row>
    <row r="1535" spans="1:4" x14ac:dyDescent="0.25">
      <c r="A1535" s="31"/>
      <c r="D1535" s="30"/>
    </row>
    <row r="1536" spans="1:4" x14ac:dyDescent="0.25">
      <c r="A1536" s="31"/>
      <c r="D1536" s="30"/>
    </row>
    <row r="1537" spans="1:4" x14ac:dyDescent="0.25">
      <c r="A1537" s="31"/>
      <c r="D1537" s="30"/>
    </row>
    <row r="1538" spans="1:4" x14ac:dyDescent="0.25">
      <c r="A1538" s="31"/>
      <c r="D1538" s="30"/>
    </row>
    <row r="1539" spans="1:4" x14ac:dyDescent="0.25">
      <c r="A1539" s="31"/>
      <c r="D1539" s="30"/>
    </row>
    <row r="1540" spans="1:4" x14ac:dyDescent="0.25">
      <c r="A1540" s="31"/>
      <c r="D1540" s="30"/>
    </row>
    <row r="1541" spans="1:4" x14ac:dyDescent="0.25">
      <c r="A1541" s="31"/>
      <c r="D1541" s="30"/>
    </row>
    <row r="1542" spans="1:4" x14ac:dyDescent="0.25">
      <c r="A1542" s="31"/>
      <c r="D1542" s="30"/>
    </row>
    <row r="1543" spans="1:4" x14ac:dyDescent="0.25">
      <c r="A1543" s="31"/>
      <c r="D1543" s="30"/>
    </row>
    <row r="1544" spans="1:4" x14ac:dyDescent="0.25">
      <c r="A1544" s="31"/>
      <c r="D1544" s="30"/>
    </row>
    <row r="1545" spans="1:4" x14ac:dyDescent="0.25">
      <c r="A1545" s="31"/>
      <c r="D1545" s="30"/>
    </row>
    <row r="1546" spans="1:4" x14ac:dyDescent="0.25">
      <c r="A1546" s="31"/>
      <c r="D1546" s="30"/>
    </row>
    <row r="1547" spans="1:4" x14ac:dyDescent="0.25">
      <c r="A1547" s="31"/>
      <c r="D1547" s="30"/>
    </row>
    <row r="1548" spans="1:4" x14ac:dyDescent="0.25">
      <c r="A1548" s="31"/>
      <c r="D1548" s="30"/>
    </row>
    <row r="1549" spans="1:4" x14ac:dyDescent="0.25">
      <c r="A1549" s="31"/>
      <c r="D1549" s="30"/>
    </row>
    <row r="1550" spans="1:4" x14ac:dyDescent="0.25">
      <c r="A1550" s="31"/>
      <c r="D1550" s="30"/>
    </row>
    <row r="1551" spans="1:4" x14ac:dyDescent="0.25">
      <c r="A1551" s="31"/>
      <c r="D1551" s="30"/>
    </row>
    <row r="1552" spans="1:4" x14ac:dyDescent="0.25">
      <c r="A1552" s="31"/>
      <c r="D1552" s="30"/>
    </row>
    <row r="1553" spans="1:4" x14ac:dyDescent="0.25">
      <c r="A1553" s="31"/>
      <c r="D1553" s="30"/>
    </row>
    <row r="1554" spans="1:4" x14ac:dyDescent="0.25">
      <c r="A1554" s="31"/>
      <c r="D1554" s="30"/>
    </row>
    <row r="1555" spans="1:4" x14ac:dyDescent="0.25">
      <c r="A1555" s="31"/>
      <c r="D1555" s="30"/>
    </row>
    <row r="1556" spans="1:4" x14ac:dyDescent="0.25">
      <c r="A1556" s="31"/>
      <c r="D1556" s="30"/>
    </row>
    <row r="1557" spans="1:4" x14ac:dyDescent="0.25">
      <c r="A1557" s="31"/>
      <c r="D1557" s="30"/>
    </row>
    <row r="1558" spans="1:4" x14ac:dyDescent="0.25">
      <c r="A1558" s="31"/>
      <c r="D1558" s="30"/>
    </row>
    <row r="1559" spans="1:4" x14ac:dyDescent="0.25">
      <c r="A1559" s="31"/>
      <c r="D1559" s="30"/>
    </row>
    <row r="1560" spans="1:4" x14ac:dyDescent="0.25">
      <c r="A1560" s="31"/>
      <c r="D1560" s="30"/>
    </row>
    <row r="1561" spans="1:4" x14ac:dyDescent="0.25">
      <c r="A1561" s="31"/>
      <c r="D1561" s="30"/>
    </row>
    <row r="1562" spans="1:4" x14ac:dyDescent="0.25">
      <c r="A1562" s="31"/>
      <c r="D1562" s="30"/>
    </row>
    <row r="1563" spans="1:4" x14ac:dyDescent="0.25">
      <c r="A1563" s="31"/>
      <c r="D1563" s="30"/>
    </row>
    <row r="1564" spans="1:4" x14ac:dyDescent="0.25">
      <c r="A1564" s="31"/>
      <c r="D1564" s="30"/>
    </row>
    <row r="1565" spans="1:4" x14ac:dyDescent="0.25">
      <c r="A1565" s="31"/>
      <c r="D1565" s="30"/>
    </row>
    <row r="1566" spans="1:4" x14ac:dyDescent="0.25">
      <c r="A1566" s="31"/>
      <c r="D1566" s="30"/>
    </row>
    <row r="1567" spans="1:4" x14ac:dyDescent="0.25">
      <c r="A1567" s="31"/>
      <c r="D1567" s="30"/>
    </row>
    <row r="1568" spans="1:4" x14ac:dyDescent="0.25">
      <c r="A1568" s="31"/>
      <c r="D1568" s="30"/>
    </row>
    <row r="1569" spans="1:4" x14ac:dyDescent="0.25">
      <c r="A1569" s="31"/>
      <c r="D1569" s="30"/>
    </row>
    <row r="1570" spans="1:4" x14ac:dyDescent="0.25">
      <c r="A1570" s="31"/>
      <c r="D1570" s="30"/>
    </row>
    <row r="1571" spans="1:4" x14ac:dyDescent="0.25">
      <c r="A1571" s="31"/>
      <c r="D1571" s="30"/>
    </row>
    <row r="1572" spans="1:4" x14ac:dyDescent="0.25">
      <c r="A1572" s="31"/>
      <c r="D1572" s="30"/>
    </row>
    <row r="1573" spans="1:4" x14ac:dyDescent="0.25">
      <c r="A1573" s="31"/>
      <c r="D1573" s="30"/>
    </row>
    <row r="1574" spans="1:4" x14ac:dyDescent="0.25">
      <c r="A1574" s="31"/>
      <c r="D1574" s="30"/>
    </row>
    <row r="1575" spans="1:4" x14ac:dyDescent="0.25">
      <c r="A1575" s="31"/>
      <c r="D1575" s="30"/>
    </row>
    <row r="1576" spans="1:4" x14ac:dyDescent="0.25">
      <c r="A1576" s="31"/>
      <c r="D1576" s="30"/>
    </row>
    <row r="1577" spans="1:4" x14ac:dyDescent="0.25">
      <c r="A1577" s="31"/>
      <c r="D1577" s="30"/>
    </row>
    <row r="1578" spans="1:4" x14ac:dyDescent="0.25">
      <c r="A1578" s="31"/>
      <c r="D1578" s="30"/>
    </row>
    <row r="1579" spans="1:4" x14ac:dyDescent="0.25">
      <c r="A1579" s="31"/>
      <c r="D1579" s="30"/>
    </row>
    <row r="1580" spans="1:4" x14ac:dyDescent="0.25">
      <c r="A1580" s="31"/>
      <c r="D1580" s="30"/>
    </row>
    <row r="1581" spans="1:4" x14ac:dyDescent="0.25">
      <c r="A1581" s="31"/>
      <c r="D1581" s="30"/>
    </row>
    <row r="1582" spans="1:4" x14ac:dyDescent="0.25">
      <c r="A1582" s="31"/>
      <c r="D1582" s="30"/>
    </row>
    <row r="1583" spans="1:4" x14ac:dyDescent="0.25">
      <c r="A1583" s="31"/>
      <c r="D1583" s="30"/>
    </row>
    <row r="1584" spans="1:4" x14ac:dyDescent="0.25">
      <c r="A1584" s="31"/>
      <c r="D1584" s="30"/>
    </row>
    <row r="1585" spans="1:4" x14ac:dyDescent="0.25">
      <c r="A1585" s="31"/>
      <c r="D1585" s="30"/>
    </row>
    <row r="1586" spans="1:4" x14ac:dyDescent="0.25">
      <c r="A1586" s="31"/>
      <c r="D1586" s="30"/>
    </row>
    <row r="1587" spans="1:4" x14ac:dyDescent="0.25">
      <c r="A1587" s="31"/>
      <c r="D1587" s="30"/>
    </row>
    <row r="1588" spans="1:4" x14ac:dyDescent="0.25">
      <c r="A1588" s="31"/>
      <c r="D1588" s="30"/>
    </row>
    <row r="1589" spans="1:4" x14ac:dyDescent="0.25">
      <c r="A1589" s="31"/>
      <c r="D1589" s="30"/>
    </row>
    <row r="1590" spans="1:4" x14ac:dyDescent="0.25">
      <c r="A1590" s="31"/>
      <c r="D1590" s="30"/>
    </row>
    <row r="1591" spans="1:4" x14ac:dyDescent="0.25">
      <c r="A1591" s="31"/>
      <c r="D1591" s="30"/>
    </row>
    <row r="1592" spans="1:4" x14ac:dyDescent="0.25">
      <c r="A1592" s="31"/>
      <c r="D1592" s="30"/>
    </row>
    <row r="1593" spans="1:4" x14ac:dyDescent="0.25">
      <c r="A1593" s="31"/>
      <c r="D1593" s="30"/>
    </row>
    <row r="1594" spans="1:4" x14ac:dyDescent="0.25">
      <c r="A1594" s="31"/>
      <c r="D1594" s="30"/>
    </row>
    <row r="1595" spans="1:4" x14ac:dyDescent="0.25">
      <c r="A1595" s="31"/>
      <c r="D1595" s="30"/>
    </row>
    <row r="1596" spans="1:4" x14ac:dyDescent="0.25">
      <c r="A1596" s="31"/>
      <c r="D1596" s="30"/>
    </row>
    <row r="1597" spans="1:4" x14ac:dyDescent="0.25">
      <c r="A1597" s="31"/>
      <c r="D1597" s="30"/>
    </row>
    <row r="1598" spans="1:4" x14ac:dyDescent="0.25">
      <c r="A1598" s="31"/>
      <c r="D1598" s="30"/>
    </row>
    <row r="1599" spans="1:4" x14ac:dyDescent="0.25">
      <c r="A1599" s="31"/>
      <c r="D1599" s="30"/>
    </row>
    <row r="1600" spans="1:4" x14ac:dyDescent="0.25">
      <c r="A1600" s="31"/>
      <c r="D1600" s="30"/>
    </row>
    <row r="1601" spans="1:4" x14ac:dyDescent="0.25">
      <c r="A1601" s="31"/>
      <c r="D1601" s="30"/>
    </row>
    <row r="1602" spans="1:4" x14ac:dyDescent="0.25">
      <c r="A1602" s="31"/>
      <c r="D1602" s="30"/>
    </row>
    <row r="1603" spans="1:4" x14ac:dyDescent="0.25">
      <c r="A1603" s="31"/>
      <c r="D1603" s="30"/>
    </row>
    <row r="1604" spans="1:4" x14ac:dyDescent="0.25">
      <c r="A1604" s="31"/>
      <c r="D1604" s="30"/>
    </row>
    <row r="1605" spans="1:4" x14ac:dyDescent="0.25">
      <c r="A1605" s="31"/>
      <c r="D1605" s="30"/>
    </row>
    <row r="1606" spans="1:4" x14ac:dyDescent="0.25">
      <c r="A1606" s="31"/>
      <c r="D1606" s="30"/>
    </row>
    <row r="1607" spans="1:4" x14ac:dyDescent="0.25">
      <c r="A1607" s="31"/>
      <c r="D1607" s="30"/>
    </row>
    <row r="1608" spans="1:4" x14ac:dyDescent="0.25">
      <c r="A1608" s="31"/>
      <c r="D1608" s="30"/>
    </row>
    <row r="1609" spans="1:4" x14ac:dyDescent="0.25">
      <c r="A1609" s="31"/>
      <c r="D1609" s="30"/>
    </row>
    <row r="1610" spans="1:4" x14ac:dyDescent="0.25">
      <c r="A1610" s="31"/>
      <c r="D1610" s="30"/>
    </row>
    <row r="1611" spans="1:4" x14ac:dyDescent="0.25">
      <c r="A1611" s="31"/>
      <c r="D1611" s="30"/>
    </row>
    <row r="1612" spans="1:4" x14ac:dyDescent="0.25">
      <c r="A1612" s="31"/>
      <c r="D1612" s="30"/>
    </row>
    <row r="1613" spans="1:4" x14ac:dyDescent="0.25">
      <c r="A1613" s="31"/>
      <c r="D1613" s="30"/>
    </row>
    <row r="1614" spans="1:4" x14ac:dyDescent="0.25">
      <c r="A1614" s="31"/>
      <c r="D1614" s="30"/>
    </row>
    <row r="1615" spans="1:4" x14ac:dyDescent="0.25">
      <c r="A1615" s="31"/>
      <c r="D1615" s="30"/>
    </row>
    <row r="1616" spans="1:4" x14ac:dyDescent="0.25">
      <c r="A1616" s="31"/>
      <c r="D1616" s="30"/>
    </row>
    <row r="1617" spans="1:4" x14ac:dyDescent="0.25">
      <c r="A1617" s="31"/>
      <c r="D1617" s="30"/>
    </row>
    <row r="1618" spans="1:4" x14ac:dyDescent="0.25">
      <c r="A1618" s="31"/>
      <c r="D1618" s="30"/>
    </row>
    <row r="1619" spans="1:4" x14ac:dyDescent="0.25">
      <c r="A1619" s="31"/>
      <c r="D1619" s="30"/>
    </row>
    <row r="1620" spans="1:4" x14ac:dyDescent="0.25">
      <c r="A1620" s="31"/>
      <c r="D1620" s="30"/>
    </row>
    <row r="1621" spans="1:4" x14ac:dyDescent="0.25">
      <c r="A1621" s="31"/>
      <c r="D1621" s="30"/>
    </row>
    <row r="1622" spans="1:4" x14ac:dyDescent="0.25">
      <c r="A1622" s="31"/>
      <c r="D1622" s="30"/>
    </row>
    <row r="1623" spans="1:4" x14ac:dyDescent="0.25">
      <c r="A1623" s="31"/>
      <c r="D1623" s="30"/>
    </row>
    <row r="1624" spans="1:4" x14ac:dyDescent="0.25">
      <c r="A1624" s="31"/>
      <c r="D1624" s="30"/>
    </row>
    <row r="1625" spans="1:4" x14ac:dyDescent="0.25">
      <c r="A1625" s="31"/>
      <c r="D1625" s="30"/>
    </row>
    <row r="1626" spans="1:4" x14ac:dyDescent="0.25">
      <c r="A1626" s="31"/>
      <c r="D1626" s="30"/>
    </row>
    <row r="1627" spans="1:4" x14ac:dyDescent="0.25">
      <c r="A1627" s="31"/>
      <c r="D1627" s="30"/>
    </row>
    <row r="1628" spans="1:4" x14ac:dyDescent="0.25">
      <c r="A1628" s="31"/>
      <c r="D1628" s="30"/>
    </row>
    <row r="1629" spans="1:4" x14ac:dyDescent="0.25">
      <c r="A1629" s="31"/>
      <c r="D1629" s="30"/>
    </row>
    <row r="1630" spans="1:4" x14ac:dyDescent="0.25">
      <c r="A1630" s="31"/>
      <c r="D1630" s="30"/>
    </row>
    <row r="1631" spans="1:4" x14ac:dyDescent="0.25">
      <c r="A1631" s="31"/>
      <c r="D1631" s="30"/>
    </row>
    <row r="1632" spans="1:4" x14ac:dyDescent="0.25">
      <c r="A1632" s="31"/>
      <c r="D1632" s="30"/>
    </row>
    <row r="1633" spans="1:4" x14ac:dyDescent="0.25">
      <c r="A1633" s="31"/>
      <c r="D1633" s="30"/>
    </row>
    <row r="1634" spans="1:4" x14ac:dyDescent="0.25">
      <c r="A1634" s="31"/>
      <c r="D1634" s="30"/>
    </row>
    <row r="1635" spans="1:4" x14ac:dyDescent="0.25">
      <c r="A1635" s="31"/>
      <c r="D1635" s="30"/>
    </row>
    <row r="1636" spans="1:4" x14ac:dyDescent="0.25">
      <c r="A1636" s="31"/>
      <c r="D1636" s="30"/>
    </row>
    <row r="1637" spans="1:4" x14ac:dyDescent="0.25">
      <c r="A1637" s="31"/>
      <c r="D1637" s="30"/>
    </row>
    <row r="1638" spans="1:4" x14ac:dyDescent="0.25">
      <c r="A1638" s="31"/>
      <c r="D1638" s="30"/>
    </row>
    <row r="1639" spans="1:4" x14ac:dyDescent="0.25">
      <c r="A1639" s="31"/>
      <c r="D1639" s="30"/>
    </row>
    <row r="1640" spans="1:4" x14ac:dyDescent="0.25">
      <c r="A1640" s="31"/>
      <c r="D1640" s="30"/>
    </row>
    <row r="1641" spans="1:4" x14ac:dyDescent="0.25">
      <c r="A1641" s="31"/>
      <c r="D1641" s="30"/>
    </row>
    <row r="1642" spans="1:4" x14ac:dyDescent="0.25">
      <c r="A1642" s="31"/>
      <c r="D1642" s="30"/>
    </row>
    <row r="1643" spans="1:4" x14ac:dyDescent="0.25">
      <c r="A1643" s="31"/>
      <c r="D1643" s="30"/>
    </row>
    <row r="1644" spans="1:4" x14ac:dyDescent="0.25">
      <c r="A1644" s="31"/>
      <c r="D1644" s="30"/>
    </row>
    <row r="1645" spans="1:4" x14ac:dyDescent="0.25">
      <c r="A1645" s="31"/>
      <c r="D1645" s="30"/>
    </row>
    <row r="1646" spans="1:4" x14ac:dyDescent="0.25">
      <c r="A1646" s="31"/>
      <c r="D1646" s="30"/>
    </row>
    <row r="1647" spans="1:4" x14ac:dyDescent="0.25">
      <c r="A1647" s="31"/>
      <c r="D1647" s="30"/>
    </row>
    <row r="1648" spans="1:4" x14ac:dyDescent="0.25">
      <c r="A1648" s="31"/>
      <c r="D1648" s="30"/>
    </row>
    <row r="1649" spans="1:4" x14ac:dyDescent="0.25">
      <c r="A1649" s="31"/>
      <c r="D1649" s="30"/>
    </row>
    <row r="1650" spans="1:4" x14ac:dyDescent="0.25">
      <c r="A1650" s="31"/>
      <c r="D1650" s="30"/>
    </row>
    <row r="1651" spans="1:4" x14ac:dyDescent="0.25">
      <c r="A1651" s="31"/>
      <c r="D1651" s="30"/>
    </row>
    <row r="1652" spans="1:4" x14ac:dyDescent="0.25">
      <c r="A1652" s="31"/>
      <c r="D1652" s="30"/>
    </row>
    <row r="1653" spans="1:4" x14ac:dyDescent="0.25">
      <c r="A1653" s="31"/>
      <c r="D1653" s="30"/>
    </row>
    <row r="1654" spans="1:4" x14ac:dyDescent="0.25">
      <c r="A1654" s="31"/>
      <c r="D1654" s="30"/>
    </row>
    <row r="1655" spans="1:4" x14ac:dyDescent="0.25">
      <c r="A1655" s="31"/>
      <c r="D1655" s="30"/>
    </row>
    <row r="1656" spans="1:4" x14ac:dyDescent="0.25">
      <c r="A1656" s="31"/>
      <c r="D1656" s="30"/>
    </row>
    <row r="1657" spans="1:4" x14ac:dyDescent="0.25">
      <c r="A1657" s="31"/>
      <c r="D1657" s="30"/>
    </row>
    <row r="1658" spans="1:4" x14ac:dyDescent="0.25">
      <c r="A1658" s="31"/>
      <c r="D1658" s="30"/>
    </row>
    <row r="1659" spans="1:4" x14ac:dyDescent="0.25">
      <c r="A1659" s="31"/>
      <c r="D1659" s="30"/>
    </row>
    <row r="1660" spans="1:4" x14ac:dyDescent="0.25">
      <c r="A1660" s="31"/>
      <c r="D1660" s="30"/>
    </row>
    <row r="1661" spans="1:4" x14ac:dyDescent="0.25">
      <c r="A1661" s="31"/>
      <c r="D1661" s="30"/>
    </row>
    <row r="1662" spans="1:4" x14ac:dyDescent="0.25">
      <c r="A1662" s="31"/>
      <c r="D1662" s="30"/>
    </row>
    <row r="1663" spans="1:4" x14ac:dyDescent="0.25">
      <c r="A1663" s="31"/>
      <c r="D1663" s="30"/>
    </row>
    <row r="1664" spans="1:4" x14ac:dyDescent="0.25">
      <c r="A1664" s="31"/>
      <c r="D1664" s="30"/>
    </row>
    <row r="1665" spans="1:4" x14ac:dyDescent="0.25">
      <c r="A1665" s="31"/>
      <c r="D1665" s="30"/>
    </row>
    <row r="1666" spans="1:4" x14ac:dyDescent="0.25">
      <c r="A1666" s="31"/>
      <c r="D1666" s="30"/>
    </row>
    <row r="1667" spans="1:4" x14ac:dyDescent="0.25">
      <c r="A1667" s="31"/>
      <c r="D1667" s="30"/>
    </row>
    <row r="1668" spans="1:4" x14ac:dyDescent="0.25">
      <c r="A1668" s="31"/>
      <c r="D1668" s="30"/>
    </row>
    <row r="1669" spans="1:4" x14ac:dyDescent="0.25">
      <c r="A1669" s="31"/>
      <c r="D1669" s="30"/>
    </row>
    <row r="1670" spans="1:4" x14ac:dyDescent="0.25">
      <c r="A1670" s="31"/>
      <c r="D1670" s="30"/>
    </row>
    <row r="1671" spans="1:4" x14ac:dyDescent="0.25">
      <c r="A1671" s="31"/>
      <c r="D1671" s="30"/>
    </row>
    <row r="1672" spans="1:4" x14ac:dyDescent="0.25">
      <c r="A1672" s="31"/>
      <c r="D1672" s="30"/>
    </row>
    <row r="1673" spans="1:4" x14ac:dyDescent="0.25">
      <c r="A1673" s="31"/>
      <c r="D1673" s="30"/>
    </row>
    <row r="1674" spans="1:4" x14ac:dyDescent="0.25">
      <c r="A1674" s="31"/>
      <c r="D1674" s="30"/>
    </row>
    <row r="1675" spans="1:4" x14ac:dyDescent="0.25">
      <c r="A1675" s="31"/>
      <c r="D1675" s="30"/>
    </row>
    <row r="1676" spans="1:4" x14ac:dyDescent="0.25">
      <c r="A1676" s="31"/>
      <c r="D1676" s="30"/>
    </row>
    <row r="1677" spans="1:4" x14ac:dyDescent="0.25">
      <c r="A1677" s="31"/>
      <c r="D1677" s="30"/>
    </row>
    <row r="1678" spans="1:4" x14ac:dyDescent="0.25">
      <c r="A1678" s="31"/>
      <c r="D1678" s="30"/>
    </row>
    <row r="1679" spans="1:4" x14ac:dyDescent="0.25">
      <c r="A1679" s="31"/>
      <c r="D1679" s="30"/>
    </row>
    <row r="1680" spans="1:4" x14ac:dyDescent="0.25">
      <c r="A1680" s="31"/>
      <c r="D1680" s="30"/>
    </row>
    <row r="1681" spans="1:4" x14ac:dyDescent="0.25">
      <c r="A1681" s="31"/>
      <c r="D1681" s="30"/>
    </row>
    <row r="1682" spans="1:4" x14ac:dyDescent="0.25">
      <c r="A1682" s="31"/>
      <c r="D1682" s="30"/>
    </row>
    <row r="1683" spans="1:4" x14ac:dyDescent="0.25">
      <c r="A1683" s="31"/>
      <c r="D1683" s="30"/>
    </row>
    <row r="1684" spans="1:4" x14ac:dyDescent="0.25">
      <c r="A1684" s="31"/>
      <c r="D1684" s="30"/>
    </row>
    <row r="1685" spans="1:4" x14ac:dyDescent="0.25">
      <c r="A1685" s="31"/>
      <c r="D1685" s="30"/>
    </row>
    <row r="1686" spans="1:4" x14ac:dyDescent="0.25">
      <c r="A1686" s="31"/>
      <c r="D1686" s="30"/>
    </row>
    <row r="1687" spans="1:4" x14ac:dyDescent="0.25">
      <c r="A1687" s="31"/>
      <c r="D1687" s="30"/>
    </row>
    <row r="1688" spans="1:4" x14ac:dyDescent="0.25">
      <c r="A1688" s="31"/>
      <c r="D1688" s="30"/>
    </row>
    <row r="1689" spans="1:4" x14ac:dyDescent="0.25">
      <c r="A1689" s="31"/>
      <c r="D1689" s="30"/>
    </row>
    <row r="1690" spans="1:4" x14ac:dyDescent="0.25">
      <c r="A1690" s="31"/>
      <c r="D1690" s="30"/>
    </row>
    <row r="1691" spans="1:4" x14ac:dyDescent="0.25">
      <c r="A1691" s="31"/>
      <c r="D1691" s="30"/>
    </row>
    <row r="1692" spans="1:4" x14ac:dyDescent="0.25">
      <c r="A1692" s="31"/>
      <c r="D1692" s="30"/>
    </row>
    <row r="1693" spans="1:4" x14ac:dyDescent="0.25">
      <c r="A1693" s="31"/>
      <c r="D1693" s="30"/>
    </row>
    <row r="1694" spans="1:4" x14ac:dyDescent="0.25">
      <c r="A1694" s="31"/>
      <c r="D1694" s="30"/>
    </row>
    <row r="1695" spans="1:4" x14ac:dyDescent="0.25">
      <c r="A1695" s="31"/>
      <c r="D1695" s="30"/>
    </row>
    <row r="1696" spans="1:4" x14ac:dyDescent="0.25">
      <c r="A1696" s="31"/>
      <c r="D1696" s="30"/>
    </row>
    <row r="1697" spans="1:4" x14ac:dyDescent="0.25">
      <c r="A1697" s="31"/>
      <c r="D1697" s="30"/>
    </row>
    <row r="1698" spans="1:4" x14ac:dyDescent="0.25">
      <c r="A1698" s="31"/>
      <c r="D1698" s="30"/>
    </row>
    <row r="1699" spans="1:4" x14ac:dyDescent="0.25">
      <c r="A1699" s="31"/>
      <c r="D1699" s="30"/>
    </row>
    <row r="1700" spans="1:4" x14ac:dyDescent="0.25">
      <c r="A1700" s="31"/>
      <c r="D1700" s="30"/>
    </row>
    <row r="1701" spans="1:4" x14ac:dyDescent="0.25">
      <c r="A1701" s="31"/>
      <c r="D1701" s="30"/>
    </row>
    <row r="1702" spans="1:4" x14ac:dyDescent="0.25">
      <c r="A1702" s="31"/>
      <c r="D1702" s="30"/>
    </row>
    <row r="1703" spans="1:4" x14ac:dyDescent="0.25">
      <c r="A1703" s="31"/>
      <c r="D1703" s="30"/>
    </row>
    <row r="1704" spans="1:4" x14ac:dyDescent="0.25">
      <c r="A1704" s="31"/>
      <c r="D1704" s="30"/>
    </row>
    <row r="1705" spans="1:4" x14ac:dyDescent="0.25">
      <c r="A1705" s="31"/>
      <c r="D1705" s="30"/>
    </row>
    <row r="1706" spans="1:4" x14ac:dyDescent="0.25">
      <c r="A1706" s="31"/>
      <c r="D1706" s="30"/>
    </row>
    <row r="1707" spans="1:4" x14ac:dyDescent="0.25">
      <c r="A1707" s="31"/>
      <c r="D1707" s="30"/>
    </row>
    <row r="1708" spans="1:4" x14ac:dyDescent="0.25">
      <c r="A1708" s="31"/>
      <c r="D1708" s="30"/>
    </row>
    <row r="1709" spans="1:4" x14ac:dyDescent="0.25">
      <c r="A1709" s="31"/>
      <c r="D1709" s="30"/>
    </row>
    <row r="1710" spans="1:4" x14ac:dyDescent="0.25">
      <c r="A1710" s="31"/>
      <c r="D1710" s="30"/>
    </row>
    <row r="1711" spans="1:4" x14ac:dyDescent="0.25">
      <c r="A1711" s="31"/>
      <c r="D1711" s="30"/>
    </row>
    <row r="1712" spans="1:4" x14ac:dyDescent="0.25">
      <c r="A1712" s="31"/>
      <c r="D1712" s="30"/>
    </row>
    <row r="1713" spans="1:4" x14ac:dyDescent="0.25">
      <c r="A1713" s="31"/>
      <c r="D1713" s="30"/>
    </row>
    <row r="1714" spans="1:4" x14ac:dyDescent="0.25">
      <c r="A1714" s="31"/>
      <c r="D1714" s="30"/>
    </row>
    <row r="1715" spans="1:4" x14ac:dyDescent="0.25">
      <c r="A1715" s="31"/>
      <c r="D1715" s="30"/>
    </row>
    <row r="1716" spans="1:4" x14ac:dyDescent="0.25">
      <c r="A1716" s="31"/>
      <c r="D1716" s="30"/>
    </row>
    <row r="1717" spans="1:4" x14ac:dyDescent="0.25">
      <c r="A1717" s="31"/>
      <c r="D1717" s="30"/>
    </row>
    <row r="1718" spans="1:4" x14ac:dyDescent="0.25">
      <c r="A1718" s="31"/>
      <c r="D1718" s="30"/>
    </row>
    <row r="1719" spans="1:4" x14ac:dyDescent="0.25">
      <c r="A1719" s="31"/>
      <c r="D1719" s="30"/>
    </row>
    <row r="1720" spans="1:4" x14ac:dyDescent="0.25">
      <c r="A1720" s="31"/>
      <c r="D1720" s="30"/>
    </row>
    <row r="1721" spans="1:4" x14ac:dyDescent="0.25">
      <c r="A1721" s="31"/>
      <c r="D1721" s="30"/>
    </row>
    <row r="1722" spans="1:4" x14ac:dyDescent="0.25">
      <c r="A1722" s="31"/>
      <c r="D1722" s="30"/>
    </row>
    <row r="1723" spans="1:4" x14ac:dyDescent="0.25">
      <c r="A1723" s="31"/>
      <c r="D1723" s="30"/>
    </row>
    <row r="1724" spans="1:4" x14ac:dyDescent="0.25">
      <c r="A1724" s="31"/>
      <c r="D1724" s="30"/>
    </row>
    <row r="1725" spans="1:4" x14ac:dyDescent="0.25">
      <c r="A1725" s="31"/>
      <c r="D1725" s="30"/>
    </row>
    <row r="1726" spans="1:4" x14ac:dyDescent="0.25">
      <c r="A1726" s="31"/>
      <c r="D1726" s="30"/>
    </row>
    <row r="1727" spans="1:4" x14ac:dyDescent="0.25">
      <c r="A1727" s="31"/>
      <c r="D1727" s="30"/>
    </row>
    <row r="1728" spans="1:4" x14ac:dyDescent="0.25">
      <c r="A1728" s="31"/>
      <c r="D1728" s="30"/>
    </row>
    <row r="1729" spans="1:4" x14ac:dyDescent="0.25">
      <c r="A1729" s="31"/>
      <c r="D1729" s="30"/>
    </row>
    <row r="1730" spans="1:4" x14ac:dyDescent="0.25">
      <c r="A1730" s="31"/>
      <c r="D1730" s="30"/>
    </row>
    <row r="1731" spans="1:4" x14ac:dyDescent="0.25">
      <c r="A1731" s="31"/>
      <c r="D1731" s="30"/>
    </row>
    <row r="1732" spans="1:4" x14ac:dyDescent="0.25">
      <c r="A1732" s="31"/>
      <c r="D1732" s="30"/>
    </row>
    <row r="1733" spans="1:4" x14ac:dyDescent="0.25">
      <c r="A1733" s="31"/>
      <c r="D1733" s="30"/>
    </row>
    <row r="1734" spans="1:4" x14ac:dyDescent="0.25">
      <c r="A1734" s="31"/>
      <c r="D1734" s="30"/>
    </row>
    <row r="1735" spans="1:4" x14ac:dyDescent="0.25">
      <c r="A1735" s="31"/>
      <c r="D1735" s="30"/>
    </row>
    <row r="1736" spans="1:4" x14ac:dyDescent="0.25">
      <c r="A1736" s="31"/>
      <c r="D1736" s="30"/>
    </row>
    <row r="1737" spans="1:4" x14ac:dyDescent="0.25">
      <c r="A1737" s="31"/>
      <c r="D1737" s="30"/>
    </row>
    <row r="1738" spans="1:4" x14ac:dyDescent="0.25">
      <c r="A1738" s="31"/>
      <c r="D1738" s="30"/>
    </row>
    <row r="1739" spans="1:4" x14ac:dyDescent="0.25">
      <c r="A1739" s="31"/>
      <c r="D1739" s="30"/>
    </row>
    <row r="1740" spans="1:4" x14ac:dyDescent="0.25">
      <c r="A1740" s="31"/>
      <c r="D1740" s="30"/>
    </row>
    <row r="1741" spans="1:4" x14ac:dyDescent="0.25">
      <c r="A1741" s="31"/>
      <c r="D1741" s="30"/>
    </row>
    <row r="1742" spans="1:4" x14ac:dyDescent="0.25">
      <c r="A1742" s="31"/>
      <c r="D1742" s="30"/>
    </row>
    <row r="1743" spans="1:4" x14ac:dyDescent="0.25">
      <c r="A1743" s="31"/>
      <c r="D1743" s="30"/>
    </row>
    <row r="1744" spans="1:4" x14ac:dyDescent="0.25">
      <c r="A1744" s="31"/>
      <c r="D1744" s="30"/>
    </row>
    <row r="1745" spans="1:4" x14ac:dyDescent="0.25">
      <c r="A1745" s="31"/>
      <c r="D1745" s="30"/>
    </row>
    <row r="1746" spans="1:4" x14ac:dyDescent="0.25">
      <c r="A1746" s="31"/>
      <c r="D1746" s="30"/>
    </row>
    <row r="1747" spans="1:4" x14ac:dyDescent="0.25">
      <c r="A1747" s="31"/>
      <c r="D1747" s="30"/>
    </row>
    <row r="1748" spans="1:4" x14ac:dyDescent="0.25">
      <c r="A1748" s="31"/>
      <c r="D1748" s="30"/>
    </row>
    <row r="1749" spans="1:4" x14ac:dyDescent="0.25">
      <c r="A1749" s="31"/>
      <c r="D1749" s="30"/>
    </row>
    <row r="1750" spans="1:4" x14ac:dyDescent="0.25">
      <c r="A1750" s="31"/>
      <c r="D1750" s="30"/>
    </row>
    <row r="1751" spans="1:4" x14ac:dyDescent="0.25">
      <c r="A1751" s="31"/>
      <c r="D1751" s="30"/>
    </row>
    <row r="1752" spans="1:4" x14ac:dyDescent="0.25">
      <c r="A1752" s="31"/>
      <c r="D1752" s="30"/>
    </row>
    <row r="1753" spans="1:4" x14ac:dyDescent="0.25">
      <c r="A1753" s="31"/>
      <c r="D1753" s="30"/>
    </row>
    <row r="1754" spans="1:4" x14ac:dyDescent="0.25">
      <c r="A1754" s="31"/>
      <c r="D1754" s="30"/>
    </row>
    <row r="1755" spans="1:4" x14ac:dyDescent="0.25">
      <c r="A1755" s="31"/>
      <c r="D1755" s="30"/>
    </row>
    <row r="1756" spans="1:4" x14ac:dyDescent="0.25">
      <c r="A1756" s="31"/>
      <c r="D1756" s="30"/>
    </row>
    <row r="1757" spans="1:4" x14ac:dyDescent="0.25">
      <c r="A1757" s="31"/>
      <c r="D1757" s="30"/>
    </row>
    <row r="1758" spans="1:4" x14ac:dyDescent="0.25">
      <c r="A1758" s="31"/>
      <c r="D1758" s="30"/>
    </row>
    <row r="1759" spans="1:4" x14ac:dyDescent="0.25">
      <c r="A1759" s="31"/>
      <c r="D1759" s="30"/>
    </row>
    <row r="1760" spans="1:4" x14ac:dyDescent="0.25">
      <c r="A1760" s="31"/>
      <c r="D1760" s="30"/>
    </row>
    <row r="1761" spans="1:4" x14ac:dyDescent="0.25">
      <c r="A1761" s="31"/>
      <c r="D1761" s="30"/>
    </row>
    <row r="1762" spans="1:4" x14ac:dyDescent="0.25">
      <c r="A1762" s="31"/>
      <c r="D1762" s="30"/>
    </row>
    <row r="1763" spans="1:4" x14ac:dyDescent="0.25">
      <c r="A1763" s="31"/>
      <c r="D1763" s="30"/>
    </row>
    <row r="1764" spans="1:4" x14ac:dyDescent="0.25">
      <c r="A1764" s="31"/>
      <c r="D1764" s="30"/>
    </row>
    <row r="1765" spans="1:4" x14ac:dyDescent="0.25">
      <c r="A1765" s="31"/>
      <c r="D1765" s="30"/>
    </row>
    <row r="1766" spans="1:4" x14ac:dyDescent="0.25">
      <c r="A1766" s="31"/>
      <c r="D1766" s="30"/>
    </row>
    <row r="1767" spans="1:4" x14ac:dyDescent="0.25">
      <c r="A1767" s="31"/>
      <c r="D1767" s="30"/>
    </row>
    <row r="1768" spans="1:4" x14ac:dyDescent="0.25">
      <c r="A1768" s="31"/>
      <c r="D1768" s="30"/>
    </row>
    <row r="1769" spans="1:4" x14ac:dyDescent="0.25">
      <c r="A1769" s="31"/>
      <c r="D1769" s="30"/>
    </row>
    <row r="1770" spans="1:4" x14ac:dyDescent="0.25">
      <c r="A1770" s="31"/>
      <c r="D1770" s="30"/>
    </row>
    <row r="1771" spans="1:4" x14ac:dyDescent="0.25">
      <c r="A1771" s="31"/>
      <c r="D1771" s="30"/>
    </row>
    <row r="1772" spans="1:4" x14ac:dyDescent="0.25">
      <c r="A1772" s="31"/>
      <c r="D1772" s="30"/>
    </row>
    <row r="1773" spans="1:4" x14ac:dyDescent="0.25">
      <c r="A1773" s="31"/>
      <c r="D1773" s="30"/>
    </row>
    <row r="1774" spans="1:4" x14ac:dyDescent="0.25">
      <c r="A1774" s="31"/>
      <c r="D1774" s="30"/>
    </row>
    <row r="1775" spans="1:4" x14ac:dyDescent="0.25">
      <c r="A1775" s="31"/>
      <c r="D1775" s="30"/>
    </row>
    <row r="1776" spans="1:4" x14ac:dyDescent="0.25">
      <c r="A1776" s="31"/>
      <c r="D1776" s="30"/>
    </row>
    <row r="1777" spans="1:4" x14ac:dyDescent="0.25">
      <c r="A1777" s="31"/>
      <c r="D1777" s="30"/>
    </row>
    <row r="1778" spans="1:4" x14ac:dyDescent="0.25">
      <c r="A1778" s="31"/>
      <c r="D1778" s="30"/>
    </row>
    <row r="1779" spans="1:4" x14ac:dyDescent="0.25">
      <c r="A1779" s="31"/>
      <c r="D1779" s="30"/>
    </row>
    <row r="1780" spans="1:4" x14ac:dyDescent="0.25">
      <c r="A1780" s="31"/>
      <c r="D1780" s="30"/>
    </row>
    <row r="1781" spans="1:4" x14ac:dyDescent="0.25">
      <c r="A1781" s="31"/>
      <c r="D1781" s="30"/>
    </row>
    <row r="1782" spans="1:4" x14ac:dyDescent="0.25">
      <c r="A1782" s="31"/>
      <c r="D1782" s="30"/>
    </row>
    <row r="1783" spans="1:4" x14ac:dyDescent="0.25">
      <c r="A1783" s="31"/>
      <c r="D1783" s="30"/>
    </row>
    <row r="1784" spans="1:4" x14ac:dyDescent="0.25">
      <c r="A1784" s="31"/>
      <c r="D1784" s="30"/>
    </row>
    <row r="1785" spans="1:4" x14ac:dyDescent="0.25">
      <c r="A1785" s="31"/>
      <c r="D1785" s="30"/>
    </row>
    <row r="1786" spans="1:4" x14ac:dyDescent="0.25">
      <c r="A1786" s="31"/>
      <c r="D1786" s="30"/>
    </row>
    <row r="1787" spans="1:4" x14ac:dyDescent="0.25">
      <c r="A1787" s="31"/>
      <c r="D1787" s="30"/>
    </row>
    <row r="1788" spans="1:4" x14ac:dyDescent="0.25">
      <c r="A1788" s="31"/>
      <c r="D1788" s="30"/>
    </row>
    <row r="1789" spans="1:4" x14ac:dyDescent="0.25">
      <c r="A1789" s="31"/>
      <c r="D1789" s="30"/>
    </row>
    <row r="1790" spans="1:4" x14ac:dyDescent="0.25">
      <c r="A1790" s="31"/>
      <c r="D1790" s="30"/>
    </row>
    <row r="1791" spans="1:4" x14ac:dyDescent="0.25">
      <c r="A1791" s="31"/>
      <c r="D1791" s="30"/>
    </row>
    <row r="1792" spans="1:4" x14ac:dyDescent="0.25">
      <c r="A1792" s="31"/>
      <c r="D1792" s="30"/>
    </row>
    <row r="1793" spans="1:4" x14ac:dyDescent="0.25">
      <c r="A1793" s="31"/>
      <c r="D1793" s="30"/>
    </row>
    <row r="1794" spans="1:4" x14ac:dyDescent="0.25">
      <c r="A1794" s="31"/>
      <c r="D1794" s="30"/>
    </row>
    <row r="1795" spans="1:4" x14ac:dyDescent="0.25">
      <c r="A1795" s="31"/>
      <c r="D1795" s="30"/>
    </row>
    <row r="1796" spans="1:4" x14ac:dyDescent="0.25">
      <c r="A1796" s="31"/>
      <c r="D1796" s="30"/>
    </row>
    <row r="1797" spans="1:4" x14ac:dyDescent="0.25">
      <c r="A1797" s="31"/>
      <c r="D1797" s="30"/>
    </row>
    <row r="1798" spans="1:4" x14ac:dyDescent="0.25">
      <c r="A1798" s="31"/>
      <c r="D1798" s="30"/>
    </row>
    <row r="1799" spans="1:4" x14ac:dyDescent="0.25">
      <c r="A1799" s="31"/>
      <c r="D1799" s="30"/>
    </row>
    <row r="1800" spans="1:4" x14ac:dyDescent="0.25">
      <c r="A1800" s="31"/>
      <c r="D1800" s="30"/>
    </row>
    <row r="1801" spans="1:4" x14ac:dyDescent="0.25">
      <c r="A1801" s="31"/>
      <c r="D1801" s="30"/>
    </row>
    <row r="1802" spans="1:4" x14ac:dyDescent="0.25">
      <c r="A1802" s="31"/>
      <c r="D1802" s="30"/>
    </row>
    <row r="1803" spans="1:4" x14ac:dyDescent="0.25">
      <c r="A1803" s="31"/>
      <c r="D1803" s="30"/>
    </row>
    <row r="1804" spans="1:4" x14ac:dyDescent="0.25">
      <c r="A1804" s="31"/>
      <c r="D1804" s="30"/>
    </row>
    <row r="1805" spans="1:4" x14ac:dyDescent="0.25">
      <c r="A1805" s="31"/>
      <c r="D1805" s="30"/>
    </row>
    <row r="1806" spans="1:4" x14ac:dyDescent="0.25">
      <c r="A1806" s="31"/>
      <c r="D1806" s="30"/>
    </row>
    <row r="1807" spans="1:4" x14ac:dyDescent="0.25">
      <c r="A1807" s="31"/>
      <c r="D1807" s="30"/>
    </row>
    <row r="1808" spans="1:4" x14ac:dyDescent="0.25">
      <c r="A1808" s="31"/>
      <c r="D1808" s="30"/>
    </row>
    <row r="1809" spans="1:4" x14ac:dyDescent="0.25">
      <c r="A1809" s="31"/>
      <c r="D1809" s="30"/>
    </row>
    <row r="1810" spans="1:4" x14ac:dyDescent="0.25">
      <c r="A1810" s="31"/>
      <c r="D1810" s="30"/>
    </row>
    <row r="1811" spans="1:4" x14ac:dyDescent="0.25">
      <c r="A1811" s="31"/>
      <c r="D1811" s="30"/>
    </row>
    <row r="1812" spans="1:4" x14ac:dyDescent="0.25">
      <c r="A1812" s="31"/>
      <c r="D1812" s="30"/>
    </row>
    <row r="1813" spans="1:4" x14ac:dyDescent="0.25">
      <c r="A1813" s="31"/>
      <c r="D1813" s="30"/>
    </row>
    <row r="1814" spans="1:4" x14ac:dyDescent="0.25">
      <c r="A1814" s="31"/>
      <c r="D1814" s="30"/>
    </row>
    <row r="1815" spans="1:4" x14ac:dyDescent="0.25">
      <c r="A1815" s="31"/>
      <c r="D1815" s="30"/>
    </row>
    <row r="1816" spans="1:4" x14ac:dyDescent="0.25">
      <c r="A1816" s="31"/>
      <c r="D1816" s="30"/>
    </row>
    <row r="1817" spans="1:4" x14ac:dyDescent="0.25">
      <c r="A1817" s="31"/>
      <c r="D1817" s="30"/>
    </row>
    <row r="1818" spans="1:4" x14ac:dyDescent="0.25">
      <c r="A1818" s="31"/>
      <c r="D1818" s="30"/>
    </row>
    <row r="1819" spans="1:4" x14ac:dyDescent="0.25">
      <c r="A1819" s="31"/>
      <c r="D1819" s="30"/>
    </row>
    <row r="1820" spans="1:4" x14ac:dyDescent="0.25">
      <c r="A1820" s="31"/>
      <c r="D1820" s="30"/>
    </row>
    <row r="1821" spans="1:4" x14ac:dyDescent="0.25">
      <c r="A1821" s="31"/>
      <c r="D1821" s="30"/>
    </row>
    <row r="1822" spans="1:4" x14ac:dyDescent="0.25">
      <c r="A1822" s="31"/>
      <c r="D1822" s="30"/>
    </row>
    <row r="1823" spans="1:4" x14ac:dyDescent="0.25">
      <c r="A1823" s="31"/>
      <c r="D1823" s="30"/>
    </row>
    <row r="1824" spans="1:4" x14ac:dyDescent="0.25">
      <c r="A1824" s="31"/>
      <c r="D1824" s="30"/>
    </row>
    <row r="1825" spans="1:4" x14ac:dyDescent="0.25">
      <c r="A1825" s="31"/>
      <c r="D1825" s="30"/>
    </row>
    <row r="1826" spans="1:4" x14ac:dyDescent="0.25">
      <c r="A1826" s="31"/>
      <c r="D1826" s="30"/>
    </row>
    <row r="1827" spans="1:4" x14ac:dyDescent="0.25">
      <c r="A1827" s="31"/>
      <c r="D1827" s="30"/>
    </row>
    <row r="1828" spans="1:4" x14ac:dyDescent="0.25">
      <c r="A1828" s="31"/>
      <c r="D1828" s="30"/>
    </row>
    <row r="1829" spans="1:4" x14ac:dyDescent="0.25">
      <c r="A1829" s="31"/>
      <c r="D1829" s="30"/>
    </row>
    <row r="1830" spans="1:4" x14ac:dyDescent="0.25">
      <c r="A1830" s="31"/>
      <c r="D1830" s="30"/>
    </row>
    <row r="1831" spans="1:4" x14ac:dyDescent="0.25">
      <c r="A1831" s="31"/>
      <c r="D1831" s="30"/>
    </row>
    <row r="1832" spans="1:4" x14ac:dyDescent="0.25">
      <c r="A1832" s="31"/>
      <c r="D1832" s="30"/>
    </row>
    <row r="1833" spans="1:4" x14ac:dyDescent="0.25">
      <c r="A1833" s="31"/>
      <c r="D1833" s="30"/>
    </row>
    <row r="1834" spans="1:4" x14ac:dyDescent="0.25">
      <c r="A1834" s="31"/>
      <c r="D1834" s="30"/>
    </row>
    <row r="1835" spans="1:4" x14ac:dyDescent="0.25">
      <c r="A1835" s="31"/>
      <c r="D1835" s="30"/>
    </row>
    <row r="1836" spans="1:4" x14ac:dyDescent="0.25">
      <c r="A1836" s="31"/>
      <c r="D1836" s="30"/>
    </row>
    <row r="1837" spans="1:4" x14ac:dyDescent="0.25">
      <c r="A1837" s="31"/>
      <c r="D1837" s="30"/>
    </row>
    <row r="1838" spans="1:4" x14ac:dyDescent="0.25">
      <c r="A1838" s="31"/>
      <c r="D1838" s="30"/>
    </row>
    <row r="1839" spans="1:4" x14ac:dyDescent="0.25">
      <c r="A1839" s="31"/>
      <c r="D1839" s="30"/>
    </row>
    <row r="1840" spans="1:4" x14ac:dyDescent="0.25">
      <c r="A1840" s="31"/>
      <c r="D1840" s="30"/>
    </row>
    <row r="1841" spans="1:4" x14ac:dyDescent="0.25">
      <c r="A1841" s="31"/>
      <c r="D1841" s="30"/>
    </row>
    <row r="1842" spans="1:4" x14ac:dyDescent="0.25">
      <c r="A1842" s="31"/>
      <c r="D1842" s="30"/>
    </row>
    <row r="1843" spans="1:4" x14ac:dyDescent="0.25">
      <c r="A1843" s="31"/>
      <c r="D1843" s="30"/>
    </row>
    <row r="1844" spans="1:4" x14ac:dyDescent="0.25">
      <c r="A1844" s="31"/>
      <c r="D1844" s="30"/>
    </row>
    <row r="1845" spans="1:4" x14ac:dyDescent="0.25">
      <c r="A1845" s="31"/>
      <c r="D1845" s="30"/>
    </row>
    <row r="1846" spans="1:4" x14ac:dyDescent="0.25">
      <c r="A1846" s="31"/>
      <c r="D1846" s="30"/>
    </row>
    <row r="1847" spans="1:4" x14ac:dyDescent="0.25">
      <c r="A1847" s="31"/>
      <c r="D1847" s="30"/>
    </row>
    <row r="1848" spans="1:4" x14ac:dyDescent="0.25">
      <c r="A1848" s="31"/>
      <c r="D1848" s="30"/>
    </row>
    <row r="1849" spans="1:4" x14ac:dyDescent="0.25">
      <c r="A1849" s="31"/>
      <c r="D1849" s="30"/>
    </row>
    <row r="1850" spans="1:4" x14ac:dyDescent="0.25">
      <c r="A1850" s="31"/>
      <c r="D1850" s="30"/>
    </row>
    <row r="1851" spans="1:4" x14ac:dyDescent="0.25">
      <c r="A1851" s="31"/>
      <c r="D1851" s="30"/>
    </row>
    <row r="1852" spans="1:4" x14ac:dyDescent="0.25">
      <c r="A1852" s="31"/>
      <c r="D1852" s="30"/>
    </row>
    <row r="1853" spans="1:4" x14ac:dyDescent="0.25">
      <c r="A1853" s="31"/>
      <c r="D1853" s="30"/>
    </row>
    <row r="1854" spans="1:4" x14ac:dyDescent="0.25">
      <c r="A1854" s="31"/>
      <c r="D1854" s="30"/>
    </row>
    <row r="1855" spans="1:4" x14ac:dyDescent="0.25">
      <c r="A1855" s="31"/>
      <c r="D1855" s="30"/>
    </row>
    <row r="1856" spans="1:4" x14ac:dyDescent="0.25">
      <c r="A1856" s="31"/>
      <c r="D1856" s="30"/>
    </row>
    <row r="1857" spans="1:4" x14ac:dyDescent="0.25">
      <c r="A1857" s="31"/>
      <c r="D1857" s="30"/>
    </row>
    <row r="1858" spans="1:4" x14ac:dyDescent="0.25">
      <c r="A1858" s="31"/>
      <c r="D1858" s="30"/>
    </row>
    <row r="1859" spans="1:4" x14ac:dyDescent="0.25">
      <c r="A1859" s="31"/>
      <c r="D1859" s="30"/>
    </row>
    <row r="1860" spans="1:4" x14ac:dyDescent="0.25">
      <c r="A1860" s="31"/>
      <c r="D1860" s="30"/>
    </row>
    <row r="1861" spans="1:4" x14ac:dyDescent="0.25">
      <c r="A1861" s="31"/>
      <c r="D1861" s="30"/>
    </row>
    <row r="1862" spans="1:4" x14ac:dyDescent="0.25">
      <c r="A1862" s="31"/>
      <c r="D1862" s="30"/>
    </row>
    <row r="1863" spans="1:4" x14ac:dyDescent="0.25">
      <c r="A1863" s="31"/>
      <c r="D1863" s="30"/>
    </row>
    <row r="1864" spans="1:4" x14ac:dyDescent="0.25">
      <c r="A1864" s="31"/>
      <c r="D1864" s="30"/>
    </row>
    <row r="1865" spans="1:4" x14ac:dyDescent="0.25">
      <c r="A1865" s="31"/>
      <c r="D1865" s="30"/>
    </row>
    <row r="1866" spans="1:4" x14ac:dyDescent="0.25">
      <c r="A1866" s="31"/>
      <c r="D1866" s="30"/>
    </row>
    <row r="1867" spans="1:4" x14ac:dyDescent="0.25">
      <c r="A1867" s="31"/>
      <c r="D1867" s="30"/>
    </row>
    <row r="1868" spans="1:4" x14ac:dyDescent="0.25">
      <c r="A1868" s="31"/>
      <c r="D1868" s="30"/>
    </row>
    <row r="1869" spans="1:4" x14ac:dyDescent="0.25">
      <c r="A1869" s="31"/>
      <c r="D1869" s="30"/>
    </row>
    <row r="1870" spans="1:4" x14ac:dyDescent="0.25">
      <c r="A1870" s="31"/>
      <c r="D1870" s="30"/>
    </row>
    <row r="1871" spans="1:4" x14ac:dyDescent="0.25">
      <c r="A1871" s="31"/>
      <c r="D1871" s="30"/>
    </row>
    <row r="1872" spans="1:4" x14ac:dyDescent="0.25">
      <c r="A1872" s="31"/>
      <c r="D1872" s="30"/>
    </row>
    <row r="1873" spans="1:4" x14ac:dyDescent="0.25">
      <c r="A1873" s="31"/>
      <c r="D1873" s="30"/>
    </row>
    <row r="1874" spans="1:4" x14ac:dyDescent="0.25">
      <c r="A1874" s="31"/>
      <c r="D1874" s="30"/>
    </row>
    <row r="1875" spans="1:4" x14ac:dyDescent="0.25">
      <c r="A1875" s="31"/>
      <c r="D1875" s="30"/>
    </row>
    <row r="1876" spans="1:4" x14ac:dyDescent="0.25">
      <c r="A1876" s="31"/>
      <c r="D1876" s="30"/>
    </row>
    <row r="1877" spans="1:4" x14ac:dyDescent="0.25">
      <c r="A1877" s="31"/>
      <c r="D1877" s="30"/>
    </row>
    <row r="1878" spans="1:4" x14ac:dyDescent="0.25">
      <c r="A1878" s="31"/>
      <c r="D1878" s="30"/>
    </row>
    <row r="1879" spans="1:4" x14ac:dyDescent="0.25">
      <c r="A1879" s="31"/>
      <c r="D1879" s="30"/>
    </row>
    <row r="1880" spans="1:4" x14ac:dyDescent="0.25">
      <c r="A1880" s="31"/>
      <c r="D1880" s="30"/>
    </row>
    <row r="1881" spans="1:4" x14ac:dyDescent="0.25">
      <c r="A1881" s="31"/>
      <c r="D1881" s="30"/>
    </row>
    <row r="1882" spans="1:4" x14ac:dyDescent="0.25">
      <c r="A1882" s="31"/>
      <c r="D1882" s="30"/>
    </row>
    <row r="1883" spans="1:4" x14ac:dyDescent="0.25">
      <c r="A1883" s="31"/>
      <c r="D1883" s="30"/>
    </row>
    <row r="1884" spans="1:4" x14ac:dyDescent="0.25">
      <c r="A1884" s="31"/>
      <c r="D1884" s="30"/>
    </row>
    <row r="1885" spans="1:4" x14ac:dyDescent="0.25">
      <c r="A1885" s="31"/>
      <c r="D1885" s="30"/>
    </row>
    <row r="1886" spans="1:4" x14ac:dyDescent="0.25">
      <c r="A1886" s="31"/>
      <c r="D1886" s="30"/>
    </row>
    <row r="1887" spans="1:4" x14ac:dyDescent="0.25">
      <c r="A1887" s="31"/>
      <c r="D1887" s="30"/>
    </row>
    <row r="1888" spans="1:4" x14ac:dyDescent="0.25">
      <c r="A1888" s="31"/>
      <c r="D1888" s="30"/>
    </row>
    <row r="1889" spans="1:4" x14ac:dyDescent="0.25">
      <c r="A1889" s="31"/>
      <c r="D1889" s="30"/>
    </row>
    <row r="1890" spans="1:4" x14ac:dyDescent="0.25">
      <c r="A1890" s="31"/>
      <c r="D1890" s="30"/>
    </row>
    <row r="1891" spans="1:4" x14ac:dyDescent="0.25">
      <c r="A1891" s="31"/>
      <c r="D1891" s="30"/>
    </row>
    <row r="1892" spans="1:4" x14ac:dyDescent="0.25">
      <c r="A1892" s="31"/>
      <c r="D1892" s="30"/>
    </row>
    <row r="1893" spans="1:4" x14ac:dyDescent="0.25">
      <c r="A1893" s="31"/>
      <c r="D1893" s="30"/>
    </row>
    <row r="1894" spans="1:4" x14ac:dyDescent="0.25">
      <c r="A1894" s="31"/>
      <c r="D1894" s="30"/>
    </row>
    <row r="1895" spans="1:4" x14ac:dyDescent="0.25">
      <c r="A1895" s="31"/>
      <c r="D1895" s="30"/>
    </row>
    <row r="1896" spans="1:4" x14ac:dyDescent="0.25">
      <c r="A1896" s="31"/>
      <c r="D1896" s="30"/>
    </row>
    <row r="1897" spans="1:4" x14ac:dyDescent="0.25">
      <c r="A1897" s="31"/>
      <c r="D1897" s="30"/>
    </row>
    <row r="1898" spans="1:4" x14ac:dyDescent="0.25">
      <c r="A1898" s="31"/>
      <c r="D1898" s="30"/>
    </row>
    <row r="1899" spans="1:4" x14ac:dyDescent="0.25">
      <c r="A1899" s="31"/>
      <c r="D1899" s="30"/>
    </row>
    <row r="1900" spans="1:4" x14ac:dyDescent="0.25">
      <c r="A1900" s="31"/>
      <c r="D1900" s="30"/>
    </row>
    <row r="1901" spans="1:4" x14ac:dyDescent="0.25">
      <c r="A1901" s="31"/>
      <c r="D1901" s="30"/>
    </row>
    <row r="1902" spans="1:4" x14ac:dyDescent="0.25">
      <c r="A1902" s="31"/>
      <c r="D1902" s="30"/>
    </row>
    <row r="1903" spans="1:4" x14ac:dyDescent="0.25">
      <c r="A1903" s="31"/>
      <c r="D1903" s="30"/>
    </row>
    <row r="1904" spans="1:4" x14ac:dyDescent="0.25">
      <c r="A1904" s="31"/>
      <c r="D1904" s="30"/>
    </row>
    <row r="1905" spans="1:4" x14ac:dyDescent="0.25">
      <c r="A1905" s="31"/>
      <c r="D1905" s="30"/>
    </row>
    <row r="1906" spans="1:4" x14ac:dyDescent="0.25">
      <c r="A1906" s="31"/>
      <c r="D1906" s="30"/>
    </row>
    <row r="1907" spans="1:4" x14ac:dyDescent="0.25">
      <c r="A1907" s="31"/>
      <c r="D1907" s="30"/>
    </row>
    <row r="1908" spans="1:4" x14ac:dyDescent="0.25">
      <c r="A1908" s="31"/>
      <c r="D1908" s="30"/>
    </row>
    <row r="1909" spans="1:4" x14ac:dyDescent="0.25">
      <c r="A1909" s="31"/>
      <c r="D1909" s="30"/>
    </row>
    <row r="1910" spans="1:4" x14ac:dyDescent="0.25">
      <c r="A1910" s="31"/>
      <c r="D1910" s="30"/>
    </row>
    <row r="1911" spans="1:4" x14ac:dyDescent="0.25">
      <c r="A1911" s="31"/>
      <c r="D1911" s="30"/>
    </row>
    <row r="1912" spans="1:4" x14ac:dyDescent="0.25">
      <c r="A1912" s="31"/>
      <c r="D1912" s="30"/>
    </row>
    <row r="1913" spans="1:4" x14ac:dyDescent="0.25">
      <c r="A1913" s="31"/>
      <c r="D1913" s="30"/>
    </row>
    <row r="1914" spans="1:4" x14ac:dyDescent="0.25">
      <c r="A1914" s="31"/>
      <c r="D1914" s="30"/>
    </row>
    <row r="1915" spans="1:4" x14ac:dyDescent="0.25">
      <c r="A1915" s="31"/>
      <c r="D1915" s="30"/>
    </row>
    <row r="1916" spans="1:4" x14ac:dyDescent="0.25">
      <c r="A1916" s="31"/>
      <c r="D1916" s="30"/>
    </row>
    <row r="1917" spans="1:4" x14ac:dyDescent="0.25">
      <c r="A1917" s="31"/>
      <c r="D1917" s="30"/>
    </row>
    <row r="1918" spans="1:4" x14ac:dyDescent="0.25">
      <c r="A1918" s="31"/>
      <c r="D1918" s="30"/>
    </row>
    <row r="1919" spans="1:4" x14ac:dyDescent="0.25">
      <c r="A1919" s="31"/>
      <c r="D1919" s="30"/>
    </row>
    <row r="1920" spans="1:4" x14ac:dyDescent="0.25">
      <c r="A1920" s="31"/>
      <c r="D1920" s="30"/>
    </row>
    <row r="1921" spans="1:4" x14ac:dyDescent="0.25">
      <c r="A1921" s="31"/>
      <c r="D1921" s="30"/>
    </row>
    <row r="1922" spans="1:4" x14ac:dyDescent="0.25">
      <c r="A1922" s="31"/>
      <c r="D1922" s="30"/>
    </row>
    <row r="1923" spans="1:4" x14ac:dyDescent="0.25">
      <c r="A1923" s="31"/>
      <c r="D1923" s="30"/>
    </row>
    <row r="1924" spans="1:4" x14ac:dyDescent="0.25">
      <c r="A1924" s="31"/>
      <c r="D1924" s="30"/>
    </row>
    <row r="1925" spans="1:4" x14ac:dyDescent="0.25">
      <c r="A1925" s="31"/>
      <c r="D1925" s="30"/>
    </row>
    <row r="1926" spans="1:4" x14ac:dyDescent="0.25">
      <c r="A1926" s="31"/>
      <c r="D1926" s="30"/>
    </row>
    <row r="1927" spans="1:4" x14ac:dyDescent="0.25">
      <c r="A1927" s="31"/>
      <c r="D1927" s="30"/>
    </row>
    <row r="1928" spans="1:4" x14ac:dyDescent="0.25">
      <c r="A1928" s="31"/>
      <c r="D1928" s="30"/>
    </row>
    <row r="1929" spans="1:4" x14ac:dyDescent="0.25">
      <c r="A1929" s="31"/>
      <c r="D1929" s="30"/>
    </row>
    <row r="1930" spans="1:4" x14ac:dyDescent="0.25">
      <c r="A1930" s="31"/>
      <c r="D1930" s="30"/>
    </row>
    <row r="1931" spans="1:4" x14ac:dyDescent="0.25">
      <c r="A1931" s="31"/>
      <c r="D1931" s="30"/>
    </row>
    <row r="1932" spans="1:4" x14ac:dyDescent="0.25">
      <c r="A1932" s="31"/>
      <c r="D1932" s="30"/>
    </row>
    <row r="1933" spans="1:4" x14ac:dyDescent="0.25">
      <c r="A1933" s="31"/>
      <c r="D1933" s="30"/>
    </row>
    <row r="1934" spans="1:4" x14ac:dyDescent="0.25">
      <c r="A1934" s="31"/>
      <c r="D1934" s="30"/>
    </row>
    <row r="1935" spans="1:4" x14ac:dyDescent="0.25">
      <c r="A1935" s="31"/>
      <c r="D1935" s="30"/>
    </row>
    <row r="1936" spans="1:4" x14ac:dyDescent="0.25">
      <c r="A1936" s="31"/>
      <c r="D1936" s="30"/>
    </row>
    <row r="1937" spans="1:4" x14ac:dyDescent="0.25">
      <c r="A1937" s="31"/>
      <c r="D1937" s="30"/>
    </row>
    <row r="1938" spans="1:4" x14ac:dyDescent="0.25">
      <c r="A1938" s="31"/>
      <c r="D1938" s="30"/>
    </row>
    <row r="1939" spans="1:4" x14ac:dyDescent="0.25">
      <c r="A1939" s="31"/>
      <c r="D1939" s="30"/>
    </row>
    <row r="1940" spans="1:4" x14ac:dyDescent="0.25">
      <c r="A1940" s="31"/>
      <c r="D1940" s="30"/>
    </row>
    <row r="1941" spans="1:4" x14ac:dyDescent="0.25">
      <c r="A1941" s="31"/>
      <c r="D1941" s="30"/>
    </row>
    <row r="1942" spans="1:4" x14ac:dyDescent="0.25">
      <c r="A1942" s="31"/>
      <c r="D1942" s="30"/>
    </row>
    <row r="1943" spans="1:4" x14ac:dyDescent="0.25">
      <c r="A1943" s="31"/>
      <c r="D1943" s="30"/>
    </row>
    <row r="1944" spans="1:4" x14ac:dyDescent="0.25">
      <c r="A1944" s="31"/>
      <c r="D1944" s="30"/>
    </row>
    <row r="1945" spans="1:4" x14ac:dyDescent="0.25">
      <c r="A1945" s="31"/>
      <c r="D1945" s="30"/>
    </row>
    <row r="1946" spans="1:4" x14ac:dyDescent="0.25">
      <c r="A1946" s="31"/>
      <c r="D1946" s="30"/>
    </row>
    <row r="1947" spans="1:4" x14ac:dyDescent="0.25">
      <c r="A1947" s="31"/>
      <c r="D1947" s="30"/>
    </row>
    <row r="1948" spans="1:4" x14ac:dyDescent="0.25">
      <c r="A1948" s="31"/>
      <c r="D1948" s="30"/>
    </row>
    <row r="1949" spans="1:4" x14ac:dyDescent="0.25">
      <c r="A1949" s="31"/>
      <c r="D1949" s="30"/>
    </row>
    <row r="1950" spans="1:4" x14ac:dyDescent="0.25">
      <c r="A1950" s="31"/>
      <c r="D1950" s="30"/>
    </row>
    <row r="1951" spans="1:4" x14ac:dyDescent="0.25">
      <c r="A1951" s="31"/>
      <c r="D1951" s="30"/>
    </row>
    <row r="1952" spans="1:4" x14ac:dyDescent="0.25">
      <c r="A1952" s="31"/>
      <c r="D1952" s="30"/>
    </row>
    <row r="1953" spans="1:4" x14ac:dyDescent="0.25">
      <c r="A1953" s="31"/>
      <c r="D1953" s="30"/>
    </row>
    <row r="1954" spans="1:4" x14ac:dyDescent="0.25">
      <c r="A1954" s="31"/>
      <c r="D1954" s="30"/>
    </row>
    <row r="1955" spans="1:4" x14ac:dyDescent="0.25">
      <c r="A1955" s="31"/>
      <c r="D1955" s="30"/>
    </row>
    <row r="1956" spans="1:4" x14ac:dyDescent="0.25">
      <c r="A1956" s="31"/>
      <c r="D1956" s="30"/>
    </row>
    <row r="1957" spans="1:4" x14ac:dyDescent="0.25">
      <c r="A1957" s="31"/>
      <c r="D1957" s="30"/>
    </row>
    <row r="1958" spans="1:4" x14ac:dyDescent="0.25">
      <c r="A1958" s="31"/>
      <c r="D1958" s="30"/>
    </row>
    <row r="1959" spans="1:4" x14ac:dyDescent="0.25">
      <c r="A1959" s="31"/>
      <c r="D1959" s="30"/>
    </row>
    <row r="1960" spans="1:4" x14ac:dyDescent="0.25">
      <c r="A1960" s="31"/>
      <c r="D1960" s="30"/>
    </row>
    <row r="1961" spans="1:4" x14ac:dyDescent="0.25">
      <c r="A1961" s="31"/>
      <c r="D1961" s="30"/>
    </row>
    <row r="1962" spans="1:4" x14ac:dyDescent="0.25">
      <c r="A1962" s="31"/>
      <c r="D1962" s="30"/>
    </row>
    <row r="1963" spans="1:4" x14ac:dyDescent="0.25">
      <c r="A1963" s="31"/>
      <c r="D1963" s="30"/>
    </row>
    <row r="1964" spans="1:4" x14ac:dyDescent="0.25">
      <c r="A1964" s="31"/>
      <c r="D1964" s="30"/>
    </row>
    <row r="1965" spans="1:4" x14ac:dyDescent="0.25">
      <c r="A1965" s="31"/>
      <c r="D1965" s="30"/>
    </row>
    <row r="1966" spans="1:4" x14ac:dyDescent="0.25">
      <c r="A1966" s="31"/>
      <c r="D1966" s="30"/>
    </row>
    <row r="1967" spans="1:4" x14ac:dyDescent="0.25">
      <c r="A1967" s="31"/>
      <c r="D1967" s="30"/>
    </row>
    <row r="1968" spans="1:4" x14ac:dyDescent="0.25">
      <c r="A1968" s="31"/>
      <c r="D1968" s="30"/>
    </row>
    <row r="1969" spans="1:4" x14ac:dyDescent="0.25">
      <c r="A1969" s="31"/>
      <c r="D1969" s="30"/>
    </row>
    <row r="1970" spans="1:4" x14ac:dyDescent="0.25">
      <c r="A1970" s="31"/>
      <c r="D1970" s="30"/>
    </row>
    <row r="1971" spans="1:4" x14ac:dyDescent="0.25">
      <c r="A1971" s="31"/>
      <c r="D1971" s="30"/>
    </row>
    <row r="1972" spans="1:4" x14ac:dyDescent="0.25">
      <c r="A1972" s="31"/>
      <c r="D1972" s="30"/>
    </row>
    <row r="1973" spans="1:4" x14ac:dyDescent="0.25">
      <c r="A1973" s="31"/>
      <c r="D1973" s="30"/>
    </row>
    <row r="1974" spans="1:4" x14ac:dyDescent="0.25">
      <c r="A1974" s="31"/>
      <c r="D1974" s="30"/>
    </row>
    <row r="1975" spans="1:4" x14ac:dyDescent="0.25">
      <c r="A1975" s="31"/>
      <c r="D1975" s="30"/>
    </row>
    <row r="1976" spans="1:4" x14ac:dyDescent="0.25">
      <c r="A1976" s="31"/>
      <c r="D1976" s="30"/>
    </row>
    <row r="1977" spans="1:4" x14ac:dyDescent="0.25">
      <c r="A1977" s="31"/>
      <c r="D1977" s="30"/>
    </row>
    <row r="1978" spans="1:4" x14ac:dyDescent="0.25">
      <c r="A1978" s="31"/>
      <c r="D1978" s="30"/>
    </row>
    <row r="1979" spans="1:4" x14ac:dyDescent="0.25">
      <c r="A1979" s="31"/>
      <c r="D1979" s="30"/>
    </row>
    <row r="1980" spans="1:4" x14ac:dyDescent="0.25">
      <c r="A1980" s="31"/>
      <c r="D1980" s="30"/>
    </row>
    <row r="1981" spans="1:4" x14ac:dyDescent="0.25">
      <c r="A1981" s="31"/>
      <c r="D1981" s="30"/>
    </row>
    <row r="1982" spans="1:4" x14ac:dyDescent="0.25">
      <c r="A1982" s="31"/>
      <c r="D1982" s="30"/>
    </row>
    <row r="1983" spans="1:4" x14ac:dyDescent="0.25">
      <c r="A1983" s="31"/>
      <c r="D1983" s="30"/>
    </row>
    <row r="1984" spans="1:4" x14ac:dyDescent="0.25">
      <c r="A1984" s="31"/>
      <c r="D1984" s="30"/>
    </row>
    <row r="1985" spans="1:4" x14ac:dyDescent="0.25">
      <c r="A1985" s="31"/>
      <c r="D1985" s="30"/>
    </row>
    <row r="1986" spans="1:4" x14ac:dyDescent="0.25">
      <c r="A1986" s="31"/>
      <c r="D1986" s="30"/>
    </row>
    <row r="1987" spans="1:4" x14ac:dyDescent="0.25">
      <c r="A1987" s="31"/>
      <c r="D1987" s="30"/>
    </row>
    <row r="1988" spans="1:4" x14ac:dyDescent="0.25">
      <c r="A1988" s="31"/>
      <c r="D1988" s="30"/>
    </row>
    <row r="1989" spans="1:4" x14ac:dyDescent="0.25">
      <c r="A1989" s="31"/>
      <c r="D1989" s="30"/>
    </row>
    <row r="1990" spans="1:4" x14ac:dyDescent="0.25">
      <c r="A1990" s="31"/>
      <c r="D1990" s="30"/>
    </row>
    <row r="1991" spans="1:4" x14ac:dyDescent="0.25">
      <c r="A1991" s="31"/>
      <c r="D1991" s="30"/>
    </row>
    <row r="1992" spans="1:4" x14ac:dyDescent="0.25">
      <c r="A1992" s="31"/>
      <c r="D1992" s="30"/>
    </row>
    <row r="1993" spans="1:4" x14ac:dyDescent="0.25">
      <c r="A1993" s="31"/>
      <c r="D1993" s="30"/>
    </row>
    <row r="1994" spans="1:4" x14ac:dyDescent="0.25">
      <c r="A1994" s="31"/>
      <c r="D1994" s="30"/>
    </row>
    <row r="1995" spans="1:4" x14ac:dyDescent="0.25">
      <c r="A1995" s="31"/>
      <c r="D1995" s="30"/>
    </row>
    <row r="1996" spans="1:4" x14ac:dyDescent="0.25">
      <c r="A1996" s="31"/>
      <c r="D1996" s="30"/>
    </row>
    <row r="1997" spans="1:4" x14ac:dyDescent="0.25">
      <c r="A1997" s="31"/>
      <c r="D1997" s="30"/>
    </row>
    <row r="1998" spans="1:4" x14ac:dyDescent="0.25">
      <c r="A1998" s="31"/>
      <c r="D1998" s="30"/>
    </row>
    <row r="1999" spans="1:4" x14ac:dyDescent="0.25">
      <c r="A1999" s="31"/>
      <c r="D1999" s="30"/>
    </row>
    <row r="2000" spans="1:4" x14ac:dyDescent="0.25">
      <c r="A2000" s="31"/>
      <c r="D2000" s="30"/>
    </row>
    <row r="2001" spans="1:4" x14ac:dyDescent="0.25">
      <c r="A2001" s="31"/>
      <c r="D2001" s="30"/>
    </row>
    <row r="2002" spans="1:4" x14ac:dyDescent="0.25">
      <c r="A2002" s="31"/>
      <c r="D2002" s="30"/>
    </row>
    <row r="2003" spans="1:4" x14ac:dyDescent="0.25">
      <c r="A2003" s="31"/>
      <c r="D2003" s="30"/>
    </row>
    <row r="2004" spans="1:4" x14ac:dyDescent="0.25">
      <c r="A2004" s="31"/>
      <c r="D2004" s="30"/>
    </row>
    <row r="2005" spans="1:4" x14ac:dyDescent="0.25">
      <c r="A2005" s="31"/>
      <c r="D2005" s="30"/>
    </row>
    <row r="2006" spans="1:4" x14ac:dyDescent="0.25">
      <c r="A2006" s="31"/>
      <c r="D2006" s="30"/>
    </row>
    <row r="2007" spans="1:4" x14ac:dyDescent="0.25">
      <c r="A2007" s="31"/>
      <c r="D2007" s="30"/>
    </row>
    <row r="2008" spans="1:4" x14ac:dyDescent="0.25">
      <c r="A2008" s="31"/>
      <c r="D2008" s="30"/>
    </row>
    <row r="2009" spans="1:4" x14ac:dyDescent="0.25">
      <c r="A2009" s="31"/>
      <c r="D2009" s="30"/>
    </row>
    <row r="2010" spans="1:4" x14ac:dyDescent="0.25">
      <c r="A2010" s="31"/>
      <c r="D2010" s="30"/>
    </row>
    <row r="2011" spans="1:4" x14ac:dyDescent="0.25">
      <c r="A2011" s="31"/>
      <c r="D2011" s="30"/>
    </row>
    <row r="2012" spans="1:4" x14ac:dyDescent="0.25">
      <c r="A2012" s="31"/>
      <c r="D2012" s="30"/>
    </row>
    <row r="2013" spans="1:4" x14ac:dyDescent="0.25">
      <c r="A2013" s="31"/>
      <c r="D2013" s="30"/>
    </row>
    <row r="2014" spans="1:4" x14ac:dyDescent="0.25">
      <c r="A2014" s="31"/>
      <c r="D2014" s="30"/>
    </row>
    <row r="2015" spans="1:4" x14ac:dyDescent="0.25">
      <c r="A2015" s="31"/>
      <c r="D2015" s="30"/>
    </row>
    <row r="2016" spans="1:4" x14ac:dyDescent="0.25">
      <c r="A2016" s="31"/>
      <c r="D2016" s="30"/>
    </row>
    <row r="2017" spans="1:4" x14ac:dyDescent="0.25">
      <c r="A2017" s="31"/>
      <c r="D2017" s="30"/>
    </row>
    <row r="2018" spans="1:4" x14ac:dyDescent="0.25">
      <c r="A2018" s="31"/>
      <c r="D2018" s="30"/>
    </row>
    <row r="2019" spans="1:4" x14ac:dyDescent="0.25">
      <c r="A2019" s="31"/>
      <c r="D2019" s="30"/>
    </row>
    <row r="2020" spans="1:4" x14ac:dyDescent="0.25">
      <c r="A2020" s="31"/>
      <c r="D2020" s="30"/>
    </row>
    <row r="2021" spans="1:4" x14ac:dyDescent="0.25">
      <c r="A2021" s="31"/>
      <c r="D2021" s="30"/>
    </row>
    <row r="2022" spans="1:4" x14ac:dyDescent="0.25">
      <c r="A2022" s="31"/>
      <c r="D2022" s="30"/>
    </row>
    <row r="2023" spans="1:4" x14ac:dyDescent="0.25">
      <c r="A2023" s="31"/>
      <c r="D2023" s="30"/>
    </row>
    <row r="2024" spans="1:4" x14ac:dyDescent="0.25">
      <c r="A2024" s="31"/>
      <c r="D2024" s="30"/>
    </row>
    <row r="2025" spans="1:4" x14ac:dyDescent="0.25">
      <c r="A2025" s="31"/>
      <c r="D2025" s="30"/>
    </row>
    <row r="2026" spans="1:4" x14ac:dyDescent="0.25">
      <c r="A2026" s="31"/>
      <c r="D2026" s="30"/>
    </row>
    <row r="2027" spans="1:4" x14ac:dyDescent="0.25">
      <c r="A2027" s="31"/>
      <c r="D2027" s="30"/>
    </row>
    <row r="2028" spans="1:4" x14ac:dyDescent="0.25">
      <c r="A2028" s="31"/>
      <c r="D2028" s="30"/>
    </row>
    <row r="2029" spans="1:4" x14ac:dyDescent="0.25">
      <c r="A2029" s="31"/>
      <c r="D2029" s="30"/>
    </row>
    <row r="2030" spans="1:4" x14ac:dyDescent="0.25">
      <c r="A2030" s="31"/>
      <c r="D2030" s="30"/>
    </row>
    <row r="2031" spans="1:4" x14ac:dyDescent="0.25">
      <c r="A2031" s="31"/>
      <c r="D2031" s="30"/>
    </row>
    <row r="2032" spans="1:4" x14ac:dyDescent="0.25">
      <c r="A2032" s="31"/>
      <c r="D2032" s="30"/>
    </row>
    <row r="2033" spans="1:4" x14ac:dyDescent="0.25">
      <c r="A2033" s="31"/>
      <c r="D2033" s="30"/>
    </row>
    <row r="2034" spans="1:4" x14ac:dyDescent="0.25">
      <c r="A2034" s="31"/>
      <c r="D2034" s="30"/>
    </row>
    <row r="2035" spans="1:4" x14ac:dyDescent="0.25">
      <c r="A2035" s="31"/>
      <c r="D2035" s="30"/>
    </row>
    <row r="2036" spans="1:4" x14ac:dyDescent="0.25">
      <c r="A2036" s="31"/>
      <c r="D2036" s="30"/>
    </row>
    <row r="2037" spans="1:4" x14ac:dyDescent="0.25">
      <c r="A2037" s="31"/>
      <c r="D2037" s="30"/>
    </row>
    <row r="2038" spans="1:4" x14ac:dyDescent="0.25">
      <c r="A2038" s="31"/>
      <c r="D2038" s="30"/>
    </row>
    <row r="2039" spans="1:4" x14ac:dyDescent="0.25">
      <c r="A2039" s="31"/>
      <c r="D2039" s="30"/>
    </row>
    <row r="2040" spans="1:4" x14ac:dyDescent="0.25">
      <c r="A2040" s="31"/>
      <c r="D2040" s="30"/>
    </row>
    <row r="2041" spans="1:4" x14ac:dyDescent="0.25">
      <c r="A2041" s="31"/>
      <c r="D2041" s="30"/>
    </row>
    <row r="2042" spans="1:4" x14ac:dyDescent="0.25">
      <c r="A2042" s="31"/>
      <c r="D2042" s="30"/>
    </row>
    <row r="2043" spans="1:4" x14ac:dyDescent="0.25">
      <c r="A2043" s="31"/>
      <c r="D2043" s="30"/>
    </row>
    <row r="2044" spans="1:4" x14ac:dyDescent="0.25">
      <c r="A2044" s="31"/>
      <c r="D2044" s="30"/>
    </row>
    <row r="2045" spans="1:4" x14ac:dyDescent="0.25">
      <c r="A2045" s="31"/>
      <c r="D2045" s="30"/>
    </row>
    <row r="2046" spans="1:4" x14ac:dyDescent="0.25">
      <c r="A2046" s="31"/>
      <c r="D2046" s="30"/>
    </row>
    <row r="2047" spans="1:4" x14ac:dyDescent="0.25">
      <c r="A2047" s="31"/>
      <c r="D2047" s="30"/>
    </row>
    <row r="2048" spans="1:4" x14ac:dyDescent="0.25">
      <c r="A2048" s="31"/>
      <c r="D2048" s="30"/>
    </row>
    <row r="2049" spans="1:4" x14ac:dyDescent="0.25">
      <c r="A2049" s="31"/>
      <c r="D2049" s="30"/>
    </row>
    <row r="2050" spans="1:4" x14ac:dyDescent="0.25">
      <c r="A2050" s="31"/>
      <c r="D2050" s="30"/>
    </row>
    <row r="2051" spans="1:4" x14ac:dyDescent="0.25">
      <c r="A2051" s="31"/>
      <c r="D2051" s="30"/>
    </row>
    <row r="2052" spans="1:4" x14ac:dyDescent="0.25">
      <c r="A2052" s="31"/>
      <c r="D2052" s="30"/>
    </row>
    <row r="2053" spans="1:4" x14ac:dyDescent="0.25">
      <c r="A2053" s="31"/>
      <c r="D2053" s="30"/>
    </row>
    <row r="2054" spans="1:4" x14ac:dyDescent="0.25">
      <c r="A2054" s="31"/>
      <c r="D2054" s="30"/>
    </row>
    <row r="2055" spans="1:4" x14ac:dyDescent="0.25">
      <c r="A2055" s="31"/>
      <c r="D2055" s="30"/>
    </row>
    <row r="2056" spans="1:4" x14ac:dyDescent="0.25">
      <c r="A2056" s="31"/>
      <c r="D2056" s="30"/>
    </row>
    <row r="2057" spans="1:4" x14ac:dyDescent="0.25">
      <c r="A2057" s="31"/>
      <c r="D2057" s="30"/>
    </row>
    <row r="2058" spans="1:4" x14ac:dyDescent="0.25">
      <c r="A2058" s="31"/>
      <c r="D2058" s="30"/>
    </row>
    <row r="2059" spans="1:4" x14ac:dyDescent="0.25">
      <c r="A2059" s="31"/>
      <c r="D2059" s="30"/>
    </row>
    <row r="2060" spans="1:4" x14ac:dyDescent="0.25">
      <c r="A2060" s="31"/>
      <c r="D2060" s="30"/>
    </row>
    <row r="2061" spans="1:4" x14ac:dyDescent="0.25">
      <c r="A2061" s="31"/>
      <c r="D2061" s="30"/>
    </row>
    <row r="2062" spans="1:4" x14ac:dyDescent="0.25">
      <c r="A2062" s="31"/>
      <c r="D2062" s="30"/>
    </row>
    <row r="2063" spans="1:4" x14ac:dyDescent="0.25">
      <c r="A2063" s="31"/>
      <c r="D2063" s="30"/>
    </row>
    <row r="2064" spans="1:4" x14ac:dyDescent="0.25">
      <c r="A2064" s="31"/>
      <c r="D2064" s="30"/>
    </row>
    <row r="2065" spans="1:4" x14ac:dyDescent="0.25">
      <c r="A2065" s="31"/>
      <c r="D2065" s="30"/>
    </row>
    <row r="2066" spans="1:4" x14ac:dyDescent="0.25">
      <c r="A2066" s="31"/>
      <c r="D2066" s="30"/>
    </row>
    <row r="2067" spans="1:4" x14ac:dyDescent="0.25">
      <c r="A2067" s="31"/>
      <c r="D2067" s="30"/>
    </row>
    <row r="2068" spans="1:4" x14ac:dyDescent="0.25">
      <c r="A2068" s="31"/>
      <c r="D2068" s="30"/>
    </row>
    <row r="2069" spans="1:4" x14ac:dyDescent="0.25">
      <c r="A2069" s="31"/>
      <c r="D2069" s="30"/>
    </row>
    <row r="2070" spans="1:4" x14ac:dyDescent="0.25">
      <c r="A2070" s="31"/>
      <c r="D2070" s="30"/>
    </row>
    <row r="2071" spans="1:4" x14ac:dyDescent="0.25">
      <c r="A2071" s="31"/>
      <c r="D2071" s="30"/>
    </row>
    <row r="2072" spans="1:4" x14ac:dyDescent="0.25">
      <c r="A2072" s="31"/>
      <c r="D2072" s="30"/>
    </row>
    <row r="2073" spans="1:4" x14ac:dyDescent="0.25">
      <c r="A2073" s="31"/>
      <c r="D2073" s="30"/>
    </row>
    <row r="2074" spans="1:4" x14ac:dyDescent="0.25">
      <c r="A2074" s="31"/>
      <c r="D2074" s="30"/>
    </row>
    <row r="2075" spans="1:4" x14ac:dyDescent="0.25">
      <c r="A2075" s="31"/>
      <c r="D2075" s="30"/>
    </row>
    <row r="2076" spans="1:4" x14ac:dyDescent="0.25">
      <c r="A2076" s="31"/>
      <c r="D2076" s="30"/>
    </row>
    <row r="2077" spans="1:4" x14ac:dyDescent="0.25">
      <c r="A2077" s="31"/>
      <c r="D2077" s="30"/>
    </row>
    <row r="2078" spans="1:4" x14ac:dyDescent="0.25">
      <c r="A2078" s="31"/>
      <c r="D2078" s="30"/>
    </row>
    <row r="2079" spans="1:4" x14ac:dyDescent="0.25">
      <c r="A2079" s="31"/>
      <c r="D2079" s="30"/>
    </row>
    <row r="2080" spans="1:4" x14ac:dyDescent="0.25">
      <c r="A2080" s="31"/>
      <c r="D2080" s="30"/>
    </row>
    <row r="2081" spans="1:4" x14ac:dyDescent="0.25">
      <c r="A2081" s="31"/>
      <c r="D2081" s="30"/>
    </row>
    <row r="2082" spans="1:4" x14ac:dyDescent="0.25">
      <c r="A2082" s="31"/>
      <c r="D2082" s="30"/>
    </row>
    <row r="2083" spans="1:4" x14ac:dyDescent="0.25">
      <c r="A2083" s="31"/>
      <c r="D2083" s="30"/>
    </row>
    <row r="2084" spans="1:4" x14ac:dyDescent="0.25">
      <c r="A2084" s="31"/>
      <c r="D2084" s="30"/>
    </row>
    <row r="2085" spans="1:4" x14ac:dyDescent="0.25">
      <c r="A2085" s="31"/>
      <c r="D2085" s="30"/>
    </row>
    <row r="2086" spans="1:4" x14ac:dyDescent="0.25">
      <c r="A2086" s="31"/>
      <c r="D2086" s="30"/>
    </row>
    <row r="2087" spans="1:4" x14ac:dyDescent="0.25">
      <c r="A2087" s="31"/>
      <c r="D2087" s="30"/>
    </row>
    <row r="2088" spans="1:4" x14ac:dyDescent="0.25">
      <c r="A2088" s="31"/>
      <c r="D2088" s="30"/>
    </row>
    <row r="2089" spans="1:4" x14ac:dyDescent="0.25">
      <c r="A2089" s="31"/>
      <c r="D2089" s="30"/>
    </row>
    <row r="2090" spans="1:4" x14ac:dyDescent="0.25">
      <c r="A2090" s="31"/>
      <c r="D2090" s="30"/>
    </row>
    <row r="2091" spans="1:4" x14ac:dyDescent="0.25">
      <c r="A2091" s="31"/>
      <c r="D2091" s="30"/>
    </row>
    <row r="2092" spans="1:4" x14ac:dyDescent="0.25">
      <c r="A2092" s="31"/>
      <c r="D2092" s="30"/>
    </row>
    <row r="2093" spans="1:4" x14ac:dyDescent="0.25">
      <c r="A2093" s="31"/>
      <c r="D2093" s="30"/>
    </row>
    <row r="2094" spans="1:4" x14ac:dyDescent="0.25">
      <c r="A2094" s="31"/>
      <c r="D2094" s="30"/>
    </row>
    <row r="2095" spans="1:4" x14ac:dyDescent="0.25">
      <c r="A2095" s="31"/>
      <c r="D2095" s="30"/>
    </row>
    <row r="2096" spans="1:4" x14ac:dyDescent="0.25">
      <c r="A2096" s="31"/>
      <c r="D2096" s="30"/>
    </row>
    <row r="2097" spans="1:4" x14ac:dyDescent="0.25">
      <c r="A2097" s="31"/>
      <c r="D2097" s="30"/>
    </row>
    <row r="2098" spans="1:4" x14ac:dyDescent="0.25">
      <c r="A2098" s="31"/>
      <c r="D2098" s="30"/>
    </row>
    <row r="2099" spans="1:4" x14ac:dyDescent="0.25">
      <c r="A2099" s="31"/>
      <c r="D2099" s="30"/>
    </row>
    <row r="2100" spans="1:4" x14ac:dyDescent="0.25">
      <c r="A2100" s="31"/>
      <c r="D2100" s="30"/>
    </row>
    <row r="2101" spans="1:4" x14ac:dyDescent="0.25">
      <c r="A2101" s="31"/>
      <c r="D2101" s="30"/>
    </row>
    <row r="2102" spans="1:4" x14ac:dyDescent="0.25">
      <c r="A2102" s="31"/>
      <c r="D2102" s="30"/>
    </row>
    <row r="2103" spans="1:4" x14ac:dyDescent="0.25">
      <c r="A2103" s="31"/>
      <c r="D2103" s="30"/>
    </row>
    <row r="2104" spans="1:4" x14ac:dyDescent="0.25">
      <c r="A2104" s="31"/>
      <c r="D2104" s="30"/>
    </row>
    <row r="2105" spans="1:4" x14ac:dyDescent="0.25">
      <c r="A2105" s="31"/>
      <c r="D2105" s="30"/>
    </row>
    <row r="2106" spans="1:4" x14ac:dyDescent="0.25">
      <c r="A2106" s="31"/>
      <c r="D2106" s="30"/>
    </row>
    <row r="2107" spans="1:4" x14ac:dyDescent="0.25">
      <c r="A2107" s="31"/>
      <c r="D2107" s="30"/>
    </row>
    <row r="2108" spans="1:4" x14ac:dyDescent="0.25">
      <c r="A2108" s="31"/>
      <c r="D2108" s="30"/>
    </row>
    <row r="2109" spans="1:4" x14ac:dyDescent="0.25">
      <c r="A2109" s="31"/>
      <c r="D2109" s="30"/>
    </row>
    <row r="2110" spans="1:4" x14ac:dyDescent="0.25">
      <c r="A2110" s="31"/>
      <c r="D2110" s="30"/>
    </row>
    <row r="2111" spans="1:4" x14ac:dyDescent="0.25">
      <c r="A2111" s="31"/>
      <c r="D2111" s="30"/>
    </row>
    <row r="2112" spans="1:4" x14ac:dyDescent="0.25">
      <c r="A2112" s="31"/>
      <c r="D2112" s="30"/>
    </row>
    <row r="2113" spans="1:4" x14ac:dyDescent="0.25">
      <c r="A2113" s="31"/>
      <c r="D2113" s="30"/>
    </row>
    <row r="2114" spans="1:4" x14ac:dyDescent="0.25">
      <c r="A2114" s="31"/>
      <c r="D2114" s="30"/>
    </row>
    <row r="2115" spans="1:4" x14ac:dyDescent="0.25">
      <c r="A2115" s="31"/>
      <c r="D2115" s="30"/>
    </row>
    <row r="2116" spans="1:4" x14ac:dyDescent="0.25">
      <c r="A2116" s="31"/>
      <c r="D2116" s="30"/>
    </row>
    <row r="2117" spans="1:4" x14ac:dyDescent="0.25">
      <c r="A2117" s="31"/>
      <c r="D2117" s="30"/>
    </row>
    <row r="2118" spans="1:4" x14ac:dyDescent="0.25">
      <c r="A2118" s="31"/>
      <c r="D2118" s="30"/>
    </row>
    <row r="2119" spans="1:4" x14ac:dyDescent="0.25">
      <c r="A2119" s="31"/>
      <c r="D2119" s="30"/>
    </row>
    <row r="2120" spans="1:4" x14ac:dyDescent="0.25">
      <c r="A2120" s="31"/>
      <c r="D2120" s="30"/>
    </row>
    <row r="2121" spans="1:4" x14ac:dyDescent="0.25">
      <c r="A2121" s="31"/>
      <c r="D2121" s="30"/>
    </row>
    <row r="2122" spans="1:4" x14ac:dyDescent="0.25">
      <c r="A2122" s="31"/>
      <c r="D2122" s="30"/>
    </row>
    <row r="2123" spans="1:4" x14ac:dyDescent="0.25">
      <c r="A2123" s="31"/>
      <c r="D2123" s="30"/>
    </row>
    <row r="2124" spans="1:4" x14ac:dyDescent="0.25">
      <c r="A2124" s="31"/>
      <c r="D2124" s="30"/>
    </row>
    <row r="2125" spans="1:4" x14ac:dyDescent="0.25">
      <c r="A2125" s="31"/>
      <c r="D2125" s="30"/>
    </row>
    <row r="2126" spans="1:4" x14ac:dyDescent="0.25">
      <c r="A2126" s="31"/>
      <c r="D2126" s="30"/>
    </row>
    <row r="2127" spans="1:4" x14ac:dyDescent="0.25">
      <c r="A2127" s="31"/>
      <c r="D2127" s="30"/>
    </row>
    <row r="2128" spans="1:4" x14ac:dyDescent="0.25">
      <c r="A2128" s="31"/>
      <c r="D2128" s="30"/>
    </row>
    <row r="2129" spans="1:4" x14ac:dyDescent="0.25">
      <c r="A2129" s="31"/>
      <c r="D2129" s="30"/>
    </row>
    <row r="2130" spans="1:4" x14ac:dyDescent="0.25">
      <c r="A2130" s="31"/>
      <c r="D2130" s="30"/>
    </row>
    <row r="2131" spans="1:4" x14ac:dyDescent="0.25">
      <c r="A2131" s="31"/>
      <c r="D2131" s="30"/>
    </row>
    <row r="2132" spans="1:4" x14ac:dyDescent="0.25">
      <c r="A2132" s="31"/>
      <c r="D2132" s="30"/>
    </row>
    <row r="2133" spans="1:4" x14ac:dyDescent="0.25">
      <c r="A2133" s="31"/>
      <c r="D2133" s="30"/>
    </row>
    <row r="2134" spans="1:4" x14ac:dyDescent="0.25">
      <c r="A2134" s="31"/>
      <c r="D2134" s="30"/>
    </row>
    <row r="2135" spans="1:4" x14ac:dyDescent="0.25">
      <c r="A2135" s="31"/>
      <c r="D2135" s="30"/>
    </row>
    <row r="2136" spans="1:4" x14ac:dyDescent="0.25">
      <c r="A2136" s="31"/>
      <c r="D2136" s="30"/>
    </row>
    <row r="2137" spans="1:4" x14ac:dyDescent="0.25">
      <c r="A2137" s="31"/>
      <c r="D2137" s="30"/>
    </row>
    <row r="2138" spans="1:4" x14ac:dyDescent="0.25">
      <c r="A2138" s="31"/>
      <c r="D2138" s="30"/>
    </row>
    <row r="2139" spans="1:4" x14ac:dyDescent="0.25">
      <c r="A2139" s="31"/>
      <c r="D2139" s="30"/>
    </row>
    <row r="2140" spans="1:4" x14ac:dyDescent="0.25">
      <c r="A2140" s="31"/>
      <c r="D2140" s="30"/>
    </row>
    <row r="2141" spans="1:4" x14ac:dyDescent="0.25">
      <c r="A2141" s="31"/>
      <c r="D2141" s="30"/>
    </row>
    <row r="2142" spans="1:4" x14ac:dyDescent="0.25">
      <c r="A2142" s="31"/>
      <c r="D2142" s="30"/>
    </row>
    <row r="2143" spans="1:4" x14ac:dyDescent="0.25">
      <c r="A2143" s="31"/>
      <c r="D2143" s="30"/>
    </row>
    <row r="2144" spans="1:4" x14ac:dyDescent="0.25">
      <c r="A2144" s="31"/>
      <c r="D2144" s="30"/>
    </row>
    <row r="2145" spans="1:4" x14ac:dyDescent="0.25">
      <c r="A2145" s="31"/>
      <c r="D2145" s="30"/>
    </row>
    <row r="2146" spans="1:4" x14ac:dyDescent="0.25">
      <c r="A2146" s="31"/>
      <c r="D2146" s="30"/>
    </row>
    <row r="2147" spans="1:4" x14ac:dyDescent="0.25">
      <c r="A2147" s="31"/>
      <c r="D2147" s="30"/>
    </row>
    <row r="2148" spans="1:4" x14ac:dyDescent="0.25">
      <c r="A2148" s="31"/>
      <c r="D2148" s="30"/>
    </row>
    <row r="2149" spans="1:4" x14ac:dyDescent="0.25">
      <c r="A2149" s="31"/>
      <c r="D2149" s="30"/>
    </row>
    <row r="2150" spans="1:4" x14ac:dyDescent="0.25">
      <c r="A2150" s="31"/>
      <c r="D2150" s="30"/>
    </row>
    <row r="2151" spans="1:4" x14ac:dyDescent="0.25">
      <c r="A2151" s="31"/>
      <c r="D2151" s="30"/>
    </row>
    <row r="2152" spans="1:4" x14ac:dyDescent="0.25">
      <c r="A2152" s="31"/>
      <c r="D2152" s="30"/>
    </row>
    <row r="2153" spans="1:4" x14ac:dyDescent="0.25">
      <c r="A2153" s="31"/>
      <c r="D2153" s="30"/>
    </row>
    <row r="2154" spans="1:4" x14ac:dyDescent="0.25">
      <c r="A2154" s="31"/>
      <c r="D2154" s="30"/>
    </row>
    <row r="2155" spans="1:4" x14ac:dyDescent="0.25">
      <c r="A2155" s="31"/>
      <c r="D2155" s="30"/>
    </row>
    <row r="2156" spans="1:4" x14ac:dyDescent="0.25">
      <c r="A2156" s="31"/>
      <c r="D2156" s="30"/>
    </row>
    <row r="2157" spans="1:4" x14ac:dyDescent="0.25">
      <c r="A2157" s="31"/>
      <c r="D2157" s="30"/>
    </row>
    <row r="2158" spans="1:4" x14ac:dyDescent="0.25">
      <c r="A2158" s="31"/>
      <c r="D2158" s="30"/>
    </row>
    <row r="2159" spans="1:4" x14ac:dyDescent="0.25">
      <c r="A2159" s="31"/>
      <c r="D2159" s="30"/>
    </row>
    <row r="2160" spans="1:4" x14ac:dyDescent="0.25">
      <c r="A2160" s="31"/>
      <c r="D2160" s="30"/>
    </row>
    <row r="2161" spans="1:4" x14ac:dyDescent="0.25">
      <c r="A2161" s="31"/>
      <c r="D2161" s="30"/>
    </row>
    <row r="2162" spans="1:4" x14ac:dyDescent="0.25">
      <c r="A2162" s="31"/>
      <c r="D2162" s="30"/>
    </row>
    <row r="2163" spans="1:4" x14ac:dyDescent="0.25">
      <c r="A2163" s="31"/>
      <c r="D2163" s="30"/>
    </row>
    <row r="2164" spans="1:4" x14ac:dyDescent="0.25">
      <c r="A2164" s="31"/>
      <c r="D2164" s="30"/>
    </row>
    <row r="2165" spans="1:4" x14ac:dyDescent="0.25">
      <c r="A2165" s="31"/>
      <c r="D2165" s="30"/>
    </row>
    <row r="2166" spans="1:4" x14ac:dyDescent="0.25">
      <c r="A2166" s="31"/>
      <c r="D2166" s="30"/>
    </row>
    <row r="2167" spans="1:4" x14ac:dyDescent="0.25">
      <c r="A2167" s="31"/>
      <c r="D2167" s="30"/>
    </row>
    <row r="2168" spans="1:4" x14ac:dyDescent="0.25">
      <c r="A2168" s="31"/>
      <c r="D2168" s="30"/>
    </row>
    <row r="2169" spans="1:4" x14ac:dyDescent="0.25">
      <c r="A2169" s="31"/>
      <c r="D2169" s="30"/>
    </row>
    <row r="2170" spans="1:4" x14ac:dyDescent="0.25">
      <c r="A2170" s="31"/>
      <c r="D2170" s="30"/>
    </row>
    <row r="2171" spans="1:4" x14ac:dyDescent="0.25">
      <c r="A2171" s="31"/>
      <c r="D2171" s="30"/>
    </row>
    <row r="2172" spans="1:4" x14ac:dyDescent="0.25">
      <c r="A2172" s="31"/>
      <c r="D2172" s="30"/>
    </row>
    <row r="2173" spans="1:4" x14ac:dyDescent="0.25">
      <c r="A2173" s="31"/>
      <c r="D2173" s="30"/>
    </row>
    <row r="2174" spans="1:4" x14ac:dyDescent="0.25">
      <c r="A2174" s="31"/>
      <c r="D2174" s="30"/>
    </row>
    <row r="2175" spans="1:4" x14ac:dyDescent="0.25">
      <c r="A2175" s="31"/>
      <c r="D2175" s="30"/>
    </row>
    <row r="2176" spans="1:4" x14ac:dyDescent="0.25">
      <c r="A2176" s="31"/>
      <c r="D2176" s="30"/>
    </row>
    <row r="2177" spans="1:4" x14ac:dyDescent="0.25">
      <c r="A2177" s="31"/>
      <c r="D2177" s="30"/>
    </row>
    <row r="2178" spans="1:4" x14ac:dyDescent="0.25">
      <c r="A2178" s="31"/>
      <c r="D2178" s="30"/>
    </row>
    <row r="2179" spans="1:4" x14ac:dyDescent="0.25">
      <c r="A2179" s="31"/>
      <c r="D2179" s="30"/>
    </row>
    <row r="2180" spans="1:4" x14ac:dyDescent="0.25">
      <c r="A2180" s="31"/>
      <c r="D2180" s="30"/>
    </row>
    <row r="2181" spans="1:4" x14ac:dyDescent="0.25">
      <c r="A2181" s="31"/>
      <c r="D2181" s="30"/>
    </row>
    <row r="2182" spans="1:4" x14ac:dyDescent="0.25">
      <c r="A2182" s="31"/>
      <c r="D2182" s="30"/>
    </row>
    <row r="2183" spans="1:4" x14ac:dyDescent="0.25">
      <c r="A2183" s="31"/>
      <c r="D2183" s="30"/>
    </row>
    <row r="2184" spans="1:4" x14ac:dyDescent="0.25">
      <c r="A2184" s="31"/>
      <c r="D2184" s="30"/>
    </row>
    <row r="2185" spans="1:4" x14ac:dyDescent="0.25">
      <c r="A2185" s="31"/>
      <c r="D2185" s="30"/>
    </row>
    <row r="2186" spans="1:4" x14ac:dyDescent="0.25">
      <c r="A2186" s="31"/>
      <c r="D2186" s="30"/>
    </row>
    <row r="2187" spans="1:4" x14ac:dyDescent="0.25">
      <c r="A2187" s="31"/>
      <c r="D2187" s="30"/>
    </row>
    <row r="2188" spans="1:4" x14ac:dyDescent="0.25">
      <c r="A2188" s="31"/>
      <c r="D2188" s="30"/>
    </row>
    <row r="2189" spans="1:4" x14ac:dyDescent="0.25">
      <c r="A2189" s="31"/>
      <c r="D2189" s="30"/>
    </row>
    <row r="2190" spans="1:4" x14ac:dyDescent="0.25">
      <c r="A2190" s="31"/>
      <c r="D2190" s="30"/>
    </row>
    <row r="2191" spans="1:4" x14ac:dyDescent="0.25">
      <c r="A2191" s="31"/>
      <c r="D2191" s="30"/>
    </row>
    <row r="2192" spans="1:4" x14ac:dyDescent="0.25">
      <c r="A2192" s="31"/>
      <c r="D2192" s="30"/>
    </row>
    <row r="2193" spans="1:4" x14ac:dyDescent="0.25">
      <c r="A2193" s="31"/>
      <c r="D2193" s="30"/>
    </row>
    <row r="2194" spans="1:4" x14ac:dyDescent="0.25">
      <c r="A2194" s="31"/>
      <c r="D2194" s="30"/>
    </row>
    <row r="2195" spans="1:4" x14ac:dyDescent="0.25">
      <c r="A2195" s="31"/>
      <c r="D2195" s="30"/>
    </row>
    <row r="2196" spans="1:4" x14ac:dyDescent="0.25">
      <c r="A2196" s="31"/>
      <c r="D2196" s="30"/>
    </row>
    <row r="2197" spans="1:4" x14ac:dyDescent="0.25">
      <c r="A2197" s="31"/>
      <c r="D2197" s="30"/>
    </row>
    <row r="2198" spans="1:4" x14ac:dyDescent="0.25">
      <c r="A2198" s="31"/>
      <c r="D2198" s="30"/>
    </row>
    <row r="2199" spans="1:4" x14ac:dyDescent="0.25">
      <c r="A2199" s="31"/>
      <c r="D2199" s="30"/>
    </row>
    <row r="2200" spans="1:4" x14ac:dyDescent="0.25">
      <c r="A2200" s="31"/>
      <c r="D2200" s="30"/>
    </row>
    <row r="2201" spans="1:4" x14ac:dyDescent="0.25">
      <c r="A2201" s="31"/>
      <c r="D2201" s="30"/>
    </row>
    <row r="2202" spans="1:4" x14ac:dyDescent="0.25">
      <c r="A2202" s="31"/>
      <c r="D2202" s="30"/>
    </row>
    <row r="2203" spans="1:4" x14ac:dyDescent="0.25">
      <c r="A2203" s="31"/>
      <c r="D2203" s="30"/>
    </row>
    <row r="2204" spans="1:4" x14ac:dyDescent="0.25">
      <c r="A2204" s="31"/>
      <c r="D2204" s="30"/>
    </row>
    <row r="2205" spans="1:4" x14ac:dyDescent="0.25">
      <c r="A2205" s="31"/>
      <c r="D2205" s="30"/>
    </row>
    <row r="2206" spans="1:4" x14ac:dyDescent="0.25">
      <c r="A2206" s="31"/>
      <c r="D2206" s="30"/>
    </row>
    <row r="2207" spans="1:4" x14ac:dyDescent="0.25">
      <c r="A2207" s="31"/>
      <c r="D2207" s="30"/>
    </row>
    <row r="2208" spans="1:4" x14ac:dyDescent="0.25">
      <c r="A2208" s="31"/>
      <c r="D2208" s="30"/>
    </row>
    <row r="2209" spans="1:4" x14ac:dyDescent="0.25">
      <c r="A2209" s="31"/>
      <c r="D2209" s="30"/>
    </row>
    <row r="2210" spans="1:4" x14ac:dyDescent="0.25">
      <c r="A2210" s="31"/>
      <c r="D2210" s="30"/>
    </row>
    <row r="2211" spans="1:4" x14ac:dyDescent="0.25">
      <c r="A2211" s="31"/>
      <c r="D2211" s="30"/>
    </row>
    <row r="2212" spans="1:4" x14ac:dyDescent="0.25">
      <c r="A2212" s="31"/>
      <c r="D2212" s="30"/>
    </row>
    <row r="2213" spans="1:4" x14ac:dyDescent="0.25">
      <c r="A2213" s="31"/>
      <c r="D2213" s="30"/>
    </row>
    <row r="2214" spans="1:4" x14ac:dyDescent="0.25">
      <c r="A2214" s="31"/>
      <c r="D2214" s="30"/>
    </row>
    <row r="2215" spans="1:4" x14ac:dyDescent="0.25">
      <c r="A2215" s="31"/>
      <c r="D2215" s="30"/>
    </row>
    <row r="2216" spans="1:4" x14ac:dyDescent="0.25">
      <c r="A2216" s="31"/>
      <c r="D2216" s="30"/>
    </row>
    <row r="2217" spans="1:4" x14ac:dyDescent="0.25">
      <c r="A2217" s="31"/>
      <c r="D2217" s="30"/>
    </row>
    <row r="2218" spans="1:4" x14ac:dyDescent="0.25">
      <c r="A2218" s="31"/>
      <c r="D2218" s="30"/>
    </row>
    <row r="2219" spans="1:4" x14ac:dyDescent="0.25">
      <c r="A2219" s="31"/>
      <c r="D2219" s="30"/>
    </row>
    <row r="2220" spans="1:4" x14ac:dyDescent="0.25">
      <c r="A2220" s="31"/>
      <c r="D2220" s="30"/>
    </row>
    <row r="2221" spans="1:4" x14ac:dyDescent="0.25">
      <c r="A2221" s="31"/>
      <c r="D2221" s="30"/>
    </row>
    <row r="2222" spans="1:4" x14ac:dyDescent="0.25">
      <c r="A2222" s="31"/>
      <c r="D2222" s="30"/>
    </row>
    <row r="2223" spans="1:4" x14ac:dyDescent="0.25">
      <c r="A2223" s="31"/>
      <c r="D2223" s="30"/>
    </row>
    <row r="2224" spans="1:4" x14ac:dyDescent="0.25">
      <c r="A2224" s="31"/>
      <c r="D2224" s="30"/>
    </row>
    <row r="2225" spans="1:4" x14ac:dyDescent="0.25">
      <c r="A2225" s="31"/>
      <c r="D2225" s="30"/>
    </row>
    <row r="2226" spans="1:4" x14ac:dyDescent="0.25">
      <c r="A2226" s="31"/>
      <c r="D2226" s="30"/>
    </row>
    <row r="2227" spans="1:4" x14ac:dyDescent="0.25">
      <c r="A2227" s="31"/>
      <c r="D2227" s="30"/>
    </row>
    <row r="2228" spans="1:4" x14ac:dyDescent="0.25">
      <c r="A2228" s="31"/>
      <c r="D2228" s="30"/>
    </row>
    <row r="2229" spans="1:4" x14ac:dyDescent="0.25">
      <c r="A2229" s="31"/>
      <c r="D2229" s="30"/>
    </row>
    <row r="2230" spans="1:4" x14ac:dyDescent="0.25">
      <c r="A2230" s="31"/>
      <c r="D2230" s="30"/>
    </row>
    <row r="2231" spans="1:4" x14ac:dyDescent="0.25">
      <c r="A2231" s="31"/>
      <c r="D2231" s="30"/>
    </row>
    <row r="2232" spans="1:4" x14ac:dyDescent="0.25">
      <c r="A2232" s="31"/>
      <c r="D2232" s="30"/>
    </row>
    <row r="2233" spans="1:4" x14ac:dyDescent="0.25">
      <c r="A2233" s="31"/>
      <c r="D2233" s="30"/>
    </row>
    <row r="2234" spans="1:4" x14ac:dyDescent="0.25">
      <c r="A2234" s="31"/>
      <c r="D2234" s="30"/>
    </row>
    <row r="2235" spans="1:4" x14ac:dyDescent="0.25">
      <c r="A2235" s="31"/>
      <c r="D2235" s="30"/>
    </row>
    <row r="2236" spans="1:4" x14ac:dyDescent="0.25">
      <c r="A2236" s="31"/>
      <c r="D2236" s="30"/>
    </row>
    <row r="2237" spans="1:4" x14ac:dyDescent="0.25">
      <c r="A2237" s="31"/>
      <c r="D2237" s="30"/>
    </row>
    <row r="2238" spans="1:4" x14ac:dyDescent="0.25">
      <c r="A2238" s="31"/>
      <c r="D2238" s="30"/>
    </row>
    <row r="2239" spans="1:4" x14ac:dyDescent="0.25">
      <c r="A2239" s="31"/>
      <c r="D2239" s="30"/>
    </row>
    <row r="2240" spans="1:4" x14ac:dyDescent="0.25">
      <c r="A2240" s="31"/>
      <c r="D2240" s="30"/>
    </row>
    <row r="2241" spans="1:4" x14ac:dyDescent="0.25">
      <c r="A2241" s="31"/>
      <c r="D2241" s="30"/>
    </row>
    <row r="2242" spans="1:4" x14ac:dyDescent="0.25">
      <c r="A2242" s="31"/>
      <c r="D2242" s="30"/>
    </row>
    <row r="2243" spans="1:4" x14ac:dyDescent="0.25">
      <c r="A2243" s="31"/>
      <c r="D2243" s="30"/>
    </row>
    <row r="2244" spans="1:4" x14ac:dyDescent="0.25">
      <c r="A2244" s="31"/>
      <c r="D2244" s="30"/>
    </row>
    <row r="2245" spans="1:4" x14ac:dyDescent="0.25">
      <c r="A2245" s="31"/>
      <c r="D2245" s="30"/>
    </row>
    <row r="2246" spans="1:4" x14ac:dyDescent="0.25">
      <c r="A2246" s="31"/>
      <c r="D2246" s="30"/>
    </row>
    <row r="2247" spans="1:4" x14ac:dyDescent="0.25">
      <c r="A2247" s="31"/>
      <c r="D2247" s="30"/>
    </row>
    <row r="2248" spans="1:4" x14ac:dyDescent="0.25">
      <c r="A2248" s="31"/>
      <c r="D2248" s="30"/>
    </row>
    <row r="2249" spans="1:4" x14ac:dyDescent="0.25">
      <c r="A2249" s="31"/>
      <c r="D2249" s="30"/>
    </row>
    <row r="2250" spans="1:4" x14ac:dyDescent="0.25">
      <c r="A2250" s="31"/>
      <c r="D2250" s="30"/>
    </row>
    <row r="2251" spans="1:4" x14ac:dyDescent="0.25">
      <c r="A2251" s="31"/>
      <c r="D2251" s="30"/>
    </row>
    <row r="2252" spans="1:4" x14ac:dyDescent="0.25">
      <c r="A2252" s="31"/>
      <c r="D2252" s="30"/>
    </row>
    <row r="2253" spans="1:4" x14ac:dyDescent="0.25">
      <c r="A2253" s="31"/>
      <c r="D2253" s="30"/>
    </row>
    <row r="2254" spans="1:4" x14ac:dyDescent="0.25">
      <c r="A2254" s="31"/>
      <c r="D2254" s="30"/>
    </row>
    <row r="2255" spans="1:4" x14ac:dyDescent="0.25">
      <c r="A2255" s="31"/>
      <c r="D2255" s="30"/>
    </row>
    <row r="2256" spans="1:4" x14ac:dyDescent="0.25">
      <c r="A2256" s="31"/>
      <c r="D2256" s="30"/>
    </row>
    <row r="2257" spans="1:4" x14ac:dyDescent="0.25">
      <c r="A2257" s="31"/>
      <c r="D2257" s="30"/>
    </row>
    <row r="2258" spans="1:4" x14ac:dyDescent="0.25">
      <c r="A2258" s="31"/>
      <c r="D2258" s="30"/>
    </row>
    <row r="2259" spans="1:4" x14ac:dyDescent="0.25">
      <c r="A2259" s="31"/>
      <c r="D2259" s="30"/>
    </row>
    <row r="2260" spans="1:4" x14ac:dyDescent="0.25">
      <c r="A2260" s="31"/>
      <c r="D2260" s="30"/>
    </row>
    <row r="2261" spans="1:4" x14ac:dyDescent="0.25">
      <c r="A2261" s="31"/>
      <c r="D2261" s="30"/>
    </row>
    <row r="2262" spans="1:4" x14ac:dyDescent="0.25">
      <c r="A2262" s="31"/>
      <c r="D2262" s="30"/>
    </row>
    <row r="2263" spans="1:4" x14ac:dyDescent="0.25">
      <c r="A2263" s="31"/>
      <c r="D2263" s="30"/>
    </row>
    <row r="2264" spans="1:4" x14ac:dyDescent="0.25">
      <c r="A2264" s="31"/>
      <c r="D2264" s="30"/>
    </row>
    <row r="2265" spans="1:4" x14ac:dyDescent="0.25">
      <c r="A2265" s="31"/>
      <c r="D2265" s="30"/>
    </row>
    <row r="2266" spans="1:4" x14ac:dyDescent="0.25">
      <c r="A2266" s="31"/>
      <c r="D2266" s="30"/>
    </row>
    <row r="2267" spans="1:4" x14ac:dyDescent="0.25">
      <c r="A2267" s="31"/>
      <c r="D2267" s="30"/>
    </row>
    <row r="2268" spans="1:4" x14ac:dyDescent="0.25">
      <c r="A2268" s="31"/>
      <c r="D2268" s="30"/>
    </row>
    <row r="2269" spans="1:4" x14ac:dyDescent="0.25">
      <c r="A2269" s="31"/>
      <c r="D2269" s="30"/>
    </row>
    <row r="2270" spans="1:4" x14ac:dyDescent="0.25">
      <c r="A2270" s="31"/>
      <c r="D2270" s="30"/>
    </row>
    <row r="2271" spans="1:4" x14ac:dyDescent="0.25">
      <c r="A2271" s="31"/>
      <c r="D2271" s="30"/>
    </row>
    <row r="2272" spans="1:4" x14ac:dyDescent="0.25">
      <c r="A2272" s="31"/>
      <c r="D2272" s="30"/>
    </row>
    <row r="2273" spans="1:4" x14ac:dyDescent="0.25">
      <c r="A2273" s="31"/>
      <c r="D2273" s="30"/>
    </row>
    <row r="2274" spans="1:4" x14ac:dyDescent="0.25">
      <c r="A2274" s="31"/>
      <c r="D2274" s="30"/>
    </row>
    <row r="2275" spans="1:4" x14ac:dyDescent="0.25">
      <c r="A2275" s="31"/>
      <c r="D2275" s="30"/>
    </row>
    <row r="2276" spans="1:4" x14ac:dyDescent="0.25">
      <c r="A2276" s="31"/>
      <c r="D2276" s="30"/>
    </row>
    <row r="2277" spans="1:4" x14ac:dyDescent="0.25">
      <c r="A2277" s="31"/>
      <c r="D2277" s="30"/>
    </row>
    <row r="2278" spans="1:4" x14ac:dyDescent="0.25">
      <c r="A2278" s="31"/>
      <c r="D2278" s="30"/>
    </row>
    <row r="2279" spans="1:4" x14ac:dyDescent="0.25">
      <c r="A2279" s="31"/>
      <c r="D2279" s="30"/>
    </row>
    <row r="2280" spans="1:4" x14ac:dyDescent="0.25">
      <c r="A2280" s="31"/>
      <c r="D2280" s="30"/>
    </row>
    <row r="2281" spans="1:4" x14ac:dyDescent="0.25">
      <c r="A2281" s="31"/>
      <c r="D2281" s="30"/>
    </row>
    <row r="2282" spans="1:4" x14ac:dyDescent="0.25">
      <c r="A2282" s="31"/>
      <c r="D2282" s="30"/>
    </row>
    <row r="2283" spans="1:4" x14ac:dyDescent="0.25">
      <c r="A2283" s="31"/>
      <c r="D2283" s="30"/>
    </row>
    <row r="2284" spans="1:4" x14ac:dyDescent="0.25">
      <c r="A2284" s="31"/>
      <c r="D2284" s="30"/>
    </row>
    <row r="2285" spans="1:4" x14ac:dyDescent="0.25">
      <c r="A2285" s="31"/>
      <c r="D2285" s="30"/>
    </row>
    <row r="2286" spans="1:4" x14ac:dyDescent="0.25">
      <c r="A2286" s="31"/>
      <c r="D2286" s="30"/>
    </row>
    <row r="2287" spans="1:4" x14ac:dyDescent="0.25">
      <c r="A2287" s="31"/>
      <c r="D2287" s="30"/>
    </row>
    <row r="2288" spans="1:4" x14ac:dyDescent="0.25">
      <c r="A2288" s="31"/>
      <c r="D2288" s="30"/>
    </row>
    <row r="2289" spans="1:4" x14ac:dyDescent="0.25">
      <c r="A2289" s="31"/>
      <c r="D2289" s="30"/>
    </row>
    <row r="2290" spans="1:4" x14ac:dyDescent="0.25">
      <c r="A2290" s="31"/>
      <c r="D2290" s="30"/>
    </row>
    <row r="2291" spans="1:4" x14ac:dyDescent="0.25">
      <c r="A2291" s="31"/>
      <c r="D2291" s="30"/>
    </row>
    <row r="2292" spans="1:4" x14ac:dyDescent="0.25">
      <c r="A2292" s="31"/>
      <c r="D2292" s="30"/>
    </row>
    <row r="2293" spans="1:4" x14ac:dyDescent="0.25">
      <c r="A2293" s="31"/>
      <c r="D2293" s="30"/>
    </row>
    <row r="2294" spans="1:4" x14ac:dyDescent="0.25">
      <c r="A2294" s="31"/>
      <c r="D2294" s="30"/>
    </row>
    <row r="2295" spans="1:4" x14ac:dyDescent="0.25">
      <c r="A2295" s="31"/>
      <c r="D2295" s="30"/>
    </row>
    <row r="2296" spans="1:4" x14ac:dyDescent="0.25">
      <c r="A2296" s="31"/>
      <c r="D2296" s="30"/>
    </row>
    <row r="2297" spans="1:4" x14ac:dyDescent="0.25">
      <c r="A2297" s="31"/>
      <c r="D2297" s="30"/>
    </row>
    <row r="2298" spans="1:4" x14ac:dyDescent="0.25">
      <c r="A2298" s="31"/>
      <c r="D2298" s="30"/>
    </row>
    <row r="2299" spans="1:4" x14ac:dyDescent="0.25">
      <c r="A2299" s="31"/>
      <c r="D2299" s="30"/>
    </row>
    <row r="2300" spans="1:4" x14ac:dyDescent="0.25">
      <c r="A2300" s="31"/>
      <c r="D2300" s="30"/>
    </row>
    <row r="2301" spans="1:4" x14ac:dyDescent="0.25">
      <c r="A2301" s="31"/>
      <c r="D2301" s="30"/>
    </row>
    <row r="2302" spans="1:4" x14ac:dyDescent="0.25">
      <c r="A2302" s="31"/>
      <c r="D2302" s="30"/>
    </row>
    <row r="2303" spans="1:4" x14ac:dyDescent="0.25">
      <c r="A2303" s="31"/>
      <c r="D2303" s="30"/>
    </row>
    <row r="2304" spans="1:4" x14ac:dyDescent="0.25">
      <c r="A2304" s="31"/>
      <c r="D2304" s="30"/>
    </row>
    <row r="2305" spans="1:4" x14ac:dyDescent="0.25">
      <c r="A2305" s="31"/>
      <c r="D2305" s="30"/>
    </row>
    <row r="2306" spans="1:4" x14ac:dyDescent="0.25">
      <c r="A2306" s="31"/>
      <c r="D2306" s="30"/>
    </row>
    <row r="2307" spans="1:4" x14ac:dyDescent="0.25">
      <c r="A2307" s="31"/>
      <c r="D2307" s="30"/>
    </row>
    <row r="2308" spans="1:4" x14ac:dyDescent="0.25">
      <c r="A2308" s="31"/>
      <c r="D2308" s="30"/>
    </row>
    <row r="2309" spans="1:4" x14ac:dyDescent="0.25">
      <c r="A2309" s="31"/>
      <c r="D2309" s="30"/>
    </row>
    <row r="2310" spans="1:4" x14ac:dyDescent="0.25">
      <c r="A2310" s="31"/>
      <c r="D2310" s="30"/>
    </row>
    <row r="2311" spans="1:4" x14ac:dyDescent="0.25">
      <c r="A2311" s="31"/>
      <c r="D2311" s="30"/>
    </row>
    <row r="2312" spans="1:4" x14ac:dyDescent="0.25">
      <c r="A2312" s="31"/>
      <c r="D2312" s="30"/>
    </row>
    <row r="2313" spans="1:4" x14ac:dyDescent="0.25">
      <c r="A2313" s="31"/>
      <c r="D2313" s="30"/>
    </row>
    <row r="2314" spans="1:4" x14ac:dyDescent="0.25">
      <c r="A2314" s="31"/>
      <c r="D2314" s="30"/>
    </row>
    <row r="2315" spans="1:4" x14ac:dyDescent="0.25">
      <c r="A2315" s="31"/>
      <c r="D2315" s="30"/>
    </row>
    <row r="2316" spans="1:4" x14ac:dyDescent="0.25">
      <c r="A2316" s="31"/>
      <c r="D2316" s="30"/>
    </row>
    <row r="2317" spans="1:4" x14ac:dyDescent="0.25">
      <c r="A2317" s="31"/>
      <c r="D2317" s="30"/>
    </row>
    <row r="2318" spans="1:4" x14ac:dyDescent="0.25">
      <c r="A2318" s="31"/>
      <c r="D2318" s="30"/>
    </row>
    <row r="2319" spans="1:4" x14ac:dyDescent="0.25">
      <c r="A2319" s="31"/>
      <c r="D2319" s="30"/>
    </row>
    <row r="2320" spans="1:4" x14ac:dyDescent="0.25">
      <c r="A2320" s="31"/>
      <c r="D2320" s="30"/>
    </row>
    <row r="2321" spans="1:4" x14ac:dyDescent="0.25">
      <c r="A2321" s="31"/>
      <c r="D2321" s="30"/>
    </row>
    <row r="2322" spans="1:4" x14ac:dyDescent="0.25">
      <c r="A2322" s="31"/>
      <c r="D2322" s="30"/>
    </row>
    <row r="2323" spans="1:4" x14ac:dyDescent="0.25">
      <c r="A2323" s="31"/>
      <c r="D2323" s="30"/>
    </row>
    <row r="2324" spans="1:4" x14ac:dyDescent="0.25">
      <c r="A2324" s="31"/>
      <c r="D2324" s="30"/>
    </row>
    <row r="2325" spans="1:4" x14ac:dyDescent="0.25">
      <c r="A2325" s="31"/>
      <c r="D2325" s="30"/>
    </row>
    <row r="2326" spans="1:4" x14ac:dyDescent="0.25">
      <c r="A2326" s="31"/>
      <c r="D2326" s="30"/>
    </row>
    <row r="2327" spans="1:4" x14ac:dyDescent="0.25">
      <c r="A2327" s="31"/>
      <c r="D2327" s="30"/>
    </row>
    <row r="2328" spans="1:4" x14ac:dyDescent="0.25">
      <c r="A2328" s="31"/>
      <c r="D2328" s="30"/>
    </row>
    <row r="2329" spans="1:4" x14ac:dyDescent="0.25">
      <c r="A2329" s="31"/>
      <c r="D2329" s="30"/>
    </row>
    <row r="2330" spans="1:4" x14ac:dyDescent="0.25">
      <c r="A2330" s="31"/>
      <c r="D2330" s="30"/>
    </row>
    <row r="2331" spans="1:4" x14ac:dyDescent="0.25">
      <c r="A2331" s="31"/>
      <c r="D2331" s="30"/>
    </row>
    <row r="2332" spans="1:4" x14ac:dyDescent="0.25">
      <c r="A2332" s="31"/>
      <c r="D2332" s="30"/>
    </row>
    <row r="2333" spans="1:4" x14ac:dyDescent="0.25">
      <c r="A2333" s="31"/>
      <c r="D2333" s="30"/>
    </row>
    <row r="2334" spans="1:4" x14ac:dyDescent="0.25">
      <c r="A2334" s="31"/>
      <c r="D2334" s="30"/>
    </row>
    <row r="2335" spans="1:4" x14ac:dyDescent="0.25">
      <c r="A2335" s="31"/>
      <c r="D2335" s="30"/>
    </row>
    <row r="2336" spans="1:4" x14ac:dyDescent="0.25">
      <c r="A2336" s="31"/>
      <c r="D2336" s="30"/>
    </row>
    <row r="2337" spans="1:4" x14ac:dyDescent="0.25">
      <c r="A2337" s="31"/>
      <c r="D2337" s="30"/>
    </row>
    <row r="2338" spans="1:4" x14ac:dyDescent="0.25">
      <c r="A2338" s="31"/>
      <c r="D2338" s="30"/>
    </row>
    <row r="2339" spans="1:4" x14ac:dyDescent="0.25">
      <c r="A2339" s="31"/>
      <c r="D2339" s="30"/>
    </row>
    <row r="2340" spans="1:4" x14ac:dyDescent="0.25">
      <c r="A2340" s="31"/>
      <c r="D2340" s="30"/>
    </row>
    <row r="2341" spans="1:4" x14ac:dyDescent="0.25">
      <c r="A2341" s="31"/>
      <c r="D2341" s="30"/>
    </row>
    <row r="2342" spans="1:4" x14ac:dyDescent="0.25">
      <c r="A2342" s="31"/>
      <c r="D2342" s="30"/>
    </row>
    <row r="2343" spans="1:4" x14ac:dyDescent="0.25">
      <c r="A2343" s="31"/>
      <c r="D2343" s="30"/>
    </row>
    <row r="2344" spans="1:4" x14ac:dyDescent="0.25">
      <c r="A2344" s="31"/>
      <c r="D2344" s="30"/>
    </row>
    <row r="2345" spans="1:4" x14ac:dyDescent="0.25">
      <c r="A2345" s="31"/>
      <c r="D2345" s="30"/>
    </row>
    <row r="2346" spans="1:4" x14ac:dyDescent="0.25">
      <c r="A2346" s="31"/>
      <c r="D2346" s="30"/>
    </row>
    <row r="2347" spans="1:4" x14ac:dyDescent="0.25">
      <c r="A2347" s="31"/>
      <c r="D2347" s="30"/>
    </row>
    <row r="2348" spans="1:4" x14ac:dyDescent="0.25">
      <c r="A2348" s="31"/>
      <c r="D2348" s="30"/>
    </row>
    <row r="2349" spans="1:4" x14ac:dyDescent="0.25">
      <c r="A2349" s="31"/>
      <c r="D2349" s="30"/>
    </row>
    <row r="2350" spans="1:4" x14ac:dyDescent="0.25">
      <c r="A2350" s="31"/>
      <c r="D2350" s="30"/>
    </row>
    <row r="2351" spans="1:4" x14ac:dyDescent="0.25">
      <c r="A2351" s="31"/>
      <c r="D2351" s="30"/>
    </row>
    <row r="2352" spans="1:4" x14ac:dyDescent="0.25">
      <c r="A2352" s="31"/>
      <c r="D2352" s="30"/>
    </row>
    <row r="2353" spans="1:4" x14ac:dyDescent="0.25">
      <c r="A2353" s="31"/>
      <c r="D2353" s="30"/>
    </row>
    <row r="2354" spans="1:4" x14ac:dyDescent="0.25">
      <c r="A2354" s="31"/>
      <c r="D2354" s="30"/>
    </row>
    <row r="2355" spans="1:4" x14ac:dyDescent="0.25">
      <c r="A2355" s="31"/>
      <c r="D2355" s="30"/>
    </row>
    <row r="2356" spans="1:4" x14ac:dyDescent="0.25">
      <c r="A2356" s="31"/>
      <c r="D2356" s="30"/>
    </row>
    <row r="2357" spans="1:4" x14ac:dyDescent="0.25">
      <c r="A2357" s="31"/>
      <c r="D2357" s="30"/>
    </row>
    <row r="2358" spans="1:4" x14ac:dyDescent="0.25">
      <c r="A2358" s="31"/>
      <c r="D2358" s="30"/>
    </row>
    <row r="2359" spans="1:4" x14ac:dyDescent="0.25">
      <c r="A2359" s="31"/>
      <c r="D2359" s="30"/>
    </row>
    <row r="2360" spans="1:4" x14ac:dyDescent="0.25">
      <c r="A2360" s="31"/>
      <c r="D2360" s="30"/>
    </row>
    <row r="2361" spans="1:4" x14ac:dyDescent="0.25">
      <c r="A2361" s="31"/>
      <c r="D2361" s="30"/>
    </row>
    <row r="2362" spans="1:4" x14ac:dyDescent="0.25">
      <c r="A2362" s="31"/>
      <c r="D2362" s="30"/>
    </row>
    <row r="2363" spans="1:4" x14ac:dyDescent="0.25">
      <c r="A2363" s="31"/>
      <c r="D2363" s="30"/>
    </row>
    <row r="2364" spans="1:4" x14ac:dyDescent="0.25">
      <c r="A2364" s="31"/>
      <c r="D2364" s="30"/>
    </row>
    <row r="2365" spans="1:4" x14ac:dyDescent="0.25">
      <c r="A2365" s="31"/>
      <c r="D2365" s="30"/>
    </row>
    <row r="2366" spans="1:4" x14ac:dyDescent="0.25">
      <c r="A2366" s="31"/>
      <c r="D2366" s="30"/>
    </row>
    <row r="2367" spans="1:4" x14ac:dyDescent="0.25">
      <c r="A2367" s="31"/>
      <c r="D2367" s="30"/>
    </row>
    <row r="2368" spans="1:4" x14ac:dyDescent="0.25">
      <c r="A2368" s="31"/>
      <c r="D2368" s="30"/>
    </row>
    <row r="2369" spans="1:4" x14ac:dyDescent="0.25">
      <c r="A2369" s="31"/>
      <c r="D2369" s="30"/>
    </row>
    <row r="2370" spans="1:4" x14ac:dyDescent="0.25">
      <c r="A2370" s="31"/>
      <c r="D2370" s="30"/>
    </row>
    <row r="2371" spans="1:4" x14ac:dyDescent="0.25">
      <c r="A2371" s="31"/>
      <c r="D2371" s="30"/>
    </row>
    <row r="2372" spans="1:4" x14ac:dyDescent="0.25">
      <c r="A2372" s="31"/>
      <c r="D2372" s="30"/>
    </row>
    <row r="2373" spans="1:4" x14ac:dyDescent="0.25">
      <c r="A2373" s="31"/>
      <c r="D2373" s="30"/>
    </row>
    <row r="2374" spans="1:4" x14ac:dyDescent="0.25">
      <c r="A2374" s="31"/>
      <c r="D2374" s="30"/>
    </row>
    <row r="2375" spans="1:4" x14ac:dyDescent="0.25">
      <c r="A2375" s="31"/>
      <c r="D2375" s="30"/>
    </row>
    <row r="2376" spans="1:4" x14ac:dyDescent="0.25">
      <c r="A2376" s="31"/>
      <c r="D2376" s="30"/>
    </row>
    <row r="2377" spans="1:4" x14ac:dyDescent="0.25">
      <c r="A2377" s="31"/>
      <c r="D2377" s="30"/>
    </row>
    <row r="2378" spans="1:4" x14ac:dyDescent="0.25">
      <c r="A2378" s="31"/>
      <c r="D2378" s="30"/>
    </row>
    <row r="2379" spans="1:4" x14ac:dyDescent="0.25">
      <c r="A2379" s="31"/>
      <c r="D2379" s="30"/>
    </row>
    <row r="2380" spans="1:4" x14ac:dyDescent="0.25">
      <c r="A2380" s="31"/>
      <c r="D2380" s="30"/>
    </row>
    <row r="2381" spans="1:4" x14ac:dyDescent="0.25">
      <c r="A2381" s="31"/>
      <c r="D2381" s="30"/>
    </row>
    <row r="2382" spans="1:4" x14ac:dyDescent="0.25">
      <c r="A2382" s="31"/>
      <c r="D2382" s="30"/>
    </row>
    <row r="2383" spans="1:4" x14ac:dyDescent="0.25">
      <c r="A2383" s="31"/>
      <c r="D2383" s="30"/>
    </row>
    <row r="2384" spans="1:4" x14ac:dyDescent="0.25">
      <c r="A2384" s="31"/>
      <c r="D2384" s="30"/>
    </row>
    <row r="2385" spans="1:4" x14ac:dyDescent="0.25">
      <c r="A2385" s="31"/>
      <c r="D2385" s="30"/>
    </row>
    <row r="2386" spans="1:4" x14ac:dyDescent="0.25">
      <c r="A2386" s="31"/>
      <c r="D2386" s="30"/>
    </row>
    <row r="2387" spans="1:4" x14ac:dyDescent="0.25">
      <c r="A2387" s="31"/>
      <c r="D2387" s="30"/>
    </row>
    <row r="2388" spans="1:4" x14ac:dyDescent="0.25">
      <c r="A2388" s="31"/>
      <c r="D2388" s="30"/>
    </row>
    <row r="2389" spans="1:4" x14ac:dyDescent="0.25">
      <c r="A2389" s="31"/>
      <c r="D2389" s="30"/>
    </row>
    <row r="2390" spans="1:4" x14ac:dyDescent="0.25">
      <c r="A2390" s="31"/>
      <c r="D2390" s="30"/>
    </row>
    <row r="2391" spans="1:4" x14ac:dyDescent="0.25">
      <c r="A2391" s="31"/>
      <c r="D2391" s="30"/>
    </row>
    <row r="2392" spans="1:4" x14ac:dyDescent="0.25">
      <c r="A2392" s="31"/>
      <c r="D2392" s="30"/>
    </row>
    <row r="2393" spans="1:4" x14ac:dyDescent="0.25">
      <c r="A2393" s="31"/>
      <c r="D2393" s="30"/>
    </row>
    <row r="2394" spans="1:4" x14ac:dyDescent="0.25">
      <c r="A2394" s="31"/>
      <c r="D2394" s="30"/>
    </row>
    <row r="2395" spans="1:4" x14ac:dyDescent="0.25">
      <c r="A2395" s="31"/>
      <c r="D2395" s="30"/>
    </row>
    <row r="2396" spans="1:4" x14ac:dyDescent="0.25">
      <c r="A2396" s="31"/>
      <c r="D2396" s="30"/>
    </row>
    <row r="2397" spans="1:4" x14ac:dyDescent="0.25">
      <c r="A2397" s="31"/>
      <c r="D2397" s="30"/>
    </row>
    <row r="2398" spans="1:4" x14ac:dyDescent="0.25">
      <c r="A2398" s="31"/>
      <c r="D2398" s="30"/>
    </row>
    <row r="2399" spans="1:4" x14ac:dyDescent="0.25">
      <c r="A2399" s="31"/>
      <c r="D2399" s="30"/>
    </row>
    <row r="2400" spans="1:4" x14ac:dyDescent="0.25">
      <c r="A2400" s="31"/>
      <c r="D2400" s="30"/>
    </row>
    <row r="2401" spans="1:4" x14ac:dyDescent="0.25">
      <c r="A2401" s="31"/>
      <c r="D2401" s="30"/>
    </row>
    <row r="2402" spans="1:4" x14ac:dyDescent="0.25">
      <c r="A2402" s="31"/>
      <c r="D2402" s="30"/>
    </row>
    <row r="2403" spans="1:4" x14ac:dyDescent="0.25">
      <c r="A2403" s="31"/>
      <c r="D2403" s="30"/>
    </row>
    <row r="2404" spans="1:4" x14ac:dyDescent="0.25">
      <c r="A2404" s="31"/>
      <c r="D2404" s="30"/>
    </row>
    <row r="2405" spans="1:4" x14ac:dyDescent="0.25">
      <c r="A2405" s="31"/>
      <c r="D2405" s="30"/>
    </row>
    <row r="2406" spans="1:4" x14ac:dyDescent="0.25">
      <c r="A2406" s="31"/>
      <c r="D2406" s="30"/>
    </row>
    <row r="2407" spans="1:4" x14ac:dyDescent="0.25">
      <c r="A2407" s="31"/>
      <c r="D2407" s="30"/>
    </row>
    <row r="2408" spans="1:4" x14ac:dyDescent="0.25">
      <c r="A2408" s="31"/>
      <c r="D2408" s="30"/>
    </row>
    <row r="2409" spans="1:4" x14ac:dyDescent="0.25">
      <c r="A2409" s="31"/>
      <c r="D2409" s="30"/>
    </row>
    <row r="2410" spans="1:4" x14ac:dyDescent="0.25">
      <c r="A2410" s="31"/>
      <c r="D2410" s="30"/>
    </row>
    <row r="2411" spans="1:4" x14ac:dyDescent="0.25">
      <c r="A2411" s="31"/>
      <c r="D2411" s="30"/>
    </row>
    <row r="2412" spans="1:4" x14ac:dyDescent="0.25">
      <c r="A2412" s="31"/>
      <c r="D2412" s="30"/>
    </row>
    <row r="2413" spans="1:4" x14ac:dyDescent="0.25">
      <c r="A2413" s="31"/>
      <c r="D2413" s="30"/>
    </row>
    <row r="2414" spans="1:4" x14ac:dyDescent="0.25">
      <c r="A2414" s="31"/>
      <c r="D2414" s="30"/>
    </row>
    <row r="2415" spans="1:4" x14ac:dyDescent="0.25">
      <c r="A2415" s="31"/>
      <c r="D2415" s="30"/>
    </row>
    <row r="2416" spans="1:4" x14ac:dyDescent="0.25">
      <c r="A2416" s="31"/>
      <c r="D2416" s="30"/>
    </row>
    <row r="2417" spans="1:4" x14ac:dyDescent="0.25">
      <c r="A2417" s="31"/>
      <c r="D2417" s="30"/>
    </row>
    <row r="2418" spans="1:4" x14ac:dyDescent="0.25">
      <c r="A2418" s="31"/>
      <c r="D2418" s="30"/>
    </row>
    <row r="2419" spans="1:4" x14ac:dyDescent="0.25">
      <c r="A2419" s="31"/>
      <c r="D2419" s="30"/>
    </row>
    <row r="2420" spans="1:4" x14ac:dyDescent="0.25">
      <c r="A2420" s="31"/>
      <c r="D2420" s="30"/>
    </row>
    <row r="2421" spans="1:4" x14ac:dyDescent="0.25">
      <c r="A2421" s="31"/>
      <c r="D2421" s="30"/>
    </row>
    <row r="2422" spans="1:4" x14ac:dyDescent="0.25">
      <c r="A2422" s="31"/>
      <c r="D2422" s="30"/>
    </row>
    <row r="2423" spans="1:4" x14ac:dyDescent="0.25">
      <c r="A2423" s="31"/>
      <c r="D2423" s="30"/>
    </row>
    <row r="2424" spans="1:4" x14ac:dyDescent="0.25">
      <c r="A2424" s="31"/>
      <c r="D2424" s="30"/>
    </row>
    <row r="2425" spans="1:4" x14ac:dyDescent="0.25">
      <c r="A2425" s="31"/>
      <c r="D2425" s="30"/>
    </row>
    <row r="2426" spans="1:4" x14ac:dyDescent="0.25">
      <c r="A2426" s="31"/>
      <c r="D2426" s="30"/>
    </row>
    <row r="2427" spans="1:4" x14ac:dyDescent="0.25">
      <c r="A2427" s="31"/>
      <c r="D2427" s="30"/>
    </row>
    <row r="2428" spans="1:4" x14ac:dyDescent="0.25">
      <c r="A2428" s="31"/>
      <c r="D2428" s="30"/>
    </row>
    <row r="2429" spans="1:4" x14ac:dyDescent="0.25">
      <c r="A2429" s="31"/>
      <c r="D2429" s="30"/>
    </row>
    <row r="2430" spans="1:4" x14ac:dyDescent="0.25">
      <c r="A2430" s="31"/>
      <c r="D2430" s="30"/>
    </row>
    <row r="2431" spans="1:4" x14ac:dyDescent="0.25">
      <c r="A2431" s="31"/>
      <c r="D2431" s="30"/>
    </row>
    <row r="2432" spans="1:4" x14ac:dyDescent="0.25">
      <c r="A2432" s="31"/>
      <c r="D2432" s="30"/>
    </row>
    <row r="2433" spans="1:4" x14ac:dyDescent="0.25">
      <c r="A2433" s="31"/>
      <c r="D2433" s="30"/>
    </row>
    <row r="2434" spans="1:4" x14ac:dyDescent="0.25">
      <c r="A2434" s="31"/>
      <c r="D2434" s="30"/>
    </row>
    <row r="2435" spans="1:4" x14ac:dyDescent="0.25">
      <c r="A2435" s="31"/>
      <c r="D2435" s="30"/>
    </row>
    <row r="2436" spans="1:4" x14ac:dyDescent="0.25">
      <c r="A2436" s="31"/>
      <c r="D2436" s="30"/>
    </row>
    <row r="2437" spans="1:4" x14ac:dyDescent="0.25">
      <c r="A2437" s="31"/>
      <c r="D2437" s="30"/>
    </row>
    <row r="2438" spans="1:4" x14ac:dyDescent="0.25">
      <c r="A2438" s="31"/>
      <c r="D2438" s="30"/>
    </row>
    <row r="2439" spans="1:4" x14ac:dyDescent="0.25">
      <c r="A2439" s="31"/>
      <c r="D2439" s="30"/>
    </row>
    <row r="2440" spans="1:4" x14ac:dyDescent="0.25">
      <c r="A2440" s="31"/>
      <c r="D2440" s="30"/>
    </row>
    <row r="2441" spans="1:4" x14ac:dyDescent="0.25">
      <c r="A2441" s="31"/>
      <c r="D2441" s="30"/>
    </row>
    <row r="2442" spans="1:4" x14ac:dyDescent="0.25">
      <c r="A2442" s="31"/>
      <c r="D2442" s="30"/>
    </row>
    <row r="2443" spans="1:4" x14ac:dyDescent="0.25">
      <c r="A2443" s="31"/>
      <c r="D2443" s="30"/>
    </row>
    <row r="2444" spans="1:4" x14ac:dyDescent="0.25">
      <c r="A2444" s="31"/>
      <c r="D2444" s="30"/>
    </row>
    <row r="2445" spans="1:4" x14ac:dyDescent="0.25">
      <c r="A2445" s="31"/>
      <c r="D2445" s="30"/>
    </row>
    <row r="2446" spans="1:4" x14ac:dyDescent="0.25">
      <c r="A2446" s="31"/>
      <c r="D2446" s="30"/>
    </row>
    <row r="2447" spans="1:4" x14ac:dyDescent="0.25">
      <c r="A2447" s="31"/>
      <c r="D2447" s="30"/>
    </row>
    <row r="2448" spans="1:4" x14ac:dyDescent="0.25">
      <c r="A2448" s="31"/>
      <c r="D2448" s="30"/>
    </row>
    <row r="2449" spans="1:4" x14ac:dyDescent="0.25">
      <c r="A2449" s="31"/>
      <c r="D2449" s="30"/>
    </row>
    <row r="2450" spans="1:4" x14ac:dyDescent="0.25">
      <c r="A2450" s="31"/>
      <c r="D2450" s="30"/>
    </row>
    <row r="2451" spans="1:4" x14ac:dyDescent="0.25">
      <c r="A2451" s="31"/>
      <c r="D2451" s="30"/>
    </row>
    <row r="2452" spans="1:4" x14ac:dyDescent="0.25">
      <c r="A2452" s="31"/>
      <c r="D2452" s="30"/>
    </row>
    <row r="2453" spans="1:4" x14ac:dyDescent="0.25">
      <c r="A2453" s="31"/>
      <c r="D2453" s="30"/>
    </row>
    <row r="2454" spans="1:4" x14ac:dyDescent="0.25">
      <c r="A2454" s="31"/>
      <c r="D2454" s="30"/>
    </row>
    <row r="2455" spans="1:4" x14ac:dyDescent="0.25">
      <c r="A2455" s="31"/>
      <c r="D2455" s="30"/>
    </row>
    <row r="2456" spans="1:4" x14ac:dyDescent="0.25">
      <c r="A2456" s="31"/>
      <c r="D2456" s="30"/>
    </row>
    <row r="2457" spans="1:4" x14ac:dyDescent="0.25">
      <c r="A2457" s="31"/>
      <c r="D2457" s="30"/>
    </row>
    <row r="2458" spans="1:4" x14ac:dyDescent="0.25">
      <c r="A2458" s="31"/>
      <c r="D2458" s="30"/>
    </row>
    <row r="2459" spans="1:4" x14ac:dyDescent="0.25">
      <c r="A2459" s="31"/>
      <c r="D2459" s="30"/>
    </row>
    <row r="2460" spans="1:4" x14ac:dyDescent="0.25">
      <c r="A2460" s="31"/>
      <c r="D2460" s="30"/>
    </row>
    <row r="2461" spans="1:4" x14ac:dyDescent="0.25">
      <c r="A2461" s="31"/>
      <c r="D2461" s="30"/>
    </row>
    <row r="2462" spans="1:4" x14ac:dyDescent="0.25">
      <c r="A2462" s="31"/>
      <c r="D2462" s="30"/>
    </row>
    <row r="2463" spans="1:4" x14ac:dyDescent="0.25">
      <c r="A2463" s="31"/>
      <c r="D2463" s="30"/>
    </row>
    <row r="2464" spans="1:4" x14ac:dyDescent="0.25">
      <c r="A2464" s="31"/>
      <c r="D2464" s="30"/>
    </row>
    <row r="2465" spans="1:4" x14ac:dyDescent="0.25">
      <c r="A2465" s="31"/>
      <c r="D2465" s="30"/>
    </row>
    <row r="2466" spans="1:4" x14ac:dyDescent="0.25">
      <c r="A2466" s="31"/>
      <c r="D2466" s="30"/>
    </row>
    <row r="2467" spans="1:4" x14ac:dyDescent="0.25">
      <c r="A2467" s="31"/>
      <c r="D2467" s="30"/>
    </row>
    <row r="2468" spans="1:4" x14ac:dyDescent="0.25">
      <c r="A2468" s="31"/>
      <c r="D2468" s="30"/>
    </row>
    <row r="2469" spans="1:4" x14ac:dyDescent="0.25">
      <c r="A2469" s="31"/>
      <c r="D2469" s="30"/>
    </row>
    <row r="2470" spans="1:4" x14ac:dyDescent="0.25">
      <c r="A2470" s="31"/>
      <c r="D2470" s="30"/>
    </row>
    <row r="2471" spans="1:4" x14ac:dyDescent="0.25">
      <c r="A2471" s="31"/>
      <c r="D2471" s="30"/>
    </row>
    <row r="2472" spans="1:4" x14ac:dyDescent="0.25">
      <c r="A2472" s="31"/>
      <c r="D2472" s="30"/>
    </row>
    <row r="2473" spans="1:4" x14ac:dyDescent="0.25">
      <c r="A2473" s="31"/>
      <c r="D2473" s="30"/>
    </row>
    <row r="2474" spans="1:4" x14ac:dyDescent="0.25">
      <c r="A2474" s="31"/>
      <c r="D2474" s="30"/>
    </row>
    <row r="2475" spans="1:4" x14ac:dyDescent="0.25">
      <c r="A2475" s="31"/>
      <c r="D2475" s="30"/>
    </row>
    <row r="2476" spans="1:4" x14ac:dyDescent="0.25">
      <c r="A2476" s="31"/>
      <c r="D2476" s="30"/>
    </row>
    <row r="2477" spans="1:4" x14ac:dyDescent="0.25">
      <c r="A2477" s="31"/>
      <c r="D2477" s="30"/>
    </row>
    <row r="2478" spans="1:4" x14ac:dyDescent="0.25">
      <c r="A2478" s="31"/>
      <c r="D2478" s="30"/>
    </row>
    <row r="2479" spans="1:4" x14ac:dyDescent="0.25">
      <c r="A2479" s="31"/>
      <c r="D2479" s="30"/>
    </row>
    <row r="2480" spans="1:4" x14ac:dyDescent="0.25">
      <c r="A2480" s="31"/>
      <c r="D2480" s="30"/>
    </row>
    <row r="2481" spans="1:4" x14ac:dyDescent="0.25">
      <c r="A2481" s="31"/>
      <c r="D2481" s="30"/>
    </row>
    <row r="2482" spans="1:4" x14ac:dyDescent="0.25">
      <c r="A2482" s="31"/>
      <c r="D2482" s="30"/>
    </row>
    <row r="2483" spans="1:4" x14ac:dyDescent="0.25">
      <c r="A2483" s="31"/>
      <c r="D2483" s="30"/>
    </row>
    <row r="2484" spans="1:4" x14ac:dyDescent="0.25">
      <c r="A2484" s="31"/>
      <c r="D2484" s="30"/>
    </row>
    <row r="2485" spans="1:4" x14ac:dyDescent="0.25">
      <c r="A2485" s="31"/>
      <c r="D2485" s="30"/>
    </row>
    <row r="2486" spans="1:4" x14ac:dyDescent="0.25">
      <c r="A2486" s="31"/>
      <c r="D2486" s="30"/>
    </row>
    <row r="2487" spans="1:4" x14ac:dyDescent="0.25">
      <c r="A2487" s="31"/>
      <c r="D2487" s="30"/>
    </row>
    <row r="2488" spans="1:4" x14ac:dyDescent="0.25">
      <c r="A2488" s="31"/>
      <c r="D2488" s="30"/>
    </row>
    <row r="2489" spans="1:4" x14ac:dyDescent="0.25">
      <c r="A2489" s="31"/>
      <c r="D2489" s="30"/>
    </row>
    <row r="2490" spans="1:4" x14ac:dyDescent="0.25">
      <c r="A2490" s="31"/>
      <c r="D2490" s="30"/>
    </row>
    <row r="2491" spans="1:4" x14ac:dyDescent="0.25">
      <c r="A2491" s="31"/>
      <c r="D2491" s="30"/>
    </row>
    <row r="2492" spans="1:4" x14ac:dyDescent="0.25">
      <c r="A2492" s="31"/>
      <c r="D2492" s="30"/>
    </row>
    <row r="2493" spans="1:4" x14ac:dyDescent="0.25">
      <c r="A2493" s="31"/>
      <c r="D2493" s="30"/>
    </row>
    <row r="2494" spans="1:4" x14ac:dyDescent="0.25">
      <c r="A2494" s="31"/>
      <c r="D2494" s="30"/>
    </row>
    <row r="2495" spans="1:4" x14ac:dyDescent="0.25">
      <c r="A2495" s="31"/>
      <c r="D2495" s="30"/>
    </row>
    <row r="2496" spans="1:4" x14ac:dyDescent="0.25">
      <c r="A2496" s="31"/>
      <c r="D2496" s="30"/>
    </row>
    <row r="2497" spans="1:4" x14ac:dyDescent="0.25">
      <c r="A2497" s="31"/>
      <c r="D2497" s="30"/>
    </row>
    <row r="2498" spans="1:4" x14ac:dyDescent="0.25">
      <c r="A2498" s="31"/>
      <c r="D2498" s="30"/>
    </row>
    <row r="2499" spans="1:4" x14ac:dyDescent="0.25">
      <c r="A2499" s="31"/>
      <c r="D2499" s="30"/>
    </row>
    <row r="2500" spans="1:4" x14ac:dyDescent="0.25">
      <c r="A2500" s="31"/>
      <c r="D2500" s="30"/>
    </row>
    <row r="2501" spans="1:4" x14ac:dyDescent="0.25">
      <c r="A2501" s="31"/>
      <c r="D2501" s="30"/>
    </row>
    <row r="2502" spans="1:4" x14ac:dyDescent="0.25">
      <c r="A2502" s="31"/>
      <c r="D2502" s="30"/>
    </row>
    <row r="2503" spans="1:4" x14ac:dyDescent="0.25">
      <c r="A2503" s="31"/>
      <c r="D2503" s="30"/>
    </row>
    <row r="2504" spans="1:4" x14ac:dyDescent="0.25">
      <c r="A2504" s="31"/>
      <c r="D2504" s="30"/>
    </row>
    <row r="2505" spans="1:4" x14ac:dyDescent="0.25">
      <c r="A2505" s="31"/>
      <c r="D2505" s="30"/>
    </row>
    <row r="2506" spans="1:4" x14ac:dyDescent="0.25">
      <c r="A2506" s="31"/>
      <c r="D2506" s="30"/>
    </row>
    <row r="2507" spans="1:4" x14ac:dyDescent="0.25">
      <c r="A2507" s="31"/>
      <c r="D2507" s="30"/>
    </row>
    <row r="2508" spans="1:4" x14ac:dyDescent="0.25">
      <c r="A2508" s="31"/>
      <c r="D2508" s="30"/>
    </row>
    <row r="2509" spans="1:4" x14ac:dyDescent="0.25">
      <c r="A2509" s="31"/>
      <c r="D2509" s="30"/>
    </row>
    <row r="2510" spans="1:4" x14ac:dyDescent="0.25">
      <c r="A2510" s="31"/>
      <c r="D2510" s="30"/>
    </row>
    <row r="2511" spans="1:4" x14ac:dyDescent="0.25">
      <c r="A2511" s="31"/>
      <c r="D2511" s="30"/>
    </row>
    <row r="2512" spans="1:4" x14ac:dyDescent="0.25">
      <c r="A2512" s="31"/>
      <c r="D2512" s="30"/>
    </row>
    <row r="2513" spans="1:4" x14ac:dyDescent="0.25">
      <c r="A2513" s="31"/>
      <c r="D2513" s="30"/>
    </row>
    <row r="2514" spans="1:4" x14ac:dyDescent="0.25">
      <c r="A2514" s="31"/>
      <c r="D2514" s="30"/>
    </row>
    <row r="2515" spans="1:4" x14ac:dyDescent="0.25">
      <c r="A2515" s="31"/>
      <c r="D2515" s="30"/>
    </row>
    <row r="2516" spans="1:4" x14ac:dyDescent="0.25">
      <c r="A2516" s="31"/>
      <c r="D2516" s="30"/>
    </row>
    <row r="2517" spans="1:4" x14ac:dyDescent="0.25">
      <c r="A2517" s="31"/>
      <c r="D2517" s="30"/>
    </row>
    <row r="2518" spans="1:4" x14ac:dyDescent="0.25">
      <c r="A2518" s="31"/>
      <c r="D2518" s="30"/>
    </row>
    <row r="2519" spans="1:4" x14ac:dyDescent="0.25">
      <c r="A2519" s="31"/>
      <c r="D2519" s="30"/>
    </row>
    <row r="2520" spans="1:4" x14ac:dyDescent="0.25">
      <c r="A2520" s="31"/>
      <c r="D2520" s="30"/>
    </row>
    <row r="2521" spans="1:4" x14ac:dyDescent="0.25">
      <c r="A2521" s="31"/>
      <c r="D2521" s="30"/>
    </row>
    <row r="2522" spans="1:4" x14ac:dyDescent="0.25">
      <c r="A2522" s="31"/>
      <c r="D2522" s="30"/>
    </row>
    <row r="2523" spans="1:4" x14ac:dyDescent="0.25">
      <c r="A2523" s="31"/>
      <c r="D2523" s="30"/>
    </row>
    <row r="2524" spans="1:4" x14ac:dyDescent="0.25">
      <c r="A2524" s="31"/>
      <c r="D2524" s="30"/>
    </row>
    <row r="2525" spans="1:4" x14ac:dyDescent="0.25">
      <c r="A2525" s="31"/>
      <c r="D2525" s="30"/>
    </row>
    <row r="2526" spans="1:4" x14ac:dyDescent="0.25">
      <c r="A2526" s="31"/>
      <c r="D2526" s="30"/>
    </row>
    <row r="2527" spans="1:4" x14ac:dyDescent="0.25">
      <c r="A2527" s="31"/>
      <c r="D2527" s="30"/>
    </row>
    <row r="2528" spans="1:4" x14ac:dyDescent="0.25">
      <c r="A2528" s="31"/>
      <c r="D2528" s="30"/>
    </row>
    <row r="2529" spans="1:4" x14ac:dyDescent="0.25">
      <c r="A2529" s="31"/>
      <c r="D2529" s="30"/>
    </row>
    <row r="2530" spans="1:4" x14ac:dyDescent="0.25">
      <c r="A2530" s="31"/>
      <c r="D2530" s="30"/>
    </row>
    <row r="2531" spans="1:4" x14ac:dyDescent="0.25">
      <c r="A2531" s="31"/>
      <c r="D2531" s="30"/>
    </row>
    <row r="2532" spans="1:4" x14ac:dyDescent="0.25">
      <c r="A2532" s="31"/>
      <c r="D2532" s="30"/>
    </row>
    <row r="2533" spans="1:4" x14ac:dyDescent="0.25">
      <c r="A2533" s="31"/>
      <c r="D2533" s="30"/>
    </row>
    <row r="2534" spans="1:4" x14ac:dyDescent="0.25">
      <c r="A2534" s="31"/>
      <c r="D2534" s="30"/>
    </row>
    <row r="2535" spans="1:4" x14ac:dyDescent="0.25">
      <c r="A2535" s="31"/>
      <c r="D2535" s="30"/>
    </row>
    <row r="2536" spans="1:4" x14ac:dyDescent="0.25">
      <c r="A2536" s="31"/>
      <c r="D2536" s="30"/>
    </row>
    <row r="2537" spans="1:4" x14ac:dyDescent="0.25">
      <c r="A2537" s="31"/>
      <c r="D2537" s="30"/>
    </row>
    <row r="2538" spans="1:4" x14ac:dyDescent="0.25">
      <c r="A2538" s="31"/>
      <c r="D2538" s="30"/>
    </row>
    <row r="2539" spans="1:4" x14ac:dyDescent="0.25">
      <c r="A2539" s="31"/>
      <c r="D2539" s="30"/>
    </row>
    <row r="2540" spans="1:4" x14ac:dyDescent="0.25">
      <c r="A2540" s="31"/>
      <c r="D2540" s="30"/>
    </row>
    <row r="2541" spans="1:4" x14ac:dyDescent="0.25">
      <c r="A2541" s="31"/>
      <c r="D2541" s="30"/>
    </row>
    <row r="2542" spans="1:4" x14ac:dyDescent="0.25">
      <c r="A2542" s="31"/>
      <c r="D2542" s="30"/>
    </row>
    <row r="2543" spans="1:4" x14ac:dyDescent="0.25">
      <c r="A2543" s="31"/>
      <c r="D2543" s="30"/>
    </row>
    <row r="2544" spans="1:4" x14ac:dyDescent="0.25">
      <c r="A2544" s="31"/>
      <c r="D2544" s="30"/>
    </row>
    <row r="2545" spans="1:4" x14ac:dyDescent="0.25">
      <c r="A2545" s="31"/>
      <c r="D2545" s="30"/>
    </row>
    <row r="2546" spans="1:4" x14ac:dyDescent="0.25">
      <c r="A2546" s="31"/>
      <c r="D2546" s="30"/>
    </row>
    <row r="2547" spans="1:4" x14ac:dyDescent="0.25">
      <c r="A2547" s="31"/>
      <c r="D2547" s="30"/>
    </row>
    <row r="2548" spans="1:4" x14ac:dyDescent="0.25">
      <c r="A2548" s="31"/>
      <c r="D2548" s="30"/>
    </row>
    <row r="2549" spans="1:4" x14ac:dyDescent="0.25">
      <c r="A2549" s="31"/>
      <c r="D2549" s="30"/>
    </row>
    <row r="2550" spans="1:4" x14ac:dyDescent="0.25">
      <c r="A2550" s="31"/>
      <c r="D2550" s="30"/>
    </row>
    <row r="2551" spans="1:4" x14ac:dyDescent="0.25">
      <c r="A2551" s="31"/>
      <c r="D2551" s="30"/>
    </row>
    <row r="2552" spans="1:4" x14ac:dyDescent="0.25">
      <c r="A2552" s="31"/>
      <c r="D2552" s="30"/>
    </row>
    <row r="2553" spans="1:4" x14ac:dyDescent="0.25">
      <c r="A2553" s="31"/>
      <c r="D2553" s="30"/>
    </row>
    <row r="2554" spans="1:4" x14ac:dyDescent="0.25">
      <c r="A2554" s="31"/>
      <c r="D2554" s="30"/>
    </row>
    <row r="2555" spans="1:4" x14ac:dyDescent="0.25">
      <c r="A2555" s="31"/>
      <c r="D2555" s="30"/>
    </row>
    <row r="2556" spans="1:4" x14ac:dyDescent="0.25">
      <c r="A2556" s="31"/>
      <c r="D2556" s="30"/>
    </row>
    <row r="2557" spans="1:4" x14ac:dyDescent="0.25">
      <c r="A2557" s="31"/>
      <c r="D2557" s="30"/>
    </row>
    <row r="2558" spans="1:4" x14ac:dyDescent="0.25">
      <c r="A2558" s="31"/>
      <c r="D2558" s="30"/>
    </row>
    <row r="2559" spans="1:4" x14ac:dyDescent="0.25">
      <c r="A2559" s="31"/>
      <c r="D2559" s="30"/>
    </row>
    <row r="2560" spans="1:4" x14ac:dyDescent="0.25">
      <c r="A2560" s="31"/>
      <c r="D2560" s="30"/>
    </row>
    <row r="2561" spans="1:4" x14ac:dyDescent="0.25">
      <c r="A2561" s="31"/>
      <c r="D2561" s="30"/>
    </row>
    <row r="2562" spans="1:4" x14ac:dyDescent="0.25">
      <c r="A2562" s="31"/>
      <c r="D2562" s="30"/>
    </row>
    <row r="2563" spans="1:4" x14ac:dyDescent="0.25">
      <c r="A2563" s="31"/>
      <c r="D2563" s="30"/>
    </row>
    <row r="2564" spans="1:4" x14ac:dyDescent="0.25">
      <c r="A2564" s="31"/>
      <c r="D2564" s="30"/>
    </row>
    <row r="2565" spans="1:4" x14ac:dyDescent="0.25">
      <c r="A2565" s="31"/>
      <c r="D2565" s="30"/>
    </row>
    <row r="2566" spans="1:4" x14ac:dyDescent="0.25">
      <c r="A2566" s="31"/>
      <c r="D2566" s="30"/>
    </row>
    <row r="2567" spans="1:4" x14ac:dyDescent="0.25">
      <c r="A2567" s="31"/>
      <c r="D2567" s="30"/>
    </row>
    <row r="2568" spans="1:4" x14ac:dyDescent="0.25">
      <c r="A2568" s="31"/>
      <c r="D2568" s="30"/>
    </row>
    <row r="2569" spans="1:4" x14ac:dyDescent="0.25">
      <c r="A2569" s="31"/>
      <c r="D2569" s="30"/>
    </row>
    <row r="2570" spans="1:4" x14ac:dyDescent="0.25">
      <c r="A2570" s="31"/>
      <c r="D2570" s="30"/>
    </row>
    <row r="2571" spans="1:4" x14ac:dyDescent="0.25">
      <c r="A2571" s="31"/>
      <c r="D2571" s="30"/>
    </row>
    <row r="2572" spans="1:4" x14ac:dyDescent="0.25">
      <c r="A2572" s="31"/>
      <c r="D2572" s="30"/>
    </row>
    <row r="2573" spans="1:4" x14ac:dyDescent="0.25">
      <c r="A2573" s="31"/>
      <c r="D2573" s="30"/>
    </row>
    <row r="2574" spans="1:4" x14ac:dyDescent="0.25">
      <c r="A2574" s="31"/>
      <c r="D2574" s="30"/>
    </row>
    <row r="2575" spans="1:4" x14ac:dyDescent="0.25">
      <c r="A2575" s="31"/>
      <c r="D2575" s="30"/>
    </row>
    <row r="2576" spans="1:4" x14ac:dyDescent="0.25">
      <c r="A2576" s="31"/>
      <c r="D2576" s="30"/>
    </row>
    <row r="2577" spans="1:4" x14ac:dyDescent="0.25">
      <c r="A2577" s="31"/>
      <c r="D2577" s="30"/>
    </row>
    <row r="2578" spans="1:4" x14ac:dyDescent="0.25">
      <c r="A2578" s="31"/>
      <c r="D2578" s="30"/>
    </row>
    <row r="2579" spans="1:4" x14ac:dyDescent="0.25">
      <c r="A2579" s="31"/>
      <c r="D2579" s="30"/>
    </row>
    <row r="2580" spans="1:4" x14ac:dyDescent="0.25">
      <c r="A2580" s="31"/>
      <c r="D2580" s="30"/>
    </row>
    <row r="2581" spans="1:4" x14ac:dyDescent="0.25">
      <c r="A2581" s="31"/>
      <c r="D2581" s="30"/>
    </row>
    <row r="2582" spans="1:4" x14ac:dyDescent="0.25">
      <c r="A2582" s="31"/>
      <c r="D2582" s="30"/>
    </row>
    <row r="2583" spans="1:4" x14ac:dyDescent="0.25">
      <c r="A2583" s="31"/>
      <c r="D2583" s="30"/>
    </row>
    <row r="2584" spans="1:4" x14ac:dyDescent="0.25">
      <c r="A2584" s="31"/>
      <c r="D2584" s="30"/>
    </row>
    <row r="2585" spans="1:4" x14ac:dyDescent="0.25">
      <c r="A2585" s="31"/>
      <c r="D2585" s="30"/>
    </row>
    <row r="2586" spans="1:4" x14ac:dyDescent="0.25">
      <c r="A2586" s="31"/>
      <c r="D2586" s="30"/>
    </row>
    <row r="2587" spans="1:4" x14ac:dyDescent="0.25">
      <c r="A2587" s="31"/>
      <c r="D2587" s="30"/>
    </row>
    <row r="2588" spans="1:4" x14ac:dyDescent="0.25">
      <c r="A2588" s="31"/>
      <c r="D2588" s="30"/>
    </row>
    <row r="2589" spans="1:4" x14ac:dyDescent="0.25">
      <c r="A2589" s="31"/>
      <c r="D2589" s="30"/>
    </row>
    <row r="2590" spans="1:4" x14ac:dyDescent="0.25">
      <c r="A2590" s="31"/>
      <c r="D2590" s="30"/>
    </row>
    <row r="2591" spans="1:4" x14ac:dyDescent="0.25">
      <c r="A2591" s="31"/>
      <c r="D2591" s="30"/>
    </row>
    <row r="2592" spans="1:4" x14ac:dyDescent="0.25">
      <c r="A2592" s="31"/>
      <c r="D2592" s="30"/>
    </row>
    <row r="2593" spans="1:4" x14ac:dyDescent="0.25">
      <c r="A2593" s="31"/>
      <c r="D2593" s="30"/>
    </row>
    <row r="2594" spans="1:4" x14ac:dyDescent="0.25">
      <c r="A2594" s="31"/>
      <c r="D2594" s="30"/>
    </row>
    <row r="2595" spans="1:4" x14ac:dyDescent="0.25">
      <c r="A2595" s="31"/>
      <c r="D2595" s="30"/>
    </row>
    <row r="2596" spans="1:4" x14ac:dyDescent="0.25">
      <c r="A2596" s="31"/>
      <c r="D2596" s="30"/>
    </row>
    <row r="2597" spans="1:4" x14ac:dyDescent="0.25">
      <c r="A2597" s="31"/>
      <c r="D2597" s="30"/>
    </row>
    <row r="2598" spans="1:4" x14ac:dyDescent="0.25">
      <c r="A2598" s="31"/>
      <c r="D2598" s="30"/>
    </row>
    <row r="2599" spans="1:4" x14ac:dyDescent="0.25">
      <c r="A2599" s="31"/>
      <c r="D2599" s="30"/>
    </row>
    <row r="2600" spans="1:4" x14ac:dyDescent="0.25">
      <c r="A2600" s="31"/>
      <c r="D2600" s="30"/>
    </row>
    <row r="2601" spans="1:4" x14ac:dyDescent="0.25">
      <c r="A2601" s="31"/>
      <c r="D2601" s="30"/>
    </row>
    <row r="2602" spans="1:4" x14ac:dyDescent="0.25">
      <c r="A2602" s="31"/>
      <c r="D2602" s="30"/>
    </row>
    <row r="2603" spans="1:4" x14ac:dyDescent="0.25">
      <c r="A2603" s="31"/>
      <c r="D2603" s="30"/>
    </row>
    <row r="2604" spans="1:4" x14ac:dyDescent="0.25">
      <c r="A2604" s="31"/>
      <c r="D2604" s="30"/>
    </row>
    <row r="2605" spans="1:4" x14ac:dyDescent="0.25">
      <c r="A2605" s="31"/>
      <c r="D2605" s="30"/>
    </row>
    <row r="2606" spans="1:4" x14ac:dyDescent="0.25">
      <c r="A2606" s="31"/>
      <c r="D2606" s="30"/>
    </row>
    <row r="2607" spans="1:4" x14ac:dyDescent="0.25">
      <c r="A2607" s="31"/>
      <c r="D2607" s="30"/>
    </row>
    <row r="2608" spans="1:4" x14ac:dyDescent="0.25">
      <c r="A2608" s="31"/>
      <c r="D2608" s="30"/>
    </row>
    <row r="2609" spans="1:4" x14ac:dyDescent="0.25">
      <c r="A2609" s="31"/>
      <c r="D2609" s="30"/>
    </row>
    <row r="2610" spans="1:4" x14ac:dyDescent="0.25">
      <c r="A2610" s="31"/>
      <c r="D2610" s="30"/>
    </row>
    <row r="2611" spans="1:4" x14ac:dyDescent="0.25">
      <c r="A2611" s="31"/>
      <c r="D2611" s="30"/>
    </row>
    <row r="2612" spans="1:4" x14ac:dyDescent="0.25">
      <c r="A2612" s="31"/>
      <c r="D2612" s="30"/>
    </row>
    <row r="2613" spans="1:4" x14ac:dyDescent="0.25">
      <c r="A2613" s="31"/>
      <c r="D2613" s="30"/>
    </row>
    <row r="2614" spans="1:4" x14ac:dyDescent="0.25">
      <c r="A2614" s="31"/>
      <c r="D2614" s="30"/>
    </row>
    <row r="2615" spans="1:4" x14ac:dyDescent="0.25">
      <c r="A2615" s="31"/>
      <c r="D2615" s="30"/>
    </row>
    <row r="2616" spans="1:4" x14ac:dyDescent="0.25">
      <c r="A2616" s="31"/>
      <c r="D2616" s="30"/>
    </row>
    <row r="2617" spans="1:4" x14ac:dyDescent="0.25">
      <c r="A2617" s="31"/>
      <c r="D2617" s="30"/>
    </row>
    <row r="2618" spans="1:4" x14ac:dyDescent="0.25">
      <c r="A2618" s="31"/>
      <c r="D2618" s="30"/>
    </row>
    <row r="2619" spans="1:4" x14ac:dyDescent="0.25">
      <c r="A2619" s="31"/>
      <c r="D2619" s="30"/>
    </row>
    <row r="2620" spans="1:4" x14ac:dyDescent="0.25">
      <c r="A2620" s="31"/>
      <c r="D2620" s="30"/>
    </row>
    <row r="2621" spans="1:4" x14ac:dyDescent="0.25">
      <c r="A2621" s="31"/>
      <c r="D2621" s="30"/>
    </row>
    <row r="2622" spans="1:4" x14ac:dyDescent="0.25">
      <c r="A2622" s="31"/>
      <c r="D2622" s="30"/>
    </row>
    <row r="2623" spans="1:4" x14ac:dyDescent="0.25">
      <c r="A2623" s="31"/>
      <c r="D2623" s="30"/>
    </row>
    <row r="2624" spans="1:4" x14ac:dyDescent="0.25">
      <c r="A2624" s="31"/>
      <c r="D2624" s="30"/>
    </row>
    <row r="2625" spans="1:4" x14ac:dyDescent="0.25">
      <c r="A2625" s="31"/>
      <c r="D2625" s="30"/>
    </row>
    <row r="2626" spans="1:4" x14ac:dyDescent="0.25">
      <c r="A2626" s="31"/>
      <c r="D2626" s="30"/>
    </row>
    <row r="2627" spans="1:4" x14ac:dyDescent="0.25">
      <c r="A2627" s="31"/>
      <c r="D2627" s="30"/>
    </row>
    <row r="2628" spans="1:4" x14ac:dyDescent="0.25">
      <c r="A2628" s="31"/>
      <c r="D2628" s="30"/>
    </row>
    <row r="2629" spans="1:4" x14ac:dyDescent="0.25">
      <c r="A2629" s="31"/>
      <c r="D2629" s="30"/>
    </row>
    <row r="2630" spans="1:4" x14ac:dyDescent="0.25">
      <c r="A2630" s="31"/>
      <c r="D2630" s="30"/>
    </row>
    <row r="2631" spans="1:4" x14ac:dyDescent="0.25">
      <c r="A2631" s="31"/>
      <c r="D2631" s="30"/>
    </row>
    <row r="2632" spans="1:4" x14ac:dyDescent="0.25">
      <c r="A2632" s="31"/>
      <c r="D2632" s="30"/>
    </row>
    <row r="2633" spans="1:4" x14ac:dyDescent="0.25">
      <c r="A2633" s="31"/>
      <c r="D2633" s="30"/>
    </row>
    <row r="2634" spans="1:4" x14ac:dyDescent="0.25">
      <c r="A2634" s="31"/>
      <c r="D2634" s="30"/>
    </row>
    <row r="2635" spans="1:4" x14ac:dyDescent="0.25">
      <c r="A2635" s="31"/>
      <c r="D2635" s="30"/>
    </row>
    <row r="2636" spans="1:4" x14ac:dyDescent="0.25">
      <c r="A2636" s="31"/>
      <c r="D2636" s="30"/>
    </row>
    <row r="2637" spans="1:4" x14ac:dyDescent="0.25">
      <c r="A2637" s="31"/>
      <c r="D2637" s="30"/>
    </row>
    <row r="2638" spans="1:4" x14ac:dyDescent="0.25">
      <c r="A2638" s="31"/>
      <c r="D2638" s="30"/>
    </row>
    <row r="2639" spans="1:4" x14ac:dyDescent="0.25">
      <c r="A2639" s="31"/>
      <c r="D2639" s="30"/>
    </row>
    <row r="2640" spans="1:4" x14ac:dyDescent="0.25">
      <c r="A2640" s="31"/>
      <c r="D2640" s="30"/>
    </row>
    <row r="2641" spans="1:4" x14ac:dyDescent="0.25">
      <c r="A2641" s="31"/>
      <c r="D2641" s="30"/>
    </row>
    <row r="2642" spans="1:4" x14ac:dyDescent="0.25">
      <c r="A2642" s="31"/>
      <c r="D2642" s="30"/>
    </row>
    <row r="2643" spans="1:4" x14ac:dyDescent="0.25">
      <c r="A2643" s="31"/>
      <c r="D2643" s="30"/>
    </row>
    <row r="2644" spans="1:4" x14ac:dyDescent="0.25">
      <c r="A2644" s="31"/>
      <c r="D2644" s="30"/>
    </row>
    <row r="2645" spans="1:4" x14ac:dyDescent="0.25">
      <c r="A2645" s="31"/>
      <c r="D2645" s="30"/>
    </row>
    <row r="2646" spans="1:4" x14ac:dyDescent="0.25">
      <c r="A2646" s="31"/>
      <c r="D2646" s="30"/>
    </row>
    <row r="2647" spans="1:4" x14ac:dyDescent="0.25">
      <c r="A2647" s="31"/>
      <c r="D2647" s="30"/>
    </row>
    <row r="2648" spans="1:4" x14ac:dyDescent="0.25">
      <c r="A2648" s="31"/>
      <c r="D2648" s="30"/>
    </row>
    <row r="2649" spans="1:4" x14ac:dyDescent="0.25">
      <c r="A2649" s="31"/>
      <c r="D2649" s="30"/>
    </row>
    <row r="2650" spans="1:4" x14ac:dyDescent="0.25">
      <c r="A2650" s="31"/>
      <c r="D2650" s="30"/>
    </row>
    <row r="2651" spans="1:4" x14ac:dyDescent="0.25">
      <c r="A2651" s="31"/>
      <c r="D2651" s="30"/>
    </row>
    <row r="2652" spans="1:4" x14ac:dyDescent="0.25">
      <c r="A2652" s="31"/>
      <c r="D2652" s="30"/>
    </row>
    <row r="2653" spans="1:4" x14ac:dyDescent="0.25">
      <c r="A2653" s="31"/>
      <c r="D2653" s="30"/>
    </row>
    <row r="2654" spans="1:4" x14ac:dyDescent="0.25">
      <c r="A2654" s="31"/>
      <c r="D2654" s="30"/>
    </row>
    <row r="2655" spans="1:4" x14ac:dyDescent="0.25">
      <c r="A2655" s="31"/>
      <c r="D2655" s="30"/>
    </row>
    <row r="2656" spans="1:4" x14ac:dyDescent="0.25">
      <c r="A2656" s="31"/>
      <c r="D2656" s="30"/>
    </row>
    <row r="2657" spans="1:4" x14ac:dyDescent="0.25">
      <c r="A2657" s="31"/>
      <c r="D2657" s="30"/>
    </row>
    <row r="2658" spans="1:4" x14ac:dyDescent="0.25">
      <c r="A2658" s="31"/>
      <c r="D2658" s="30"/>
    </row>
    <row r="2659" spans="1:4" x14ac:dyDescent="0.25">
      <c r="A2659" s="31"/>
      <c r="D2659" s="30"/>
    </row>
    <row r="2660" spans="1:4" x14ac:dyDescent="0.25">
      <c r="A2660" s="31"/>
      <c r="D2660" s="30"/>
    </row>
    <row r="2661" spans="1:4" x14ac:dyDescent="0.25">
      <c r="A2661" s="31"/>
      <c r="D2661" s="30"/>
    </row>
    <row r="2662" spans="1:4" x14ac:dyDescent="0.25">
      <c r="A2662" s="31"/>
      <c r="D2662" s="30"/>
    </row>
    <row r="2663" spans="1:4" x14ac:dyDescent="0.25">
      <c r="A2663" s="31"/>
      <c r="D2663" s="30"/>
    </row>
    <row r="2664" spans="1:4" x14ac:dyDescent="0.25">
      <c r="A2664" s="31"/>
      <c r="D2664" s="30"/>
    </row>
    <row r="2665" spans="1:4" x14ac:dyDescent="0.25">
      <c r="A2665" s="31"/>
      <c r="D2665" s="30"/>
    </row>
    <row r="2666" spans="1:4" x14ac:dyDescent="0.25">
      <c r="A2666" s="31"/>
      <c r="D2666" s="30"/>
    </row>
    <row r="2667" spans="1:4" x14ac:dyDescent="0.25">
      <c r="A2667" s="31"/>
      <c r="D2667" s="30"/>
    </row>
    <row r="2668" spans="1:4" x14ac:dyDescent="0.25">
      <c r="A2668" s="31"/>
      <c r="D2668" s="30"/>
    </row>
    <row r="2669" spans="1:4" x14ac:dyDescent="0.25">
      <c r="A2669" s="31"/>
      <c r="D2669" s="30"/>
    </row>
    <row r="2670" spans="1:4" x14ac:dyDescent="0.25">
      <c r="A2670" s="31"/>
      <c r="D2670" s="30"/>
    </row>
    <row r="2671" spans="1:4" x14ac:dyDescent="0.25">
      <c r="A2671" s="31"/>
      <c r="D2671" s="30"/>
    </row>
    <row r="2672" spans="1:4" x14ac:dyDescent="0.25">
      <c r="A2672" s="31"/>
      <c r="D2672" s="30"/>
    </row>
    <row r="2673" spans="1:4" x14ac:dyDescent="0.25">
      <c r="A2673" s="31"/>
      <c r="D2673" s="30"/>
    </row>
    <row r="2674" spans="1:4" x14ac:dyDescent="0.25">
      <c r="A2674" s="31"/>
      <c r="D2674" s="30"/>
    </row>
    <row r="2675" spans="1:4" x14ac:dyDescent="0.25">
      <c r="A2675" s="31"/>
      <c r="D2675" s="30"/>
    </row>
    <row r="2676" spans="1:4" x14ac:dyDescent="0.25">
      <c r="A2676" s="31"/>
      <c r="D2676" s="30"/>
    </row>
    <row r="2677" spans="1:4" x14ac:dyDescent="0.25">
      <c r="A2677" s="31"/>
      <c r="D2677" s="30"/>
    </row>
    <row r="2678" spans="1:4" x14ac:dyDescent="0.25">
      <c r="A2678" s="31"/>
      <c r="D2678" s="30"/>
    </row>
    <row r="2679" spans="1:4" x14ac:dyDescent="0.25">
      <c r="A2679" s="31"/>
      <c r="D2679" s="30"/>
    </row>
    <row r="2680" spans="1:4" x14ac:dyDescent="0.25">
      <c r="A2680" s="31"/>
      <c r="D2680" s="30"/>
    </row>
    <row r="2681" spans="1:4" x14ac:dyDescent="0.25">
      <c r="A2681" s="31"/>
      <c r="D2681" s="30"/>
    </row>
    <row r="2682" spans="1:4" x14ac:dyDescent="0.25">
      <c r="A2682" s="31"/>
      <c r="D2682" s="30"/>
    </row>
    <row r="2683" spans="1:4" x14ac:dyDescent="0.25">
      <c r="A2683" s="31"/>
      <c r="D2683" s="30"/>
    </row>
    <row r="2684" spans="1:4" x14ac:dyDescent="0.25">
      <c r="A2684" s="31"/>
      <c r="D2684" s="30"/>
    </row>
    <row r="2685" spans="1:4" x14ac:dyDescent="0.25">
      <c r="A2685" s="31"/>
      <c r="D2685" s="30"/>
    </row>
    <row r="2686" spans="1:4" x14ac:dyDescent="0.25">
      <c r="A2686" s="31"/>
      <c r="D2686" s="30"/>
    </row>
    <row r="2687" spans="1:4" x14ac:dyDescent="0.25">
      <c r="A2687" s="31"/>
      <c r="D2687" s="30"/>
    </row>
    <row r="2688" spans="1:4" x14ac:dyDescent="0.25">
      <c r="A2688" s="31"/>
      <c r="D2688" s="30"/>
    </row>
    <row r="2689" spans="1:4" x14ac:dyDescent="0.25">
      <c r="A2689" s="31"/>
      <c r="D2689" s="30"/>
    </row>
    <row r="2690" spans="1:4" x14ac:dyDescent="0.25">
      <c r="A2690" s="31"/>
      <c r="D2690" s="30"/>
    </row>
    <row r="2691" spans="1:4" x14ac:dyDescent="0.25">
      <c r="A2691" s="31"/>
      <c r="D2691" s="30"/>
    </row>
    <row r="2692" spans="1:4" x14ac:dyDescent="0.25">
      <c r="A2692" s="31"/>
      <c r="D2692" s="30"/>
    </row>
    <row r="2693" spans="1:4" x14ac:dyDescent="0.25">
      <c r="A2693" s="31"/>
      <c r="D2693" s="30"/>
    </row>
    <row r="2694" spans="1:4" x14ac:dyDescent="0.25">
      <c r="A2694" s="31"/>
      <c r="D2694" s="30"/>
    </row>
    <row r="2695" spans="1:4" x14ac:dyDescent="0.25">
      <c r="A2695" s="31"/>
      <c r="D2695" s="30"/>
    </row>
    <row r="2696" spans="1:4" x14ac:dyDescent="0.25">
      <c r="A2696" s="31"/>
      <c r="D2696" s="30"/>
    </row>
    <row r="2697" spans="1:4" x14ac:dyDescent="0.25">
      <c r="A2697" s="31"/>
      <c r="D2697" s="30"/>
    </row>
    <row r="2698" spans="1:4" x14ac:dyDescent="0.25">
      <c r="A2698" s="31"/>
      <c r="D2698" s="30"/>
    </row>
    <row r="2699" spans="1:4" x14ac:dyDescent="0.25">
      <c r="A2699" s="31"/>
      <c r="D2699" s="30"/>
    </row>
    <row r="2700" spans="1:4" x14ac:dyDescent="0.25">
      <c r="A2700" s="31"/>
      <c r="D2700" s="30"/>
    </row>
    <row r="2701" spans="1:4" x14ac:dyDescent="0.25">
      <c r="A2701" s="31"/>
      <c r="D2701" s="30"/>
    </row>
    <row r="2702" spans="1:4" x14ac:dyDescent="0.25">
      <c r="A2702" s="31"/>
      <c r="D2702" s="30"/>
    </row>
    <row r="2703" spans="1:4" x14ac:dyDescent="0.25">
      <c r="A2703" s="31"/>
      <c r="D2703" s="30"/>
    </row>
    <row r="2704" spans="1:4" x14ac:dyDescent="0.25">
      <c r="A2704" s="31"/>
      <c r="D2704" s="30"/>
    </row>
    <row r="2705" spans="1:4" x14ac:dyDescent="0.25">
      <c r="A2705" s="31"/>
      <c r="D2705" s="30"/>
    </row>
    <row r="2706" spans="1:4" x14ac:dyDescent="0.25">
      <c r="A2706" s="31"/>
      <c r="D2706" s="30"/>
    </row>
    <row r="2707" spans="1:4" x14ac:dyDescent="0.25">
      <c r="A2707" s="31"/>
      <c r="D2707" s="30"/>
    </row>
    <row r="2708" spans="1:4" x14ac:dyDescent="0.25">
      <c r="A2708" s="31"/>
      <c r="D2708" s="30"/>
    </row>
    <row r="2709" spans="1:4" x14ac:dyDescent="0.25">
      <c r="A2709" s="31"/>
      <c r="D2709" s="30"/>
    </row>
    <row r="2710" spans="1:4" x14ac:dyDescent="0.25">
      <c r="A2710" s="31"/>
      <c r="D2710" s="30"/>
    </row>
    <row r="2711" spans="1:4" x14ac:dyDescent="0.25">
      <c r="A2711" s="31"/>
      <c r="D2711" s="30"/>
    </row>
    <row r="2712" spans="1:4" x14ac:dyDescent="0.25">
      <c r="A2712" s="31"/>
      <c r="D2712" s="30"/>
    </row>
    <row r="2713" spans="1:4" x14ac:dyDescent="0.25">
      <c r="A2713" s="31"/>
      <c r="D2713" s="30"/>
    </row>
    <row r="2714" spans="1:4" x14ac:dyDescent="0.25">
      <c r="A2714" s="31"/>
      <c r="D2714" s="30"/>
    </row>
    <row r="2715" spans="1:4" x14ac:dyDescent="0.25">
      <c r="A2715" s="31"/>
      <c r="D2715" s="30"/>
    </row>
    <row r="2716" spans="1:4" x14ac:dyDescent="0.25">
      <c r="A2716" s="31"/>
      <c r="D2716" s="30"/>
    </row>
    <row r="2717" spans="1:4" x14ac:dyDescent="0.25">
      <c r="A2717" s="31"/>
      <c r="D2717" s="30"/>
    </row>
    <row r="2718" spans="1:4" x14ac:dyDescent="0.25">
      <c r="A2718" s="31"/>
      <c r="D2718" s="30"/>
    </row>
    <row r="2719" spans="1:4" x14ac:dyDescent="0.25">
      <c r="A2719" s="31"/>
      <c r="D2719" s="30"/>
    </row>
    <row r="2720" spans="1:4" x14ac:dyDescent="0.25">
      <c r="A2720" s="31"/>
      <c r="D2720" s="30"/>
    </row>
    <row r="2721" spans="1:4" x14ac:dyDescent="0.25">
      <c r="A2721" s="31"/>
      <c r="D2721" s="30"/>
    </row>
    <row r="2722" spans="1:4" x14ac:dyDescent="0.25">
      <c r="A2722" s="31"/>
      <c r="D2722" s="30"/>
    </row>
    <row r="2723" spans="1:4" x14ac:dyDescent="0.25">
      <c r="A2723" s="31"/>
      <c r="D2723" s="30"/>
    </row>
    <row r="2724" spans="1:4" x14ac:dyDescent="0.25">
      <c r="A2724" s="31"/>
      <c r="D2724" s="30"/>
    </row>
    <row r="2725" spans="1:4" x14ac:dyDescent="0.25">
      <c r="A2725" s="31"/>
      <c r="D2725" s="30"/>
    </row>
    <row r="2726" spans="1:4" x14ac:dyDescent="0.25">
      <c r="A2726" s="31"/>
      <c r="D2726" s="30"/>
    </row>
    <row r="2727" spans="1:4" x14ac:dyDescent="0.25">
      <c r="A2727" s="31"/>
      <c r="D2727" s="30"/>
    </row>
    <row r="2728" spans="1:4" x14ac:dyDescent="0.25">
      <c r="A2728" s="31"/>
      <c r="D2728" s="30"/>
    </row>
    <row r="2729" spans="1:4" x14ac:dyDescent="0.25">
      <c r="A2729" s="31"/>
      <c r="D2729" s="30"/>
    </row>
    <row r="2730" spans="1:4" x14ac:dyDescent="0.25">
      <c r="A2730" s="31"/>
      <c r="D2730" s="30"/>
    </row>
    <row r="2731" spans="1:4" x14ac:dyDescent="0.25">
      <c r="A2731" s="31"/>
      <c r="D2731" s="30"/>
    </row>
    <row r="2732" spans="1:4" x14ac:dyDescent="0.25">
      <c r="A2732" s="31"/>
      <c r="D2732" s="30"/>
    </row>
    <row r="2733" spans="1:4" x14ac:dyDescent="0.25">
      <c r="A2733" s="31"/>
      <c r="D2733" s="30"/>
    </row>
    <row r="2734" spans="1:4" x14ac:dyDescent="0.25">
      <c r="A2734" s="31"/>
      <c r="D2734" s="30"/>
    </row>
    <row r="2735" spans="1:4" x14ac:dyDescent="0.25">
      <c r="A2735" s="31"/>
      <c r="D2735" s="30"/>
    </row>
    <row r="2736" spans="1:4" x14ac:dyDescent="0.25">
      <c r="A2736" s="31"/>
      <c r="D2736" s="30"/>
    </row>
    <row r="2737" spans="1:4" x14ac:dyDescent="0.25">
      <c r="A2737" s="31"/>
      <c r="D2737" s="30"/>
    </row>
    <row r="2738" spans="1:4" x14ac:dyDescent="0.25">
      <c r="A2738" s="31"/>
      <c r="D2738" s="30"/>
    </row>
    <row r="2739" spans="1:4" x14ac:dyDescent="0.25">
      <c r="A2739" s="31"/>
      <c r="D2739" s="30"/>
    </row>
    <row r="2740" spans="1:4" x14ac:dyDescent="0.25">
      <c r="A2740" s="31"/>
      <c r="D2740" s="30"/>
    </row>
    <row r="2741" spans="1:4" x14ac:dyDescent="0.25">
      <c r="A2741" s="31"/>
      <c r="D2741" s="30"/>
    </row>
    <row r="2742" spans="1:4" x14ac:dyDescent="0.25">
      <c r="A2742" s="31"/>
      <c r="D2742" s="30"/>
    </row>
    <row r="2743" spans="1:4" x14ac:dyDescent="0.25">
      <c r="A2743" s="31"/>
      <c r="D2743" s="30"/>
    </row>
    <row r="2744" spans="1:4" x14ac:dyDescent="0.25">
      <c r="A2744" s="31"/>
      <c r="D2744" s="30"/>
    </row>
    <row r="2745" spans="1:4" x14ac:dyDescent="0.25">
      <c r="A2745" s="31"/>
      <c r="D2745" s="30"/>
    </row>
    <row r="2746" spans="1:4" x14ac:dyDescent="0.25">
      <c r="A2746" s="31"/>
      <c r="D2746" s="30"/>
    </row>
    <row r="2747" spans="1:4" x14ac:dyDescent="0.25">
      <c r="A2747" s="31"/>
      <c r="D2747" s="30"/>
    </row>
    <row r="2748" spans="1:4" x14ac:dyDescent="0.25">
      <c r="A2748" s="31"/>
      <c r="D2748" s="30"/>
    </row>
    <row r="2749" spans="1:4" x14ac:dyDescent="0.25">
      <c r="A2749" s="31"/>
      <c r="D2749" s="30"/>
    </row>
    <row r="2750" spans="1:4" x14ac:dyDescent="0.25">
      <c r="A2750" s="31"/>
      <c r="D2750" s="30"/>
    </row>
    <row r="2751" spans="1:4" x14ac:dyDescent="0.25">
      <c r="A2751" s="31"/>
      <c r="D2751" s="30"/>
    </row>
    <row r="2752" spans="1:4" x14ac:dyDescent="0.25">
      <c r="A2752" s="31"/>
      <c r="D2752" s="30"/>
    </row>
    <row r="2753" spans="1:4" x14ac:dyDescent="0.25">
      <c r="A2753" s="31"/>
      <c r="D2753" s="30"/>
    </row>
    <row r="2754" spans="1:4" x14ac:dyDescent="0.25">
      <c r="A2754" s="31"/>
      <c r="D2754" s="30"/>
    </row>
    <row r="2755" spans="1:4" x14ac:dyDescent="0.25">
      <c r="A2755" s="31"/>
      <c r="D2755" s="30"/>
    </row>
    <row r="2756" spans="1:4" x14ac:dyDescent="0.25">
      <c r="A2756" s="31"/>
      <c r="D2756" s="30"/>
    </row>
    <row r="2757" spans="1:4" x14ac:dyDescent="0.25">
      <c r="A2757" s="31"/>
      <c r="D2757" s="30"/>
    </row>
    <row r="2758" spans="1:4" x14ac:dyDescent="0.25">
      <c r="A2758" s="31"/>
      <c r="D2758" s="30"/>
    </row>
    <row r="2759" spans="1:4" x14ac:dyDescent="0.25">
      <c r="A2759" s="31"/>
      <c r="D2759" s="30"/>
    </row>
    <row r="2760" spans="1:4" x14ac:dyDescent="0.25">
      <c r="A2760" s="31"/>
      <c r="D2760" s="30"/>
    </row>
    <row r="2761" spans="1:4" x14ac:dyDescent="0.25">
      <c r="A2761" s="31"/>
      <c r="D2761" s="30"/>
    </row>
    <row r="2762" spans="1:4" x14ac:dyDescent="0.25">
      <c r="A2762" s="31"/>
      <c r="D2762" s="30"/>
    </row>
    <row r="2763" spans="1:4" x14ac:dyDescent="0.25">
      <c r="A2763" s="31"/>
      <c r="D2763" s="30"/>
    </row>
    <row r="2764" spans="1:4" x14ac:dyDescent="0.25">
      <c r="A2764" s="31"/>
      <c r="D2764" s="30"/>
    </row>
    <row r="2765" spans="1:4" x14ac:dyDescent="0.25">
      <c r="A2765" s="31"/>
      <c r="D2765" s="30"/>
    </row>
    <row r="2766" spans="1:4" x14ac:dyDescent="0.25">
      <c r="A2766" s="31"/>
      <c r="D2766" s="30"/>
    </row>
    <row r="2767" spans="1:4" x14ac:dyDescent="0.25">
      <c r="A2767" s="31"/>
      <c r="D2767" s="30"/>
    </row>
    <row r="2768" spans="1:4" x14ac:dyDescent="0.25">
      <c r="A2768" s="31"/>
      <c r="D2768" s="30"/>
    </row>
    <row r="2769" spans="1:4" x14ac:dyDescent="0.25">
      <c r="A2769" s="31"/>
      <c r="D2769" s="30"/>
    </row>
    <row r="2770" spans="1:4" x14ac:dyDescent="0.25">
      <c r="A2770" s="31"/>
      <c r="D2770" s="30"/>
    </row>
    <row r="2771" spans="1:4" x14ac:dyDescent="0.25">
      <c r="A2771" s="31"/>
      <c r="D2771" s="30"/>
    </row>
    <row r="2772" spans="1:4" x14ac:dyDescent="0.25">
      <c r="A2772" s="31"/>
      <c r="D2772" s="30"/>
    </row>
    <row r="2773" spans="1:4" x14ac:dyDescent="0.25">
      <c r="A2773" s="31"/>
      <c r="D2773" s="30"/>
    </row>
    <row r="2774" spans="1:4" x14ac:dyDescent="0.25">
      <c r="A2774" s="31"/>
      <c r="D2774" s="30"/>
    </row>
    <row r="2775" spans="1:4" x14ac:dyDescent="0.25">
      <c r="A2775" s="31"/>
      <c r="D2775" s="30"/>
    </row>
    <row r="2776" spans="1:4" x14ac:dyDescent="0.25">
      <c r="A2776" s="31"/>
      <c r="D2776" s="30"/>
    </row>
    <row r="2777" spans="1:4" x14ac:dyDescent="0.25">
      <c r="A2777" s="31"/>
      <c r="D2777" s="30"/>
    </row>
    <row r="2778" spans="1:4" x14ac:dyDescent="0.25">
      <c r="A2778" s="31"/>
      <c r="D2778" s="30"/>
    </row>
    <row r="2779" spans="1:4" x14ac:dyDescent="0.25">
      <c r="A2779" s="31"/>
      <c r="D2779" s="30"/>
    </row>
    <row r="2780" spans="1:4" x14ac:dyDescent="0.25">
      <c r="A2780" s="31"/>
      <c r="D2780" s="30"/>
    </row>
    <row r="2781" spans="1:4" x14ac:dyDescent="0.25">
      <c r="A2781" s="31"/>
      <c r="D2781" s="30"/>
    </row>
    <row r="2782" spans="1:4" x14ac:dyDescent="0.25">
      <c r="A2782" s="31"/>
      <c r="D2782" s="30"/>
    </row>
    <row r="2783" spans="1:4" x14ac:dyDescent="0.25">
      <c r="A2783" s="31"/>
      <c r="D2783" s="30"/>
    </row>
    <row r="2784" spans="1:4" x14ac:dyDescent="0.25">
      <c r="A2784" s="31"/>
      <c r="D2784" s="30"/>
    </row>
    <row r="2785" spans="1:4" x14ac:dyDescent="0.25">
      <c r="A2785" s="31"/>
      <c r="D2785" s="30"/>
    </row>
    <row r="2786" spans="1:4" x14ac:dyDescent="0.25">
      <c r="A2786" s="31"/>
      <c r="D2786" s="30"/>
    </row>
    <row r="2787" spans="1:4" x14ac:dyDescent="0.25">
      <c r="A2787" s="31"/>
      <c r="D2787" s="30"/>
    </row>
    <row r="2788" spans="1:4" x14ac:dyDescent="0.25">
      <c r="A2788" s="31"/>
      <c r="D2788" s="30"/>
    </row>
    <row r="2789" spans="1:4" x14ac:dyDescent="0.25">
      <c r="A2789" s="31"/>
      <c r="D2789" s="30"/>
    </row>
    <row r="2790" spans="1:4" x14ac:dyDescent="0.25">
      <c r="A2790" s="31"/>
      <c r="D2790" s="30"/>
    </row>
    <row r="2791" spans="1:4" x14ac:dyDescent="0.25">
      <c r="A2791" s="31"/>
      <c r="D2791" s="30"/>
    </row>
    <row r="2792" spans="1:4" x14ac:dyDescent="0.25">
      <c r="A2792" s="31"/>
      <c r="D2792" s="30"/>
    </row>
    <row r="2793" spans="1:4" x14ac:dyDescent="0.25">
      <c r="A2793" s="31"/>
      <c r="D2793" s="30"/>
    </row>
    <row r="2794" spans="1:4" x14ac:dyDescent="0.25">
      <c r="A2794" s="31"/>
      <c r="D2794" s="30"/>
    </row>
    <row r="2795" spans="1:4" x14ac:dyDescent="0.25">
      <c r="A2795" s="31"/>
      <c r="D2795" s="30"/>
    </row>
    <row r="2796" spans="1:4" x14ac:dyDescent="0.25">
      <c r="A2796" s="31"/>
      <c r="D2796" s="30"/>
    </row>
    <row r="2797" spans="1:4" x14ac:dyDescent="0.25">
      <c r="A2797" s="31"/>
      <c r="D2797" s="30"/>
    </row>
    <row r="2798" spans="1:4" x14ac:dyDescent="0.25">
      <c r="A2798" s="31"/>
      <c r="D2798" s="30"/>
    </row>
    <row r="2799" spans="1:4" x14ac:dyDescent="0.25">
      <c r="A2799" s="31"/>
      <c r="D2799" s="30"/>
    </row>
    <row r="2800" spans="1:4" x14ac:dyDescent="0.25">
      <c r="A2800" s="31"/>
      <c r="D2800" s="30"/>
    </row>
    <row r="2801" spans="1:4" x14ac:dyDescent="0.25">
      <c r="A2801" s="31"/>
      <c r="D2801" s="30"/>
    </row>
    <row r="2802" spans="1:4" x14ac:dyDescent="0.25">
      <c r="A2802" s="31"/>
      <c r="D2802" s="30"/>
    </row>
    <row r="2803" spans="1:4" x14ac:dyDescent="0.25">
      <c r="A2803" s="31"/>
      <c r="D2803" s="30"/>
    </row>
    <row r="2804" spans="1:4" x14ac:dyDescent="0.25">
      <c r="A2804" s="31"/>
      <c r="D2804" s="30"/>
    </row>
    <row r="2805" spans="1:4" x14ac:dyDescent="0.25">
      <c r="A2805" s="31"/>
      <c r="D2805" s="30"/>
    </row>
    <row r="2806" spans="1:4" x14ac:dyDescent="0.25">
      <c r="A2806" s="31"/>
      <c r="D2806" s="30"/>
    </row>
    <row r="2807" spans="1:4" x14ac:dyDescent="0.25">
      <c r="A2807" s="31"/>
      <c r="D2807" s="30"/>
    </row>
    <row r="2808" spans="1:4" x14ac:dyDescent="0.25">
      <c r="A2808" s="31"/>
      <c r="D2808" s="30"/>
    </row>
    <row r="2809" spans="1:4" x14ac:dyDescent="0.25">
      <c r="A2809" s="31"/>
      <c r="D2809" s="30"/>
    </row>
    <row r="2810" spans="1:4" x14ac:dyDescent="0.25">
      <c r="A2810" s="31"/>
      <c r="D2810" s="30"/>
    </row>
    <row r="2811" spans="1:4" x14ac:dyDescent="0.25">
      <c r="A2811" s="31"/>
      <c r="D2811" s="30"/>
    </row>
    <row r="2812" spans="1:4" x14ac:dyDescent="0.25">
      <c r="A2812" s="31"/>
      <c r="D2812" s="30"/>
    </row>
    <row r="2813" spans="1:4" x14ac:dyDescent="0.25">
      <c r="A2813" s="31"/>
      <c r="D2813" s="30"/>
    </row>
    <row r="2814" spans="1:4" x14ac:dyDescent="0.25">
      <c r="A2814" s="31"/>
      <c r="D2814" s="30"/>
    </row>
    <row r="2815" spans="1:4" x14ac:dyDescent="0.25">
      <c r="A2815" s="31"/>
      <c r="D2815" s="30"/>
    </row>
    <row r="2816" spans="1:4" x14ac:dyDescent="0.25">
      <c r="A2816" s="31"/>
      <c r="D2816" s="30"/>
    </row>
    <row r="2817" spans="1:4" x14ac:dyDescent="0.25">
      <c r="A2817" s="31"/>
      <c r="D2817" s="30"/>
    </row>
    <row r="2818" spans="1:4" x14ac:dyDescent="0.25">
      <c r="A2818" s="31"/>
      <c r="D2818" s="30"/>
    </row>
    <row r="2819" spans="1:4" x14ac:dyDescent="0.25">
      <c r="A2819" s="31"/>
      <c r="D2819" s="30"/>
    </row>
    <row r="2820" spans="1:4" x14ac:dyDescent="0.25">
      <c r="A2820" s="31"/>
      <c r="D2820" s="30"/>
    </row>
    <row r="2821" spans="1:4" x14ac:dyDescent="0.25">
      <c r="A2821" s="31"/>
      <c r="D2821" s="30"/>
    </row>
    <row r="2822" spans="1:4" x14ac:dyDescent="0.25">
      <c r="A2822" s="31"/>
      <c r="D2822" s="30"/>
    </row>
    <row r="2823" spans="1:4" x14ac:dyDescent="0.25">
      <c r="A2823" s="31"/>
      <c r="D2823" s="30"/>
    </row>
    <row r="2824" spans="1:4" x14ac:dyDescent="0.25">
      <c r="A2824" s="31"/>
      <c r="D2824" s="30"/>
    </row>
    <row r="2825" spans="1:4" x14ac:dyDescent="0.25">
      <c r="A2825" s="31"/>
      <c r="D2825" s="30"/>
    </row>
    <row r="2826" spans="1:4" x14ac:dyDescent="0.25">
      <c r="A2826" s="31"/>
      <c r="D2826" s="30"/>
    </row>
    <row r="2827" spans="1:4" x14ac:dyDescent="0.25">
      <c r="A2827" s="31"/>
      <c r="D2827" s="30"/>
    </row>
    <row r="2828" spans="1:4" x14ac:dyDescent="0.25">
      <c r="A2828" s="31"/>
      <c r="D2828" s="30"/>
    </row>
    <row r="2829" spans="1:4" x14ac:dyDescent="0.25">
      <c r="A2829" s="31"/>
      <c r="D2829" s="30"/>
    </row>
    <row r="2830" spans="1:4" x14ac:dyDescent="0.25">
      <c r="A2830" s="31"/>
      <c r="D2830" s="30"/>
    </row>
    <row r="2831" spans="1:4" x14ac:dyDescent="0.25">
      <c r="A2831" s="31"/>
      <c r="D2831" s="30"/>
    </row>
    <row r="2832" spans="1:4" x14ac:dyDescent="0.25">
      <c r="A2832" s="31"/>
      <c r="D2832" s="30"/>
    </row>
    <row r="2833" spans="1:4" x14ac:dyDescent="0.25">
      <c r="A2833" s="31"/>
      <c r="D2833" s="30"/>
    </row>
    <row r="2834" spans="1:4" x14ac:dyDescent="0.25">
      <c r="A2834" s="31"/>
      <c r="D2834" s="30"/>
    </row>
    <row r="2835" spans="1:4" x14ac:dyDescent="0.25">
      <c r="A2835" s="31"/>
      <c r="D2835" s="30"/>
    </row>
    <row r="2836" spans="1:4" x14ac:dyDescent="0.25">
      <c r="A2836" s="31"/>
      <c r="D2836" s="30"/>
    </row>
    <row r="2837" spans="1:4" x14ac:dyDescent="0.25">
      <c r="A2837" s="31"/>
      <c r="D2837" s="30"/>
    </row>
    <row r="2838" spans="1:4" x14ac:dyDescent="0.25">
      <c r="A2838" s="31"/>
      <c r="D2838" s="30"/>
    </row>
    <row r="2839" spans="1:4" x14ac:dyDescent="0.25">
      <c r="A2839" s="31"/>
      <c r="D2839" s="30"/>
    </row>
    <row r="2840" spans="1:4" x14ac:dyDescent="0.25">
      <c r="A2840" s="31"/>
      <c r="D2840" s="30"/>
    </row>
    <row r="2841" spans="1:4" x14ac:dyDescent="0.25">
      <c r="A2841" s="31"/>
      <c r="D2841" s="30"/>
    </row>
    <row r="2842" spans="1:4" x14ac:dyDescent="0.25">
      <c r="A2842" s="31"/>
      <c r="D2842" s="30"/>
    </row>
    <row r="2843" spans="1:4" x14ac:dyDescent="0.25">
      <c r="A2843" s="31"/>
      <c r="D2843" s="30"/>
    </row>
    <row r="2844" spans="1:4" x14ac:dyDescent="0.25">
      <c r="A2844" s="31"/>
      <c r="D2844" s="30"/>
    </row>
    <row r="2845" spans="1:4" x14ac:dyDescent="0.25">
      <c r="A2845" s="31"/>
      <c r="D2845" s="30"/>
    </row>
    <row r="2846" spans="1:4" x14ac:dyDescent="0.25">
      <c r="A2846" s="31"/>
      <c r="D2846" s="30"/>
    </row>
    <row r="2847" spans="1:4" x14ac:dyDescent="0.25">
      <c r="A2847" s="31"/>
      <c r="D2847" s="30"/>
    </row>
    <row r="2848" spans="1:4" x14ac:dyDescent="0.25">
      <c r="A2848" s="31"/>
      <c r="D2848" s="30"/>
    </row>
    <row r="2849" spans="1:4" x14ac:dyDescent="0.25">
      <c r="A2849" s="31"/>
      <c r="D2849" s="30"/>
    </row>
    <row r="2850" spans="1:4" x14ac:dyDescent="0.25">
      <c r="A2850" s="31"/>
      <c r="D2850" s="30"/>
    </row>
    <row r="2851" spans="1:4" x14ac:dyDescent="0.25">
      <c r="A2851" s="31"/>
      <c r="D2851" s="30"/>
    </row>
    <row r="2852" spans="1:4" x14ac:dyDescent="0.25">
      <c r="A2852" s="31"/>
      <c r="D2852" s="30"/>
    </row>
    <row r="2853" spans="1:4" x14ac:dyDescent="0.25">
      <c r="A2853" s="31"/>
      <c r="D2853" s="30"/>
    </row>
    <row r="2854" spans="1:4" x14ac:dyDescent="0.25">
      <c r="A2854" s="31"/>
      <c r="D2854" s="30"/>
    </row>
    <row r="2855" spans="1:4" x14ac:dyDescent="0.25">
      <c r="A2855" s="31"/>
      <c r="D2855" s="30"/>
    </row>
    <row r="2856" spans="1:4" x14ac:dyDescent="0.25">
      <c r="A2856" s="31"/>
      <c r="D2856" s="30"/>
    </row>
    <row r="2857" spans="1:4" x14ac:dyDescent="0.25">
      <c r="A2857" s="31"/>
      <c r="D2857" s="30"/>
    </row>
    <row r="2858" spans="1:4" x14ac:dyDescent="0.25">
      <c r="A2858" s="31"/>
      <c r="D2858" s="30"/>
    </row>
    <row r="2859" spans="1:4" x14ac:dyDescent="0.25">
      <c r="A2859" s="31"/>
      <c r="D2859" s="30"/>
    </row>
    <row r="2860" spans="1:4" x14ac:dyDescent="0.25">
      <c r="A2860" s="31"/>
      <c r="D2860" s="30"/>
    </row>
    <row r="2861" spans="1:4" x14ac:dyDescent="0.25">
      <c r="A2861" s="31"/>
      <c r="D2861" s="30"/>
    </row>
    <row r="2862" spans="1:4" x14ac:dyDescent="0.25">
      <c r="A2862" s="31"/>
      <c r="D2862" s="30"/>
    </row>
    <row r="2863" spans="1:4" x14ac:dyDescent="0.25">
      <c r="A2863" s="31"/>
      <c r="D2863" s="30"/>
    </row>
    <row r="2864" spans="1:4" x14ac:dyDescent="0.25">
      <c r="A2864" s="31"/>
      <c r="D2864" s="30"/>
    </row>
    <row r="2865" spans="1:4" x14ac:dyDescent="0.25">
      <c r="A2865" s="31"/>
      <c r="D2865" s="30"/>
    </row>
    <row r="2866" spans="1:4" x14ac:dyDescent="0.25">
      <c r="A2866" s="31"/>
      <c r="D2866" s="30"/>
    </row>
    <row r="2867" spans="1:4" x14ac:dyDescent="0.25">
      <c r="A2867" s="31"/>
      <c r="D2867" s="30"/>
    </row>
    <row r="2868" spans="1:4" x14ac:dyDescent="0.25">
      <c r="A2868" s="31"/>
      <c r="D2868" s="30"/>
    </row>
    <row r="2869" spans="1:4" x14ac:dyDescent="0.25">
      <c r="A2869" s="31"/>
      <c r="D2869" s="30"/>
    </row>
    <row r="2870" spans="1:4" x14ac:dyDescent="0.25">
      <c r="A2870" s="31"/>
      <c r="D2870" s="30"/>
    </row>
    <row r="2871" spans="1:4" x14ac:dyDescent="0.25">
      <c r="A2871" s="31"/>
      <c r="D2871" s="30"/>
    </row>
    <row r="2872" spans="1:4" x14ac:dyDescent="0.25">
      <c r="A2872" s="31"/>
      <c r="D2872" s="30"/>
    </row>
    <row r="2873" spans="1:4" x14ac:dyDescent="0.25">
      <c r="A2873" s="31"/>
      <c r="D2873" s="30"/>
    </row>
    <row r="2874" spans="1:4" x14ac:dyDescent="0.25">
      <c r="A2874" s="31"/>
      <c r="D2874" s="30"/>
    </row>
    <row r="2875" spans="1:4" x14ac:dyDescent="0.25">
      <c r="A2875" s="31"/>
      <c r="D2875" s="30"/>
    </row>
    <row r="2876" spans="1:4" x14ac:dyDescent="0.25">
      <c r="A2876" s="31"/>
      <c r="D2876" s="30"/>
    </row>
    <row r="2877" spans="1:4" x14ac:dyDescent="0.25">
      <c r="A2877" s="31"/>
      <c r="D2877" s="30"/>
    </row>
    <row r="2878" spans="1:4" x14ac:dyDescent="0.25">
      <c r="A2878" s="31"/>
      <c r="D2878" s="30"/>
    </row>
    <row r="2879" spans="1:4" x14ac:dyDescent="0.25">
      <c r="A2879" s="31"/>
      <c r="D2879" s="30"/>
    </row>
    <row r="2880" spans="1:4" x14ac:dyDescent="0.25">
      <c r="A2880" s="31"/>
      <c r="D2880" s="30"/>
    </row>
    <row r="2881" spans="1:4" x14ac:dyDescent="0.25">
      <c r="A2881" s="31"/>
      <c r="D2881" s="30"/>
    </row>
    <row r="2882" spans="1:4" x14ac:dyDescent="0.25">
      <c r="A2882" s="31"/>
      <c r="D2882" s="30"/>
    </row>
    <row r="2883" spans="1:4" x14ac:dyDescent="0.25">
      <c r="A2883" s="31"/>
      <c r="D2883" s="30"/>
    </row>
    <row r="2884" spans="1:4" x14ac:dyDescent="0.25">
      <c r="A2884" s="31"/>
      <c r="D2884" s="30"/>
    </row>
    <row r="2885" spans="1:4" x14ac:dyDescent="0.25">
      <c r="A2885" s="31"/>
      <c r="D2885" s="30"/>
    </row>
    <row r="2886" spans="1:4" x14ac:dyDescent="0.25">
      <c r="A2886" s="31"/>
      <c r="D2886" s="30"/>
    </row>
    <row r="2887" spans="1:4" x14ac:dyDescent="0.25">
      <c r="A2887" s="31"/>
      <c r="D2887" s="30"/>
    </row>
    <row r="2888" spans="1:4" x14ac:dyDescent="0.25">
      <c r="A2888" s="31"/>
      <c r="D2888" s="30"/>
    </row>
    <row r="2889" spans="1:4" x14ac:dyDescent="0.25">
      <c r="A2889" s="31"/>
      <c r="D2889" s="30"/>
    </row>
    <row r="2890" spans="1:4" x14ac:dyDescent="0.25">
      <c r="A2890" s="31"/>
      <c r="D2890" s="30"/>
    </row>
    <row r="2891" spans="1:4" x14ac:dyDescent="0.25">
      <c r="A2891" s="31"/>
      <c r="D2891" s="30"/>
    </row>
    <row r="2892" spans="1:4" x14ac:dyDescent="0.25">
      <c r="A2892" s="31"/>
      <c r="D2892" s="30"/>
    </row>
    <row r="2893" spans="1:4" x14ac:dyDescent="0.25">
      <c r="A2893" s="31"/>
      <c r="D2893" s="30"/>
    </row>
    <row r="2894" spans="1:4" x14ac:dyDescent="0.25">
      <c r="A2894" s="31"/>
      <c r="D2894" s="30"/>
    </row>
    <row r="2895" spans="1:4" x14ac:dyDescent="0.25">
      <c r="A2895" s="31"/>
      <c r="D2895" s="30"/>
    </row>
    <row r="2896" spans="1:4" x14ac:dyDescent="0.25">
      <c r="A2896" s="31"/>
      <c r="D2896" s="30"/>
    </row>
    <row r="2897" spans="1:4" x14ac:dyDescent="0.25">
      <c r="A2897" s="31"/>
      <c r="D2897" s="30"/>
    </row>
    <row r="2898" spans="1:4" x14ac:dyDescent="0.25">
      <c r="A2898" s="31"/>
      <c r="D2898" s="30"/>
    </row>
    <row r="2899" spans="1:4" x14ac:dyDescent="0.25">
      <c r="A2899" s="31"/>
      <c r="D2899" s="30"/>
    </row>
    <row r="2900" spans="1:4" x14ac:dyDescent="0.25">
      <c r="A2900" s="31"/>
      <c r="D2900" s="30"/>
    </row>
    <row r="2901" spans="1:4" x14ac:dyDescent="0.25">
      <c r="A2901" s="31"/>
      <c r="D2901" s="30"/>
    </row>
    <row r="2902" spans="1:4" x14ac:dyDescent="0.25">
      <c r="A2902" s="31"/>
      <c r="D2902" s="30"/>
    </row>
    <row r="2903" spans="1:4" x14ac:dyDescent="0.25">
      <c r="A2903" s="31"/>
      <c r="D2903" s="30"/>
    </row>
    <row r="2904" spans="1:4" x14ac:dyDescent="0.25">
      <c r="A2904" s="31"/>
      <c r="D2904" s="30"/>
    </row>
    <row r="2905" spans="1:4" x14ac:dyDescent="0.25">
      <c r="A2905" s="31"/>
      <c r="D2905" s="30"/>
    </row>
    <row r="2906" spans="1:4" x14ac:dyDescent="0.25">
      <c r="A2906" s="31"/>
      <c r="D2906" s="30"/>
    </row>
    <row r="2907" spans="1:4" x14ac:dyDescent="0.25">
      <c r="A2907" s="31"/>
      <c r="D2907" s="30"/>
    </row>
    <row r="2908" spans="1:4" x14ac:dyDescent="0.25">
      <c r="A2908" s="31"/>
      <c r="D2908" s="30"/>
    </row>
    <row r="2909" spans="1:4" x14ac:dyDescent="0.25">
      <c r="A2909" s="31"/>
      <c r="D2909" s="30"/>
    </row>
    <row r="2910" spans="1:4" x14ac:dyDescent="0.25">
      <c r="A2910" s="31"/>
      <c r="D2910" s="30"/>
    </row>
    <row r="2911" spans="1:4" x14ac:dyDescent="0.25">
      <c r="A2911" s="31"/>
      <c r="D2911" s="30"/>
    </row>
    <row r="2912" spans="1:4" x14ac:dyDescent="0.25">
      <c r="A2912" s="31"/>
      <c r="D2912" s="30"/>
    </row>
    <row r="2913" spans="1:4" x14ac:dyDescent="0.25">
      <c r="A2913" s="31"/>
      <c r="D2913" s="30"/>
    </row>
    <row r="2914" spans="1:4" x14ac:dyDescent="0.25">
      <c r="A2914" s="31"/>
      <c r="D2914" s="30"/>
    </row>
    <row r="2915" spans="1:4" x14ac:dyDescent="0.25">
      <c r="A2915" s="31"/>
      <c r="D2915" s="30"/>
    </row>
    <row r="2916" spans="1:4" x14ac:dyDescent="0.25">
      <c r="A2916" s="31"/>
      <c r="D2916" s="30"/>
    </row>
    <row r="2917" spans="1:4" x14ac:dyDescent="0.25">
      <c r="A2917" s="31"/>
      <c r="D2917" s="30"/>
    </row>
    <row r="2918" spans="1:4" x14ac:dyDescent="0.25">
      <c r="A2918" s="31"/>
      <c r="D2918" s="30"/>
    </row>
    <row r="2919" spans="1:4" x14ac:dyDescent="0.25">
      <c r="A2919" s="31"/>
      <c r="D2919" s="30"/>
    </row>
    <row r="2920" spans="1:4" x14ac:dyDescent="0.25">
      <c r="A2920" s="31"/>
      <c r="D2920" s="30"/>
    </row>
    <row r="2921" spans="1:4" x14ac:dyDescent="0.25">
      <c r="A2921" s="31"/>
      <c r="D2921" s="30"/>
    </row>
    <row r="2922" spans="1:4" x14ac:dyDescent="0.25">
      <c r="A2922" s="31"/>
      <c r="D2922" s="30"/>
    </row>
    <row r="2923" spans="1:4" x14ac:dyDescent="0.25">
      <c r="A2923" s="31"/>
      <c r="D2923" s="30"/>
    </row>
    <row r="2924" spans="1:4" x14ac:dyDescent="0.25">
      <c r="A2924" s="31"/>
      <c r="D2924" s="30"/>
    </row>
    <row r="2925" spans="1:4" x14ac:dyDescent="0.25">
      <c r="A2925" s="31"/>
      <c r="D2925" s="30"/>
    </row>
    <row r="2926" spans="1:4" x14ac:dyDescent="0.25">
      <c r="A2926" s="31"/>
      <c r="D2926" s="30"/>
    </row>
    <row r="2927" spans="1:4" x14ac:dyDescent="0.25">
      <c r="A2927" s="31"/>
      <c r="D2927" s="30"/>
    </row>
    <row r="2928" spans="1:4" x14ac:dyDescent="0.25">
      <c r="A2928" s="31"/>
      <c r="D2928" s="30"/>
    </row>
    <row r="2929" spans="1:4" x14ac:dyDescent="0.25">
      <c r="A2929" s="31"/>
      <c r="D2929" s="30"/>
    </row>
    <row r="2930" spans="1:4" x14ac:dyDescent="0.25">
      <c r="A2930" s="31"/>
      <c r="D2930" s="30"/>
    </row>
    <row r="2931" spans="1:4" x14ac:dyDescent="0.25">
      <c r="A2931" s="31"/>
      <c r="D2931" s="30"/>
    </row>
    <row r="2932" spans="1:4" x14ac:dyDescent="0.25">
      <c r="A2932" s="31"/>
      <c r="D2932" s="30"/>
    </row>
    <row r="2933" spans="1:4" x14ac:dyDescent="0.25">
      <c r="A2933" s="31"/>
      <c r="D2933" s="30"/>
    </row>
    <row r="2934" spans="1:4" x14ac:dyDescent="0.25">
      <c r="A2934" s="31"/>
      <c r="D2934" s="30"/>
    </row>
    <row r="2935" spans="1:4" x14ac:dyDescent="0.25">
      <c r="A2935" s="31"/>
      <c r="D2935" s="30"/>
    </row>
    <row r="2936" spans="1:4" x14ac:dyDescent="0.25">
      <c r="A2936" s="31"/>
      <c r="D2936" s="30"/>
    </row>
    <row r="2937" spans="1:4" x14ac:dyDescent="0.25">
      <c r="A2937" s="31"/>
      <c r="D2937" s="30"/>
    </row>
    <row r="2938" spans="1:4" x14ac:dyDescent="0.25">
      <c r="A2938" s="31"/>
      <c r="D2938" s="30"/>
    </row>
    <row r="2939" spans="1:4" x14ac:dyDescent="0.25">
      <c r="A2939" s="31"/>
      <c r="D2939" s="30"/>
    </row>
    <row r="2940" spans="1:4" x14ac:dyDescent="0.25">
      <c r="A2940" s="31"/>
      <c r="D2940" s="30"/>
    </row>
    <row r="2941" spans="1:4" x14ac:dyDescent="0.25">
      <c r="A2941" s="31"/>
      <c r="D2941" s="30"/>
    </row>
    <row r="2942" spans="1:4" x14ac:dyDescent="0.25">
      <c r="A2942" s="31"/>
      <c r="D2942" s="30"/>
    </row>
    <row r="2943" spans="1:4" x14ac:dyDescent="0.25">
      <c r="A2943" s="31"/>
      <c r="D2943" s="30"/>
    </row>
    <row r="2944" spans="1:4" x14ac:dyDescent="0.25">
      <c r="A2944" s="31"/>
      <c r="D2944" s="30"/>
    </row>
    <row r="2945" spans="1:4" x14ac:dyDescent="0.25">
      <c r="A2945" s="31"/>
      <c r="D2945" s="30"/>
    </row>
    <row r="2946" spans="1:4" x14ac:dyDescent="0.25">
      <c r="A2946" s="31"/>
      <c r="D2946" s="30"/>
    </row>
    <row r="2947" spans="1:4" x14ac:dyDescent="0.25">
      <c r="A2947" s="31"/>
      <c r="D2947" s="30"/>
    </row>
    <row r="2948" spans="1:4" x14ac:dyDescent="0.25">
      <c r="A2948" s="31"/>
      <c r="D2948" s="30"/>
    </row>
    <row r="2949" spans="1:4" x14ac:dyDescent="0.25">
      <c r="A2949" s="31"/>
      <c r="D2949" s="30"/>
    </row>
    <row r="2950" spans="1:4" x14ac:dyDescent="0.25">
      <c r="A2950" s="31"/>
      <c r="D2950" s="30"/>
    </row>
    <row r="2951" spans="1:4" x14ac:dyDescent="0.25">
      <c r="A2951" s="31"/>
      <c r="D2951" s="30"/>
    </row>
    <row r="2952" spans="1:4" x14ac:dyDescent="0.25">
      <c r="A2952" s="31"/>
      <c r="D2952" s="30"/>
    </row>
    <row r="2953" spans="1:4" x14ac:dyDescent="0.25">
      <c r="A2953" s="31"/>
      <c r="D2953" s="30"/>
    </row>
    <row r="2954" spans="1:4" x14ac:dyDescent="0.25">
      <c r="A2954" s="31"/>
      <c r="D2954" s="30"/>
    </row>
    <row r="2955" spans="1:4" x14ac:dyDescent="0.25">
      <c r="A2955" s="31"/>
      <c r="D2955" s="30"/>
    </row>
    <row r="2956" spans="1:4" x14ac:dyDescent="0.25">
      <c r="A2956" s="31"/>
      <c r="D2956" s="30"/>
    </row>
    <row r="2957" spans="1:4" x14ac:dyDescent="0.25">
      <c r="A2957" s="31"/>
      <c r="D2957" s="30"/>
    </row>
    <row r="2958" spans="1:4" x14ac:dyDescent="0.25">
      <c r="A2958" s="31"/>
      <c r="D2958" s="30"/>
    </row>
    <row r="2959" spans="1:4" x14ac:dyDescent="0.25">
      <c r="A2959" s="31"/>
      <c r="D2959" s="30"/>
    </row>
    <row r="2960" spans="1:4" x14ac:dyDescent="0.25">
      <c r="A2960" s="31"/>
      <c r="D2960" s="30"/>
    </row>
    <row r="2961" spans="1:4" x14ac:dyDescent="0.25">
      <c r="A2961" s="31"/>
      <c r="D2961" s="30"/>
    </row>
    <row r="2962" spans="1:4" x14ac:dyDescent="0.25">
      <c r="A2962" s="31"/>
      <c r="D2962" s="30"/>
    </row>
    <row r="2963" spans="1:4" x14ac:dyDescent="0.25">
      <c r="A2963" s="31"/>
      <c r="D2963" s="30"/>
    </row>
    <row r="2964" spans="1:4" x14ac:dyDescent="0.25">
      <c r="A2964" s="31"/>
      <c r="D2964" s="30"/>
    </row>
    <row r="2965" spans="1:4" x14ac:dyDescent="0.25">
      <c r="A2965" s="31"/>
      <c r="D2965" s="30"/>
    </row>
    <row r="2966" spans="1:4" x14ac:dyDescent="0.25">
      <c r="A2966" s="31"/>
      <c r="D2966" s="30"/>
    </row>
    <row r="2967" spans="1:4" x14ac:dyDescent="0.25">
      <c r="A2967" s="31"/>
      <c r="D2967" s="30"/>
    </row>
    <row r="2968" spans="1:4" x14ac:dyDescent="0.25">
      <c r="A2968" s="31"/>
      <c r="D2968" s="30"/>
    </row>
    <row r="2969" spans="1:4" x14ac:dyDescent="0.25">
      <c r="A2969" s="31"/>
      <c r="D2969" s="30"/>
    </row>
    <row r="2970" spans="1:4" x14ac:dyDescent="0.25">
      <c r="A2970" s="31"/>
      <c r="D2970" s="30"/>
    </row>
    <row r="2971" spans="1:4" x14ac:dyDescent="0.25">
      <c r="A2971" s="31"/>
      <c r="D2971" s="30"/>
    </row>
    <row r="2972" spans="1:4" x14ac:dyDescent="0.25">
      <c r="A2972" s="31"/>
      <c r="D2972" s="30"/>
    </row>
    <row r="2973" spans="1:4" x14ac:dyDescent="0.25">
      <c r="A2973" s="31"/>
      <c r="D2973" s="30"/>
    </row>
    <row r="2974" spans="1:4" x14ac:dyDescent="0.25">
      <c r="A2974" s="31"/>
      <c r="D2974" s="30"/>
    </row>
    <row r="2975" spans="1:4" x14ac:dyDescent="0.25">
      <c r="A2975" s="31"/>
      <c r="D2975" s="30"/>
    </row>
    <row r="2976" spans="1:4" x14ac:dyDescent="0.25">
      <c r="A2976" s="31"/>
      <c r="D2976" s="30"/>
    </row>
    <row r="2977" spans="1:4" x14ac:dyDescent="0.25">
      <c r="A2977" s="31"/>
      <c r="D2977" s="30"/>
    </row>
    <row r="2978" spans="1:4" x14ac:dyDescent="0.25">
      <c r="A2978" s="31"/>
      <c r="D2978" s="30"/>
    </row>
    <row r="2979" spans="1:4" x14ac:dyDescent="0.25">
      <c r="A2979" s="31"/>
      <c r="D2979" s="30"/>
    </row>
    <row r="2980" spans="1:4" x14ac:dyDescent="0.25">
      <c r="A2980" s="31"/>
      <c r="D2980" s="30"/>
    </row>
    <row r="2981" spans="1:4" x14ac:dyDescent="0.25">
      <c r="A2981" s="31"/>
      <c r="D2981" s="30"/>
    </row>
    <row r="2982" spans="1:4" x14ac:dyDescent="0.25">
      <c r="A2982" s="31"/>
      <c r="D2982" s="30"/>
    </row>
    <row r="2983" spans="1:4" x14ac:dyDescent="0.25">
      <c r="A2983" s="31"/>
      <c r="D2983" s="30"/>
    </row>
    <row r="2984" spans="1:4" x14ac:dyDescent="0.25">
      <c r="A2984" s="31"/>
      <c r="D2984" s="30"/>
    </row>
    <row r="2985" spans="1:4" x14ac:dyDescent="0.25">
      <c r="A2985" s="31"/>
      <c r="D2985" s="30"/>
    </row>
    <row r="2986" spans="1:4" x14ac:dyDescent="0.25">
      <c r="A2986" s="31"/>
      <c r="D2986" s="30"/>
    </row>
    <row r="2987" spans="1:4" x14ac:dyDescent="0.25">
      <c r="A2987" s="31"/>
      <c r="D2987" s="30"/>
    </row>
    <row r="2988" spans="1:4" x14ac:dyDescent="0.25">
      <c r="A2988" s="31"/>
      <c r="D2988" s="30"/>
    </row>
    <row r="2989" spans="1:4" x14ac:dyDescent="0.25">
      <c r="A2989" s="31"/>
      <c r="D2989" s="30"/>
    </row>
    <row r="2990" spans="1:4" x14ac:dyDescent="0.25">
      <c r="A2990" s="31"/>
      <c r="D2990" s="30"/>
    </row>
    <row r="2991" spans="1:4" x14ac:dyDescent="0.25">
      <c r="A2991" s="31"/>
      <c r="D2991" s="30"/>
    </row>
    <row r="2992" spans="1:4" x14ac:dyDescent="0.25">
      <c r="A2992" s="31"/>
      <c r="D2992" s="30"/>
    </row>
    <row r="2993" spans="1:4" x14ac:dyDescent="0.25">
      <c r="A2993" s="31"/>
      <c r="D2993" s="30"/>
    </row>
    <row r="2994" spans="1:4" x14ac:dyDescent="0.25">
      <c r="A2994" s="31"/>
      <c r="D2994" s="30"/>
    </row>
    <row r="2995" spans="1:4" x14ac:dyDescent="0.25">
      <c r="A2995" s="31"/>
      <c r="D2995" s="30"/>
    </row>
    <row r="2996" spans="1:4" x14ac:dyDescent="0.25">
      <c r="A2996" s="31"/>
      <c r="D2996" s="30"/>
    </row>
    <row r="2997" spans="1:4" x14ac:dyDescent="0.25">
      <c r="A2997" s="31"/>
      <c r="D2997" s="30"/>
    </row>
    <row r="2998" spans="1:4" x14ac:dyDescent="0.25">
      <c r="A2998" s="31"/>
      <c r="D2998" s="30"/>
    </row>
    <row r="2999" spans="1:4" x14ac:dyDescent="0.25">
      <c r="A2999" s="31"/>
      <c r="D2999" s="30"/>
    </row>
    <row r="3000" spans="1:4" x14ac:dyDescent="0.25">
      <c r="A3000" s="31"/>
      <c r="D3000" s="30"/>
    </row>
    <row r="3001" spans="1:4" x14ac:dyDescent="0.25">
      <c r="A3001" s="31"/>
      <c r="D3001" s="30"/>
    </row>
    <row r="3002" spans="1:4" x14ac:dyDescent="0.25">
      <c r="A3002" s="31"/>
      <c r="D3002" s="30"/>
    </row>
    <row r="3003" spans="1:4" x14ac:dyDescent="0.25">
      <c r="A3003" s="31"/>
      <c r="D3003" s="30"/>
    </row>
    <row r="3004" spans="1:4" x14ac:dyDescent="0.25">
      <c r="A3004" s="31"/>
      <c r="D3004" s="30"/>
    </row>
    <row r="3005" spans="1:4" x14ac:dyDescent="0.25">
      <c r="A3005" s="31"/>
      <c r="D3005" s="30"/>
    </row>
    <row r="3006" spans="1:4" x14ac:dyDescent="0.25">
      <c r="A3006" s="31"/>
      <c r="D3006" s="30"/>
    </row>
    <row r="3007" spans="1:4" x14ac:dyDescent="0.25">
      <c r="A3007" s="31"/>
      <c r="D3007" s="30"/>
    </row>
    <row r="3008" spans="1:4" x14ac:dyDescent="0.25">
      <c r="A3008" s="31"/>
      <c r="D3008" s="30"/>
    </row>
    <row r="3009" spans="1:4" x14ac:dyDescent="0.25">
      <c r="A3009" s="31"/>
      <c r="D3009" s="30"/>
    </row>
    <row r="3010" spans="1:4" x14ac:dyDescent="0.25">
      <c r="A3010" s="31"/>
      <c r="D3010" s="30"/>
    </row>
    <row r="3011" spans="1:4" x14ac:dyDescent="0.25">
      <c r="A3011" s="31"/>
      <c r="D3011" s="30"/>
    </row>
    <row r="3012" spans="1:4" x14ac:dyDescent="0.25">
      <c r="A3012" s="31"/>
      <c r="D3012" s="30"/>
    </row>
    <row r="3013" spans="1:4" x14ac:dyDescent="0.25">
      <c r="A3013" s="31"/>
      <c r="D3013" s="30"/>
    </row>
    <row r="3014" spans="1:4" x14ac:dyDescent="0.25">
      <c r="A3014" s="31"/>
      <c r="D3014" s="30"/>
    </row>
    <row r="3015" spans="1:4" x14ac:dyDescent="0.25">
      <c r="A3015" s="31"/>
      <c r="D3015" s="30"/>
    </row>
    <row r="3016" spans="1:4" x14ac:dyDescent="0.25">
      <c r="A3016" s="31"/>
      <c r="D3016" s="30"/>
    </row>
    <row r="3017" spans="1:4" x14ac:dyDescent="0.25">
      <c r="A3017" s="31"/>
      <c r="D3017" s="30"/>
    </row>
    <row r="3018" spans="1:4" x14ac:dyDescent="0.25">
      <c r="A3018" s="31"/>
      <c r="D3018" s="30"/>
    </row>
    <row r="3019" spans="1:4" x14ac:dyDescent="0.25">
      <c r="A3019" s="31"/>
      <c r="D3019" s="30"/>
    </row>
    <row r="3020" spans="1:4" x14ac:dyDescent="0.25">
      <c r="A3020" s="31"/>
      <c r="D3020" s="30"/>
    </row>
    <row r="3021" spans="1:4" x14ac:dyDescent="0.25">
      <c r="A3021" s="31"/>
      <c r="D3021" s="30"/>
    </row>
    <row r="3022" spans="1:4" x14ac:dyDescent="0.25">
      <c r="A3022" s="31"/>
      <c r="D3022" s="30"/>
    </row>
    <row r="3023" spans="1:4" x14ac:dyDescent="0.25">
      <c r="A3023" s="31"/>
      <c r="D3023" s="30"/>
    </row>
    <row r="3024" spans="1:4" x14ac:dyDescent="0.25">
      <c r="A3024" s="31"/>
      <c r="D3024" s="30"/>
    </row>
    <row r="3025" spans="1:4" x14ac:dyDescent="0.25">
      <c r="A3025" s="31"/>
      <c r="D3025" s="30"/>
    </row>
    <row r="3026" spans="1:4" x14ac:dyDescent="0.25">
      <c r="A3026" s="31"/>
      <c r="D3026" s="30"/>
    </row>
    <row r="3027" spans="1:4" x14ac:dyDescent="0.25">
      <c r="A3027" s="31"/>
      <c r="D3027" s="30"/>
    </row>
    <row r="3028" spans="1:4" x14ac:dyDescent="0.25">
      <c r="A3028" s="31"/>
      <c r="D3028" s="30"/>
    </row>
    <row r="3029" spans="1:4" x14ac:dyDescent="0.25">
      <c r="A3029" s="31"/>
      <c r="D3029" s="30"/>
    </row>
    <row r="3030" spans="1:4" x14ac:dyDescent="0.25">
      <c r="A3030" s="31"/>
      <c r="D3030" s="30"/>
    </row>
    <row r="3031" spans="1:4" x14ac:dyDescent="0.25">
      <c r="A3031" s="31"/>
      <c r="D3031" s="30"/>
    </row>
    <row r="3032" spans="1:4" x14ac:dyDescent="0.25">
      <c r="A3032" s="31"/>
      <c r="D3032" s="30"/>
    </row>
    <row r="3033" spans="1:4" x14ac:dyDescent="0.25">
      <c r="A3033" s="31"/>
      <c r="D3033" s="30"/>
    </row>
    <row r="3034" spans="1:4" x14ac:dyDescent="0.25">
      <c r="A3034" s="31"/>
      <c r="D3034" s="30"/>
    </row>
    <row r="3035" spans="1:4" x14ac:dyDescent="0.25">
      <c r="A3035" s="31"/>
      <c r="D3035" s="30"/>
    </row>
    <row r="3036" spans="1:4" x14ac:dyDescent="0.25">
      <c r="A3036" s="31"/>
      <c r="D3036" s="30"/>
    </row>
    <row r="3037" spans="1:4" x14ac:dyDescent="0.25">
      <c r="A3037" s="31"/>
      <c r="D3037" s="30"/>
    </row>
    <row r="3038" spans="1:4" x14ac:dyDescent="0.25">
      <c r="A3038" s="31"/>
      <c r="D3038" s="30"/>
    </row>
    <row r="3039" spans="1:4" x14ac:dyDescent="0.25">
      <c r="A3039" s="31"/>
      <c r="D3039" s="30"/>
    </row>
    <row r="3040" spans="1:4" x14ac:dyDescent="0.25">
      <c r="A3040" s="31"/>
      <c r="D3040" s="30"/>
    </row>
    <row r="3041" spans="1:4" x14ac:dyDescent="0.25">
      <c r="A3041" s="31"/>
      <c r="D3041" s="30"/>
    </row>
    <row r="3042" spans="1:4" x14ac:dyDescent="0.25">
      <c r="A3042" s="31"/>
      <c r="D3042" s="30"/>
    </row>
    <row r="3043" spans="1:4" x14ac:dyDescent="0.25">
      <c r="A3043" s="31"/>
      <c r="D3043" s="30"/>
    </row>
    <row r="3044" spans="1:4" x14ac:dyDescent="0.25">
      <c r="A3044" s="31"/>
      <c r="D3044" s="30"/>
    </row>
    <row r="3045" spans="1:4" x14ac:dyDescent="0.25">
      <c r="A3045" s="31"/>
      <c r="D3045" s="30"/>
    </row>
    <row r="3046" spans="1:4" x14ac:dyDescent="0.25">
      <c r="A3046" s="31"/>
      <c r="D3046" s="30"/>
    </row>
    <row r="3047" spans="1:4" x14ac:dyDescent="0.25">
      <c r="A3047" s="31"/>
      <c r="D3047" s="30"/>
    </row>
    <row r="3048" spans="1:4" x14ac:dyDescent="0.25">
      <c r="A3048" s="31"/>
      <c r="D3048" s="30"/>
    </row>
    <row r="3049" spans="1:4" x14ac:dyDescent="0.25">
      <c r="A3049" s="31"/>
      <c r="D3049" s="30"/>
    </row>
    <row r="3050" spans="1:4" x14ac:dyDescent="0.25">
      <c r="A3050" s="31"/>
      <c r="D3050" s="30"/>
    </row>
    <row r="3051" spans="1:4" x14ac:dyDescent="0.25">
      <c r="A3051" s="31"/>
      <c r="D3051" s="30"/>
    </row>
    <row r="3052" spans="1:4" x14ac:dyDescent="0.25">
      <c r="A3052" s="31"/>
      <c r="D3052" s="30"/>
    </row>
    <row r="3053" spans="1:4" x14ac:dyDescent="0.25">
      <c r="A3053" s="31"/>
      <c r="D3053" s="30"/>
    </row>
    <row r="3054" spans="1:4" x14ac:dyDescent="0.25">
      <c r="A3054" s="31"/>
      <c r="D3054" s="30"/>
    </row>
    <row r="3055" spans="1:4" x14ac:dyDescent="0.25">
      <c r="A3055" s="31"/>
      <c r="D3055" s="30"/>
    </row>
    <row r="3056" spans="1:4" x14ac:dyDescent="0.25">
      <c r="A3056" s="31"/>
      <c r="D3056" s="30"/>
    </row>
    <row r="3057" spans="1:4" x14ac:dyDescent="0.25">
      <c r="A3057" s="31"/>
      <c r="D3057" s="30"/>
    </row>
    <row r="3058" spans="1:4" x14ac:dyDescent="0.25">
      <c r="A3058" s="31"/>
      <c r="D3058" s="30"/>
    </row>
    <row r="3059" spans="1:4" x14ac:dyDescent="0.25">
      <c r="A3059" s="31"/>
      <c r="D3059" s="30"/>
    </row>
    <row r="3060" spans="1:4" x14ac:dyDescent="0.25">
      <c r="A3060" s="31"/>
      <c r="D3060" s="30"/>
    </row>
    <row r="3061" spans="1:4" x14ac:dyDescent="0.25">
      <c r="A3061" s="31"/>
      <c r="D3061" s="30"/>
    </row>
    <row r="3062" spans="1:4" x14ac:dyDescent="0.25">
      <c r="A3062" s="31"/>
      <c r="D3062" s="30"/>
    </row>
    <row r="3063" spans="1:4" x14ac:dyDescent="0.25">
      <c r="A3063" s="31"/>
      <c r="D3063" s="30"/>
    </row>
    <row r="3064" spans="1:4" x14ac:dyDescent="0.25">
      <c r="A3064" s="31"/>
      <c r="D3064" s="30"/>
    </row>
    <row r="3065" spans="1:4" x14ac:dyDescent="0.25">
      <c r="A3065" s="31"/>
      <c r="D3065" s="30"/>
    </row>
    <row r="3066" spans="1:4" x14ac:dyDescent="0.25">
      <c r="A3066" s="31"/>
      <c r="D3066" s="30"/>
    </row>
    <row r="3067" spans="1:4" x14ac:dyDescent="0.25">
      <c r="A3067" s="31"/>
      <c r="D3067" s="30"/>
    </row>
    <row r="3068" spans="1:4" x14ac:dyDescent="0.25">
      <c r="A3068" s="31"/>
      <c r="D3068" s="30"/>
    </row>
    <row r="3069" spans="1:4" x14ac:dyDescent="0.25">
      <c r="A3069" s="31"/>
      <c r="D3069" s="30"/>
    </row>
    <row r="3070" spans="1:4" x14ac:dyDescent="0.25">
      <c r="A3070" s="31"/>
      <c r="D3070" s="30"/>
    </row>
    <row r="3071" spans="1:4" x14ac:dyDescent="0.25">
      <c r="A3071" s="31"/>
      <c r="D3071" s="30"/>
    </row>
    <row r="3072" spans="1:4" x14ac:dyDescent="0.25">
      <c r="A3072" s="31"/>
      <c r="D3072" s="30"/>
    </row>
    <row r="3073" spans="1:4" x14ac:dyDescent="0.25">
      <c r="A3073" s="31"/>
      <c r="D3073" s="30"/>
    </row>
    <row r="3074" spans="1:4" x14ac:dyDescent="0.25">
      <c r="A3074" s="31"/>
      <c r="D3074" s="30"/>
    </row>
    <row r="3075" spans="1:4" x14ac:dyDescent="0.25">
      <c r="A3075" s="31"/>
      <c r="D3075" s="30"/>
    </row>
    <row r="3076" spans="1:4" x14ac:dyDescent="0.25">
      <c r="A3076" s="31"/>
      <c r="D3076" s="30"/>
    </row>
    <row r="3077" spans="1:4" x14ac:dyDescent="0.25">
      <c r="A3077" s="31"/>
      <c r="D3077" s="30"/>
    </row>
    <row r="3078" spans="1:4" x14ac:dyDescent="0.25">
      <c r="A3078" s="31"/>
      <c r="D3078" s="30"/>
    </row>
    <row r="3079" spans="1:4" x14ac:dyDescent="0.25">
      <c r="A3079" s="31"/>
      <c r="D3079" s="30"/>
    </row>
    <row r="3080" spans="1:4" x14ac:dyDescent="0.25">
      <c r="A3080" s="31"/>
      <c r="D3080" s="30"/>
    </row>
    <row r="3081" spans="1:4" x14ac:dyDescent="0.25">
      <c r="A3081" s="31"/>
      <c r="D3081" s="30"/>
    </row>
    <row r="3082" spans="1:4" x14ac:dyDescent="0.25">
      <c r="A3082" s="31"/>
      <c r="D3082" s="30"/>
    </row>
    <row r="3083" spans="1:4" x14ac:dyDescent="0.25">
      <c r="A3083" s="31"/>
      <c r="D3083" s="30"/>
    </row>
    <row r="3084" spans="1:4" x14ac:dyDescent="0.25">
      <c r="A3084" s="31"/>
      <c r="D3084" s="30"/>
    </row>
    <row r="3085" spans="1:4" x14ac:dyDescent="0.25">
      <c r="A3085" s="31"/>
      <c r="D3085" s="30"/>
    </row>
    <row r="3086" spans="1:4" x14ac:dyDescent="0.25">
      <c r="A3086" s="31"/>
      <c r="D3086" s="30"/>
    </row>
    <row r="3087" spans="1:4" x14ac:dyDescent="0.25">
      <c r="A3087" s="31"/>
      <c r="D3087" s="30"/>
    </row>
    <row r="3088" spans="1:4" x14ac:dyDescent="0.25">
      <c r="A3088" s="31"/>
      <c r="D3088" s="30"/>
    </row>
    <row r="3089" spans="1:4" x14ac:dyDescent="0.25">
      <c r="A3089" s="31"/>
      <c r="D3089" s="30"/>
    </row>
    <row r="3090" spans="1:4" x14ac:dyDescent="0.25">
      <c r="A3090" s="31"/>
      <c r="D3090" s="30"/>
    </row>
    <row r="3091" spans="1:4" x14ac:dyDescent="0.25">
      <c r="A3091" s="31"/>
      <c r="D3091" s="30"/>
    </row>
    <row r="3092" spans="1:4" x14ac:dyDescent="0.25">
      <c r="A3092" s="31"/>
      <c r="D3092" s="30"/>
    </row>
    <row r="3093" spans="1:4" x14ac:dyDescent="0.25">
      <c r="A3093" s="31"/>
      <c r="D3093" s="30"/>
    </row>
    <row r="3094" spans="1:4" x14ac:dyDescent="0.25">
      <c r="A3094" s="31"/>
      <c r="D3094" s="30"/>
    </row>
    <row r="3095" spans="1:4" x14ac:dyDescent="0.25">
      <c r="A3095" s="31"/>
      <c r="D3095" s="30"/>
    </row>
    <row r="3096" spans="1:4" x14ac:dyDescent="0.25">
      <c r="A3096" s="31"/>
      <c r="D3096" s="30"/>
    </row>
    <row r="3097" spans="1:4" x14ac:dyDescent="0.25">
      <c r="A3097" s="31"/>
      <c r="D3097" s="30"/>
    </row>
    <row r="3098" spans="1:4" x14ac:dyDescent="0.25">
      <c r="A3098" s="31"/>
      <c r="D3098" s="30"/>
    </row>
    <row r="3099" spans="1:4" x14ac:dyDescent="0.25">
      <c r="A3099" s="31"/>
      <c r="D3099" s="30"/>
    </row>
    <row r="3100" spans="1:4" x14ac:dyDescent="0.25">
      <c r="A3100" s="31"/>
      <c r="D3100" s="30"/>
    </row>
    <row r="3101" spans="1:4" x14ac:dyDescent="0.25">
      <c r="A3101" s="31"/>
      <c r="D3101" s="30"/>
    </row>
    <row r="3102" spans="1:4" x14ac:dyDescent="0.25">
      <c r="A3102" s="31"/>
      <c r="D3102" s="30"/>
    </row>
    <row r="3103" spans="1:4" x14ac:dyDescent="0.25">
      <c r="A3103" s="31"/>
      <c r="D3103" s="30"/>
    </row>
    <row r="3104" spans="1:4" x14ac:dyDescent="0.25">
      <c r="A3104" s="31"/>
      <c r="D3104" s="30"/>
    </row>
    <row r="3105" spans="1:4" x14ac:dyDescent="0.25">
      <c r="A3105" s="31"/>
      <c r="D3105" s="30"/>
    </row>
    <row r="3106" spans="1:4" x14ac:dyDescent="0.25">
      <c r="A3106" s="31"/>
      <c r="D3106" s="30"/>
    </row>
    <row r="3107" spans="1:4" x14ac:dyDescent="0.25">
      <c r="A3107" s="31"/>
      <c r="D3107" s="30"/>
    </row>
    <row r="3108" spans="1:4" x14ac:dyDescent="0.25">
      <c r="A3108" s="31"/>
      <c r="D3108" s="30"/>
    </row>
    <row r="3109" spans="1:4" x14ac:dyDescent="0.25">
      <c r="A3109" s="31"/>
      <c r="D3109" s="30"/>
    </row>
    <row r="3110" spans="1:4" x14ac:dyDescent="0.25">
      <c r="A3110" s="31"/>
      <c r="D3110" s="30"/>
    </row>
    <row r="3111" spans="1:4" x14ac:dyDescent="0.25">
      <c r="A3111" s="31"/>
      <c r="D3111" s="30"/>
    </row>
    <row r="3112" spans="1:4" x14ac:dyDescent="0.25">
      <c r="A3112" s="31"/>
      <c r="D3112" s="30"/>
    </row>
    <row r="3113" spans="1:4" x14ac:dyDescent="0.25">
      <c r="A3113" s="31"/>
      <c r="D3113" s="30"/>
    </row>
    <row r="3114" spans="1:4" x14ac:dyDescent="0.25">
      <c r="A3114" s="31"/>
      <c r="D3114" s="30"/>
    </row>
    <row r="3115" spans="1:4" x14ac:dyDescent="0.25">
      <c r="A3115" s="31"/>
      <c r="D3115" s="30"/>
    </row>
    <row r="3116" spans="1:4" x14ac:dyDescent="0.25">
      <c r="A3116" s="31"/>
      <c r="D3116" s="30"/>
    </row>
    <row r="3117" spans="1:4" x14ac:dyDescent="0.25">
      <c r="A3117" s="31"/>
      <c r="D3117" s="30"/>
    </row>
    <row r="3118" spans="1:4" x14ac:dyDescent="0.25">
      <c r="A3118" s="31"/>
      <c r="D3118" s="30"/>
    </row>
    <row r="3119" spans="1:4" x14ac:dyDescent="0.25">
      <c r="A3119" s="31"/>
      <c r="D3119" s="30"/>
    </row>
    <row r="3120" spans="1:4" x14ac:dyDescent="0.25">
      <c r="A3120" s="31"/>
      <c r="D3120" s="30"/>
    </row>
    <row r="3121" spans="1:4" x14ac:dyDescent="0.25">
      <c r="A3121" s="31"/>
      <c r="D3121" s="30"/>
    </row>
    <row r="3122" spans="1:4" x14ac:dyDescent="0.25">
      <c r="A3122" s="31"/>
      <c r="D3122" s="30"/>
    </row>
    <row r="3123" spans="1:4" x14ac:dyDescent="0.25">
      <c r="A3123" s="31"/>
      <c r="D3123" s="30"/>
    </row>
    <row r="3124" spans="1:4" x14ac:dyDescent="0.25">
      <c r="A3124" s="31"/>
      <c r="D3124" s="30"/>
    </row>
    <row r="3125" spans="1:4" x14ac:dyDescent="0.25">
      <c r="A3125" s="31"/>
      <c r="D3125" s="30"/>
    </row>
    <row r="3126" spans="1:4" x14ac:dyDescent="0.25">
      <c r="A3126" s="31"/>
      <c r="D3126" s="30"/>
    </row>
    <row r="3127" spans="1:4" x14ac:dyDescent="0.25">
      <c r="A3127" s="31"/>
      <c r="D3127" s="30"/>
    </row>
    <row r="3128" spans="1:4" x14ac:dyDescent="0.25">
      <c r="A3128" s="31"/>
      <c r="D3128" s="30"/>
    </row>
    <row r="3129" spans="1:4" x14ac:dyDescent="0.25">
      <c r="A3129" s="31"/>
      <c r="D3129" s="30"/>
    </row>
    <row r="3130" spans="1:4" x14ac:dyDescent="0.25">
      <c r="A3130" s="31"/>
      <c r="D3130" s="30"/>
    </row>
    <row r="3131" spans="1:4" x14ac:dyDescent="0.25">
      <c r="A3131" s="31"/>
      <c r="D3131" s="30"/>
    </row>
    <row r="3132" spans="1:4" x14ac:dyDescent="0.25">
      <c r="A3132" s="31"/>
      <c r="D3132" s="30"/>
    </row>
    <row r="3133" spans="1:4" x14ac:dyDescent="0.25">
      <c r="A3133" s="31"/>
      <c r="D3133" s="30"/>
    </row>
    <row r="3134" spans="1:4" x14ac:dyDescent="0.25">
      <c r="A3134" s="31"/>
      <c r="D3134" s="30"/>
    </row>
    <row r="3135" spans="1:4" x14ac:dyDescent="0.25">
      <c r="A3135" s="31"/>
      <c r="D3135" s="30"/>
    </row>
    <row r="3136" spans="1:4" x14ac:dyDescent="0.25">
      <c r="A3136" s="31"/>
      <c r="D3136" s="30"/>
    </row>
    <row r="3137" spans="1:4" x14ac:dyDescent="0.25">
      <c r="A3137" s="31"/>
      <c r="D3137" s="30"/>
    </row>
    <row r="3138" spans="1:4" x14ac:dyDescent="0.25">
      <c r="A3138" s="31"/>
      <c r="D3138" s="30"/>
    </row>
    <row r="3139" spans="1:4" x14ac:dyDescent="0.25">
      <c r="A3139" s="31"/>
      <c r="D3139" s="30"/>
    </row>
    <row r="3140" spans="1:4" x14ac:dyDescent="0.25">
      <c r="A3140" s="31"/>
      <c r="D3140" s="30"/>
    </row>
    <row r="3141" spans="1:4" x14ac:dyDescent="0.25">
      <c r="A3141" s="31"/>
      <c r="D3141" s="30"/>
    </row>
    <row r="3142" spans="1:4" x14ac:dyDescent="0.25">
      <c r="A3142" s="31"/>
      <c r="D3142" s="30"/>
    </row>
    <row r="3143" spans="1:4" x14ac:dyDescent="0.25">
      <c r="A3143" s="31"/>
      <c r="D3143" s="30"/>
    </row>
    <row r="3144" spans="1:4" x14ac:dyDescent="0.25">
      <c r="A3144" s="31"/>
      <c r="D3144" s="30"/>
    </row>
    <row r="3145" spans="1:4" x14ac:dyDescent="0.25">
      <c r="A3145" s="31"/>
      <c r="D3145" s="30"/>
    </row>
    <row r="3146" spans="1:4" x14ac:dyDescent="0.25">
      <c r="A3146" s="31"/>
      <c r="D3146" s="30"/>
    </row>
    <row r="3147" spans="1:4" x14ac:dyDescent="0.25">
      <c r="A3147" s="31"/>
      <c r="D3147" s="30"/>
    </row>
    <row r="3148" spans="1:4" x14ac:dyDescent="0.25">
      <c r="A3148" s="31"/>
      <c r="D3148" s="30"/>
    </row>
    <row r="3149" spans="1:4" x14ac:dyDescent="0.25">
      <c r="A3149" s="31"/>
      <c r="D3149" s="30"/>
    </row>
    <row r="3150" spans="1:4" x14ac:dyDescent="0.25">
      <c r="A3150" s="31"/>
      <c r="D3150" s="30"/>
    </row>
    <row r="3151" spans="1:4" x14ac:dyDescent="0.25">
      <c r="A3151" s="31"/>
      <c r="D3151" s="30"/>
    </row>
    <row r="3152" spans="1:4" x14ac:dyDescent="0.25">
      <c r="A3152" s="31"/>
      <c r="D3152" s="30"/>
    </row>
    <row r="3153" spans="1:4" x14ac:dyDescent="0.25">
      <c r="A3153" s="31"/>
      <c r="D3153" s="30"/>
    </row>
    <row r="3154" spans="1:4" x14ac:dyDescent="0.25">
      <c r="A3154" s="31"/>
      <c r="D3154" s="30"/>
    </row>
    <row r="3155" spans="1:4" x14ac:dyDescent="0.25">
      <c r="A3155" s="31"/>
      <c r="D3155" s="30"/>
    </row>
    <row r="3156" spans="1:4" x14ac:dyDescent="0.25">
      <c r="A3156" s="31"/>
      <c r="D3156" s="30"/>
    </row>
    <row r="3157" spans="1:4" x14ac:dyDescent="0.25">
      <c r="A3157" s="31"/>
      <c r="D3157" s="30"/>
    </row>
    <row r="3158" spans="1:4" x14ac:dyDescent="0.25">
      <c r="A3158" s="31"/>
      <c r="D3158" s="30"/>
    </row>
    <row r="3159" spans="1:4" x14ac:dyDescent="0.25">
      <c r="A3159" s="31"/>
      <c r="D3159" s="30"/>
    </row>
    <row r="3160" spans="1:4" x14ac:dyDescent="0.25">
      <c r="A3160" s="31"/>
      <c r="D3160" s="30"/>
    </row>
    <row r="3161" spans="1:4" x14ac:dyDescent="0.25">
      <c r="A3161" s="31"/>
      <c r="D3161" s="30"/>
    </row>
    <row r="3162" spans="1:4" x14ac:dyDescent="0.25">
      <c r="A3162" s="31"/>
      <c r="D3162" s="30"/>
    </row>
    <row r="3163" spans="1:4" x14ac:dyDescent="0.25">
      <c r="A3163" s="31"/>
      <c r="D3163" s="30"/>
    </row>
    <row r="3164" spans="1:4" x14ac:dyDescent="0.25">
      <c r="A3164" s="31"/>
      <c r="D3164" s="30"/>
    </row>
    <row r="3165" spans="1:4" x14ac:dyDescent="0.25">
      <c r="A3165" s="31"/>
      <c r="D3165" s="30"/>
    </row>
    <row r="3166" spans="1:4" x14ac:dyDescent="0.25">
      <c r="A3166" s="31"/>
      <c r="D3166" s="30"/>
    </row>
    <row r="3167" spans="1:4" x14ac:dyDescent="0.25">
      <c r="A3167" s="31"/>
      <c r="D3167" s="30"/>
    </row>
    <row r="3168" spans="1:4" x14ac:dyDescent="0.25">
      <c r="A3168" s="31"/>
      <c r="D3168" s="30"/>
    </row>
    <row r="3169" spans="1:4" x14ac:dyDescent="0.25">
      <c r="A3169" s="31"/>
      <c r="D3169" s="30"/>
    </row>
    <row r="3170" spans="1:4" x14ac:dyDescent="0.25">
      <c r="A3170" s="31"/>
      <c r="D3170" s="30"/>
    </row>
    <row r="3171" spans="1:4" x14ac:dyDescent="0.25">
      <c r="A3171" s="31"/>
      <c r="D3171" s="30"/>
    </row>
    <row r="3172" spans="1:4" x14ac:dyDescent="0.25">
      <c r="A3172" s="31"/>
      <c r="D3172" s="30"/>
    </row>
    <row r="3173" spans="1:4" x14ac:dyDescent="0.25">
      <c r="A3173" s="31"/>
      <c r="D3173" s="30"/>
    </row>
    <row r="3174" spans="1:4" x14ac:dyDescent="0.25">
      <c r="A3174" s="31"/>
      <c r="D3174" s="30"/>
    </row>
    <row r="3175" spans="1:4" x14ac:dyDescent="0.25">
      <c r="A3175" s="31"/>
      <c r="D3175" s="30"/>
    </row>
    <row r="3176" spans="1:4" x14ac:dyDescent="0.25">
      <c r="A3176" s="31"/>
      <c r="D3176" s="30"/>
    </row>
    <row r="3177" spans="1:4" x14ac:dyDescent="0.25">
      <c r="A3177" s="31"/>
      <c r="D3177" s="30"/>
    </row>
    <row r="3178" spans="1:4" x14ac:dyDescent="0.25">
      <c r="A3178" s="31"/>
      <c r="D3178" s="30"/>
    </row>
    <row r="3179" spans="1:4" x14ac:dyDescent="0.25">
      <c r="A3179" s="31"/>
      <c r="D3179" s="30"/>
    </row>
    <row r="3180" spans="1:4" x14ac:dyDescent="0.25">
      <c r="A3180" s="31"/>
      <c r="D3180" s="30"/>
    </row>
    <row r="3181" spans="1:4" x14ac:dyDescent="0.25">
      <c r="A3181" s="31"/>
      <c r="D3181" s="30"/>
    </row>
    <row r="3182" spans="1:4" x14ac:dyDescent="0.25">
      <c r="A3182" s="31"/>
      <c r="D3182" s="30"/>
    </row>
    <row r="3183" spans="1:4" x14ac:dyDescent="0.25">
      <c r="A3183" s="31"/>
      <c r="D3183" s="30"/>
    </row>
    <row r="3184" spans="1:4" x14ac:dyDescent="0.25">
      <c r="A3184" s="31"/>
      <c r="D3184" s="30"/>
    </row>
    <row r="3185" spans="1:4" x14ac:dyDescent="0.25">
      <c r="A3185" s="31"/>
      <c r="D3185" s="30"/>
    </row>
    <row r="3186" spans="1:4" x14ac:dyDescent="0.25">
      <c r="A3186" s="31"/>
      <c r="D3186" s="30"/>
    </row>
    <row r="3187" spans="1:4" x14ac:dyDescent="0.25">
      <c r="A3187" s="31"/>
      <c r="D3187" s="30"/>
    </row>
    <row r="3188" spans="1:4" x14ac:dyDescent="0.25">
      <c r="A3188" s="31"/>
      <c r="D3188" s="30"/>
    </row>
    <row r="3189" spans="1:4" x14ac:dyDescent="0.25">
      <c r="A3189" s="31"/>
      <c r="D3189" s="30"/>
    </row>
    <row r="3190" spans="1:4" x14ac:dyDescent="0.25">
      <c r="A3190" s="31"/>
      <c r="D3190" s="30"/>
    </row>
    <row r="3191" spans="1:4" x14ac:dyDescent="0.25">
      <c r="A3191" s="31"/>
      <c r="D3191" s="30"/>
    </row>
    <row r="3192" spans="1:4" x14ac:dyDescent="0.25">
      <c r="A3192" s="31"/>
      <c r="D3192" s="30"/>
    </row>
    <row r="3193" spans="1:4" x14ac:dyDescent="0.25">
      <c r="A3193" s="31"/>
      <c r="D3193" s="30"/>
    </row>
    <row r="3194" spans="1:4" x14ac:dyDescent="0.25">
      <c r="A3194" s="31"/>
      <c r="D3194" s="30"/>
    </row>
    <row r="3195" spans="1:4" x14ac:dyDescent="0.25">
      <c r="A3195" s="31"/>
      <c r="D3195" s="30"/>
    </row>
    <row r="3196" spans="1:4" x14ac:dyDescent="0.25">
      <c r="A3196" s="31"/>
      <c r="D3196" s="30"/>
    </row>
    <row r="3197" spans="1:4" x14ac:dyDescent="0.25">
      <c r="A3197" s="31"/>
      <c r="D3197" s="30"/>
    </row>
    <row r="3198" spans="1:4" x14ac:dyDescent="0.25">
      <c r="A3198" s="31"/>
      <c r="D3198" s="30"/>
    </row>
    <row r="3199" spans="1:4" x14ac:dyDescent="0.25">
      <c r="A3199" s="31"/>
      <c r="D3199" s="30"/>
    </row>
    <row r="3200" spans="1:4" x14ac:dyDescent="0.25">
      <c r="A3200" s="31"/>
      <c r="D3200" s="30"/>
    </row>
    <row r="3201" spans="1:4" x14ac:dyDescent="0.25">
      <c r="A3201" s="31"/>
      <c r="D3201" s="30"/>
    </row>
    <row r="3202" spans="1:4" x14ac:dyDescent="0.25">
      <c r="A3202" s="31"/>
      <c r="D3202" s="30"/>
    </row>
    <row r="3203" spans="1:4" x14ac:dyDescent="0.25">
      <c r="A3203" s="31"/>
      <c r="D3203" s="30"/>
    </row>
    <row r="3204" spans="1:4" x14ac:dyDescent="0.25">
      <c r="A3204" s="31"/>
      <c r="D3204" s="30"/>
    </row>
    <row r="3205" spans="1:4" x14ac:dyDescent="0.25">
      <c r="A3205" s="31"/>
      <c r="D3205" s="30"/>
    </row>
    <row r="3206" spans="1:4" x14ac:dyDescent="0.25">
      <c r="A3206" s="31"/>
      <c r="D3206" s="30"/>
    </row>
    <row r="3207" spans="1:4" x14ac:dyDescent="0.25">
      <c r="A3207" s="31"/>
      <c r="D3207" s="30"/>
    </row>
    <row r="3208" spans="1:4" x14ac:dyDescent="0.25">
      <c r="A3208" s="31"/>
      <c r="D3208" s="30"/>
    </row>
    <row r="3209" spans="1:4" x14ac:dyDescent="0.25">
      <c r="A3209" s="31"/>
      <c r="D3209" s="30"/>
    </row>
    <row r="3210" spans="1:4" x14ac:dyDescent="0.25">
      <c r="A3210" s="31"/>
      <c r="D3210" s="30"/>
    </row>
    <row r="3211" spans="1:4" x14ac:dyDescent="0.25">
      <c r="A3211" s="31"/>
      <c r="D3211" s="30"/>
    </row>
    <row r="3212" spans="1:4" x14ac:dyDescent="0.25">
      <c r="A3212" s="31"/>
      <c r="D3212" s="30"/>
    </row>
    <row r="3213" spans="1:4" x14ac:dyDescent="0.25">
      <c r="A3213" s="31"/>
      <c r="D3213" s="30"/>
    </row>
    <row r="3214" spans="1:4" x14ac:dyDescent="0.25">
      <c r="A3214" s="31"/>
      <c r="D3214" s="30"/>
    </row>
    <row r="3215" spans="1:4" x14ac:dyDescent="0.25">
      <c r="A3215" s="31"/>
      <c r="D3215" s="30"/>
    </row>
    <row r="3216" spans="1:4" x14ac:dyDescent="0.25">
      <c r="A3216" s="31"/>
      <c r="D3216" s="30"/>
    </row>
    <row r="3217" spans="1:4" x14ac:dyDescent="0.25">
      <c r="A3217" s="31"/>
      <c r="D3217" s="30"/>
    </row>
    <row r="3218" spans="1:4" x14ac:dyDescent="0.25">
      <c r="A3218" s="31"/>
      <c r="D3218" s="30"/>
    </row>
    <row r="3219" spans="1:4" x14ac:dyDescent="0.25">
      <c r="A3219" s="31"/>
      <c r="D3219" s="30"/>
    </row>
    <row r="3220" spans="1:4" x14ac:dyDescent="0.25">
      <c r="A3220" s="31"/>
      <c r="D3220" s="30"/>
    </row>
    <row r="3221" spans="1:4" x14ac:dyDescent="0.25">
      <c r="A3221" s="31"/>
      <c r="D3221" s="30"/>
    </row>
    <row r="3222" spans="1:4" x14ac:dyDescent="0.25">
      <c r="A3222" s="31"/>
      <c r="D3222" s="30"/>
    </row>
    <row r="3223" spans="1:4" x14ac:dyDescent="0.25">
      <c r="A3223" s="31"/>
      <c r="D3223" s="30"/>
    </row>
    <row r="3224" spans="1:4" x14ac:dyDescent="0.25">
      <c r="A3224" s="31"/>
      <c r="D3224" s="30"/>
    </row>
    <row r="3225" spans="1:4" x14ac:dyDescent="0.25">
      <c r="A3225" s="31"/>
      <c r="D3225" s="30"/>
    </row>
    <row r="3226" spans="1:4" x14ac:dyDescent="0.25">
      <c r="A3226" s="31"/>
      <c r="D3226" s="30"/>
    </row>
    <row r="3227" spans="1:4" x14ac:dyDescent="0.25">
      <c r="A3227" s="31"/>
      <c r="D3227" s="30"/>
    </row>
    <row r="3228" spans="1:4" x14ac:dyDescent="0.25">
      <c r="A3228" s="31"/>
      <c r="D3228" s="30"/>
    </row>
    <row r="3229" spans="1:4" x14ac:dyDescent="0.25">
      <c r="A3229" s="31"/>
      <c r="D3229" s="30"/>
    </row>
    <row r="3230" spans="1:4" x14ac:dyDescent="0.25">
      <c r="A3230" s="31"/>
      <c r="D3230" s="30"/>
    </row>
    <row r="3231" spans="1:4" x14ac:dyDescent="0.25">
      <c r="A3231" s="31"/>
      <c r="D3231" s="30"/>
    </row>
    <row r="3232" spans="1:4" x14ac:dyDescent="0.25">
      <c r="A3232" s="31"/>
      <c r="D3232" s="30"/>
    </row>
    <row r="3233" spans="1:4" x14ac:dyDescent="0.25">
      <c r="A3233" s="31"/>
      <c r="D3233" s="30"/>
    </row>
    <row r="3234" spans="1:4" x14ac:dyDescent="0.25">
      <c r="A3234" s="31"/>
      <c r="D3234" s="30"/>
    </row>
    <row r="3235" spans="1:4" x14ac:dyDescent="0.25">
      <c r="A3235" s="31"/>
      <c r="D3235" s="30"/>
    </row>
    <row r="3236" spans="1:4" x14ac:dyDescent="0.25">
      <c r="A3236" s="31"/>
      <c r="D3236" s="30"/>
    </row>
    <row r="3237" spans="1:4" x14ac:dyDescent="0.25">
      <c r="A3237" s="31"/>
      <c r="D3237" s="30"/>
    </row>
    <row r="3238" spans="1:4" x14ac:dyDescent="0.25">
      <c r="A3238" s="31"/>
      <c r="D3238" s="30"/>
    </row>
    <row r="3239" spans="1:4" x14ac:dyDescent="0.25">
      <c r="A3239" s="31"/>
      <c r="D3239" s="30"/>
    </row>
    <row r="3240" spans="1:4" x14ac:dyDescent="0.25">
      <c r="A3240" s="31"/>
      <c r="D3240" s="30"/>
    </row>
    <row r="3241" spans="1:4" x14ac:dyDescent="0.25">
      <c r="A3241" s="31"/>
      <c r="D3241" s="30"/>
    </row>
    <row r="3242" spans="1:4" x14ac:dyDescent="0.25">
      <c r="A3242" s="31"/>
      <c r="D3242" s="30"/>
    </row>
    <row r="3243" spans="1:4" x14ac:dyDescent="0.25">
      <c r="A3243" s="31"/>
      <c r="D3243" s="30"/>
    </row>
    <row r="3244" spans="1:4" x14ac:dyDescent="0.25">
      <c r="A3244" s="31"/>
      <c r="D3244" s="30"/>
    </row>
    <row r="3245" spans="1:4" x14ac:dyDescent="0.25">
      <c r="A3245" s="31"/>
      <c r="D3245" s="30"/>
    </row>
    <row r="3246" spans="1:4" x14ac:dyDescent="0.25">
      <c r="A3246" s="31"/>
      <c r="D3246" s="30"/>
    </row>
    <row r="3247" spans="1:4" x14ac:dyDescent="0.25">
      <c r="A3247" s="31"/>
      <c r="D3247" s="30"/>
    </row>
    <row r="3248" spans="1:4" x14ac:dyDescent="0.25">
      <c r="A3248" s="31"/>
      <c r="D3248" s="30"/>
    </row>
    <row r="3249" spans="1:4" x14ac:dyDescent="0.25">
      <c r="A3249" s="31"/>
      <c r="D3249" s="30"/>
    </row>
    <row r="3250" spans="1:4" x14ac:dyDescent="0.25">
      <c r="A3250" s="31"/>
      <c r="D3250" s="30"/>
    </row>
    <row r="3251" spans="1:4" x14ac:dyDescent="0.25">
      <c r="A3251" s="31"/>
      <c r="D3251" s="30"/>
    </row>
    <row r="3252" spans="1:4" x14ac:dyDescent="0.25">
      <c r="A3252" s="31"/>
      <c r="D3252" s="30"/>
    </row>
    <row r="3253" spans="1:4" x14ac:dyDescent="0.25">
      <c r="A3253" s="31"/>
      <c r="D3253" s="30"/>
    </row>
    <row r="3254" spans="1:4" x14ac:dyDescent="0.25">
      <c r="A3254" s="31"/>
      <c r="D3254" s="30"/>
    </row>
    <row r="3255" spans="1:4" x14ac:dyDescent="0.25">
      <c r="A3255" s="31"/>
      <c r="D3255" s="30"/>
    </row>
    <row r="3256" spans="1:4" x14ac:dyDescent="0.25">
      <c r="A3256" s="31"/>
      <c r="D3256" s="30"/>
    </row>
    <row r="3257" spans="1:4" x14ac:dyDescent="0.25">
      <c r="A3257" s="31"/>
      <c r="D3257" s="30"/>
    </row>
    <row r="3258" spans="1:4" x14ac:dyDescent="0.25">
      <c r="A3258" s="31"/>
      <c r="D3258" s="30"/>
    </row>
    <row r="3259" spans="1:4" x14ac:dyDescent="0.25">
      <c r="A3259" s="31"/>
      <c r="D3259" s="30"/>
    </row>
    <row r="3260" spans="1:4" x14ac:dyDescent="0.25">
      <c r="A3260" s="31"/>
      <c r="D3260" s="30"/>
    </row>
    <row r="3261" spans="1:4" x14ac:dyDescent="0.25">
      <c r="A3261" s="31"/>
      <c r="D3261" s="30"/>
    </row>
    <row r="3262" spans="1:4" x14ac:dyDescent="0.25">
      <c r="A3262" s="31"/>
      <c r="D3262" s="30"/>
    </row>
    <row r="3263" spans="1:4" x14ac:dyDescent="0.25">
      <c r="A3263" s="31"/>
      <c r="D3263" s="30"/>
    </row>
    <row r="3264" spans="1:4" x14ac:dyDescent="0.25">
      <c r="A3264" s="31"/>
      <c r="D3264" s="30"/>
    </row>
    <row r="3265" spans="1:4" x14ac:dyDescent="0.25">
      <c r="A3265" s="31"/>
      <c r="D3265" s="30"/>
    </row>
    <row r="3266" spans="1:4" x14ac:dyDescent="0.25">
      <c r="A3266" s="31"/>
      <c r="D3266" s="30"/>
    </row>
    <row r="3267" spans="1:4" x14ac:dyDescent="0.25">
      <c r="A3267" s="31"/>
      <c r="D3267" s="30"/>
    </row>
    <row r="3268" spans="1:4" x14ac:dyDescent="0.25">
      <c r="A3268" s="31"/>
      <c r="D3268" s="30"/>
    </row>
    <row r="3269" spans="1:4" x14ac:dyDescent="0.25">
      <c r="A3269" s="31"/>
      <c r="D3269" s="30"/>
    </row>
    <row r="3270" spans="1:4" x14ac:dyDescent="0.25">
      <c r="A3270" s="31"/>
      <c r="D3270" s="30"/>
    </row>
    <row r="3271" spans="1:4" x14ac:dyDescent="0.25">
      <c r="A3271" s="31"/>
      <c r="D3271" s="30"/>
    </row>
    <row r="3272" spans="1:4" x14ac:dyDescent="0.25">
      <c r="A3272" s="31"/>
      <c r="D3272" s="30"/>
    </row>
    <row r="3273" spans="1:4" x14ac:dyDescent="0.25">
      <c r="A3273" s="31"/>
      <c r="D3273" s="30"/>
    </row>
    <row r="3274" spans="1:4" x14ac:dyDescent="0.25">
      <c r="A3274" s="31"/>
      <c r="D3274" s="30"/>
    </row>
    <row r="3275" spans="1:4" x14ac:dyDescent="0.25">
      <c r="A3275" s="31"/>
      <c r="D3275" s="30"/>
    </row>
    <row r="3276" spans="1:4" x14ac:dyDescent="0.25">
      <c r="A3276" s="31"/>
      <c r="D3276" s="30"/>
    </row>
    <row r="3277" spans="1:4" x14ac:dyDescent="0.25">
      <c r="A3277" s="31"/>
      <c r="D3277" s="30"/>
    </row>
    <row r="3278" spans="1:4" x14ac:dyDescent="0.25">
      <c r="A3278" s="31"/>
      <c r="D3278" s="30"/>
    </row>
    <row r="3279" spans="1:4" x14ac:dyDescent="0.25">
      <c r="A3279" s="31"/>
      <c r="D3279" s="30"/>
    </row>
    <row r="3280" spans="1:4" x14ac:dyDescent="0.25">
      <c r="A3280" s="31"/>
      <c r="D3280" s="30"/>
    </row>
    <row r="3281" spans="1:4" x14ac:dyDescent="0.25">
      <c r="A3281" s="31"/>
      <c r="D3281" s="30"/>
    </row>
    <row r="3282" spans="1:4" x14ac:dyDescent="0.25">
      <c r="A3282" s="31"/>
      <c r="D3282" s="30"/>
    </row>
    <row r="3283" spans="1:4" x14ac:dyDescent="0.25">
      <c r="A3283" s="31"/>
      <c r="D3283" s="30"/>
    </row>
    <row r="3284" spans="1:4" x14ac:dyDescent="0.25">
      <c r="A3284" s="31"/>
      <c r="D3284" s="30"/>
    </row>
    <row r="3285" spans="1:4" x14ac:dyDescent="0.25">
      <c r="A3285" s="31"/>
      <c r="D3285" s="30"/>
    </row>
    <row r="3286" spans="1:4" x14ac:dyDescent="0.25">
      <c r="A3286" s="31"/>
      <c r="D3286" s="30"/>
    </row>
    <row r="3287" spans="1:4" x14ac:dyDescent="0.25">
      <c r="A3287" s="31"/>
      <c r="D3287" s="30"/>
    </row>
    <row r="3288" spans="1:4" x14ac:dyDescent="0.25">
      <c r="A3288" s="31"/>
      <c r="D3288" s="30"/>
    </row>
    <row r="3289" spans="1:4" x14ac:dyDescent="0.25">
      <c r="A3289" s="31"/>
      <c r="D3289" s="30"/>
    </row>
    <row r="3290" spans="1:4" x14ac:dyDescent="0.25">
      <c r="A3290" s="31"/>
      <c r="D3290" s="30"/>
    </row>
    <row r="3291" spans="1:4" x14ac:dyDescent="0.25">
      <c r="A3291" s="31"/>
      <c r="D3291" s="30"/>
    </row>
    <row r="3292" spans="1:4" x14ac:dyDescent="0.25">
      <c r="A3292" s="31"/>
      <c r="D3292" s="30"/>
    </row>
    <row r="3293" spans="1:4" x14ac:dyDescent="0.25">
      <c r="A3293" s="31"/>
      <c r="D3293" s="30"/>
    </row>
    <row r="3294" spans="1:4" x14ac:dyDescent="0.25">
      <c r="A3294" s="31"/>
      <c r="D3294" s="30"/>
    </row>
    <row r="3295" spans="1:4" x14ac:dyDescent="0.25">
      <c r="A3295" s="31"/>
      <c r="D3295" s="30"/>
    </row>
    <row r="3296" spans="1:4" x14ac:dyDescent="0.25">
      <c r="A3296" s="31"/>
      <c r="D3296" s="30"/>
    </row>
    <row r="3297" spans="1:4" x14ac:dyDescent="0.25">
      <c r="A3297" s="31"/>
      <c r="D3297" s="30"/>
    </row>
    <row r="3298" spans="1:4" x14ac:dyDescent="0.25">
      <c r="A3298" s="31"/>
      <c r="D3298" s="30"/>
    </row>
    <row r="3299" spans="1:4" x14ac:dyDescent="0.25">
      <c r="A3299" s="31"/>
      <c r="D3299" s="30"/>
    </row>
    <row r="3300" spans="1:4" x14ac:dyDescent="0.25">
      <c r="A3300" s="31"/>
      <c r="D3300" s="30"/>
    </row>
    <row r="3301" spans="1:4" x14ac:dyDescent="0.25">
      <c r="A3301" s="31"/>
      <c r="D3301" s="30"/>
    </row>
    <row r="3302" spans="1:4" x14ac:dyDescent="0.25">
      <c r="A3302" s="31"/>
      <c r="D3302" s="30"/>
    </row>
    <row r="3303" spans="1:4" x14ac:dyDescent="0.25">
      <c r="A3303" s="31"/>
      <c r="D3303" s="30"/>
    </row>
    <row r="3304" spans="1:4" x14ac:dyDescent="0.25">
      <c r="A3304" s="31"/>
      <c r="D3304" s="30"/>
    </row>
    <row r="3305" spans="1:4" x14ac:dyDescent="0.25">
      <c r="A3305" s="31"/>
      <c r="D3305" s="30"/>
    </row>
    <row r="3306" spans="1:4" x14ac:dyDescent="0.25">
      <c r="A3306" s="31"/>
      <c r="D3306" s="30"/>
    </row>
    <row r="3307" spans="1:4" x14ac:dyDescent="0.25">
      <c r="A3307" s="31"/>
      <c r="D3307" s="30"/>
    </row>
    <row r="3308" spans="1:4" x14ac:dyDescent="0.25">
      <c r="A3308" s="31"/>
      <c r="D3308" s="30"/>
    </row>
    <row r="3309" spans="1:4" x14ac:dyDescent="0.25">
      <c r="A3309" s="31"/>
      <c r="D3309" s="30"/>
    </row>
    <row r="3310" spans="1:4" x14ac:dyDescent="0.25">
      <c r="A3310" s="31"/>
      <c r="D3310" s="30"/>
    </row>
    <row r="3311" spans="1:4" x14ac:dyDescent="0.25">
      <c r="A3311" s="31"/>
      <c r="D3311" s="30"/>
    </row>
    <row r="3312" spans="1:4" x14ac:dyDescent="0.25">
      <c r="A3312" s="31"/>
      <c r="D3312" s="30"/>
    </row>
    <row r="3313" spans="1:4" x14ac:dyDescent="0.25">
      <c r="A3313" s="31"/>
      <c r="D3313" s="30"/>
    </row>
    <row r="3314" spans="1:4" x14ac:dyDescent="0.25">
      <c r="A3314" s="31"/>
      <c r="D3314" s="30"/>
    </row>
    <row r="3315" spans="1:4" x14ac:dyDescent="0.25">
      <c r="A3315" s="31"/>
      <c r="D3315" s="30"/>
    </row>
    <row r="3316" spans="1:4" x14ac:dyDescent="0.25">
      <c r="A3316" s="31"/>
      <c r="D3316" s="30"/>
    </row>
    <row r="3317" spans="1:4" x14ac:dyDescent="0.25">
      <c r="A3317" s="31"/>
      <c r="D3317" s="30"/>
    </row>
    <row r="3318" spans="1:4" x14ac:dyDescent="0.25">
      <c r="A3318" s="31"/>
      <c r="D3318" s="30"/>
    </row>
    <row r="3319" spans="1:4" x14ac:dyDescent="0.25">
      <c r="A3319" s="31"/>
      <c r="D3319" s="30"/>
    </row>
    <row r="3320" spans="1:4" x14ac:dyDescent="0.25">
      <c r="A3320" s="31"/>
      <c r="D3320" s="30"/>
    </row>
    <row r="3321" spans="1:4" x14ac:dyDescent="0.25">
      <c r="A3321" s="31"/>
      <c r="D3321" s="30"/>
    </row>
    <row r="3322" spans="1:4" x14ac:dyDescent="0.25">
      <c r="A3322" s="31"/>
      <c r="D3322" s="30"/>
    </row>
    <row r="3323" spans="1:4" x14ac:dyDescent="0.25">
      <c r="A3323" s="31"/>
      <c r="D3323" s="30"/>
    </row>
    <row r="3324" spans="1:4" x14ac:dyDescent="0.25">
      <c r="A3324" s="31"/>
      <c r="D3324" s="30"/>
    </row>
    <row r="3325" spans="1:4" x14ac:dyDescent="0.25">
      <c r="A3325" s="31"/>
      <c r="D3325" s="30"/>
    </row>
    <row r="3326" spans="1:4" x14ac:dyDescent="0.25">
      <c r="A3326" s="31"/>
      <c r="D3326" s="30"/>
    </row>
    <row r="3327" spans="1:4" x14ac:dyDescent="0.25">
      <c r="A3327" s="31"/>
      <c r="D3327" s="30"/>
    </row>
    <row r="3328" spans="1:4" x14ac:dyDescent="0.25">
      <c r="A3328" s="31"/>
      <c r="D3328" s="30"/>
    </row>
    <row r="3329" spans="1:4" x14ac:dyDescent="0.25">
      <c r="A3329" s="31"/>
      <c r="D3329" s="30"/>
    </row>
    <row r="3330" spans="1:4" x14ac:dyDescent="0.25">
      <c r="A3330" s="31"/>
      <c r="D3330" s="30"/>
    </row>
    <row r="3331" spans="1:4" x14ac:dyDescent="0.25">
      <c r="A3331" s="31"/>
      <c r="D3331" s="30"/>
    </row>
    <row r="3332" spans="1:4" x14ac:dyDescent="0.25">
      <c r="A3332" s="31"/>
      <c r="D3332" s="30"/>
    </row>
    <row r="3333" spans="1:4" x14ac:dyDescent="0.25">
      <c r="A3333" s="31"/>
      <c r="D3333" s="30"/>
    </row>
    <row r="3334" spans="1:4" x14ac:dyDescent="0.25">
      <c r="A3334" s="31"/>
      <c r="D3334" s="30"/>
    </row>
    <row r="3335" spans="1:4" x14ac:dyDescent="0.25">
      <c r="A3335" s="31"/>
      <c r="D3335" s="30"/>
    </row>
    <row r="3336" spans="1:4" x14ac:dyDescent="0.25">
      <c r="A3336" s="31"/>
      <c r="D3336" s="30"/>
    </row>
    <row r="3337" spans="1:4" x14ac:dyDescent="0.25">
      <c r="A3337" s="31"/>
      <c r="D3337" s="30"/>
    </row>
    <row r="3338" spans="1:4" x14ac:dyDescent="0.25">
      <c r="A3338" s="31"/>
      <c r="D3338" s="30"/>
    </row>
    <row r="3339" spans="1:4" x14ac:dyDescent="0.25">
      <c r="A3339" s="31"/>
      <c r="D3339" s="30"/>
    </row>
    <row r="3340" spans="1:4" x14ac:dyDescent="0.25">
      <c r="A3340" s="31"/>
      <c r="D3340" s="30"/>
    </row>
    <row r="3341" spans="1:4" x14ac:dyDescent="0.25">
      <c r="A3341" s="31"/>
      <c r="D3341" s="30"/>
    </row>
    <row r="3342" spans="1:4" x14ac:dyDescent="0.25">
      <c r="A3342" s="31"/>
      <c r="D3342" s="30"/>
    </row>
    <row r="3343" spans="1:4" x14ac:dyDescent="0.25">
      <c r="A3343" s="31"/>
      <c r="D3343" s="30"/>
    </row>
    <row r="3344" spans="1:4" x14ac:dyDescent="0.25">
      <c r="A3344" s="31"/>
      <c r="D3344" s="30"/>
    </row>
    <row r="3345" spans="1:4" x14ac:dyDescent="0.25">
      <c r="A3345" s="31"/>
      <c r="D3345" s="30"/>
    </row>
    <row r="3346" spans="1:4" x14ac:dyDescent="0.25">
      <c r="A3346" s="31"/>
      <c r="D3346" s="30"/>
    </row>
    <row r="3347" spans="1:4" x14ac:dyDescent="0.25">
      <c r="A3347" s="31"/>
      <c r="D3347" s="30"/>
    </row>
    <row r="3348" spans="1:4" x14ac:dyDescent="0.25">
      <c r="A3348" s="31"/>
      <c r="D3348" s="30"/>
    </row>
    <row r="3349" spans="1:4" x14ac:dyDescent="0.25">
      <c r="A3349" s="31"/>
      <c r="D3349" s="30"/>
    </row>
    <row r="3350" spans="1:4" x14ac:dyDescent="0.25">
      <c r="A3350" s="31"/>
      <c r="D3350" s="30"/>
    </row>
    <row r="3351" spans="1:4" x14ac:dyDescent="0.25">
      <c r="A3351" s="31"/>
      <c r="D3351" s="30"/>
    </row>
    <row r="3352" spans="1:4" x14ac:dyDescent="0.25">
      <c r="A3352" s="31"/>
      <c r="D3352" s="30"/>
    </row>
    <row r="3353" spans="1:4" x14ac:dyDescent="0.25">
      <c r="A3353" s="31"/>
      <c r="D3353" s="30"/>
    </row>
    <row r="3354" spans="1:4" x14ac:dyDescent="0.25">
      <c r="A3354" s="31"/>
      <c r="D3354" s="30"/>
    </row>
    <row r="3355" spans="1:4" x14ac:dyDescent="0.25">
      <c r="A3355" s="31"/>
      <c r="D3355" s="30"/>
    </row>
    <row r="3356" spans="1:4" x14ac:dyDescent="0.25">
      <c r="A3356" s="31"/>
      <c r="D3356" s="30"/>
    </row>
    <row r="3357" spans="1:4" x14ac:dyDescent="0.25">
      <c r="A3357" s="31"/>
      <c r="D3357" s="30"/>
    </row>
    <row r="3358" spans="1:4" x14ac:dyDescent="0.25">
      <c r="A3358" s="31"/>
      <c r="D3358" s="30"/>
    </row>
    <row r="3359" spans="1:4" x14ac:dyDescent="0.25">
      <c r="A3359" s="31"/>
      <c r="D3359" s="30"/>
    </row>
    <row r="3360" spans="1:4" x14ac:dyDescent="0.25">
      <c r="A3360" s="31"/>
      <c r="D3360" s="30"/>
    </row>
    <row r="3361" spans="1:4" x14ac:dyDescent="0.25">
      <c r="A3361" s="31"/>
      <c r="D3361" s="30"/>
    </row>
    <row r="3362" spans="1:4" x14ac:dyDescent="0.25">
      <c r="A3362" s="31"/>
      <c r="D3362" s="30"/>
    </row>
    <row r="3363" spans="1:4" x14ac:dyDescent="0.25">
      <c r="A3363" s="31"/>
      <c r="D3363" s="30"/>
    </row>
    <row r="3364" spans="1:4" x14ac:dyDescent="0.25">
      <c r="A3364" s="31"/>
      <c r="D3364" s="30"/>
    </row>
    <row r="3365" spans="1:4" x14ac:dyDescent="0.25">
      <c r="A3365" s="31"/>
      <c r="D3365" s="30"/>
    </row>
    <row r="3366" spans="1:4" x14ac:dyDescent="0.25">
      <c r="A3366" s="31"/>
      <c r="D3366" s="30"/>
    </row>
    <row r="3367" spans="1:4" x14ac:dyDescent="0.25">
      <c r="A3367" s="31"/>
      <c r="D3367" s="30"/>
    </row>
    <row r="3368" spans="1:4" x14ac:dyDescent="0.25">
      <c r="A3368" s="31"/>
      <c r="D3368" s="30"/>
    </row>
    <row r="3369" spans="1:4" x14ac:dyDescent="0.25">
      <c r="A3369" s="31"/>
      <c r="D3369" s="30"/>
    </row>
    <row r="3370" spans="1:4" x14ac:dyDescent="0.25">
      <c r="A3370" s="31"/>
      <c r="D3370" s="30"/>
    </row>
    <row r="3371" spans="1:4" x14ac:dyDescent="0.25">
      <c r="A3371" s="31"/>
      <c r="D3371" s="30"/>
    </row>
    <row r="3372" spans="1:4" x14ac:dyDescent="0.25">
      <c r="A3372" s="31"/>
      <c r="D3372" s="30"/>
    </row>
    <row r="3373" spans="1:4" x14ac:dyDescent="0.25">
      <c r="A3373" s="31"/>
      <c r="D3373" s="30"/>
    </row>
    <row r="3374" spans="1:4" x14ac:dyDescent="0.25">
      <c r="A3374" s="31"/>
      <c r="D3374" s="30"/>
    </row>
    <row r="3375" spans="1:4" x14ac:dyDescent="0.25">
      <c r="A3375" s="31"/>
      <c r="D3375" s="30"/>
    </row>
    <row r="3376" spans="1:4" x14ac:dyDescent="0.25">
      <c r="A3376" s="31"/>
      <c r="D3376" s="30"/>
    </row>
    <row r="3377" spans="1:4" x14ac:dyDescent="0.25">
      <c r="A3377" s="31"/>
      <c r="D3377" s="30"/>
    </row>
    <row r="3378" spans="1:4" x14ac:dyDescent="0.25">
      <c r="A3378" s="31"/>
      <c r="D3378" s="30"/>
    </row>
    <row r="3379" spans="1:4" x14ac:dyDescent="0.25">
      <c r="A3379" s="31"/>
      <c r="D3379" s="30"/>
    </row>
    <row r="3380" spans="1:4" x14ac:dyDescent="0.25">
      <c r="A3380" s="31"/>
      <c r="D3380" s="30"/>
    </row>
    <row r="3381" spans="1:4" x14ac:dyDescent="0.25">
      <c r="A3381" s="31"/>
      <c r="D3381" s="30"/>
    </row>
    <row r="3382" spans="1:4" x14ac:dyDescent="0.25">
      <c r="A3382" s="31"/>
      <c r="D3382" s="30"/>
    </row>
    <row r="3383" spans="1:4" x14ac:dyDescent="0.25">
      <c r="A3383" s="31"/>
      <c r="D3383" s="30"/>
    </row>
    <row r="3384" spans="1:4" x14ac:dyDescent="0.25">
      <c r="A3384" s="31"/>
      <c r="D3384" s="30"/>
    </row>
    <row r="3385" spans="1:4" x14ac:dyDescent="0.25">
      <c r="A3385" s="31"/>
      <c r="D3385" s="30"/>
    </row>
    <row r="3386" spans="1:4" x14ac:dyDescent="0.25">
      <c r="A3386" s="31"/>
      <c r="D3386" s="30"/>
    </row>
    <row r="3387" spans="1:4" x14ac:dyDescent="0.25">
      <c r="A3387" s="31"/>
      <c r="D3387" s="30"/>
    </row>
    <row r="3388" spans="1:4" x14ac:dyDescent="0.25">
      <c r="A3388" s="31"/>
      <c r="D3388" s="30"/>
    </row>
    <row r="3389" spans="1:4" x14ac:dyDescent="0.25">
      <c r="A3389" s="31"/>
      <c r="D3389" s="30"/>
    </row>
    <row r="3390" spans="1:4" x14ac:dyDescent="0.25">
      <c r="A3390" s="31"/>
      <c r="D3390" s="30"/>
    </row>
    <row r="3391" spans="1:4" x14ac:dyDescent="0.25">
      <c r="A3391" s="31"/>
      <c r="D3391" s="30"/>
    </row>
    <row r="3392" spans="1:4" x14ac:dyDescent="0.25">
      <c r="A3392" s="31"/>
      <c r="D3392" s="30"/>
    </row>
    <row r="3393" spans="1:4" x14ac:dyDescent="0.25">
      <c r="A3393" s="31"/>
      <c r="D3393" s="30"/>
    </row>
    <row r="3394" spans="1:4" x14ac:dyDescent="0.25">
      <c r="A3394" s="31"/>
      <c r="D3394" s="30"/>
    </row>
    <row r="3395" spans="1:4" x14ac:dyDescent="0.25">
      <c r="A3395" s="31"/>
      <c r="D3395" s="30"/>
    </row>
    <row r="3396" spans="1:4" x14ac:dyDescent="0.25">
      <c r="A3396" s="31"/>
      <c r="D3396" s="30"/>
    </row>
    <row r="3397" spans="1:4" x14ac:dyDescent="0.25">
      <c r="A3397" s="31"/>
      <c r="D3397" s="30"/>
    </row>
    <row r="3398" spans="1:4" x14ac:dyDescent="0.25">
      <c r="A3398" s="31"/>
      <c r="D3398" s="30"/>
    </row>
    <row r="3399" spans="1:4" x14ac:dyDescent="0.25">
      <c r="A3399" s="31"/>
      <c r="D3399" s="30"/>
    </row>
    <row r="3400" spans="1:4" x14ac:dyDescent="0.25">
      <c r="A3400" s="31"/>
      <c r="D3400" s="30"/>
    </row>
    <row r="3401" spans="1:4" x14ac:dyDescent="0.25">
      <c r="A3401" s="31"/>
      <c r="D3401" s="30"/>
    </row>
    <row r="3402" spans="1:4" x14ac:dyDescent="0.25">
      <c r="A3402" s="31"/>
      <c r="D3402" s="30"/>
    </row>
    <row r="3403" spans="1:4" x14ac:dyDescent="0.25">
      <c r="A3403" s="31"/>
      <c r="D3403" s="30"/>
    </row>
    <row r="3404" spans="1:4" x14ac:dyDescent="0.25">
      <c r="A3404" s="31"/>
      <c r="D3404" s="30"/>
    </row>
    <row r="3405" spans="1:4" x14ac:dyDescent="0.25">
      <c r="A3405" s="31"/>
      <c r="D3405" s="30"/>
    </row>
    <row r="3406" spans="1:4" x14ac:dyDescent="0.25">
      <c r="A3406" s="31"/>
      <c r="D3406" s="30"/>
    </row>
    <row r="3407" spans="1:4" x14ac:dyDescent="0.25">
      <c r="A3407" s="31"/>
      <c r="D3407" s="30"/>
    </row>
    <row r="3408" spans="1:4" x14ac:dyDescent="0.25">
      <c r="A3408" s="31"/>
      <c r="D3408" s="30"/>
    </row>
    <row r="3409" spans="1:4" x14ac:dyDescent="0.25">
      <c r="A3409" s="31"/>
      <c r="D3409" s="30"/>
    </row>
    <row r="3410" spans="1:4" x14ac:dyDescent="0.25">
      <c r="A3410" s="31"/>
      <c r="D3410" s="30"/>
    </row>
    <row r="3411" spans="1:4" x14ac:dyDescent="0.25">
      <c r="A3411" s="31"/>
      <c r="D3411" s="30"/>
    </row>
    <row r="3412" spans="1:4" x14ac:dyDescent="0.25">
      <c r="A3412" s="31"/>
      <c r="D3412" s="30"/>
    </row>
    <row r="3413" spans="1:4" x14ac:dyDescent="0.25">
      <c r="A3413" s="31"/>
      <c r="D3413" s="30"/>
    </row>
    <row r="3414" spans="1:4" x14ac:dyDescent="0.25">
      <c r="A3414" s="31"/>
      <c r="D3414" s="30"/>
    </row>
    <row r="3415" spans="1:4" x14ac:dyDescent="0.25">
      <c r="A3415" s="31"/>
      <c r="D3415" s="30"/>
    </row>
    <row r="3416" spans="1:4" x14ac:dyDescent="0.25">
      <c r="A3416" s="31"/>
      <c r="D3416" s="30"/>
    </row>
    <row r="3417" spans="1:4" x14ac:dyDescent="0.25">
      <c r="A3417" s="31"/>
      <c r="D3417" s="30"/>
    </row>
    <row r="3418" spans="1:4" x14ac:dyDescent="0.25">
      <c r="A3418" s="31"/>
      <c r="D3418" s="30"/>
    </row>
    <row r="3419" spans="1:4" x14ac:dyDescent="0.25">
      <c r="A3419" s="31"/>
      <c r="D3419" s="30"/>
    </row>
    <row r="3420" spans="1:4" x14ac:dyDescent="0.25">
      <c r="A3420" s="31"/>
      <c r="D3420" s="30"/>
    </row>
    <row r="3421" spans="1:4" x14ac:dyDescent="0.25">
      <c r="A3421" s="31"/>
      <c r="D3421" s="30"/>
    </row>
    <row r="3422" spans="1:4" x14ac:dyDescent="0.25">
      <c r="A3422" s="31"/>
      <c r="D3422" s="30"/>
    </row>
    <row r="3423" spans="1:4" x14ac:dyDescent="0.25">
      <c r="A3423" s="31"/>
      <c r="D3423" s="30"/>
    </row>
    <row r="3424" spans="1:4" x14ac:dyDescent="0.25">
      <c r="A3424" s="31"/>
      <c r="D3424" s="30"/>
    </row>
    <row r="3425" spans="1:4" x14ac:dyDescent="0.25">
      <c r="A3425" s="31"/>
      <c r="D3425" s="30"/>
    </row>
    <row r="3426" spans="1:4" x14ac:dyDescent="0.25">
      <c r="A3426" s="31"/>
      <c r="D3426" s="30"/>
    </row>
    <row r="3427" spans="1:4" x14ac:dyDescent="0.25">
      <c r="A3427" s="31"/>
      <c r="D3427" s="30"/>
    </row>
    <row r="3428" spans="1:4" x14ac:dyDescent="0.25">
      <c r="A3428" s="31"/>
      <c r="D3428" s="30"/>
    </row>
    <row r="3429" spans="1:4" x14ac:dyDescent="0.25">
      <c r="A3429" s="31"/>
      <c r="D3429" s="30"/>
    </row>
    <row r="3430" spans="1:4" x14ac:dyDescent="0.25">
      <c r="A3430" s="31"/>
      <c r="D3430" s="30"/>
    </row>
    <row r="3431" spans="1:4" x14ac:dyDescent="0.25">
      <c r="A3431" s="31"/>
      <c r="D3431" s="30"/>
    </row>
    <row r="3432" spans="1:4" x14ac:dyDescent="0.25">
      <c r="A3432" s="31"/>
      <c r="D3432" s="30"/>
    </row>
    <row r="3433" spans="1:4" x14ac:dyDescent="0.25">
      <c r="A3433" s="31"/>
      <c r="D3433" s="30"/>
    </row>
    <row r="3434" spans="1:4" x14ac:dyDescent="0.25">
      <c r="A3434" s="31"/>
      <c r="D3434" s="30"/>
    </row>
    <row r="3435" spans="1:4" x14ac:dyDescent="0.25">
      <c r="A3435" s="31"/>
      <c r="D3435" s="30"/>
    </row>
    <row r="3436" spans="1:4" x14ac:dyDescent="0.25">
      <c r="A3436" s="31"/>
      <c r="D3436" s="30"/>
    </row>
    <row r="3437" spans="1:4" x14ac:dyDescent="0.25">
      <c r="A3437" s="31"/>
      <c r="D3437" s="30"/>
    </row>
    <row r="3438" spans="1:4" x14ac:dyDescent="0.25">
      <c r="A3438" s="31"/>
      <c r="D3438" s="30"/>
    </row>
    <row r="3439" spans="1:4" x14ac:dyDescent="0.25">
      <c r="A3439" s="31"/>
      <c r="D3439" s="30"/>
    </row>
    <row r="3440" spans="1:4" x14ac:dyDescent="0.25">
      <c r="A3440" s="31"/>
      <c r="D3440" s="30"/>
    </row>
    <row r="3441" spans="1:4" x14ac:dyDescent="0.25">
      <c r="A3441" s="31"/>
      <c r="D3441" s="30"/>
    </row>
    <row r="3442" spans="1:4" x14ac:dyDescent="0.25">
      <c r="A3442" s="31"/>
      <c r="D3442" s="30"/>
    </row>
    <row r="3443" spans="1:4" x14ac:dyDescent="0.25">
      <c r="A3443" s="31"/>
      <c r="D3443" s="30"/>
    </row>
    <row r="3444" spans="1:4" x14ac:dyDescent="0.25">
      <c r="A3444" s="31"/>
      <c r="D3444" s="30"/>
    </row>
    <row r="3445" spans="1:4" x14ac:dyDescent="0.25">
      <c r="A3445" s="31"/>
      <c r="D3445" s="30"/>
    </row>
    <row r="3446" spans="1:4" x14ac:dyDescent="0.25">
      <c r="A3446" s="31"/>
      <c r="D3446" s="30"/>
    </row>
    <row r="3447" spans="1:4" x14ac:dyDescent="0.25">
      <c r="A3447" s="31"/>
      <c r="D3447" s="30"/>
    </row>
    <row r="3448" spans="1:4" x14ac:dyDescent="0.25">
      <c r="A3448" s="31"/>
      <c r="D3448" s="30"/>
    </row>
    <row r="3449" spans="1:4" x14ac:dyDescent="0.25">
      <c r="A3449" s="31"/>
      <c r="D3449" s="30"/>
    </row>
    <row r="3450" spans="1:4" x14ac:dyDescent="0.25">
      <c r="A3450" s="31"/>
      <c r="D3450" s="30"/>
    </row>
    <row r="3451" spans="1:4" x14ac:dyDescent="0.25">
      <c r="A3451" s="31"/>
      <c r="D3451" s="30"/>
    </row>
    <row r="3452" spans="1:4" x14ac:dyDescent="0.25">
      <c r="A3452" s="31"/>
      <c r="D3452" s="30"/>
    </row>
    <row r="3453" spans="1:4" x14ac:dyDescent="0.25">
      <c r="A3453" s="31"/>
      <c r="D3453" s="30"/>
    </row>
    <row r="3454" spans="1:4" x14ac:dyDescent="0.25">
      <c r="A3454" s="31"/>
      <c r="D3454" s="30"/>
    </row>
    <row r="3455" spans="1:4" x14ac:dyDescent="0.25">
      <c r="A3455" s="31"/>
      <c r="D3455" s="30"/>
    </row>
    <row r="3456" spans="1:4" x14ac:dyDescent="0.25">
      <c r="A3456" s="31"/>
      <c r="D3456" s="30"/>
    </row>
    <row r="3457" spans="1:4" x14ac:dyDescent="0.25">
      <c r="A3457" s="31"/>
      <c r="D3457" s="30"/>
    </row>
    <row r="3458" spans="1:4" x14ac:dyDescent="0.25">
      <c r="A3458" s="31"/>
      <c r="D3458" s="30"/>
    </row>
    <row r="3459" spans="1:4" x14ac:dyDescent="0.25">
      <c r="A3459" s="31"/>
      <c r="D3459" s="30"/>
    </row>
    <row r="3460" spans="1:4" x14ac:dyDescent="0.25">
      <c r="A3460" s="31"/>
      <c r="D3460" s="30"/>
    </row>
    <row r="3461" spans="1:4" x14ac:dyDescent="0.25">
      <c r="A3461" s="31"/>
      <c r="D3461" s="30"/>
    </row>
    <row r="3462" spans="1:4" x14ac:dyDescent="0.25">
      <c r="A3462" s="31"/>
      <c r="D3462" s="30"/>
    </row>
    <row r="3463" spans="1:4" x14ac:dyDescent="0.25">
      <c r="A3463" s="31"/>
      <c r="D3463" s="30"/>
    </row>
    <row r="3464" spans="1:4" x14ac:dyDescent="0.25">
      <c r="A3464" s="31"/>
      <c r="D3464" s="30"/>
    </row>
    <row r="3465" spans="1:4" x14ac:dyDescent="0.25">
      <c r="A3465" s="31"/>
      <c r="D3465" s="30"/>
    </row>
    <row r="3466" spans="1:4" x14ac:dyDescent="0.25">
      <c r="A3466" s="31"/>
      <c r="D3466" s="30"/>
    </row>
    <row r="3467" spans="1:4" x14ac:dyDescent="0.25">
      <c r="A3467" s="31"/>
      <c r="D3467" s="30"/>
    </row>
    <row r="3468" spans="1:4" x14ac:dyDescent="0.25">
      <c r="A3468" s="31"/>
      <c r="D3468" s="30"/>
    </row>
    <row r="3469" spans="1:4" x14ac:dyDescent="0.25">
      <c r="A3469" s="31"/>
      <c r="D3469" s="30"/>
    </row>
    <row r="3470" spans="1:4" x14ac:dyDescent="0.25">
      <c r="A3470" s="31"/>
      <c r="D3470" s="30"/>
    </row>
    <row r="3471" spans="1:4" x14ac:dyDescent="0.25">
      <c r="A3471" s="31"/>
      <c r="D3471" s="30"/>
    </row>
    <row r="3472" spans="1:4" x14ac:dyDescent="0.25">
      <c r="A3472" s="31"/>
      <c r="D3472" s="30"/>
    </row>
    <row r="3473" spans="1:4" x14ac:dyDescent="0.25">
      <c r="A3473" s="31"/>
      <c r="D3473" s="30"/>
    </row>
    <row r="3474" spans="1:4" x14ac:dyDescent="0.25">
      <c r="A3474" s="31"/>
      <c r="D3474" s="30"/>
    </row>
    <row r="3475" spans="1:4" x14ac:dyDescent="0.25">
      <c r="A3475" s="31"/>
      <c r="D3475" s="30"/>
    </row>
    <row r="3476" spans="1:4" x14ac:dyDescent="0.25">
      <c r="A3476" s="31"/>
      <c r="D3476" s="30"/>
    </row>
    <row r="3477" spans="1:4" x14ac:dyDescent="0.25">
      <c r="A3477" s="31"/>
      <c r="D3477" s="30"/>
    </row>
    <row r="3478" spans="1:4" x14ac:dyDescent="0.25">
      <c r="A3478" s="31"/>
      <c r="D3478" s="30"/>
    </row>
    <row r="3479" spans="1:4" x14ac:dyDescent="0.25">
      <c r="A3479" s="31"/>
      <c r="D3479" s="30"/>
    </row>
    <row r="3480" spans="1:4" x14ac:dyDescent="0.25">
      <c r="A3480" s="31"/>
      <c r="D3480" s="30"/>
    </row>
    <row r="3481" spans="1:4" x14ac:dyDescent="0.25">
      <c r="A3481" s="31"/>
      <c r="D3481" s="30"/>
    </row>
    <row r="3482" spans="1:4" x14ac:dyDescent="0.25">
      <c r="A3482" s="31"/>
      <c r="D3482" s="30"/>
    </row>
    <row r="3483" spans="1:4" x14ac:dyDescent="0.25">
      <c r="A3483" s="31"/>
      <c r="D3483" s="30"/>
    </row>
    <row r="3484" spans="1:4" x14ac:dyDescent="0.25">
      <c r="A3484" s="31"/>
      <c r="D3484" s="30"/>
    </row>
    <row r="3485" spans="1:4" x14ac:dyDescent="0.25">
      <c r="A3485" s="31"/>
      <c r="D3485" s="30"/>
    </row>
    <row r="3486" spans="1:4" x14ac:dyDescent="0.25">
      <c r="A3486" s="31"/>
      <c r="D3486" s="30"/>
    </row>
    <row r="3487" spans="1:4" x14ac:dyDescent="0.25">
      <c r="A3487" s="31"/>
      <c r="D3487" s="30"/>
    </row>
    <row r="3488" spans="1:4" x14ac:dyDescent="0.25">
      <c r="A3488" s="31"/>
      <c r="D3488" s="30"/>
    </row>
    <row r="3489" spans="1:4" x14ac:dyDescent="0.25">
      <c r="A3489" s="31"/>
      <c r="D3489" s="30"/>
    </row>
    <row r="3490" spans="1:4" x14ac:dyDescent="0.25">
      <c r="A3490" s="31"/>
      <c r="D3490" s="30"/>
    </row>
    <row r="3491" spans="1:4" x14ac:dyDescent="0.25">
      <c r="A3491" s="31"/>
      <c r="D3491" s="30"/>
    </row>
    <row r="3492" spans="1:4" x14ac:dyDescent="0.25">
      <c r="A3492" s="31"/>
      <c r="D3492" s="30"/>
    </row>
    <row r="3493" spans="1:4" x14ac:dyDescent="0.25">
      <c r="A3493" s="31"/>
      <c r="D3493" s="30"/>
    </row>
    <row r="3494" spans="1:4" x14ac:dyDescent="0.25">
      <c r="A3494" s="31"/>
      <c r="D3494" s="30"/>
    </row>
    <row r="3495" spans="1:4" x14ac:dyDescent="0.25">
      <c r="A3495" s="31"/>
      <c r="D3495" s="30"/>
    </row>
    <row r="3496" spans="1:4" x14ac:dyDescent="0.25">
      <c r="A3496" s="31"/>
      <c r="D3496" s="30"/>
    </row>
    <row r="3497" spans="1:4" x14ac:dyDescent="0.25">
      <c r="A3497" s="31"/>
      <c r="D3497" s="30"/>
    </row>
    <row r="3498" spans="1:4" x14ac:dyDescent="0.25">
      <c r="A3498" s="31"/>
      <c r="D3498" s="30"/>
    </row>
    <row r="3499" spans="1:4" x14ac:dyDescent="0.25">
      <c r="A3499" s="31"/>
      <c r="D3499" s="30"/>
    </row>
    <row r="3500" spans="1:4" x14ac:dyDescent="0.25">
      <c r="A3500" s="31"/>
      <c r="D3500" s="30"/>
    </row>
    <row r="3501" spans="1:4" x14ac:dyDescent="0.25">
      <c r="A3501" s="31"/>
      <c r="D3501" s="30"/>
    </row>
    <row r="3502" spans="1:4" x14ac:dyDescent="0.25">
      <c r="A3502" s="31"/>
      <c r="D3502" s="30"/>
    </row>
    <row r="3503" spans="1:4" x14ac:dyDescent="0.25">
      <c r="A3503" s="31"/>
      <c r="D3503" s="30"/>
    </row>
    <row r="3504" spans="1:4" x14ac:dyDescent="0.25">
      <c r="A3504" s="31"/>
      <c r="D3504" s="30"/>
    </row>
    <row r="3505" spans="1:4" x14ac:dyDescent="0.25">
      <c r="A3505" s="31"/>
      <c r="D3505" s="30"/>
    </row>
    <row r="3506" spans="1:4" x14ac:dyDescent="0.25">
      <c r="A3506" s="31"/>
      <c r="D3506" s="30"/>
    </row>
    <row r="3507" spans="1:4" x14ac:dyDescent="0.25">
      <c r="A3507" s="31"/>
      <c r="D3507" s="30"/>
    </row>
    <row r="3508" spans="1:4" x14ac:dyDescent="0.25">
      <c r="A3508" s="31"/>
      <c r="D3508" s="30"/>
    </row>
    <row r="3509" spans="1:4" x14ac:dyDescent="0.25">
      <c r="A3509" s="31"/>
      <c r="D3509" s="30"/>
    </row>
    <row r="3510" spans="1:4" x14ac:dyDescent="0.25">
      <c r="A3510" s="31"/>
      <c r="D3510" s="30"/>
    </row>
    <row r="3511" spans="1:4" x14ac:dyDescent="0.25">
      <c r="A3511" s="31"/>
      <c r="D3511" s="30"/>
    </row>
    <row r="3512" spans="1:4" x14ac:dyDescent="0.25">
      <c r="A3512" s="31"/>
      <c r="D3512" s="30"/>
    </row>
    <row r="3513" spans="1:4" x14ac:dyDescent="0.25">
      <c r="A3513" s="31"/>
      <c r="D3513" s="30"/>
    </row>
    <row r="3514" spans="1:4" x14ac:dyDescent="0.25">
      <c r="A3514" s="31"/>
      <c r="D3514" s="30"/>
    </row>
    <row r="3515" spans="1:4" x14ac:dyDescent="0.25">
      <c r="A3515" s="31"/>
      <c r="D3515" s="30"/>
    </row>
    <row r="3516" spans="1:4" x14ac:dyDescent="0.25">
      <c r="A3516" s="31"/>
      <c r="D3516" s="30"/>
    </row>
    <row r="3517" spans="1:4" x14ac:dyDescent="0.25">
      <c r="A3517" s="31"/>
      <c r="D3517" s="30"/>
    </row>
    <row r="3518" spans="1:4" x14ac:dyDescent="0.25">
      <c r="A3518" s="31"/>
      <c r="D3518" s="30"/>
    </row>
    <row r="3519" spans="1:4" x14ac:dyDescent="0.25">
      <c r="A3519" s="31"/>
      <c r="D3519" s="30"/>
    </row>
    <row r="3520" spans="1:4" x14ac:dyDescent="0.25">
      <c r="A3520" s="31"/>
      <c r="D3520" s="30"/>
    </row>
    <row r="3521" spans="1:4" x14ac:dyDescent="0.25">
      <c r="A3521" s="31"/>
      <c r="D3521" s="30"/>
    </row>
    <row r="3522" spans="1:4" x14ac:dyDescent="0.25">
      <c r="A3522" s="31"/>
      <c r="D3522" s="30"/>
    </row>
    <row r="3523" spans="1:4" x14ac:dyDescent="0.25">
      <c r="A3523" s="31"/>
      <c r="D3523" s="30"/>
    </row>
    <row r="3524" spans="1:4" x14ac:dyDescent="0.25">
      <c r="A3524" s="31"/>
      <c r="D3524" s="30"/>
    </row>
    <row r="3525" spans="1:4" x14ac:dyDescent="0.25">
      <c r="A3525" s="31"/>
      <c r="D3525" s="30"/>
    </row>
    <row r="3526" spans="1:4" x14ac:dyDescent="0.25">
      <c r="A3526" s="31"/>
      <c r="D3526" s="30"/>
    </row>
    <row r="3527" spans="1:4" x14ac:dyDescent="0.25">
      <c r="A3527" s="31"/>
      <c r="D3527" s="30"/>
    </row>
    <row r="3528" spans="1:4" x14ac:dyDescent="0.25">
      <c r="A3528" s="31"/>
      <c r="D3528" s="30"/>
    </row>
    <row r="3529" spans="1:4" x14ac:dyDescent="0.25">
      <c r="A3529" s="31"/>
      <c r="D3529" s="30"/>
    </row>
    <row r="3530" spans="1:4" x14ac:dyDescent="0.25">
      <c r="A3530" s="31"/>
      <c r="D3530" s="30"/>
    </row>
    <row r="3531" spans="1:4" x14ac:dyDescent="0.25">
      <c r="A3531" s="31"/>
      <c r="D3531" s="30"/>
    </row>
    <row r="3532" spans="1:4" x14ac:dyDescent="0.25">
      <c r="A3532" s="31"/>
      <c r="D3532" s="30"/>
    </row>
    <row r="3533" spans="1:4" x14ac:dyDescent="0.25">
      <c r="A3533" s="31"/>
      <c r="D3533" s="30"/>
    </row>
    <row r="3534" spans="1:4" x14ac:dyDescent="0.25">
      <c r="A3534" s="31"/>
      <c r="D3534" s="30"/>
    </row>
    <row r="3535" spans="1:4" x14ac:dyDescent="0.25">
      <c r="A3535" s="31"/>
      <c r="D3535" s="30"/>
    </row>
    <row r="3536" spans="1:4" x14ac:dyDescent="0.25">
      <c r="A3536" s="31"/>
      <c r="D3536" s="30"/>
    </row>
    <row r="3537" spans="1:4" x14ac:dyDescent="0.25">
      <c r="A3537" s="31"/>
      <c r="D3537" s="30"/>
    </row>
    <row r="3538" spans="1:4" x14ac:dyDescent="0.25">
      <c r="A3538" s="31"/>
      <c r="D3538" s="30"/>
    </row>
    <row r="3539" spans="1:4" x14ac:dyDescent="0.25">
      <c r="A3539" s="31"/>
      <c r="D3539" s="30"/>
    </row>
    <row r="3540" spans="1:4" x14ac:dyDescent="0.25">
      <c r="A3540" s="31"/>
      <c r="D3540" s="30"/>
    </row>
    <row r="3541" spans="1:4" x14ac:dyDescent="0.25">
      <c r="A3541" s="31"/>
      <c r="D3541" s="30"/>
    </row>
    <row r="3542" spans="1:4" x14ac:dyDescent="0.25">
      <c r="A3542" s="31"/>
      <c r="D3542" s="30"/>
    </row>
    <row r="3543" spans="1:4" x14ac:dyDescent="0.25">
      <c r="A3543" s="31"/>
      <c r="D3543" s="30"/>
    </row>
    <row r="3544" spans="1:4" x14ac:dyDescent="0.25">
      <c r="A3544" s="31"/>
      <c r="D3544" s="30"/>
    </row>
    <row r="3545" spans="1:4" x14ac:dyDescent="0.25">
      <c r="A3545" s="31"/>
      <c r="D3545" s="30"/>
    </row>
    <row r="3546" spans="1:4" x14ac:dyDescent="0.25">
      <c r="A3546" s="31"/>
      <c r="D3546" s="30"/>
    </row>
    <row r="3547" spans="1:4" x14ac:dyDescent="0.25">
      <c r="A3547" s="31"/>
      <c r="D3547" s="30"/>
    </row>
    <row r="3548" spans="1:4" x14ac:dyDescent="0.25">
      <c r="A3548" s="31"/>
      <c r="D3548" s="30"/>
    </row>
    <row r="3549" spans="1:4" x14ac:dyDescent="0.25">
      <c r="A3549" s="31"/>
      <c r="D3549" s="30"/>
    </row>
    <row r="3550" spans="1:4" x14ac:dyDescent="0.25">
      <c r="A3550" s="31"/>
      <c r="D3550" s="30"/>
    </row>
    <row r="3551" spans="1:4" x14ac:dyDescent="0.25">
      <c r="A3551" s="31"/>
      <c r="D3551" s="30"/>
    </row>
    <row r="3552" spans="1:4" x14ac:dyDescent="0.25">
      <c r="A3552" s="31"/>
      <c r="D3552" s="30"/>
    </row>
    <row r="3553" spans="1:4" x14ac:dyDescent="0.25">
      <c r="A3553" s="31"/>
      <c r="D3553" s="30"/>
    </row>
    <row r="3554" spans="1:4" x14ac:dyDescent="0.25">
      <c r="A3554" s="31"/>
      <c r="D3554" s="30"/>
    </row>
    <row r="3555" spans="1:4" x14ac:dyDescent="0.25">
      <c r="A3555" s="31"/>
      <c r="D3555" s="30"/>
    </row>
    <row r="3556" spans="1:4" x14ac:dyDescent="0.25">
      <c r="A3556" s="31"/>
      <c r="D3556" s="30"/>
    </row>
    <row r="3557" spans="1:4" x14ac:dyDescent="0.25">
      <c r="A3557" s="31"/>
      <c r="D3557" s="30"/>
    </row>
    <row r="3558" spans="1:4" x14ac:dyDescent="0.25">
      <c r="A3558" s="31"/>
      <c r="D3558" s="30"/>
    </row>
    <row r="3559" spans="1:4" x14ac:dyDescent="0.25">
      <c r="A3559" s="31"/>
      <c r="D3559" s="30"/>
    </row>
    <row r="3560" spans="1:4" x14ac:dyDescent="0.25">
      <c r="A3560" s="31"/>
      <c r="D3560" s="30"/>
    </row>
    <row r="3561" spans="1:4" x14ac:dyDescent="0.25">
      <c r="A3561" s="31"/>
      <c r="D3561" s="30"/>
    </row>
    <row r="3562" spans="1:4" x14ac:dyDescent="0.25">
      <c r="A3562" s="31"/>
      <c r="D3562" s="30"/>
    </row>
    <row r="3563" spans="1:4" x14ac:dyDescent="0.25">
      <c r="A3563" s="31"/>
      <c r="D3563" s="30"/>
    </row>
    <row r="3564" spans="1:4" x14ac:dyDescent="0.25">
      <c r="A3564" s="31"/>
      <c r="D3564" s="30"/>
    </row>
    <row r="3565" spans="1:4" x14ac:dyDescent="0.25">
      <c r="A3565" s="31"/>
      <c r="D3565" s="30"/>
    </row>
    <row r="3566" spans="1:4" x14ac:dyDescent="0.25">
      <c r="A3566" s="31"/>
      <c r="D3566" s="30"/>
    </row>
    <row r="3567" spans="1:4" x14ac:dyDescent="0.25">
      <c r="A3567" s="31"/>
      <c r="D3567" s="30"/>
    </row>
    <row r="3568" spans="1:4" x14ac:dyDescent="0.25">
      <c r="A3568" s="31"/>
      <c r="D3568" s="30"/>
    </row>
    <row r="3569" spans="1:4" x14ac:dyDescent="0.25">
      <c r="A3569" s="31"/>
      <c r="D3569" s="30"/>
    </row>
    <row r="3570" spans="1:4" x14ac:dyDescent="0.25">
      <c r="A3570" s="31"/>
      <c r="D3570" s="30"/>
    </row>
    <row r="3571" spans="1:4" x14ac:dyDescent="0.25">
      <c r="A3571" s="31"/>
      <c r="D3571" s="30"/>
    </row>
    <row r="3572" spans="1:4" x14ac:dyDescent="0.25">
      <c r="A3572" s="31"/>
      <c r="D3572" s="30"/>
    </row>
    <row r="3573" spans="1:4" x14ac:dyDescent="0.25">
      <c r="A3573" s="31"/>
      <c r="D3573" s="30"/>
    </row>
    <row r="3574" spans="1:4" x14ac:dyDescent="0.25">
      <c r="A3574" s="31"/>
      <c r="D3574" s="30"/>
    </row>
    <row r="3575" spans="1:4" x14ac:dyDescent="0.25">
      <c r="A3575" s="31"/>
      <c r="D3575" s="30"/>
    </row>
    <row r="3576" spans="1:4" x14ac:dyDescent="0.25">
      <c r="A3576" s="31"/>
      <c r="D3576" s="30"/>
    </row>
    <row r="3577" spans="1:4" x14ac:dyDescent="0.25">
      <c r="A3577" s="31"/>
      <c r="D3577" s="30"/>
    </row>
    <row r="3578" spans="1:4" x14ac:dyDescent="0.25">
      <c r="A3578" s="31"/>
      <c r="D3578" s="30"/>
    </row>
    <row r="3579" spans="1:4" x14ac:dyDescent="0.25">
      <c r="A3579" s="31"/>
      <c r="D3579" s="30"/>
    </row>
    <row r="3580" spans="1:4" x14ac:dyDescent="0.25">
      <c r="A3580" s="31"/>
      <c r="D3580" s="30"/>
    </row>
    <row r="3581" spans="1:4" x14ac:dyDescent="0.25">
      <c r="A3581" s="31"/>
      <c r="D3581" s="30"/>
    </row>
    <row r="3582" spans="1:4" x14ac:dyDescent="0.25">
      <c r="A3582" s="31"/>
      <c r="D3582" s="30"/>
    </row>
    <row r="3583" spans="1:4" x14ac:dyDescent="0.25">
      <c r="A3583" s="31"/>
      <c r="D3583" s="30"/>
    </row>
    <row r="3584" spans="1:4" x14ac:dyDescent="0.25">
      <c r="A3584" s="31"/>
      <c r="D3584" s="30"/>
    </row>
    <row r="3585" spans="1:4" x14ac:dyDescent="0.25">
      <c r="A3585" s="31"/>
      <c r="D3585" s="30"/>
    </row>
    <row r="3586" spans="1:4" x14ac:dyDescent="0.25">
      <c r="A3586" s="31"/>
      <c r="D3586" s="30"/>
    </row>
    <row r="3587" spans="1:4" x14ac:dyDescent="0.25">
      <c r="A3587" s="31"/>
      <c r="D3587" s="30"/>
    </row>
    <row r="3588" spans="1:4" x14ac:dyDescent="0.25">
      <c r="A3588" s="31"/>
      <c r="D3588" s="30"/>
    </row>
    <row r="3589" spans="1:4" x14ac:dyDescent="0.25">
      <c r="A3589" s="31"/>
      <c r="D3589" s="30"/>
    </row>
    <row r="3590" spans="1:4" x14ac:dyDescent="0.25">
      <c r="A3590" s="31"/>
      <c r="D3590" s="30"/>
    </row>
    <row r="3591" spans="1:4" x14ac:dyDescent="0.25">
      <c r="A3591" s="31"/>
      <c r="D3591" s="30"/>
    </row>
    <row r="3592" spans="1:4" x14ac:dyDescent="0.25">
      <c r="A3592" s="31"/>
      <c r="D3592" s="30"/>
    </row>
    <row r="3593" spans="1:4" x14ac:dyDescent="0.25">
      <c r="A3593" s="31"/>
      <c r="D3593" s="30"/>
    </row>
    <row r="3594" spans="1:4" x14ac:dyDescent="0.25">
      <c r="A3594" s="31"/>
      <c r="D3594" s="30"/>
    </row>
    <row r="3595" spans="1:4" x14ac:dyDescent="0.25">
      <c r="A3595" s="31"/>
      <c r="D3595" s="30"/>
    </row>
    <row r="3596" spans="1:4" x14ac:dyDescent="0.25">
      <c r="A3596" s="31"/>
      <c r="D3596" s="30"/>
    </row>
    <row r="3597" spans="1:4" x14ac:dyDescent="0.25">
      <c r="A3597" s="31"/>
      <c r="D3597" s="30"/>
    </row>
    <row r="3598" spans="1:4" x14ac:dyDescent="0.25">
      <c r="A3598" s="31"/>
      <c r="D3598" s="30"/>
    </row>
    <row r="3599" spans="1:4" x14ac:dyDescent="0.25">
      <c r="A3599" s="31"/>
      <c r="D3599" s="30"/>
    </row>
    <row r="3600" spans="1:4" x14ac:dyDescent="0.25">
      <c r="A3600" s="31"/>
      <c r="D3600" s="30"/>
    </row>
    <row r="3601" spans="1:4" x14ac:dyDescent="0.25">
      <c r="A3601" s="31"/>
      <c r="D3601" s="30"/>
    </row>
    <row r="3602" spans="1:4" x14ac:dyDescent="0.25">
      <c r="A3602" s="31"/>
      <c r="D3602" s="30"/>
    </row>
    <row r="3603" spans="1:4" x14ac:dyDescent="0.25">
      <c r="A3603" s="31"/>
      <c r="D3603" s="30"/>
    </row>
    <row r="3604" spans="1:4" x14ac:dyDescent="0.25">
      <c r="A3604" s="31"/>
      <c r="D3604" s="30"/>
    </row>
    <row r="3605" spans="1:4" x14ac:dyDescent="0.25">
      <c r="A3605" s="31"/>
      <c r="D3605" s="30"/>
    </row>
    <row r="3606" spans="1:4" x14ac:dyDescent="0.25">
      <c r="A3606" s="31"/>
      <c r="D3606" s="30"/>
    </row>
    <row r="3607" spans="1:4" x14ac:dyDescent="0.25">
      <c r="A3607" s="31"/>
      <c r="D3607" s="30"/>
    </row>
    <row r="3608" spans="1:4" x14ac:dyDescent="0.25">
      <c r="A3608" s="31"/>
      <c r="D3608" s="30"/>
    </row>
    <row r="3609" spans="1:4" x14ac:dyDescent="0.25">
      <c r="A3609" s="31"/>
      <c r="D3609" s="30"/>
    </row>
    <row r="3610" spans="1:4" x14ac:dyDescent="0.25">
      <c r="A3610" s="31"/>
      <c r="D3610" s="30"/>
    </row>
    <row r="3611" spans="1:4" x14ac:dyDescent="0.25">
      <c r="A3611" s="31"/>
      <c r="D3611" s="30"/>
    </row>
    <row r="3612" spans="1:4" x14ac:dyDescent="0.25">
      <c r="A3612" s="31"/>
      <c r="D3612" s="30"/>
    </row>
    <row r="3613" spans="1:4" x14ac:dyDescent="0.25">
      <c r="A3613" s="31"/>
      <c r="D3613" s="30"/>
    </row>
    <row r="3614" spans="1:4" x14ac:dyDescent="0.25">
      <c r="A3614" s="31"/>
      <c r="D3614" s="30"/>
    </row>
    <row r="3615" spans="1:4" x14ac:dyDescent="0.25">
      <c r="A3615" s="31"/>
      <c r="D3615" s="30"/>
    </row>
    <row r="3616" spans="1:4" x14ac:dyDescent="0.25">
      <c r="A3616" s="31"/>
      <c r="D3616" s="30"/>
    </row>
    <row r="3617" spans="1:4" x14ac:dyDescent="0.25">
      <c r="A3617" s="31"/>
      <c r="D3617" s="30"/>
    </row>
    <row r="3618" spans="1:4" x14ac:dyDescent="0.25">
      <c r="A3618" s="31"/>
      <c r="D3618" s="30"/>
    </row>
    <row r="3619" spans="1:4" x14ac:dyDescent="0.25">
      <c r="A3619" s="31"/>
      <c r="D3619" s="30"/>
    </row>
    <row r="3620" spans="1:4" x14ac:dyDescent="0.25">
      <c r="A3620" s="31"/>
      <c r="D3620" s="30"/>
    </row>
    <row r="3621" spans="1:4" x14ac:dyDescent="0.25">
      <c r="A3621" s="31"/>
      <c r="D3621" s="30"/>
    </row>
    <row r="3622" spans="1:4" x14ac:dyDescent="0.25">
      <c r="A3622" s="31"/>
      <c r="D3622" s="30"/>
    </row>
    <row r="3623" spans="1:4" x14ac:dyDescent="0.25">
      <c r="A3623" s="31"/>
      <c r="D3623" s="30"/>
    </row>
    <row r="3624" spans="1:4" x14ac:dyDescent="0.25">
      <c r="A3624" s="31"/>
      <c r="D3624" s="30"/>
    </row>
    <row r="3625" spans="1:4" x14ac:dyDescent="0.25">
      <c r="A3625" s="31"/>
      <c r="D3625" s="30"/>
    </row>
    <row r="3626" spans="1:4" x14ac:dyDescent="0.25">
      <c r="A3626" s="31"/>
      <c r="D3626" s="30"/>
    </row>
    <row r="3627" spans="1:4" x14ac:dyDescent="0.25">
      <c r="A3627" s="31"/>
      <c r="D3627" s="30"/>
    </row>
    <row r="3628" spans="1:4" x14ac:dyDescent="0.25">
      <c r="A3628" s="31"/>
      <c r="D3628" s="30"/>
    </row>
    <row r="3629" spans="1:4" x14ac:dyDescent="0.25">
      <c r="A3629" s="31"/>
      <c r="D3629" s="30"/>
    </row>
    <row r="3630" spans="1:4" x14ac:dyDescent="0.25">
      <c r="A3630" s="31"/>
      <c r="D3630" s="30"/>
    </row>
    <row r="3631" spans="1:4" x14ac:dyDescent="0.25">
      <c r="A3631" s="31"/>
      <c r="D3631" s="30"/>
    </row>
    <row r="3632" spans="1:4" x14ac:dyDescent="0.25">
      <c r="A3632" s="31"/>
      <c r="D3632" s="30"/>
    </row>
    <row r="3633" spans="1:4" x14ac:dyDescent="0.25">
      <c r="A3633" s="31"/>
      <c r="D3633" s="30"/>
    </row>
    <row r="3634" spans="1:4" x14ac:dyDescent="0.25">
      <c r="A3634" s="31"/>
      <c r="D3634" s="30"/>
    </row>
    <row r="3635" spans="1:4" x14ac:dyDescent="0.25">
      <c r="A3635" s="31"/>
      <c r="D3635" s="30"/>
    </row>
    <row r="3636" spans="1:4" x14ac:dyDescent="0.25">
      <c r="A3636" s="31"/>
      <c r="D3636" s="30"/>
    </row>
    <row r="3637" spans="1:4" x14ac:dyDescent="0.25">
      <c r="A3637" s="31"/>
      <c r="D3637" s="30"/>
    </row>
    <row r="3638" spans="1:4" x14ac:dyDescent="0.25">
      <c r="A3638" s="31"/>
      <c r="D3638" s="30"/>
    </row>
    <row r="3639" spans="1:4" x14ac:dyDescent="0.25">
      <c r="A3639" s="31"/>
      <c r="D3639" s="30"/>
    </row>
    <row r="3640" spans="1:4" x14ac:dyDescent="0.25">
      <c r="A3640" s="31"/>
      <c r="D3640" s="30"/>
    </row>
    <row r="3641" spans="1:4" x14ac:dyDescent="0.25">
      <c r="A3641" s="31"/>
      <c r="D3641" s="30"/>
    </row>
    <row r="3642" spans="1:4" x14ac:dyDescent="0.25">
      <c r="A3642" s="31"/>
      <c r="D3642" s="30"/>
    </row>
    <row r="3643" spans="1:4" x14ac:dyDescent="0.25">
      <c r="A3643" s="31"/>
      <c r="D3643" s="30"/>
    </row>
    <row r="3644" spans="1:4" x14ac:dyDescent="0.25">
      <c r="A3644" s="31"/>
      <c r="D3644" s="30"/>
    </row>
    <row r="3645" spans="1:4" x14ac:dyDescent="0.25">
      <c r="A3645" s="31"/>
      <c r="D3645" s="30"/>
    </row>
    <row r="3646" spans="1:4" x14ac:dyDescent="0.25">
      <c r="A3646" s="31"/>
      <c r="D3646" s="30"/>
    </row>
    <row r="3647" spans="1:4" x14ac:dyDescent="0.25">
      <c r="A3647" s="31"/>
      <c r="D3647" s="30"/>
    </row>
    <row r="3648" spans="1:4" x14ac:dyDescent="0.25">
      <c r="A3648" s="31"/>
      <c r="D3648" s="30"/>
    </row>
    <row r="3649" spans="1:4" x14ac:dyDescent="0.25">
      <c r="A3649" s="31"/>
      <c r="D3649" s="30"/>
    </row>
    <row r="3650" spans="1:4" x14ac:dyDescent="0.25">
      <c r="A3650" s="31"/>
      <c r="D3650" s="30"/>
    </row>
    <row r="3651" spans="1:4" x14ac:dyDescent="0.25">
      <c r="A3651" s="31"/>
      <c r="D3651" s="30"/>
    </row>
    <row r="3652" spans="1:4" x14ac:dyDescent="0.25">
      <c r="A3652" s="31"/>
      <c r="D3652" s="30"/>
    </row>
    <row r="3653" spans="1:4" x14ac:dyDescent="0.25">
      <c r="A3653" s="31"/>
      <c r="D3653" s="30"/>
    </row>
    <row r="3654" spans="1:4" x14ac:dyDescent="0.25">
      <c r="A3654" s="31"/>
      <c r="D3654" s="30"/>
    </row>
    <row r="3655" spans="1:4" x14ac:dyDescent="0.25">
      <c r="A3655" s="31"/>
      <c r="D3655" s="30"/>
    </row>
    <row r="3656" spans="1:4" x14ac:dyDescent="0.25">
      <c r="A3656" s="31"/>
      <c r="D3656" s="30"/>
    </row>
    <row r="3657" spans="1:4" x14ac:dyDescent="0.25">
      <c r="A3657" s="31"/>
      <c r="D3657" s="30"/>
    </row>
    <row r="3658" spans="1:4" x14ac:dyDescent="0.25">
      <c r="A3658" s="31"/>
      <c r="D3658" s="30"/>
    </row>
    <row r="3659" spans="1:4" x14ac:dyDescent="0.25">
      <c r="A3659" s="31"/>
      <c r="D3659" s="30"/>
    </row>
    <row r="3660" spans="1:4" x14ac:dyDescent="0.25">
      <c r="A3660" s="31"/>
      <c r="D3660" s="30"/>
    </row>
    <row r="3661" spans="1:4" x14ac:dyDescent="0.25">
      <c r="A3661" s="31"/>
      <c r="D3661" s="30"/>
    </row>
    <row r="3662" spans="1:4" x14ac:dyDescent="0.25">
      <c r="A3662" s="31"/>
      <c r="D3662" s="30"/>
    </row>
    <row r="3663" spans="1:4" x14ac:dyDescent="0.25">
      <c r="A3663" s="31"/>
      <c r="D3663" s="30"/>
    </row>
    <row r="3664" spans="1:4" x14ac:dyDescent="0.25">
      <c r="A3664" s="31"/>
      <c r="D3664" s="30"/>
    </row>
    <row r="3665" spans="1:4" x14ac:dyDescent="0.25">
      <c r="A3665" s="31"/>
      <c r="D3665" s="30"/>
    </row>
    <row r="3666" spans="1:4" x14ac:dyDescent="0.25">
      <c r="A3666" s="31"/>
      <c r="D3666" s="30"/>
    </row>
    <row r="3667" spans="1:4" x14ac:dyDescent="0.25">
      <c r="A3667" s="31"/>
      <c r="D3667" s="30"/>
    </row>
    <row r="3668" spans="1:4" x14ac:dyDescent="0.25">
      <c r="A3668" s="31"/>
      <c r="D3668" s="30"/>
    </row>
    <row r="3669" spans="1:4" x14ac:dyDescent="0.25">
      <c r="A3669" s="31"/>
      <c r="D3669" s="30"/>
    </row>
    <row r="3670" spans="1:4" x14ac:dyDescent="0.25">
      <c r="A3670" s="31"/>
      <c r="D3670" s="30"/>
    </row>
    <row r="3671" spans="1:4" x14ac:dyDescent="0.25">
      <c r="A3671" s="31"/>
      <c r="D3671" s="30"/>
    </row>
    <row r="3672" spans="1:4" x14ac:dyDescent="0.25">
      <c r="A3672" s="31"/>
      <c r="D3672" s="30"/>
    </row>
    <row r="3673" spans="1:4" x14ac:dyDescent="0.25">
      <c r="A3673" s="31"/>
      <c r="D3673" s="30"/>
    </row>
    <row r="3674" spans="1:4" x14ac:dyDescent="0.25">
      <c r="A3674" s="31"/>
      <c r="D3674" s="30"/>
    </row>
    <row r="3675" spans="1:4" x14ac:dyDescent="0.25">
      <c r="A3675" s="31"/>
      <c r="D3675" s="30"/>
    </row>
    <row r="3676" spans="1:4" x14ac:dyDescent="0.25">
      <c r="A3676" s="31"/>
      <c r="D3676" s="30"/>
    </row>
    <row r="3677" spans="1:4" x14ac:dyDescent="0.25">
      <c r="A3677" s="31"/>
      <c r="D3677" s="30"/>
    </row>
    <row r="3678" spans="1:4" x14ac:dyDescent="0.25">
      <c r="A3678" s="31"/>
      <c r="D3678" s="30"/>
    </row>
    <row r="3679" spans="1:4" x14ac:dyDescent="0.25">
      <c r="A3679" s="31"/>
      <c r="D3679" s="30"/>
    </row>
    <row r="3680" spans="1:4" x14ac:dyDescent="0.25">
      <c r="A3680" s="31"/>
      <c r="D3680" s="30"/>
    </row>
    <row r="3681" spans="1:4" x14ac:dyDescent="0.25">
      <c r="A3681" s="31"/>
      <c r="D3681" s="30"/>
    </row>
    <row r="3682" spans="1:4" x14ac:dyDescent="0.25">
      <c r="A3682" s="31"/>
      <c r="D3682" s="30"/>
    </row>
    <row r="3683" spans="1:4" x14ac:dyDescent="0.25">
      <c r="A3683" s="31"/>
      <c r="D3683" s="30"/>
    </row>
    <row r="3684" spans="1:4" x14ac:dyDescent="0.25">
      <c r="A3684" s="31"/>
      <c r="D3684" s="30"/>
    </row>
    <row r="3685" spans="1:4" x14ac:dyDescent="0.25">
      <c r="A3685" s="31"/>
      <c r="D3685" s="30"/>
    </row>
    <row r="3686" spans="1:4" x14ac:dyDescent="0.25">
      <c r="A3686" s="31"/>
      <c r="D3686" s="30"/>
    </row>
    <row r="3687" spans="1:4" x14ac:dyDescent="0.25">
      <c r="A3687" s="31"/>
      <c r="D3687" s="30"/>
    </row>
    <row r="3688" spans="1:4" x14ac:dyDescent="0.25">
      <c r="A3688" s="31"/>
      <c r="D3688" s="30"/>
    </row>
    <row r="3689" spans="1:4" x14ac:dyDescent="0.25">
      <c r="A3689" s="31"/>
      <c r="D3689" s="30"/>
    </row>
    <row r="3690" spans="1:4" x14ac:dyDescent="0.25">
      <c r="A3690" s="31"/>
      <c r="D3690" s="30"/>
    </row>
    <row r="3691" spans="1:4" x14ac:dyDescent="0.25">
      <c r="A3691" s="31"/>
      <c r="D3691" s="30"/>
    </row>
    <row r="3692" spans="1:4" x14ac:dyDescent="0.25">
      <c r="A3692" s="31"/>
      <c r="D3692" s="30"/>
    </row>
    <row r="3693" spans="1:4" x14ac:dyDescent="0.25">
      <c r="A3693" s="31"/>
      <c r="D3693" s="30"/>
    </row>
    <row r="3694" spans="1:4" x14ac:dyDescent="0.25">
      <c r="A3694" s="31"/>
      <c r="D3694" s="30"/>
    </row>
    <row r="3695" spans="1:4" x14ac:dyDescent="0.25">
      <c r="A3695" s="31"/>
      <c r="D3695" s="30"/>
    </row>
    <row r="3696" spans="1:4" x14ac:dyDescent="0.25">
      <c r="A3696" s="31"/>
      <c r="D3696" s="30"/>
    </row>
    <row r="3697" spans="1:4" x14ac:dyDescent="0.25">
      <c r="A3697" s="31"/>
      <c r="D3697" s="30"/>
    </row>
    <row r="3698" spans="1:4" x14ac:dyDescent="0.25">
      <c r="A3698" s="31"/>
      <c r="D3698" s="30"/>
    </row>
    <row r="3699" spans="1:4" x14ac:dyDescent="0.25">
      <c r="A3699" s="31"/>
      <c r="D3699" s="30"/>
    </row>
    <row r="3700" spans="1:4" x14ac:dyDescent="0.25">
      <c r="A3700" s="31"/>
      <c r="D3700" s="30"/>
    </row>
    <row r="3701" spans="1:4" x14ac:dyDescent="0.25">
      <c r="A3701" s="31"/>
      <c r="D3701" s="30"/>
    </row>
    <row r="3702" spans="1:4" x14ac:dyDescent="0.25">
      <c r="A3702" s="31"/>
      <c r="D3702" s="30"/>
    </row>
    <row r="3703" spans="1:4" x14ac:dyDescent="0.25">
      <c r="A3703" s="31"/>
      <c r="D3703" s="30"/>
    </row>
    <row r="3704" spans="1:4" x14ac:dyDescent="0.25">
      <c r="A3704" s="31"/>
      <c r="D3704" s="30"/>
    </row>
    <row r="3705" spans="1:4" x14ac:dyDescent="0.25">
      <c r="A3705" s="31"/>
      <c r="D3705" s="30"/>
    </row>
    <row r="3706" spans="1:4" x14ac:dyDescent="0.25">
      <c r="A3706" s="31"/>
      <c r="D3706" s="30"/>
    </row>
    <row r="3707" spans="1:4" x14ac:dyDescent="0.25">
      <c r="A3707" s="31"/>
      <c r="D3707" s="30"/>
    </row>
    <row r="3708" spans="1:4" x14ac:dyDescent="0.25">
      <c r="A3708" s="31"/>
      <c r="D3708" s="30"/>
    </row>
    <row r="3709" spans="1:4" x14ac:dyDescent="0.25">
      <c r="A3709" s="31"/>
      <c r="D3709" s="30"/>
    </row>
    <row r="3710" spans="1:4" x14ac:dyDescent="0.25">
      <c r="A3710" s="31"/>
      <c r="D3710" s="30"/>
    </row>
    <row r="3711" spans="1:4" x14ac:dyDescent="0.25">
      <c r="A3711" s="31"/>
      <c r="D3711" s="30"/>
    </row>
    <row r="3712" spans="1:4" x14ac:dyDescent="0.25">
      <c r="A3712" s="31"/>
      <c r="D3712" s="30"/>
    </row>
    <row r="3713" spans="1:4" x14ac:dyDescent="0.25">
      <c r="A3713" s="31"/>
      <c r="D3713" s="30"/>
    </row>
    <row r="3714" spans="1:4" x14ac:dyDescent="0.25">
      <c r="A3714" s="31"/>
      <c r="D3714" s="30"/>
    </row>
    <row r="3715" spans="1:4" x14ac:dyDescent="0.25">
      <c r="A3715" s="31"/>
      <c r="D3715" s="30"/>
    </row>
    <row r="3716" spans="1:4" x14ac:dyDescent="0.25">
      <c r="A3716" s="31"/>
      <c r="D3716" s="30"/>
    </row>
    <row r="3717" spans="1:4" x14ac:dyDescent="0.25">
      <c r="A3717" s="31"/>
      <c r="D3717" s="30"/>
    </row>
    <row r="3718" spans="1:4" x14ac:dyDescent="0.25">
      <c r="A3718" s="31"/>
      <c r="D3718" s="30"/>
    </row>
    <row r="3719" spans="1:4" x14ac:dyDescent="0.25">
      <c r="A3719" s="31"/>
      <c r="D3719" s="30"/>
    </row>
    <row r="3720" spans="1:4" x14ac:dyDescent="0.25">
      <c r="A3720" s="31"/>
      <c r="D3720" s="30"/>
    </row>
    <row r="3721" spans="1:4" x14ac:dyDescent="0.25">
      <c r="A3721" s="31"/>
      <c r="D3721" s="30"/>
    </row>
    <row r="3722" spans="1:4" x14ac:dyDescent="0.25">
      <c r="A3722" s="31"/>
      <c r="D3722" s="30"/>
    </row>
    <row r="3723" spans="1:4" x14ac:dyDescent="0.25">
      <c r="A3723" s="31"/>
      <c r="D3723" s="30"/>
    </row>
    <row r="3724" spans="1:4" x14ac:dyDescent="0.25">
      <c r="A3724" s="31"/>
      <c r="D3724" s="30"/>
    </row>
    <row r="3725" spans="1:4" x14ac:dyDescent="0.25">
      <c r="A3725" s="31"/>
      <c r="D3725" s="30"/>
    </row>
    <row r="3726" spans="1:4" x14ac:dyDescent="0.25">
      <c r="A3726" s="31"/>
      <c r="D3726" s="30"/>
    </row>
    <row r="3727" spans="1:4" x14ac:dyDescent="0.25">
      <c r="A3727" s="31"/>
      <c r="D3727" s="30"/>
    </row>
    <row r="3728" spans="1:4" x14ac:dyDescent="0.25">
      <c r="A3728" s="31"/>
      <c r="D3728" s="30"/>
    </row>
    <row r="3729" spans="1:4" x14ac:dyDescent="0.25">
      <c r="A3729" s="31"/>
      <c r="D3729" s="30"/>
    </row>
    <row r="3730" spans="1:4" x14ac:dyDescent="0.25">
      <c r="A3730" s="31"/>
      <c r="D3730" s="30"/>
    </row>
    <row r="3731" spans="1:4" x14ac:dyDescent="0.25">
      <c r="A3731" s="31"/>
      <c r="D3731" s="30"/>
    </row>
    <row r="3732" spans="1:4" x14ac:dyDescent="0.25">
      <c r="A3732" s="31"/>
      <c r="D3732" s="30"/>
    </row>
    <row r="3733" spans="1:4" x14ac:dyDescent="0.25">
      <c r="A3733" s="31"/>
      <c r="D3733" s="30"/>
    </row>
    <row r="3734" spans="1:4" x14ac:dyDescent="0.25">
      <c r="A3734" s="31"/>
      <c r="D3734" s="30"/>
    </row>
    <row r="3735" spans="1:4" x14ac:dyDescent="0.25">
      <c r="A3735" s="31"/>
      <c r="D3735" s="30"/>
    </row>
    <row r="3736" spans="1:4" x14ac:dyDescent="0.25">
      <c r="A3736" s="31"/>
      <c r="D3736" s="30"/>
    </row>
    <row r="3737" spans="1:4" x14ac:dyDescent="0.25">
      <c r="A3737" s="31"/>
      <c r="D3737" s="30"/>
    </row>
    <row r="3738" spans="1:4" x14ac:dyDescent="0.25">
      <c r="A3738" s="31"/>
      <c r="D3738" s="30"/>
    </row>
    <row r="3739" spans="1:4" x14ac:dyDescent="0.25">
      <c r="A3739" s="31"/>
      <c r="D3739" s="30"/>
    </row>
    <row r="3740" spans="1:4" x14ac:dyDescent="0.25">
      <c r="A3740" s="31"/>
      <c r="D3740" s="30"/>
    </row>
    <row r="3741" spans="1:4" x14ac:dyDescent="0.25">
      <c r="A3741" s="31"/>
      <c r="D3741" s="30"/>
    </row>
    <row r="3742" spans="1:4" x14ac:dyDescent="0.25">
      <c r="A3742" s="31"/>
      <c r="D3742" s="30"/>
    </row>
    <row r="3743" spans="1:4" x14ac:dyDescent="0.25">
      <c r="A3743" s="31"/>
      <c r="D3743" s="30"/>
    </row>
    <row r="3744" spans="1:4" x14ac:dyDescent="0.25">
      <c r="A3744" s="31"/>
      <c r="D3744" s="30"/>
    </row>
    <row r="3745" spans="1:4" x14ac:dyDescent="0.25">
      <c r="A3745" s="31"/>
      <c r="D3745" s="30"/>
    </row>
    <row r="3746" spans="1:4" x14ac:dyDescent="0.25">
      <c r="A3746" s="31"/>
      <c r="D3746" s="30"/>
    </row>
    <row r="3747" spans="1:4" x14ac:dyDescent="0.25">
      <c r="A3747" s="31"/>
      <c r="D3747" s="30"/>
    </row>
    <row r="3748" spans="1:4" x14ac:dyDescent="0.25">
      <c r="A3748" s="31"/>
      <c r="D3748" s="30"/>
    </row>
    <row r="3749" spans="1:4" x14ac:dyDescent="0.25">
      <c r="A3749" s="31"/>
      <c r="D3749" s="30"/>
    </row>
    <row r="3750" spans="1:4" x14ac:dyDescent="0.25">
      <c r="A3750" s="31"/>
      <c r="D3750" s="30"/>
    </row>
    <row r="3751" spans="1:4" x14ac:dyDescent="0.25">
      <c r="A3751" s="31"/>
      <c r="D3751" s="30"/>
    </row>
    <row r="3752" spans="1:4" x14ac:dyDescent="0.25">
      <c r="A3752" s="31"/>
      <c r="D3752" s="30"/>
    </row>
    <row r="3753" spans="1:4" x14ac:dyDescent="0.25">
      <c r="A3753" s="31"/>
      <c r="D3753" s="30"/>
    </row>
    <row r="3754" spans="1:4" x14ac:dyDescent="0.25">
      <c r="A3754" s="31"/>
      <c r="D3754" s="30"/>
    </row>
    <row r="3755" spans="1:4" x14ac:dyDescent="0.25">
      <c r="A3755" s="31"/>
      <c r="D3755" s="30"/>
    </row>
    <row r="3756" spans="1:4" x14ac:dyDescent="0.25">
      <c r="A3756" s="31"/>
      <c r="D3756" s="30"/>
    </row>
    <row r="3757" spans="1:4" x14ac:dyDescent="0.25">
      <c r="A3757" s="31"/>
      <c r="D3757" s="30"/>
    </row>
    <row r="3758" spans="1:4" x14ac:dyDescent="0.25">
      <c r="A3758" s="31"/>
      <c r="D3758" s="30"/>
    </row>
    <row r="3759" spans="1:4" x14ac:dyDescent="0.25">
      <c r="A3759" s="31"/>
      <c r="D3759" s="30"/>
    </row>
    <row r="3760" spans="1:4" x14ac:dyDescent="0.25">
      <c r="A3760" s="31"/>
      <c r="D3760" s="30"/>
    </row>
    <row r="3761" spans="1:4" x14ac:dyDescent="0.25">
      <c r="A3761" s="31"/>
      <c r="D3761" s="30"/>
    </row>
    <row r="3762" spans="1:4" x14ac:dyDescent="0.25">
      <c r="A3762" s="31"/>
      <c r="D3762" s="30"/>
    </row>
    <row r="3763" spans="1:4" x14ac:dyDescent="0.25">
      <c r="A3763" s="31"/>
      <c r="D3763" s="30"/>
    </row>
    <row r="3764" spans="1:4" x14ac:dyDescent="0.25">
      <c r="A3764" s="31"/>
      <c r="D3764" s="30"/>
    </row>
    <row r="3765" spans="1:4" x14ac:dyDescent="0.25">
      <c r="A3765" s="31"/>
      <c r="D3765" s="30"/>
    </row>
    <row r="3766" spans="1:4" x14ac:dyDescent="0.25">
      <c r="A3766" s="31"/>
      <c r="D3766" s="30"/>
    </row>
    <row r="3767" spans="1:4" x14ac:dyDescent="0.25">
      <c r="A3767" s="31"/>
      <c r="D3767" s="30"/>
    </row>
    <row r="3768" spans="1:4" x14ac:dyDescent="0.25">
      <c r="A3768" s="31"/>
      <c r="D3768" s="30"/>
    </row>
    <row r="3769" spans="1:4" x14ac:dyDescent="0.25">
      <c r="A3769" s="31"/>
      <c r="D3769" s="30"/>
    </row>
    <row r="3770" spans="1:4" x14ac:dyDescent="0.25">
      <c r="A3770" s="31"/>
      <c r="D3770" s="30"/>
    </row>
    <row r="3771" spans="1:4" x14ac:dyDescent="0.25">
      <c r="A3771" s="31"/>
      <c r="D3771" s="30"/>
    </row>
    <row r="3772" spans="1:4" x14ac:dyDescent="0.25">
      <c r="A3772" s="31"/>
      <c r="D3772" s="30"/>
    </row>
    <row r="3773" spans="1:4" x14ac:dyDescent="0.25">
      <c r="A3773" s="31"/>
      <c r="D3773" s="30"/>
    </row>
    <row r="3774" spans="1:4" x14ac:dyDescent="0.25">
      <c r="A3774" s="31"/>
      <c r="D3774" s="30"/>
    </row>
    <row r="3775" spans="1:4" x14ac:dyDescent="0.25">
      <c r="A3775" s="31"/>
      <c r="D3775" s="30"/>
    </row>
    <row r="3776" spans="1:4" x14ac:dyDescent="0.25">
      <c r="A3776" s="31"/>
      <c r="D3776" s="30"/>
    </row>
    <row r="3777" spans="1:4" x14ac:dyDescent="0.25">
      <c r="A3777" s="31"/>
      <c r="D3777" s="30"/>
    </row>
    <row r="3778" spans="1:4" x14ac:dyDescent="0.25">
      <c r="A3778" s="31"/>
      <c r="D3778" s="30"/>
    </row>
    <row r="3779" spans="1:4" x14ac:dyDescent="0.25">
      <c r="A3779" s="31"/>
      <c r="D3779" s="30"/>
    </row>
    <row r="3780" spans="1:4" x14ac:dyDescent="0.25">
      <c r="A3780" s="31"/>
      <c r="D3780" s="30"/>
    </row>
    <row r="3781" spans="1:4" x14ac:dyDescent="0.25">
      <c r="A3781" s="31"/>
      <c r="D3781" s="30"/>
    </row>
    <row r="3782" spans="1:4" x14ac:dyDescent="0.25">
      <c r="A3782" s="31"/>
      <c r="D3782" s="30"/>
    </row>
    <row r="3783" spans="1:4" x14ac:dyDescent="0.25">
      <c r="A3783" s="31"/>
      <c r="D3783" s="30"/>
    </row>
    <row r="3784" spans="1:4" x14ac:dyDescent="0.25">
      <c r="A3784" s="31"/>
      <c r="D3784" s="30"/>
    </row>
    <row r="3785" spans="1:4" x14ac:dyDescent="0.25">
      <c r="A3785" s="31"/>
      <c r="D3785" s="30"/>
    </row>
    <row r="3786" spans="1:4" x14ac:dyDescent="0.25">
      <c r="A3786" s="31"/>
      <c r="D3786" s="30"/>
    </row>
    <row r="3787" spans="1:4" x14ac:dyDescent="0.25">
      <c r="A3787" s="31"/>
      <c r="D3787" s="30"/>
    </row>
    <row r="3788" spans="1:4" x14ac:dyDescent="0.25">
      <c r="A3788" s="31"/>
      <c r="D3788" s="30"/>
    </row>
    <row r="3789" spans="1:4" x14ac:dyDescent="0.25">
      <c r="A3789" s="31"/>
      <c r="D3789" s="30"/>
    </row>
    <row r="3790" spans="1:4" x14ac:dyDescent="0.25">
      <c r="A3790" s="31"/>
      <c r="D3790" s="30"/>
    </row>
    <row r="3791" spans="1:4" x14ac:dyDescent="0.25">
      <c r="A3791" s="31"/>
      <c r="D3791" s="30"/>
    </row>
    <row r="3792" spans="1:4" x14ac:dyDescent="0.25">
      <c r="A3792" s="31"/>
      <c r="D3792" s="30"/>
    </row>
    <row r="3793" spans="1:4" x14ac:dyDescent="0.25">
      <c r="A3793" s="31"/>
      <c r="D3793" s="30"/>
    </row>
    <row r="3794" spans="1:4" x14ac:dyDescent="0.25">
      <c r="A3794" s="31"/>
      <c r="D3794" s="30"/>
    </row>
    <row r="3795" spans="1:4" x14ac:dyDescent="0.25">
      <c r="A3795" s="31"/>
      <c r="D3795" s="30"/>
    </row>
    <row r="3796" spans="1:4" x14ac:dyDescent="0.25">
      <c r="A3796" s="31"/>
      <c r="D3796" s="30"/>
    </row>
    <row r="3797" spans="1:4" x14ac:dyDescent="0.25">
      <c r="A3797" s="31"/>
      <c r="D3797" s="30"/>
    </row>
    <row r="3798" spans="1:4" x14ac:dyDescent="0.25">
      <c r="A3798" s="31"/>
      <c r="D3798" s="30"/>
    </row>
    <row r="3799" spans="1:4" x14ac:dyDescent="0.25">
      <c r="A3799" s="31"/>
      <c r="D3799" s="30"/>
    </row>
    <row r="3800" spans="1:4" x14ac:dyDescent="0.25">
      <c r="A3800" s="31"/>
      <c r="D3800" s="30"/>
    </row>
    <row r="3801" spans="1:4" x14ac:dyDescent="0.25">
      <c r="A3801" s="31"/>
      <c r="D3801" s="30"/>
    </row>
    <row r="3802" spans="1:4" x14ac:dyDescent="0.25">
      <c r="A3802" s="31"/>
      <c r="D3802" s="30"/>
    </row>
    <row r="3803" spans="1:4" x14ac:dyDescent="0.25">
      <c r="A3803" s="31"/>
      <c r="D3803" s="30"/>
    </row>
    <row r="3804" spans="1:4" x14ac:dyDescent="0.25">
      <c r="A3804" s="31"/>
      <c r="D3804" s="30"/>
    </row>
    <row r="3805" spans="1:4" x14ac:dyDescent="0.25">
      <c r="A3805" s="31"/>
      <c r="D3805" s="30"/>
    </row>
    <row r="3806" spans="1:4" x14ac:dyDescent="0.25">
      <c r="A3806" s="31"/>
      <c r="D3806" s="30"/>
    </row>
    <row r="3807" spans="1:4" x14ac:dyDescent="0.25">
      <c r="A3807" s="31"/>
      <c r="D3807" s="30"/>
    </row>
    <row r="3808" spans="1:4" x14ac:dyDescent="0.25">
      <c r="A3808" s="31"/>
      <c r="D3808" s="30"/>
    </row>
    <row r="3809" spans="1:4" x14ac:dyDescent="0.25">
      <c r="A3809" s="31"/>
      <c r="D3809" s="30"/>
    </row>
    <row r="3810" spans="1:4" x14ac:dyDescent="0.25">
      <c r="A3810" s="31"/>
      <c r="D3810" s="30"/>
    </row>
    <row r="3811" spans="1:4" x14ac:dyDescent="0.25">
      <c r="A3811" s="31"/>
      <c r="D3811" s="30"/>
    </row>
    <row r="3812" spans="1:4" x14ac:dyDescent="0.25">
      <c r="A3812" s="31"/>
      <c r="D3812" s="30"/>
    </row>
    <row r="3813" spans="1:4" x14ac:dyDescent="0.25">
      <c r="A3813" s="31"/>
      <c r="D3813" s="30"/>
    </row>
    <row r="3814" spans="1:4" x14ac:dyDescent="0.25">
      <c r="A3814" s="31"/>
      <c r="D3814" s="30"/>
    </row>
    <row r="3815" spans="1:4" x14ac:dyDescent="0.25">
      <c r="A3815" s="31"/>
      <c r="D3815" s="30"/>
    </row>
    <row r="3816" spans="1:4" x14ac:dyDescent="0.25">
      <c r="A3816" s="31"/>
      <c r="D3816" s="30"/>
    </row>
    <row r="3817" spans="1:4" x14ac:dyDescent="0.25">
      <c r="A3817" s="31"/>
      <c r="D3817" s="30"/>
    </row>
    <row r="3818" spans="1:4" x14ac:dyDescent="0.25">
      <c r="A3818" s="31"/>
      <c r="D3818" s="30"/>
    </row>
    <row r="3819" spans="1:4" x14ac:dyDescent="0.25">
      <c r="A3819" s="31"/>
      <c r="D3819" s="30"/>
    </row>
    <row r="3820" spans="1:4" x14ac:dyDescent="0.25">
      <c r="A3820" s="31"/>
      <c r="D3820" s="30"/>
    </row>
    <row r="3821" spans="1:4" x14ac:dyDescent="0.25">
      <c r="A3821" s="31"/>
      <c r="D3821" s="30"/>
    </row>
    <row r="3822" spans="1:4" x14ac:dyDescent="0.25">
      <c r="A3822" s="31"/>
      <c r="D3822" s="30"/>
    </row>
    <row r="3823" spans="1:4" x14ac:dyDescent="0.25">
      <c r="A3823" s="31"/>
      <c r="D3823" s="30"/>
    </row>
    <row r="3824" spans="1:4" x14ac:dyDescent="0.25">
      <c r="A3824" s="31"/>
      <c r="D3824" s="30"/>
    </row>
    <row r="3825" spans="1:4" x14ac:dyDescent="0.25">
      <c r="A3825" s="31"/>
      <c r="D3825" s="30"/>
    </row>
    <row r="3826" spans="1:4" x14ac:dyDescent="0.25">
      <c r="A3826" s="31"/>
      <c r="D3826" s="30"/>
    </row>
    <row r="3827" spans="1:4" x14ac:dyDescent="0.25">
      <c r="A3827" s="31"/>
      <c r="D3827" s="30"/>
    </row>
    <row r="3828" spans="1:4" x14ac:dyDescent="0.25">
      <c r="A3828" s="31"/>
      <c r="D3828" s="30"/>
    </row>
    <row r="3829" spans="1:4" x14ac:dyDescent="0.25">
      <c r="A3829" s="31"/>
      <c r="D3829" s="30"/>
    </row>
    <row r="3830" spans="1:4" x14ac:dyDescent="0.25">
      <c r="A3830" s="31"/>
      <c r="D3830" s="30"/>
    </row>
    <row r="3831" spans="1:4" x14ac:dyDescent="0.25">
      <c r="A3831" s="31"/>
      <c r="D3831" s="30"/>
    </row>
    <row r="3832" spans="1:4" x14ac:dyDescent="0.25">
      <c r="A3832" s="31"/>
      <c r="D3832" s="30"/>
    </row>
    <row r="3833" spans="1:4" x14ac:dyDescent="0.25">
      <c r="A3833" s="31"/>
      <c r="D3833" s="30"/>
    </row>
    <row r="3834" spans="1:4" x14ac:dyDescent="0.25">
      <c r="A3834" s="31"/>
      <c r="D3834" s="30"/>
    </row>
    <row r="3835" spans="1:4" x14ac:dyDescent="0.25">
      <c r="A3835" s="31"/>
      <c r="D3835" s="30"/>
    </row>
    <row r="3836" spans="1:4" x14ac:dyDescent="0.25">
      <c r="A3836" s="31"/>
      <c r="D3836" s="30"/>
    </row>
    <row r="3837" spans="1:4" x14ac:dyDescent="0.25">
      <c r="A3837" s="31"/>
      <c r="D3837" s="30"/>
    </row>
    <row r="3838" spans="1:4" x14ac:dyDescent="0.25">
      <c r="A3838" s="31"/>
      <c r="D3838" s="30"/>
    </row>
    <row r="3839" spans="1:4" x14ac:dyDescent="0.25">
      <c r="A3839" s="31"/>
      <c r="D3839" s="30"/>
    </row>
    <row r="3840" spans="1:4" x14ac:dyDescent="0.25">
      <c r="A3840" s="31"/>
      <c r="D3840" s="30"/>
    </row>
    <row r="3841" spans="1:4" x14ac:dyDescent="0.25">
      <c r="A3841" s="31"/>
      <c r="D3841" s="30"/>
    </row>
    <row r="3842" spans="1:4" x14ac:dyDescent="0.25">
      <c r="A3842" s="31"/>
      <c r="D3842" s="30"/>
    </row>
    <row r="3843" spans="1:4" x14ac:dyDescent="0.25">
      <c r="A3843" s="31"/>
      <c r="D3843" s="30"/>
    </row>
    <row r="3844" spans="1:4" x14ac:dyDescent="0.25">
      <c r="A3844" s="31"/>
      <c r="D3844" s="30"/>
    </row>
    <row r="3845" spans="1:4" x14ac:dyDescent="0.25">
      <c r="A3845" s="31"/>
      <c r="D3845" s="30"/>
    </row>
    <row r="3846" spans="1:4" x14ac:dyDescent="0.25">
      <c r="A3846" s="31"/>
      <c r="D3846" s="30"/>
    </row>
    <row r="3847" spans="1:4" x14ac:dyDescent="0.25">
      <c r="A3847" s="31"/>
      <c r="D3847" s="30"/>
    </row>
    <row r="3848" spans="1:4" x14ac:dyDescent="0.25">
      <c r="A3848" s="31"/>
      <c r="D3848" s="30"/>
    </row>
    <row r="3849" spans="1:4" x14ac:dyDescent="0.25">
      <c r="A3849" s="31"/>
      <c r="D3849" s="30"/>
    </row>
    <row r="3850" spans="1:4" x14ac:dyDescent="0.25">
      <c r="A3850" s="31"/>
      <c r="D3850" s="30"/>
    </row>
    <row r="3851" spans="1:4" x14ac:dyDescent="0.25">
      <c r="A3851" s="31"/>
      <c r="D3851" s="30"/>
    </row>
    <row r="3852" spans="1:4" x14ac:dyDescent="0.25">
      <c r="A3852" s="31"/>
      <c r="D3852" s="30"/>
    </row>
    <row r="3853" spans="1:4" x14ac:dyDescent="0.25">
      <c r="A3853" s="31"/>
      <c r="D3853" s="30"/>
    </row>
    <row r="3854" spans="1:4" x14ac:dyDescent="0.25">
      <c r="A3854" s="31"/>
      <c r="D3854" s="30"/>
    </row>
    <row r="3855" spans="1:4" x14ac:dyDescent="0.25">
      <c r="A3855" s="31"/>
      <c r="D3855" s="30"/>
    </row>
    <row r="3856" spans="1:4" x14ac:dyDescent="0.25">
      <c r="A3856" s="31"/>
      <c r="D3856" s="30"/>
    </row>
    <row r="3857" spans="1:4" x14ac:dyDescent="0.25">
      <c r="A3857" s="31"/>
      <c r="D3857" s="30"/>
    </row>
    <row r="3858" spans="1:4" x14ac:dyDescent="0.25">
      <c r="A3858" s="31"/>
      <c r="D3858" s="30"/>
    </row>
    <row r="3859" spans="1:4" x14ac:dyDescent="0.25">
      <c r="A3859" s="31"/>
      <c r="D3859" s="30"/>
    </row>
    <row r="3860" spans="1:4" x14ac:dyDescent="0.25">
      <c r="A3860" s="31"/>
      <c r="D3860" s="30"/>
    </row>
    <row r="3861" spans="1:4" x14ac:dyDescent="0.25">
      <c r="A3861" s="31"/>
      <c r="D3861" s="30"/>
    </row>
    <row r="3862" spans="1:4" x14ac:dyDescent="0.25">
      <c r="A3862" s="31"/>
      <c r="D3862" s="30"/>
    </row>
    <row r="3863" spans="1:4" x14ac:dyDescent="0.25">
      <c r="A3863" s="31"/>
      <c r="D3863" s="30"/>
    </row>
    <row r="3864" spans="1:4" x14ac:dyDescent="0.25">
      <c r="A3864" s="31"/>
      <c r="D3864" s="30"/>
    </row>
    <row r="3865" spans="1:4" x14ac:dyDescent="0.25">
      <c r="A3865" s="31"/>
      <c r="D3865" s="30"/>
    </row>
    <row r="3866" spans="1:4" x14ac:dyDescent="0.25">
      <c r="A3866" s="31"/>
      <c r="D3866" s="30"/>
    </row>
    <row r="3867" spans="1:4" x14ac:dyDescent="0.25">
      <c r="A3867" s="31"/>
      <c r="D3867" s="30"/>
    </row>
    <row r="3868" spans="1:4" x14ac:dyDescent="0.25">
      <c r="A3868" s="31"/>
      <c r="D3868" s="30"/>
    </row>
    <row r="3869" spans="1:4" x14ac:dyDescent="0.25">
      <c r="A3869" s="31"/>
      <c r="D3869" s="30"/>
    </row>
    <row r="3870" spans="1:4" x14ac:dyDescent="0.25">
      <c r="A3870" s="31"/>
      <c r="D3870" s="30"/>
    </row>
    <row r="3871" spans="1:4" x14ac:dyDescent="0.25">
      <c r="A3871" s="31"/>
      <c r="D3871" s="30"/>
    </row>
    <row r="3872" spans="1:4" x14ac:dyDescent="0.25">
      <c r="A3872" s="31"/>
      <c r="D3872" s="30"/>
    </row>
    <row r="3873" spans="1:4" x14ac:dyDescent="0.25">
      <c r="A3873" s="31"/>
      <c r="D3873" s="30"/>
    </row>
    <row r="3874" spans="1:4" x14ac:dyDescent="0.25">
      <c r="A3874" s="31"/>
      <c r="D3874" s="30"/>
    </row>
    <row r="3875" spans="1:4" x14ac:dyDescent="0.25">
      <c r="A3875" s="31"/>
      <c r="D3875" s="30"/>
    </row>
    <row r="3876" spans="1:4" x14ac:dyDescent="0.25">
      <c r="A3876" s="31"/>
      <c r="D3876" s="30"/>
    </row>
    <row r="3877" spans="1:4" x14ac:dyDescent="0.25">
      <c r="A3877" s="31"/>
      <c r="D3877" s="30"/>
    </row>
    <row r="3878" spans="1:4" x14ac:dyDescent="0.25">
      <c r="A3878" s="31"/>
      <c r="D3878" s="30"/>
    </row>
    <row r="3879" spans="1:4" x14ac:dyDescent="0.25">
      <c r="A3879" s="31"/>
      <c r="D3879" s="30"/>
    </row>
    <row r="3880" spans="1:4" x14ac:dyDescent="0.25">
      <c r="A3880" s="31"/>
      <c r="D3880" s="30"/>
    </row>
    <row r="3881" spans="1:4" x14ac:dyDescent="0.25">
      <c r="A3881" s="31"/>
      <c r="D3881" s="30"/>
    </row>
    <row r="3882" spans="1:4" x14ac:dyDescent="0.25">
      <c r="A3882" s="31"/>
      <c r="D3882" s="30"/>
    </row>
    <row r="3883" spans="1:4" x14ac:dyDescent="0.25">
      <c r="A3883" s="31"/>
      <c r="D3883" s="30"/>
    </row>
    <row r="3884" spans="1:4" x14ac:dyDescent="0.25">
      <c r="A3884" s="31"/>
      <c r="D3884" s="30"/>
    </row>
    <row r="3885" spans="1:4" x14ac:dyDescent="0.25">
      <c r="A3885" s="31"/>
      <c r="D3885" s="30"/>
    </row>
    <row r="3886" spans="1:4" x14ac:dyDescent="0.25">
      <c r="A3886" s="31"/>
      <c r="D3886" s="30"/>
    </row>
    <row r="3887" spans="1:4" x14ac:dyDescent="0.25">
      <c r="A3887" s="31"/>
      <c r="D3887" s="30"/>
    </row>
    <row r="3888" spans="1:4" x14ac:dyDescent="0.25">
      <c r="A3888" s="31"/>
      <c r="D3888" s="30"/>
    </row>
    <row r="3889" spans="1:4" x14ac:dyDescent="0.25">
      <c r="A3889" s="31"/>
      <c r="D3889" s="30"/>
    </row>
    <row r="3890" spans="1:4" x14ac:dyDescent="0.25">
      <c r="A3890" s="31"/>
      <c r="D3890" s="30"/>
    </row>
    <row r="3891" spans="1:4" x14ac:dyDescent="0.25">
      <c r="A3891" s="31"/>
      <c r="D3891" s="30"/>
    </row>
    <row r="3892" spans="1:4" x14ac:dyDescent="0.25">
      <c r="A3892" s="31"/>
      <c r="D3892" s="30"/>
    </row>
    <row r="3893" spans="1:4" x14ac:dyDescent="0.25">
      <c r="A3893" s="31"/>
      <c r="D3893" s="30"/>
    </row>
    <row r="3894" spans="1:4" x14ac:dyDescent="0.25">
      <c r="A3894" s="31"/>
      <c r="D3894" s="30"/>
    </row>
    <row r="3895" spans="1:4" x14ac:dyDescent="0.25">
      <c r="A3895" s="31"/>
      <c r="D3895" s="30"/>
    </row>
    <row r="3896" spans="1:4" x14ac:dyDescent="0.25">
      <c r="A3896" s="31"/>
      <c r="D3896" s="30"/>
    </row>
    <row r="3897" spans="1:4" x14ac:dyDescent="0.25">
      <c r="A3897" s="31"/>
      <c r="D3897" s="30"/>
    </row>
    <row r="3898" spans="1:4" x14ac:dyDescent="0.25">
      <c r="A3898" s="31"/>
      <c r="D3898" s="30"/>
    </row>
    <row r="3899" spans="1:4" x14ac:dyDescent="0.25">
      <c r="A3899" s="31"/>
      <c r="D3899" s="30"/>
    </row>
    <row r="3900" spans="1:4" x14ac:dyDescent="0.25">
      <c r="A3900" s="31"/>
      <c r="D3900" s="30"/>
    </row>
    <row r="3901" spans="1:4" x14ac:dyDescent="0.25">
      <c r="A3901" s="31"/>
      <c r="D3901" s="30"/>
    </row>
    <row r="3902" spans="1:4" x14ac:dyDescent="0.25">
      <c r="A3902" s="31"/>
      <c r="D3902" s="30"/>
    </row>
    <row r="3903" spans="1:4" x14ac:dyDescent="0.25">
      <c r="A3903" s="31"/>
      <c r="D3903" s="30"/>
    </row>
    <row r="3904" spans="1:4" x14ac:dyDescent="0.25">
      <c r="A3904" s="31"/>
      <c r="D3904" s="30"/>
    </row>
    <row r="3905" spans="1:4" x14ac:dyDescent="0.25">
      <c r="A3905" s="31"/>
      <c r="D3905" s="30"/>
    </row>
    <row r="3906" spans="1:4" x14ac:dyDescent="0.25">
      <c r="A3906" s="31"/>
      <c r="D3906" s="30"/>
    </row>
    <row r="3907" spans="1:4" x14ac:dyDescent="0.25">
      <c r="A3907" s="31"/>
      <c r="D3907" s="30"/>
    </row>
    <row r="3908" spans="1:4" x14ac:dyDescent="0.25">
      <c r="A3908" s="31"/>
      <c r="D3908" s="30"/>
    </row>
    <row r="3909" spans="1:4" x14ac:dyDescent="0.25">
      <c r="A3909" s="31"/>
      <c r="D3909" s="30"/>
    </row>
    <row r="3910" spans="1:4" x14ac:dyDescent="0.25">
      <c r="A3910" s="31"/>
      <c r="D3910" s="30"/>
    </row>
    <row r="3911" spans="1:4" x14ac:dyDescent="0.25">
      <c r="A3911" s="31"/>
      <c r="D3911" s="30"/>
    </row>
    <row r="3912" spans="1:4" x14ac:dyDescent="0.25">
      <c r="A3912" s="31"/>
      <c r="D3912" s="30"/>
    </row>
    <row r="3913" spans="1:4" x14ac:dyDescent="0.25">
      <c r="A3913" s="31"/>
      <c r="D3913" s="30"/>
    </row>
    <row r="3914" spans="1:4" x14ac:dyDescent="0.25">
      <c r="A3914" s="31"/>
      <c r="D3914" s="30"/>
    </row>
    <row r="3915" spans="1:4" x14ac:dyDescent="0.25">
      <c r="A3915" s="31"/>
      <c r="D3915" s="30"/>
    </row>
    <row r="3916" spans="1:4" x14ac:dyDescent="0.25">
      <c r="A3916" s="31"/>
      <c r="D3916" s="30"/>
    </row>
    <row r="3917" spans="1:4" x14ac:dyDescent="0.25">
      <c r="A3917" s="31"/>
      <c r="D3917" s="30"/>
    </row>
    <row r="3918" spans="1:4" x14ac:dyDescent="0.25">
      <c r="A3918" s="31"/>
      <c r="D3918" s="30"/>
    </row>
    <row r="3919" spans="1:4" x14ac:dyDescent="0.25">
      <c r="A3919" s="31"/>
      <c r="D3919" s="30"/>
    </row>
    <row r="3920" spans="1:4" x14ac:dyDescent="0.25">
      <c r="A3920" s="31"/>
      <c r="D3920" s="30"/>
    </row>
    <row r="3921" spans="1:4" x14ac:dyDescent="0.25">
      <c r="A3921" s="31"/>
      <c r="D3921" s="30"/>
    </row>
    <row r="3922" spans="1:4" x14ac:dyDescent="0.25">
      <c r="A3922" s="31"/>
      <c r="D3922" s="30"/>
    </row>
    <row r="3923" spans="1:4" x14ac:dyDescent="0.25">
      <c r="A3923" s="31"/>
      <c r="D3923" s="30"/>
    </row>
    <row r="3924" spans="1:4" x14ac:dyDescent="0.25">
      <c r="A3924" s="31"/>
      <c r="D3924" s="30"/>
    </row>
    <row r="3925" spans="1:4" x14ac:dyDescent="0.25">
      <c r="A3925" s="31"/>
      <c r="D3925" s="30"/>
    </row>
    <row r="3926" spans="1:4" x14ac:dyDescent="0.25">
      <c r="A3926" s="31"/>
      <c r="D3926" s="30"/>
    </row>
    <row r="3927" spans="1:4" x14ac:dyDescent="0.25">
      <c r="A3927" s="31"/>
      <c r="D3927" s="30"/>
    </row>
    <row r="3928" spans="1:4" x14ac:dyDescent="0.25">
      <c r="A3928" s="31"/>
      <c r="D3928" s="30"/>
    </row>
    <row r="3929" spans="1:4" x14ac:dyDescent="0.25">
      <c r="A3929" s="31"/>
      <c r="D3929" s="30"/>
    </row>
    <row r="3930" spans="1:4" x14ac:dyDescent="0.25">
      <c r="A3930" s="31"/>
      <c r="D3930" s="30"/>
    </row>
    <row r="3931" spans="1:4" x14ac:dyDescent="0.25">
      <c r="A3931" s="31"/>
      <c r="D3931" s="30"/>
    </row>
    <row r="3932" spans="1:4" x14ac:dyDescent="0.25">
      <c r="A3932" s="31"/>
      <c r="D3932" s="30"/>
    </row>
    <row r="3933" spans="1:4" x14ac:dyDescent="0.25">
      <c r="A3933" s="31"/>
      <c r="D3933" s="30"/>
    </row>
    <row r="3934" spans="1:4" x14ac:dyDescent="0.25">
      <c r="A3934" s="31"/>
      <c r="D3934" s="30"/>
    </row>
    <row r="3935" spans="1:4" x14ac:dyDescent="0.25">
      <c r="A3935" s="31"/>
      <c r="D3935" s="30"/>
    </row>
    <row r="3936" spans="1:4" x14ac:dyDescent="0.25">
      <c r="A3936" s="31"/>
      <c r="D3936" s="30"/>
    </row>
    <row r="3937" spans="1:4" x14ac:dyDescent="0.25">
      <c r="A3937" s="31"/>
      <c r="D3937" s="30"/>
    </row>
    <row r="3938" spans="1:4" x14ac:dyDescent="0.25">
      <c r="A3938" s="31"/>
      <c r="D3938" s="30"/>
    </row>
    <row r="3939" spans="1:4" x14ac:dyDescent="0.25">
      <c r="A3939" s="31"/>
      <c r="D3939" s="30"/>
    </row>
    <row r="3940" spans="1:4" x14ac:dyDescent="0.25">
      <c r="A3940" s="31"/>
      <c r="D3940" s="30"/>
    </row>
    <row r="3941" spans="1:4" x14ac:dyDescent="0.25">
      <c r="A3941" s="31"/>
      <c r="D3941" s="30"/>
    </row>
    <row r="3942" spans="1:4" x14ac:dyDescent="0.25">
      <c r="A3942" s="31"/>
      <c r="D3942" s="30"/>
    </row>
    <row r="3943" spans="1:4" x14ac:dyDescent="0.25">
      <c r="A3943" s="31"/>
      <c r="D3943" s="30"/>
    </row>
    <row r="3944" spans="1:4" x14ac:dyDescent="0.25">
      <c r="A3944" s="31"/>
      <c r="D3944" s="30"/>
    </row>
    <row r="3945" spans="1:4" x14ac:dyDescent="0.25">
      <c r="A3945" s="31"/>
      <c r="D3945" s="30"/>
    </row>
    <row r="3946" spans="1:4" x14ac:dyDescent="0.25">
      <c r="A3946" s="31"/>
      <c r="D3946" s="30"/>
    </row>
    <row r="3947" spans="1:4" x14ac:dyDescent="0.25">
      <c r="A3947" s="31"/>
      <c r="D3947" s="30"/>
    </row>
    <row r="3948" spans="1:4" x14ac:dyDescent="0.25">
      <c r="A3948" s="31"/>
      <c r="D3948" s="30"/>
    </row>
    <row r="3949" spans="1:4" x14ac:dyDescent="0.25">
      <c r="A3949" s="31"/>
      <c r="D3949" s="30"/>
    </row>
    <row r="3950" spans="1:4" x14ac:dyDescent="0.25">
      <c r="A3950" s="31"/>
      <c r="D3950" s="30"/>
    </row>
    <row r="3951" spans="1:4" x14ac:dyDescent="0.25">
      <c r="A3951" s="31"/>
      <c r="D3951" s="30"/>
    </row>
    <row r="3952" spans="1:4" x14ac:dyDescent="0.25">
      <c r="A3952" s="31"/>
      <c r="D3952" s="30"/>
    </row>
    <row r="3953" spans="1:4" x14ac:dyDescent="0.25">
      <c r="A3953" s="31"/>
      <c r="D3953" s="30"/>
    </row>
    <row r="3954" spans="1:4" x14ac:dyDescent="0.25">
      <c r="A3954" s="31"/>
      <c r="D3954" s="30"/>
    </row>
    <row r="3955" spans="1:4" x14ac:dyDescent="0.25">
      <c r="A3955" s="31"/>
      <c r="D3955" s="30"/>
    </row>
    <row r="3956" spans="1:4" x14ac:dyDescent="0.25">
      <c r="A3956" s="31"/>
      <c r="D3956" s="30"/>
    </row>
    <row r="3957" spans="1:4" x14ac:dyDescent="0.25">
      <c r="A3957" s="31"/>
      <c r="D3957" s="30"/>
    </row>
    <row r="3958" spans="1:4" x14ac:dyDescent="0.25">
      <c r="A3958" s="31"/>
      <c r="D3958" s="30"/>
    </row>
    <row r="3959" spans="1:4" x14ac:dyDescent="0.25">
      <c r="A3959" s="31"/>
      <c r="D3959" s="30"/>
    </row>
    <row r="3960" spans="1:4" x14ac:dyDescent="0.25">
      <c r="A3960" s="31"/>
      <c r="D3960" s="30"/>
    </row>
    <row r="3961" spans="1:4" x14ac:dyDescent="0.25">
      <c r="A3961" s="31"/>
      <c r="D3961" s="30"/>
    </row>
    <row r="3962" spans="1:4" x14ac:dyDescent="0.25">
      <c r="A3962" s="31"/>
      <c r="D3962" s="30"/>
    </row>
    <row r="3963" spans="1:4" x14ac:dyDescent="0.25">
      <c r="A3963" s="31"/>
      <c r="D3963" s="30"/>
    </row>
    <row r="3964" spans="1:4" x14ac:dyDescent="0.25">
      <c r="A3964" s="31"/>
      <c r="D3964" s="30"/>
    </row>
    <row r="3965" spans="1:4" x14ac:dyDescent="0.25">
      <c r="A3965" s="31"/>
      <c r="D3965" s="30"/>
    </row>
    <row r="3966" spans="1:4" x14ac:dyDescent="0.25">
      <c r="A3966" s="31"/>
      <c r="D3966" s="30"/>
    </row>
    <row r="3967" spans="1:4" x14ac:dyDescent="0.25">
      <c r="A3967" s="31"/>
      <c r="D3967" s="30"/>
    </row>
    <row r="3968" spans="1:4" x14ac:dyDescent="0.25">
      <c r="A3968" s="31"/>
      <c r="D3968" s="30"/>
    </row>
    <row r="3969" spans="1:4" x14ac:dyDescent="0.25">
      <c r="A3969" s="31"/>
      <c r="D3969" s="30"/>
    </row>
    <row r="3970" spans="1:4" x14ac:dyDescent="0.25">
      <c r="A3970" s="31"/>
      <c r="D3970" s="30"/>
    </row>
    <row r="3971" spans="1:4" x14ac:dyDescent="0.25">
      <c r="A3971" s="31"/>
      <c r="D3971" s="30"/>
    </row>
    <row r="3972" spans="1:4" x14ac:dyDescent="0.25">
      <c r="A3972" s="31"/>
      <c r="D3972" s="30"/>
    </row>
    <row r="3973" spans="1:4" x14ac:dyDescent="0.25">
      <c r="A3973" s="31"/>
      <c r="D3973" s="30"/>
    </row>
    <row r="3974" spans="1:4" x14ac:dyDescent="0.25">
      <c r="A3974" s="31"/>
      <c r="D3974" s="30"/>
    </row>
    <row r="3975" spans="1:4" x14ac:dyDescent="0.25">
      <c r="A3975" s="31"/>
      <c r="D3975" s="30"/>
    </row>
    <row r="3976" spans="1:4" x14ac:dyDescent="0.25">
      <c r="A3976" s="31"/>
      <c r="D3976" s="30"/>
    </row>
    <row r="3977" spans="1:4" x14ac:dyDescent="0.25">
      <c r="A3977" s="31"/>
      <c r="D3977" s="30"/>
    </row>
    <row r="3978" spans="1:4" x14ac:dyDescent="0.25">
      <c r="A3978" s="31"/>
      <c r="D3978" s="30"/>
    </row>
    <row r="3979" spans="1:4" x14ac:dyDescent="0.25">
      <c r="A3979" s="31"/>
      <c r="D3979" s="30"/>
    </row>
    <row r="3980" spans="1:4" x14ac:dyDescent="0.25">
      <c r="A3980" s="31"/>
      <c r="D3980" s="30"/>
    </row>
    <row r="3981" spans="1:4" x14ac:dyDescent="0.25">
      <c r="A3981" s="31"/>
      <c r="D3981" s="30"/>
    </row>
    <row r="3982" spans="1:4" x14ac:dyDescent="0.25">
      <c r="A3982" s="31"/>
      <c r="D3982" s="30"/>
    </row>
    <row r="3983" spans="1:4" x14ac:dyDescent="0.25">
      <c r="A3983" s="31"/>
      <c r="D3983" s="30"/>
    </row>
    <row r="3984" spans="1:4" x14ac:dyDescent="0.25">
      <c r="A3984" s="31"/>
      <c r="D3984" s="30"/>
    </row>
    <row r="3985" spans="1:4" x14ac:dyDescent="0.25">
      <c r="A3985" s="31"/>
      <c r="D3985" s="30"/>
    </row>
    <row r="3986" spans="1:4" x14ac:dyDescent="0.25">
      <c r="A3986" s="31"/>
      <c r="D3986" s="30"/>
    </row>
    <row r="3987" spans="1:4" x14ac:dyDescent="0.25">
      <c r="A3987" s="31"/>
      <c r="D3987" s="30"/>
    </row>
    <row r="3988" spans="1:4" x14ac:dyDescent="0.25">
      <c r="A3988" s="31"/>
      <c r="D3988" s="30"/>
    </row>
    <row r="3989" spans="1:4" x14ac:dyDescent="0.25">
      <c r="A3989" s="31"/>
      <c r="D3989" s="30"/>
    </row>
    <row r="3990" spans="1:4" x14ac:dyDescent="0.25">
      <c r="A3990" s="31"/>
      <c r="D3990" s="30"/>
    </row>
    <row r="3991" spans="1:4" x14ac:dyDescent="0.25">
      <c r="A3991" s="31"/>
      <c r="D3991" s="30"/>
    </row>
    <row r="3992" spans="1:4" x14ac:dyDescent="0.25">
      <c r="A3992" s="31"/>
      <c r="D3992" s="30"/>
    </row>
    <row r="3993" spans="1:4" x14ac:dyDescent="0.25">
      <c r="A3993" s="31"/>
      <c r="D3993" s="30"/>
    </row>
    <row r="3994" spans="1:4" x14ac:dyDescent="0.25">
      <c r="A3994" s="31"/>
      <c r="D3994" s="30"/>
    </row>
    <row r="3995" spans="1:4" x14ac:dyDescent="0.25">
      <c r="A3995" s="31"/>
      <c r="D3995" s="30"/>
    </row>
    <row r="3996" spans="1:4" x14ac:dyDescent="0.25">
      <c r="A3996" s="31"/>
      <c r="D3996" s="30"/>
    </row>
    <row r="3997" spans="1:4" x14ac:dyDescent="0.25">
      <c r="A3997" s="31"/>
      <c r="D3997" s="30"/>
    </row>
    <row r="3998" spans="1:4" x14ac:dyDescent="0.25">
      <c r="A3998" s="31"/>
      <c r="D3998" s="30"/>
    </row>
    <row r="3999" spans="1:4" x14ac:dyDescent="0.25">
      <c r="A3999" s="31"/>
      <c r="D3999" s="30"/>
    </row>
    <row r="4000" spans="1:4" x14ac:dyDescent="0.25">
      <c r="A4000" s="31"/>
      <c r="D4000" s="30"/>
    </row>
    <row r="4001" spans="1:4" x14ac:dyDescent="0.25">
      <c r="A4001" s="31"/>
      <c r="D4001" s="30"/>
    </row>
    <row r="4002" spans="1:4" x14ac:dyDescent="0.25">
      <c r="A4002" s="31"/>
      <c r="D4002" s="30"/>
    </row>
    <row r="4003" spans="1:4" x14ac:dyDescent="0.25">
      <c r="A4003" s="31"/>
      <c r="D4003" s="30"/>
    </row>
    <row r="4004" spans="1:4" x14ac:dyDescent="0.25">
      <c r="A4004" s="31"/>
      <c r="D4004" s="30"/>
    </row>
    <row r="4005" spans="1:4" x14ac:dyDescent="0.25">
      <c r="A4005" s="31"/>
      <c r="D4005" s="30"/>
    </row>
    <row r="4006" spans="1:4" x14ac:dyDescent="0.25">
      <c r="A4006" s="31"/>
      <c r="D4006" s="30"/>
    </row>
    <row r="4007" spans="1:4" x14ac:dyDescent="0.25">
      <c r="A4007" s="31"/>
      <c r="D4007" s="30"/>
    </row>
    <row r="4008" spans="1:4" x14ac:dyDescent="0.25">
      <c r="A4008" s="31"/>
      <c r="D4008" s="30"/>
    </row>
    <row r="4009" spans="1:4" x14ac:dyDescent="0.25">
      <c r="A4009" s="31"/>
      <c r="D4009" s="30"/>
    </row>
    <row r="4010" spans="1:4" x14ac:dyDescent="0.25">
      <c r="A4010" s="31"/>
      <c r="D4010" s="30"/>
    </row>
    <row r="4011" spans="1:4" x14ac:dyDescent="0.25">
      <c r="A4011" s="31"/>
      <c r="D4011" s="30"/>
    </row>
    <row r="4012" spans="1:4" x14ac:dyDescent="0.25">
      <c r="A4012" s="31"/>
      <c r="D4012" s="30"/>
    </row>
    <row r="4013" spans="1:4" x14ac:dyDescent="0.25">
      <c r="A4013" s="31"/>
      <c r="D4013" s="30"/>
    </row>
    <row r="4014" spans="1:4" x14ac:dyDescent="0.25">
      <c r="A4014" s="31"/>
      <c r="D4014" s="30"/>
    </row>
    <row r="4015" spans="1:4" x14ac:dyDescent="0.25">
      <c r="A4015" s="31"/>
      <c r="D4015" s="30"/>
    </row>
    <row r="4016" spans="1:4" x14ac:dyDescent="0.25">
      <c r="A4016" s="31"/>
      <c r="D4016" s="30"/>
    </row>
    <row r="4017" spans="1:4" x14ac:dyDescent="0.25">
      <c r="A4017" s="31"/>
      <c r="D4017" s="30"/>
    </row>
    <row r="4018" spans="1:4" x14ac:dyDescent="0.25">
      <c r="A4018" s="31"/>
      <c r="D4018" s="30"/>
    </row>
    <row r="4019" spans="1:4" x14ac:dyDescent="0.25">
      <c r="A4019" s="31"/>
      <c r="D4019" s="30"/>
    </row>
    <row r="4020" spans="1:4" x14ac:dyDescent="0.25">
      <c r="A4020" s="31"/>
      <c r="D4020" s="30"/>
    </row>
    <row r="4021" spans="1:4" x14ac:dyDescent="0.25">
      <c r="A4021" s="31"/>
      <c r="D4021" s="30"/>
    </row>
    <row r="4022" spans="1:4" x14ac:dyDescent="0.25">
      <c r="A4022" s="31"/>
      <c r="D4022" s="30"/>
    </row>
    <row r="4023" spans="1:4" x14ac:dyDescent="0.25">
      <c r="A4023" s="31"/>
      <c r="D4023" s="30"/>
    </row>
    <row r="4024" spans="1:4" x14ac:dyDescent="0.25">
      <c r="A4024" s="31"/>
      <c r="D4024" s="30"/>
    </row>
    <row r="4025" spans="1:4" x14ac:dyDescent="0.25">
      <c r="A4025" s="31"/>
      <c r="D4025" s="30"/>
    </row>
    <row r="4026" spans="1:4" x14ac:dyDescent="0.25">
      <c r="A4026" s="31"/>
      <c r="D4026" s="30"/>
    </row>
    <row r="4027" spans="1:4" x14ac:dyDescent="0.25">
      <c r="A4027" s="31"/>
      <c r="D4027" s="30"/>
    </row>
    <row r="4028" spans="1:4" x14ac:dyDescent="0.25">
      <c r="A4028" s="31"/>
      <c r="D4028" s="30"/>
    </row>
    <row r="4029" spans="1:4" x14ac:dyDescent="0.25">
      <c r="A4029" s="31"/>
      <c r="D4029" s="30"/>
    </row>
    <row r="4030" spans="1:4" x14ac:dyDescent="0.25">
      <c r="A4030" s="31"/>
      <c r="D4030" s="30"/>
    </row>
    <row r="4031" spans="1:4" x14ac:dyDescent="0.25">
      <c r="A4031" s="31"/>
      <c r="D4031" s="30"/>
    </row>
    <row r="4032" spans="1:4" x14ac:dyDescent="0.25">
      <c r="A4032" s="31"/>
      <c r="D4032" s="30"/>
    </row>
    <row r="4033" spans="1:4" x14ac:dyDescent="0.25">
      <c r="A4033" s="31"/>
      <c r="D4033" s="30"/>
    </row>
    <row r="4034" spans="1:4" x14ac:dyDescent="0.25">
      <c r="A4034" s="31"/>
      <c r="D4034" s="30"/>
    </row>
    <row r="4035" spans="1:4" x14ac:dyDescent="0.25">
      <c r="A4035" s="31"/>
      <c r="D4035" s="30"/>
    </row>
    <row r="4036" spans="1:4" x14ac:dyDescent="0.25">
      <c r="A4036" s="31"/>
      <c r="D4036" s="30"/>
    </row>
    <row r="4037" spans="1:4" x14ac:dyDescent="0.25">
      <c r="A4037" s="31"/>
      <c r="D4037" s="30"/>
    </row>
    <row r="4038" spans="1:4" x14ac:dyDescent="0.25">
      <c r="A4038" s="31"/>
      <c r="D4038" s="30"/>
    </row>
    <row r="4039" spans="1:4" x14ac:dyDescent="0.25">
      <c r="A4039" s="31"/>
      <c r="D4039" s="30"/>
    </row>
    <row r="4040" spans="1:4" x14ac:dyDescent="0.25">
      <c r="A4040" s="31"/>
      <c r="D4040" s="30"/>
    </row>
    <row r="4041" spans="1:4" x14ac:dyDescent="0.25">
      <c r="A4041" s="31"/>
      <c r="D4041" s="30"/>
    </row>
    <row r="4042" spans="1:4" x14ac:dyDescent="0.25">
      <c r="A4042" s="31"/>
      <c r="D4042" s="30"/>
    </row>
    <row r="4043" spans="1:4" x14ac:dyDescent="0.25">
      <c r="A4043" s="31"/>
      <c r="D4043" s="30"/>
    </row>
    <row r="4044" spans="1:4" x14ac:dyDescent="0.25">
      <c r="A4044" s="31"/>
      <c r="D4044" s="30"/>
    </row>
    <row r="4045" spans="1:4" x14ac:dyDescent="0.25">
      <c r="A4045" s="31"/>
      <c r="D4045" s="30"/>
    </row>
    <row r="4046" spans="1:4" x14ac:dyDescent="0.25">
      <c r="A4046" s="31"/>
      <c r="D4046" s="30"/>
    </row>
    <row r="4047" spans="1:4" x14ac:dyDescent="0.25">
      <c r="A4047" s="31"/>
      <c r="D4047" s="30"/>
    </row>
    <row r="4048" spans="1:4" x14ac:dyDescent="0.25">
      <c r="A4048" s="31"/>
      <c r="D4048" s="30"/>
    </row>
    <row r="4049" spans="1:4" x14ac:dyDescent="0.25">
      <c r="A4049" s="31"/>
      <c r="D4049" s="30"/>
    </row>
    <row r="4050" spans="1:4" x14ac:dyDescent="0.25">
      <c r="A4050" s="31"/>
      <c r="D4050" s="30"/>
    </row>
    <row r="4051" spans="1:4" x14ac:dyDescent="0.25">
      <c r="A4051" s="31"/>
      <c r="D4051" s="30"/>
    </row>
    <row r="4052" spans="1:4" x14ac:dyDescent="0.25">
      <c r="A4052" s="31"/>
      <c r="D4052" s="30"/>
    </row>
    <row r="4053" spans="1:4" x14ac:dyDescent="0.25">
      <c r="A4053" s="31"/>
      <c r="D4053" s="30"/>
    </row>
    <row r="4054" spans="1:4" x14ac:dyDescent="0.25">
      <c r="A4054" s="31"/>
      <c r="D4054" s="30"/>
    </row>
    <row r="4055" spans="1:4" x14ac:dyDescent="0.25">
      <c r="A4055" s="31"/>
      <c r="D4055" s="30"/>
    </row>
    <row r="4056" spans="1:4" x14ac:dyDescent="0.25">
      <c r="A4056" s="31"/>
      <c r="D4056" s="30"/>
    </row>
    <row r="4057" spans="1:4" x14ac:dyDescent="0.25">
      <c r="A4057" s="31"/>
      <c r="D4057" s="30"/>
    </row>
    <row r="4058" spans="1:4" x14ac:dyDescent="0.25">
      <c r="A4058" s="31"/>
      <c r="D4058" s="30"/>
    </row>
    <row r="4059" spans="1:4" x14ac:dyDescent="0.25">
      <c r="A4059" s="31"/>
      <c r="D4059" s="30"/>
    </row>
    <row r="4060" spans="1:4" x14ac:dyDescent="0.25">
      <c r="A4060" s="31"/>
      <c r="D4060" s="30"/>
    </row>
    <row r="4061" spans="1:4" x14ac:dyDescent="0.25">
      <c r="A4061" s="31"/>
      <c r="D4061" s="30"/>
    </row>
    <row r="4062" spans="1:4" x14ac:dyDescent="0.25">
      <c r="A4062" s="31"/>
      <c r="D4062" s="30"/>
    </row>
    <row r="4063" spans="1:4" x14ac:dyDescent="0.25">
      <c r="A4063" s="31"/>
      <c r="D4063" s="30"/>
    </row>
    <row r="4064" spans="1:4" x14ac:dyDescent="0.25">
      <c r="A4064" s="31"/>
      <c r="D4064" s="30"/>
    </row>
    <row r="4065" spans="1:4" x14ac:dyDescent="0.25">
      <c r="A4065" s="31"/>
      <c r="D4065" s="30"/>
    </row>
    <row r="4066" spans="1:4" x14ac:dyDescent="0.25">
      <c r="A4066" s="31"/>
      <c r="D4066" s="30"/>
    </row>
    <row r="4067" spans="1:4" x14ac:dyDescent="0.25">
      <c r="A4067" s="31"/>
      <c r="D4067" s="30"/>
    </row>
    <row r="4068" spans="1:4" x14ac:dyDescent="0.25">
      <c r="A4068" s="31"/>
      <c r="D4068" s="30"/>
    </row>
    <row r="4069" spans="1:4" x14ac:dyDescent="0.25">
      <c r="A4069" s="31"/>
      <c r="D4069" s="30"/>
    </row>
    <row r="4070" spans="1:4" x14ac:dyDescent="0.25">
      <c r="A4070" s="31"/>
      <c r="D4070" s="30"/>
    </row>
    <row r="4071" spans="1:4" x14ac:dyDescent="0.25">
      <c r="A4071" s="31"/>
      <c r="D4071" s="30"/>
    </row>
    <row r="4072" spans="1:4" x14ac:dyDescent="0.25">
      <c r="A4072" s="31"/>
      <c r="D4072" s="30"/>
    </row>
    <row r="4073" spans="1:4" x14ac:dyDescent="0.25">
      <c r="A4073" s="31"/>
      <c r="D4073" s="30"/>
    </row>
    <row r="4074" spans="1:4" x14ac:dyDescent="0.25">
      <c r="A4074" s="31"/>
      <c r="D4074" s="30"/>
    </row>
    <row r="4075" spans="1:4" x14ac:dyDescent="0.25">
      <c r="A4075" s="31"/>
      <c r="D4075" s="30"/>
    </row>
    <row r="4076" spans="1:4" x14ac:dyDescent="0.25">
      <c r="A4076" s="31"/>
      <c r="D4076" s="30"/>
    </row>
    <row r="4077" spans="1:4" x14ac:dyDescent="0.25">
      <c r="A4077" s="31"/>
      <c r="D4077" s="30"/>
    </row>
    <row r="4078" spans="1:4" x14ac:dyDescent="0.25">
      <c r="A4078" s="31"/>
      <c r="D4078" s="30"/>
    </row>
    <row r="4079" spans="1:4" x14ac:dyDescent="0.25">
      <c r="A4079" s="31"/>
      <c r="D4079" s="30"/>
    </row>
    <row r="4080" spans="1:4" x14ac:dyDescent="0.25">
      <c r="A4080" s="31"/>
      <c r="D4080" s="30"/>
    </row>
    <row r="4081" spans="1:4" x14ac:dyDescent="0.25">
      <c r="A4081" s="31"/>
      <c r="D4081" s="30"/>
    </row>
    <row r="4082" spans="1:4" x14ac:dyDescent="0.25">
      <c r="A4082" s="31"/>
      <c r="D4082" s="30"/>
    </row>
    <row r="4083" spans="1:4" x14ac:dyDescent="0.25">
      <c r="A4083" s="31"/>
      <c r="D4083" s="30"/>
    </row>
    <row r="4084" spans="1:4" x14ac:dyDescent="0.25">
      <c r="A4084" s="31"/>
      <c r="D4084" s="30"/>
    </row>
    <row r="4085" spans="1:4" x14ac:dyDescent="0.25">
      <c r="A4085" s="31"/>
      <c r="D4085" s="30"/>
    </row>
    <row r="4086" spans="1:4" x14ac:dyDescent="0.25">
      <c r="A4086" s="31"/>
      <c r="D4086" s="30"/>
    </row>
    <row r="4087" spans="1:4" x14ac:dyDescent="0.25">
      <c r="A4087" s="31"/>
      <c r="D4087" s="30"/>
    </row>
    <row r="4088" spans="1:4" x14ac:dyDescent="0.25">
      <c r="A4088" s="31"/>
      <c r="D4088" s="30"/>
    </row>
    <row r="4089" spans="1:4" x14ac:dyDescent="0.25">
      <c r="A4089" s="31"/>
      <c r="D4089" s="30"/>
    </row>
    <row r="4090" spans="1:4" x14ac:dyDescent="0.25">
      <c r="A4090" s="31"/>
      <c r="D4090" s="30"/>
    </row>
    <row r="4091" spans="1:4" x14ac:dyDescent="0.25">
      <c r="A4091" s="31"/>
      <c r="D4091" s="30"/>
    </row>
    <row r="4092" spans="1:4" x14ac:dyDescent="0.25">
      <c r="A4092" s="31"/>
      <c r="D4092" s="30"/>
    </row>
    <row r="4093" spans="1:4" x14ac:dyDescent="0.25">
      <c r="A4093" s="31"/>
      <c r="D4093" s="30"/>
    </row>
    <row r="4094" spans="1:4" x14ac:dyDescent="0.25">
      <c r="A4094" s="31"/>
      <c r="D4094" s="30"/>
    </row>
    <row r="4095" spans="1:4" x14ac:dyDescent="0.25">
      <c r="A4095" s="31"/>
      <c r="D4095" s="30"/>
    </row>
    <row r="4096" spans="1:4" x14ac:dyDescent="0.25">
      <c r="A4096" s="31"/>
      <c r="D4096" s="30"/>
    </row>
    <row r="4097" spans="1:4" x14ac:dyDescent="0.25">
      <c r="A4097" s="31"/>
      <c r="D4097" s="30"/>
    </row>
    <row r="4098" spans="1:4" x14ac:dyDescent="0.25">
      <c r="A4098" s="31"/>
      <c r="D4098" s="30"/>
    </row>
    <row r="4099" spans="1:4" x14ac:dyDescent="0.25">
      <c r="A4099" s="31"/>
      <c r="D4099" s="30"/>
    </row>
    <row r="4100" spans="1:4" x14ac:dyDescent="0.25">
      <c r="A4100" s="31"/>
      <c r="D4100" s="30"/>
    </row>
    <row r="4101" spans="1:4" x14ac:dyDescent="0.25">
      <c r="A4101" s="31"/>
      <c r="D4101" s="30"/>
    </row>
    <row r="4102" spans="1:4" x14ac:dyDescent="0.25">
      <c r="A4102" s="31"/>
      <c r="D4102" s="30"/>
    </row>
    <row r="4103" spans="1:4" x14ac:dyDescent="0.25">
      <c r="A4103" s="31"/>
      <c r="D4103" s="30"/>
    </row>
    <row r="4104" spans="1:4" x14ac:dyDescent="0.25">
      <c r="A4104" s="31"/>
      <c r="D4104" s="30"/>
    </row>
    <row r="4105" spans="1:4" x14ac:dyDescent="0.25">
      <c r="A4105" s="31"/>
      <c r="D4105" s="30"/>
    </row>
    <row r="4106" spans="1:4" x14ac:dyDescent="0.25">
      <c r="A4106" s="31"/>
      <c r="D4106" s="30"/>
    </row>
    <row r="4107" spans="1:4" x14ac:dyDescent="0.25">
      <c r="A4107" s="31"/>
      <c r="D4107" s="30"/>
    </row>
    <row r="4108" spans="1:4" x14ac:dyDescent="0.25">
      <c r="A4108" s="31"/>
      <c r="D4108" s="30"/>
    </row>
    <row r="4109" spans="1:4" x14ac:dyDescent="0.25">
      <c r="A4109" s="31"/>
      <c r="D4109" s="30"/>
    </row>
    <row r="4110" spans="1:4" x14ac:dyDescent="0.25">
      <c r="A4110" s="31"/>
      <c r="D4110" s="30"/>
    </row>
    <row r="4111" spans="1:4" x14ac:dyDescent="0.25">
      <c r="A4111" s="31"/>
      <c r="D4111" s="30"/>
    </row>
    <row r="4112" spans="1:4" x14ac:dyDescent="0.25">
      <c r="A4112" s="31"/>
      <c r="D4112" s="30"/>
    </row>
    <row r="4113" spans="1:4" x14ac:dyDescent="0.25">
      <c r="A4113" s="31"/>
      <c r="D4113" s="30"/>
    </row>
    <row r="4114" spans="1:4" x14ac:dyDescent="0.25">
      <c r="A4114" s="31"/>
      <c r="D4114" s="30"/>
    </row>
    <row r="4115" spans="1:4" x14ac:dyDescent="0.25">
      <c r="A4115" s="31"/>
      <c r="D4115" s="30"/>
    </row>
    <row r="4116" spans="1:4" x14ac:dyDescent="0.25">
      <c r="A4116" s="31"/>
      <c r="D4116" s="30"/>
    </row>
    <row r="4117" spans="1:4" x14ac:dyDescent="0.25">
      <c r="A4117" s="31"/>
      <c r="D4117" s="30"/>
    </row>
    <row r="4118" spans="1:4" x14ac:dyDescent="0.25">
      <c r="A4118" s="31"/>
      <c r="D4118" s="30"/>
    </row>
    <row r="4119" spans="1:4" x14ac:dyDescent="0.25">
      <c r="A4119" s="31"/>
      <c r="D4119" s="30"/>
    </row>
    <row r="4120" spans="1:4" x14ac:dyDescent="0.25">
      <c r="A4120" s="31"/>
      <c r="D4120" s="30"/>
    </row>
    <row r="4121" spans="1:4" x14ac:dyDescent="0.25">
      <c r="A4121" s="31"/>
      <c r="D4121" s="30"/>
    </row>
    <row r="4122" spans="1:4" x14ac:dyDescent="0.25">
      <c r="A4122" s="31"/>
      <c r="D4122" s="30"/>
    </row>
    <row r="4123" spans="1:4" x14ac:dyDescent="0.25">
      <c r="A4123" s="31"/>
      <c r="D4123" s="30"/>
    </row>
    <row r="4124" spans="1:4" x14ac:dyDescent="0.25">
      <c r="A4124" s="31"/>
      <c r="D4124" s="30"/>
    </row>
    <row r="4125" spans="1:4" x14ac:dyDescent="0.25">
      <c r="A4125" s="31"/>
      <c r="D4125" s="30"/>
    </row>
    <row r="4126" spans="1:4" x14ac:dyDescent="0.25">
      <c r="A4126" s="31"/>
      <c r="D4126" s="30"/>
    </row>
    <row r="4127" spans="1:4" x14ac:dyDescent="0.25">
      <c r="A4127" s="31"/>
      <c r="D4127" s="30"/>
    </row>
    <row r="4128" spans="1:4" x14ac:dyDescent="0.25">
      <c r="A4128" s="31"/>
      <c r="D4128" s="30"/>
    </row>
    <row r="4129" spans="1:4" x14ac:dyDescent="0.25">
      <c r="A4129" s="31"/>
      <c r="D4129" s="30"/>
    </row>
    <row r="4130" spans="1:4" x14ac:dyDescent="0.25">
      <c r="A4130" s="31"/>
      <c r="D4130" s="30"/>
    </row>
    <row r="4131" spans="1:4" x14ac:dyDescent="0.25">
      <c r="A4131" s="31"/>
      <c r="D4131" s="30"/>
    </row>
    <row r="4132" spans="1:4" x14ac:dyDescent="0.25">
      <c r="A4132" s="31"/>
      <c r="D4132" s="30"/>
    </row>
    <row r="4133" spans="1:4" x14ac:dyDescent="0.25">
      <c r="A4133" s="31"/>
      <c r="D4133" s="30"/>
    </row>
    <row r="4134" spans="1:4" x14ac:dyDescent="0.25">
      <c r="A4134" s="31"/>
      <c r="D4134" s="30"/>
    </row>
    <row r="4135" spans="1:4" x14ac:dyDescent="0.25">
      <c r="A4135" s="31"/>
      <c r="D4135" s="30"/>
    </row>
    <row r="4136" spans="1:4" x14ac:dyDescent="0.25">
      <c r="A4136" s="31"/>
      <c r="D4136" s="30"/>
    </row>
    <row r="4137" spans="1:4" x14ac:dyDescent="0.25">
      <c r="A4137" s="31"/>
      <c r="D4137" s="30"/>
    </row>
    <row r="4138" spans="1:4" x14ac:dyDescent="0.25">
      <c r="A4138" s="31"/>
      <c r="D4138" s="30"/>
    </row>
    <row r="4139" spans="1:4" x14ac:dyDescent="0.25">
      <c r="A4139" s="31"/>
      <c r="D4139" s="30"/>
    </row>
    <row r="4140" spans="1:4" x14ac:dyDescent="0.25">
      <c r="A4140" s="31"/>
      <c r="D4140" s="30"/>
    </row>
    <row r="4141" spans="1:4" x14ac:dyDescent="0.25">
      <c r="A4141" s="31"/>
      <c r="D4141" s="30"/>
    </row>
    <row r="4142" spans="1:4" x14ac:dyDescent="0.25">
      <c r="A4142" s="31"/>
      <c r="D4142" s="30"/>
    </row>
    <row r="4143" spans="1:4" x14ac:dyDescent="0.25">
      <c r="A4143" s="31"/>
      <c r="D4143" s="30"/>
    </row>
    <row r="4144" spans="1:4" x14ac:dyDescent="0.25">
      <c r="A4144" s="31"/>
      <c r="D4144" s="30"/>
    </row>
    <row r="4145" spans="1:4" x14ac:dyDescent="0.25">
      <c r="A4145" s="31"/>
      <c r="D4145" s="30"/>
    </row>
    <row r="4146" spans="1:4" x14ac:dyDescent="0.25">
      <c r="A4146" s="31"/>
      <c r="D4146" s="30"/>
    </row>
    <row r="4147" spans="1:4" x14ac:dyDescent="0.25">
      <c r="A4147" s="31"/>
      <c r="D4147" s="30"/>
    </row>
    <row r="4148" spans="1:4" x14ac:dyDescent="0.25">
      <c r="A4148" s="31"/>
      <c r="D4148" s="30"/>
    </row>
    <row r="4149" spans="1:4" x14ac:dyDescent="0.25">
      <c r="A4149" s="31"/>
      <c r="D4149" s="30"/>
    </row>
    <row r="4150" spans="1:4" x14ac:dyDescent="0.25">
      <c r="A4150" s="31"/>
      <c r="D4150" s="30"/>
    </row>
    <row r="4151" spans="1:4" x14ac:dyDescent="0.25">
      <c r="A4151" s="31"/>
      <c r="D4151" s="30"/>
    </row>
    <row r="4152" spans="1:4" x14ac:dyDescent="0.25">
      <c r="A4152" s="31"/>
      <c r="D4152" s="30"/>
    </row>
    <row r="4153" spans="1:4" x14ac:dyDescent="0.25">
      <c r="A4153" s="31"/>
      <c r="D4153" s="30"/>
    </row>
    <row r="4154" spans="1:4" x14ac:dyDescent="0.25">
      <c r="A4154" s="31"/>
      <c r="D4154" s="30"/>
    </row>
    <row r="4155" spans="1:4" x14ac:dyDescent="0.25">
      <c r="A4155" s="31"/>
      <c r="D4155" s="30"/>
    </row>
    <row r="4156" spans="1:4" x14ac:dyDescent="0.25">
      <c r="A4156" s="31"/>
      <c r="D4156" s="30"/>
    </row>
    <row r="4157" spans="1:4" x14ac:dyDescent="0.25">
      <c r="A4157" s="31"/>
      <c r="D4157" s="30"/>
    </row>
    <row r="4158" spans="1:4" x14ac:dyDescent="0.25">
      <c r="A4158" s="31"/>
      <c r="D4158" s="30"/>
    </row>
    <row r="4159" spans="1:4" x14ac:dyDescent="0.25">
      <c r="A4159" s="31"/>
      <c r="D4159" s="30"/>
    </row>
    <row r="4160" spans="1:4" x14ac:dyDescent="0.25">
      <c r="A4160" s="31"/>
      <c r="D4160" s="30"/>
    </row>
    <row r="4161" spans="1:4" x14ac:dyDescent="0.25">
      <c r="A4161" s="31"/>
      <c r="D4161" s="30"/>
    </row>
    <row r="4162" spans="1:4" x14ac:dyDescent="0.25">
      <c r="A4162" s="31"/>
      <c r="D4162" s="30"/>
    </row>
    <row r="4163" spans="1:4" x14ac:dyDescent="0.25">
      <c r="A4163" s="31"/>
      <c r="D4163" s="30"/>
    </row>
    <row r="4164" spans="1:4" x14ac:dyDescent="0.25">
      <c r="A4164" s="31"/>
      <c r="D4164" s="30"/>
    </row>
    <row r="4165" spans="1:4" x14ac:dyDescent="0.25">
      <c r="A4165" s="31"/>
      <c r="D4165" s="30"/>
    </row>
    <row r="4166" spans="1:4" x14ac:dyDescent="0.25">
      <c r="A4166" s="31"/>
      <c r="D4166" s="30"/>
    </row>
    <row r="4167" spans="1:4" x14ac:dyDescent="0.25">
      <c r="A4167" s="31"/>
      <c r="D4167" s="30"/>
    </row>
    <row r="4168" spans="1:4" x14ac:dyDescent="0.25">
      <c r="A4168" s="31"/>
      <c r="D4168" s="30"/>
    </row>
    <row r="4169" spans="1:4" x14ac:dyDescent="0.25">
      <c r="A4169" s="31"/>
      <c r="D4169" s="30"/>
    </row>
    <row r="4170" spans="1:4" x14ac:dyDescent="0.25">
      <c r="A4170" s="31"/>
      <c r="D4170" s="30"/>
    </row>
    <row r="4171" spans="1:4" x14ac:dyDescent="0.25">
      <c r="A4171" s="31"/>
      <c r="D4171" s="30"/>
    </row>
    <row r="4172" spans="1:4" x14ac:dyDescent="0.25">
      <c r="A4172" s="31"/>
      <c r="D4172" s="30"/>
    </row>
    <row r="4173" spans="1:4" x14ac:dyDescent="0.25">
      <c r="A4173" s="31"/>
      <c r="D4173" s="30"/>
    </row>
    <row r="4174" spans="1:4" x14ac:dyDescent="0.25">
      <c r="A4174" s="31"/>
      <c r="D4174" s="30"/>
    </row>
    <row r="4175" spans="1:4" x14ac:dyDescent="0.25">
      <c r="A4175" s="31"/>
      <c r="D4175" s="30"/>
    </row>
    <row r="4176" spans="1:4" x14ac:dyDescent="0.25">
      <c r="A4176" s="31"/>
      <c r="D4176" s="30"/>
    </row>
    <row r="4177" spans="1:4" x14ac:dyDescent="0.25">
      <c r="A4177" s="31"/>
      <c r="D4177" s="30"/>
    </row>
    <row r="4178" spans="1:4" x14ac:dyDescent="0.25">
      <c r="A4178" s="31"/>
      <c r="D4178" s="30"/>
    </row>
    <row r="4179" spans="1:4" x14ac:dyDescent="0.25">
      <c r="A4179" s="31"/>
      <c r="D4179" s="30"/>
    </row>
    <row r="4180" spans="1:4" x14ac:dyDescent="0.25">
      <c r="A4180" s="31"/>
      <c r="D4180" s="30"/>
    </row>
    <row r="4181" spans="1:4" x14ac:dyDescent="0.25">
      <c r="A4181" s="31"/>
      <c r="D4181" s="30"/>
    </row>
    <row r="4182" spans="1:4" x14ac:dyDescent="0.25">
      <c r="A4182" s="31"/>
      <c r="D4182" s="30"/>
    </row>
    <row r="4183" spans="1:4" x14ac:dyDescent="0.25">
      <c r="A4183" s="31"/>
      <c r="D4183" s="30"/>
    </row>
    <row r="4184" spans="1:4" x14ac:dyDescent="0.25">
      <c r="A4184" s="31"/>
      <c r="D4184" s="30"/>
    </row>
    <row r="4185" spans="1:4" x14ac:dyDescent="0.25">
      <c r="A4185" s="31"/>
      <c r="D4185" s="30"/>
    </row>
    <row r="4186" spans="1:4" x14ac:dyDescent="0.25">
      <c r="A4186" s="31"/>
      <c r="D4186" s="30"/>
    </row>
    <row r="4187" spans="1:4" x14ac:dyDescent="0.25">
      <c r="A4187" s="31"/>
      <c r="D4187" s="30"/>
    </row>
    <row r="4188" spans="1:4" x14ac:dyDescent="0.25">
      <c r="A4188" s="31"/>
      <c r="D4188" s="30"/>
    </row>
    <row r="4189" spans="1:4" x14ac:dyDescent="0.25">
      <c r="A4189" s="31"/>
      <c r="D4189" s="30"/>
    </row>
    <row r="4190" spans="1:4" x14ac:dyDescent="0.25">
      <c r="A4190" s="31"/>
      <c r="D4190" s="30"/>
    </row>
    <row r="4191" spans="1:4" x14ac:dyDescent="0.25">
      <c r="A4191" s="31"/>
      <c r="D4191" s="30"/>
    </row>
    <row r="4192" spans="1:4" x14ac:dyDescent="0.25">
      <c r="A4192" s="31"/>
      <c r="D4192" s="30"/>
    </row>
    <row r="4193" spans="1:4" x14ac:dyDescent="0.25">
      <c r="A4193" s="31"/>
      <c r="D4193" s="30"/>
    </row>
    <row r="4194" spans="1:4" x14ac:dyDescent="0.25">
      <c r="A4194" s="31"/>
      <c r="D4194" s="30"/>
    </row>
    <row r="4195" spans="1:4" x14ac:dyDescent="0.25">
      <c r="A4195" s="31"/>
      <c r="D4195" s="30"/>
    </row>
    <row r="4196" spans="1:4" x14ac:dyDescent="0.25">
      <c r="A4196" s="31"/>
      <c r="D4196" s="30"/>
    </row>
    <row r="4197" spans="1:4" x14ac:dyDescent="0.25">
      <c r="A4197" s="31"/>
      <c r="D4197" s="30"/>
    </row>
    <row r="4198" spans="1:4" x14ac:dyDescent="0.25">
      <c r="A4198" s="31"/>
      <c r="D4198" s="30"/>
    </row>
    <row r="4199" spans="1:4" x14ac:dyDescent="0.25">
      <c r="A4199" s="31"/>
      <c r="D4199" s="30"/>
    </row>
    <row r="4200" spans="1:4" x14ac:dyDescent="0.25">
      <c r="A4200" s="31"/>
      <c r="D4200" s="30"/>
    </row>
    <row r="4201" spans="1:4" x14ac:dyDescent="0.25">
      <c r="A4201" s="31"/>
      <c r="D4201" s="30"/>
    </row>
    <row r="4202" spans="1:4" x14ac:dyDescent="0.25">
      <c r="A4202" s="31"/>
      <c r="D4202" s="30"/>
    </row>
    <row r="4203" spans="1:4" x14ac:dyDescent="0.25">
      <c r="A4203" s="31"/>
      <c r="D4203" s="30"/>
    </row>
    <row r="4204" spans="1:4" x14ac:dyDescent="0.25">
      <c r="A4204" s="31"/>
      <c r="D4204" s="30"/>
    </row>
    <row r="4205" spans="1:4" x14ac:dyDescent="0.25">
      <c r="A4205" s="31"/>
      <c r="D4205" s="30"/>
    </row>
    <row r="4206" spans="1:4" x14ac:dyDescent="0.25">
      <c r="A4206" s="31"/>
      <c r="D4206" s="30"/>
    </row>
    <row r="4207" spans="1:4" x14ac:dyDescent="0.25">
      <c r="A4207" s="31"/>
      <c r="D4207" s="30"/>
    </row>
    <row r="4208" spans="1:4" x14ac:dyDescent="0.25">
      <c r="A4208" s="31"/>
      <c r="D4208" s="30"/>
    </row>
    <row r="4209" spans="1:4" x14ac:dyDescent="0.25">
      <c r="A4209" s="31"/>
      <c r="D4209" s="30"/>
    </row>
    <row r="4210" spans="1:4" x14ac:dyDescent="0.25">
      <c r="A4210" s="31"/>
      <c r="D4210" s="30"/>
    </row>
    <row r="4211" spans="1:4" x14ac:dyDescent="0.25">
      <c r="A4211" s="31"/>
      <c r="D4211" s="30"/>
    </row>
    <row r="4212" spans="1:4" x14ac:dyDescent="0.25">
      <c r="A4212" s="31"/>
      <c r="D4212" s="30"/>
    </row>
    <row r="4213" spans="1:4" x14ac:dyDescent="0.25">
      <c r="A4213" s="31"/>
      <c r="D4213" s="30"/>
    </row>
    <row r="4214" spans="1:4" x14ac:dyDescent="0.25">
      <c r="A4214" s="31"/>
      <c r="D4214" s="30"/>
    </row>
    <row r="4215" spans="1:4" x14ac:dyDescent="0.25">
      <c r="A4215" s="31"/>
      <c r="D4215" s="30"/>
    </row>
    <row r="4216" spans="1:4" x14ac:dyDescent="0.25">
      <c r="A4216" s="31"/>
      <c r="D4216" s="30"/>
    </row>
    <row r="4217" spans="1:4" x14ac:dyDescent="0.25">
      <c r="A4217" s="31"/>
      <c r="D4217" s="30"/>
    </row>
    <row r="4218" spans="1:4" x14ac:dyDescent="0.25">
      <c r="A4218" s="31"/>
      <c r="D4218" s="30"/>
    </row>
    <row r="4219" spans="1:4" x14ac:dyDescent="0.25">
      <c r="A4219" s="31"/>
      <c r="D4219" s="30"/>
    </row>
    <row r="4220" spans="1:4" x14ac:dyDescent="0.25">
      <c r="A4220" s="31"/>
      <c r="D4220" s="30"/>
    </row>
    <row r="4221" spans="1:4" x14ac:dyDescent="0.25">
      <c r="A4221" s="31"/>
      <c r="D4221" s="30"/>
    </row>
    <row r="4222" spans="1:4" x14ac:dyDescent="0.25">
      <c r="A4222" s="31"/>
      <c r="D4222" s="30"/>
    </row>
    <row r="4223" spans="1:4" x14ac:dyDescent="0.25">
      <c r="A4223" s="31"/>
      <c r="D4223" s="30"/>
    </row>
    <row r="4224" spans="1:4" x14ac:dyDescent="0.25">
      <c r="A4224" s="31"/>
      <c r="D4224" s="30"/>
    </row>
    <row r="4225" spans="1:4" x14ac:dyDescent="0.25">
      <c r="A4225" s="31"/>
      <c r="D4225" s="30"/>
    </row>
    <row r="4226" spans="1:4" x14ac:dyDescent="0.25">
      <c r="A4226" s="31"/>
      <c r="D4226" s="30"/>
    </row>
    <row r="4227" spans="1:4" x14ac:dyDescent="0.25">
      <c r="A4227" s="31"/>
      <c r="D4227" s="30"/>
    </row>
    <row r="4228" spans="1:4" x14ac:dyDescent="0.25">
      <c r="A4228" s="31"/>
      <c r="D4228" s="30"/>
    </row>
    <row r="4229" spans="1:4" x14ac:dyDescent="0.25">
      <c r="A4229" s="31"/>
      <c r="D4229" s="30"/>
    </row>
    <row r="4230" spans="1:4" x14ac:dyDescent="0.25">
      <c r="A4230" s="31"/>
      <c r="D4230" s="30"/>
    </row>
    <row r="4231" spans="1:4" x14ac:dyDescent="0.25">
      <c r="A4231" s="31"/>
      <c r="D4231" s="30"/>
    </row>
    <row r="4232" spans="1:4" x14ac:dyDescent="0.25">
      <c r="A4232" s="31"/>
      <c r="D4232" s="30"/>
    </row>
    <row r="4233" spans="1:4" x14ac:dyDescent="0.25">
      <c r="A4233" s="31"/>
      <c r="D4233" s="30"/>
    </row>
    <row r="4234" spans="1:4" x14ac:dyDescent="0.25">
      <c r="A4234" s="31"/>
      <c r="D4234" s="30"/>
    </row>
    <row r="4235" spans="1:4" x14ac:dyDescent="0.25">
      <c r="A4235" s="31"/>
      <c r="D4235" s="30"/>
    </row>
    <row r="4236" spans="1:4" x14ac:dyDescent="0.25">
      <c r="A4236" s="31"/>
      <c r="D4236" s="30"/>
    </row>
    <row r="4237" spans="1:4" x14ac:dyDescent="0.25">
      <c r="A4237" s="31"/>
      <c r="D4237" s="30"/>
    </row>
    <row r="4238" spans="1:4" x14ac:dyDescent="0.25">
      <c r="A4238" s="31"/>
      <c r="D4238" s="30"/>
    </row>
    <row r="4239" spans="1:4" x14ac:dyDescent="0.25">
      <c r="A4239" s="31"/>
      <c r="D4239" s="30"/>
    </row>
    <row r="4240" spans="1:4" x14ac:dyDescent="0.25">
      <c r="A4240" s="31"/>
      <c r="D4240" s="30"/>
    </row>
    <row r="4241" spans="1:4" x14ac:dyDescent="0.25">
      <c r="A4241" s="31"/>
      <c r="D4241" s="30"/>
    </row>
    <row r="4242" spans="1:4" x14ac:dyDescent="0.25">
      <c r="A4242" s="31"/>
      <c r="D4242" s="30"/>
    </row>
    <row r="4243" spans="1:4" x14ac:dyDescent="0.25">
      <c r="A4243" s="31"/>
      <c r="D4243" s="30"/>
    </row>
    <row r="4244" spans="1:4" x14ac:dyDescent="0.25">
      <c r="A4244" s="31"/>
      <c r="D4244" s="30"/>
    </row>
    <row r="4245" spans="1:4" x14ac:dyDescent="0.25">
      <c r="A4245" s="31"/>
      <c r="D4245" s="30"/>
    </row>
    <row r="4246" spans="1:4" x14ac:dyDescent="0.25">
      <c r="A4246" s="31"/>
      <c r="D4246" s="30"/>
    </row>
    <row r="4247" spans="1:4" x14ac:dyDescent="0.25">
      <c r="A4247" s="31"/>
      <c r="D4247" s="30"/>
    </row>
    <row r="4248" spans="1:4" x14ac:dyDescent="0.25">
      <c r="A4248" s="31"/>
      <c r="D4248" s="30"/>
    </row>
    <row r="4249" spans="1:4" x14ac:dyDescent="0.25">
      <c r="A4249" s="31"/>
      <c r="D4249" s="30"/>
    </row>
    <row r="4250" spans="1:4" x14ac:dyDescent="0.25">
      <c r="A4250" s="31"/>
      <c r="D4250" s="30"/>
    </row>
    <row r="4251" spans="1:4" x14ac:dyDescent="0.25">
      <c r="A4251" s="31"/>
      <c r="D4251" s="30"/>
    </row>
    <row r="4252" spans="1:4" x14ac:dyDescent="0.25">
      <c r="A4252" s="31"/>
      <c r="D4252" s="30"/>
    </row>
    <row r="4253" spans="1:4" x14ac:dyDescent="0.25">
      <c r="A4253" s="31"/>
      <c r="D4253" s="30"/>
    </row>
    <row r="4254" spans="1:4" x14ac:dyDescent="0.25">
      <c r="A4254" s="31"/>
      <c r="D4254" s="30"/>
    </row>
    <row r="4255" spans="1:4" x14ac:dyDescent="0.25">
      <c r="A4255" s="31"/>
      <c r="D4255" s="30"/>
    </row>
    <row r="4256" spans="1:4" x14ac:dyDescent="0.25">
      <c r="A4256" s="31"/>
      <c r="D4256" s="30"/>
    </row>
    <row r="4257" spans="1:4" x14ac:dyDescent="0.25">
      <c r="A4257" s="31"/>
      <c r="D4257" s="30"/>
    </row>
    <row r="4258" spans="1:4" x14ac:dyDescent="0.25">
      <c r="A4258" s="31"/>
      <c r="D4258" s="30"/>
    </row>
    <row r="4259" spans="1:4" x14ac:dyDescent="0.25">
      <c r="A4259" s="31"/>
      <c r="D4259" s="30"/>
    </row>
    <row r="4260" spans="1:4" x14ac:dyDescent="0.25">
      <c r="A4260" s="31"/>
      <c r="D4260" s="30"/>
    </row>
    <row r="4261" spans="1:4" x14ac:dyDescent="0.25">
      <c r="A4261" s="31"/>
      <c r="D4261" s="30"/>
    </row>
    <row r="4262" spans="1:4" x14ac:dyDescent="0.25">
      <c r="A4262" s="31"/>
      <c r="D4262" s="30"/>
    </row>
    <row r="4263" spans="1:4" x14ac:dyDescent="0.25">
      <c r="A4263" s="31"/>
      <c r="D4263" s="30"/>
    </row>
    <row r="4264" spans="1:4" x14ac:dyDescent="0.25">
      <c r="A4264" s="31"/>
      <c r="D4264" s="30"/>
    </row>
    <row r="4265" spans="1:4" x14ac:dyDescent="0.25">
      <c r="A4265" s="31"/>
      <c r="D4265" s="30"/>
    </row>
    <row r="4266" spans="1:4" x14ac:dyDescent="0.25">
      <c r="A4266" s="31"/>
      <c r="D4266" s="30"/>
    </row>
    <row r="4267" spans="1:4" x14ac:dyDescent="0.25">
      <c r="A4267" s="31"/>
      <c r="D4267" s="30"/>
    </row>
    <row r="4268" spans="1:4" x14ac:dyDescent="0.25">
      <c r="A4268" s="31"/>
      <c r="D4268" s="30"/>
    </row>
    <row r="4269" spans="1:4" x14ac:dyDescent="0.25">
      <c r="A4269" s="31"/>
      <c r="D4269" s="30"/>
    </row>
    <row r="4270" spans="1:4" x14ac:dyDescent="0.25">
      <c r="A4270" s="31"/>
      <c r="D4270" s="30"/>
    </row>
    <row r="4271" spans="1:4" x14ac:dyDescent="0.25">
      <c r="A4271" s="31"/>
      <c r="D4271" s="30"/>
    </row>
    <row r="4272" spans="1:4" x14ac:dyDescent="0.25">
      <c r="A4272" s="31"/>
      <c r="D4272" s="30"/>
    </row>
    <row r="4273" spans="1:4" x14ac:dyDescent="0.25">
      <c r="A4273" s="31"/>
      <c r="D4273" s="30"/>
    </row>
    <row r="4274" spans="1:4" x14ac:dyDescent="0.25">
      <c r="A4274" s="31"/>
      <c r="D4274" s="30"/>
    </row>
    <row r="4275" spans="1:4" x14ac:dyDescent="0.25">
      <c r="A4275" s="31"/>
      <c r="D4275" s="30"/>
    </row>
    <row r="4276" spans="1:4" x14ac:dyDescent="0.25">
      <c r="A4276" s="31"/>
      <c r="D4276" s="30"/>
    </row>
    <row r="4277" spans="1:4" x14ac:dyDescent="0.25">
      <c r="A4277" s="31"/>
      <c r="D4277" s="30"/>
    </row>
    <row r="4278" spans="1:4" x14ac:dyDescent="0.25">
      <c r="A4278" s="31"/>
      <c r="D4278" s="30"/>
    </row>
    <row r="4279" spans="1:4" x14ac:dyDescent="0.25">
      <c r="A4279" s="31"/>
      <c r="D4279" s="30"/>
    </row>
    <row r="4280" spans="1:4" x14ac:dyDescent="0.25">
      <c r="A4280" s="31"/>
      <c r="D4280" s="30"/>
    </row>
    <row r="4281" spans="1:4" x14ac:dyDescent="0.25">
      <c r="A4281" s="31"/>
      <c r="D4281" s="30"/>
    </row>
    <row r="4282" spans="1:4" x14ac:dyDescent="0.25">
      <c r="A4282" s="31"/>
      <c r="D4282" s="30"/>
    </row>
    <row r="4283" spans="1:4" x14ac:dyDescent="0.25">
      <c r="A4283" s="31"/>
      <c r="D4283" s="30"/>
    </row>
    <row r="4284" spans="1:4" x14ac:dyDescent="0.25">
      <c r="A4284" s="31"/>
      <c r="D4284" s="30"/>
    </row>
    <row r="4285" spans="1:4" x14ac:dyDescent="0.25">
      <c r="A4285" s="31"/>
      <c r="D4285" s="30"/>
    </row>
    <row r="4286" spans="1:4" x14ac:dyDescent="0.25">
      <c r="A4286" s="31"/>
      <c r="D4286" s="30"/>
    </row>
    <row r="4287" spans="1:4" x14ac:dyDescent="0.25">
      <c r="A4287" s="31"/>
      <c r="D4287" s="30"/>
    </row>
    <row r="4288" spans="1:4" x14ac:dyDescent="0.25">
      <c r="A4288" s="31"/>
      <c r="D4288" s="30"/>
    </row>
    <row r="4289" spans="1:4" x14ac:dyDescent="0.25">
      <c r="A4289" s="31"/>
      <c r="D4289" s="30"/>
    </row>
    <row r="4290" spans="1:4" x14ac:dyDescent="0.25">
      <c r="A4290" s="31"/>
      <c r="D4290" s="30"/>
    </row>
    <row r="4291" spans="1:4" x14ac:dyDescent="0.25">
      <c r="A4291" s="31"/>
      <c r="D4291" s="30"/>
    </row>
    <row r="4292" spans="1:4" x14ac:dyDescent="0.25">
      <c r="A4292" s="31"/>
      <c r="D4292" s="30"/>
    </row>
    <row r="4293" spans="1:4" x14ac:dyDescent="0.25">
      <c r="A4293" s="31"/>
      <c r="D4293" s="30"/>
    </row>
    <row r="4294" spans="1:4" x14ac:dyDescent="0.25">
      <c r="A4294" s="31"/>
      <c r="D4294" s="30"/>
    </row>
    <row r="4295" spans="1:4" x14ac:dyDescent="0.25">
      <c r="A4295" s="31"/>
      <c r="D4295" s="30"/>
    </row>
    <row r="4296" spans="1:4" x14ac:dyDescent="0.25">
      <c r="A4296" s="31"/>
      <c r="D4296" s="30"/>
    </row>
    <row r="4297" spans="1:4" x14ac:dyDescent="0.25">
      <c r="A4297" s="31"/>
      <c r="D4297" s="30"/>
    </row>
    <row r="4298" spans="1:4" x14ac:dyDescent="0.25">
      <c r="A4298" s="31"/>
      <c r="D4298" s="30"/>
    </row>
    <row r="4299" spans="1:4" x14ac:dyDescent="0.25">
      <c r="A4299" s="31"/>
      <c r="D4299" s="30"/>
    </row>
    <row r="4300" spans="1:4" x14ac:dyDescent="0.25">
      <c r="A4300" s="31"/>
      <c r="D4300" s="30"/>
    </row>
    <row r="4301" spans="1:4" x14ac:dyDescent="0.25">
      <c r="A4301" s="31"/>
      <c r="D4301" s="30"/>
    </row>
    <row r="4302" spans="1:4" x14ac:dyDescent="0.25">
      <c r="A4302" s="31"/>
      <c r="D4302" s="30"/>
    </row>
    <row r="4303" spans="1:4" x14ac:dyDescent="0.25">
      <c r="A4303" s="31"/>
      <c r="D4303" s="30"/>
    </row>
    <row r="4304" spans="1:4" x14ac:dyDescent="0.25">
      <c r="A4304" s="31"/>
      <c r="D4304" s="30"/>
    </row>
    <row r="4305" spans="1:4" x14ac:dyDescent="0.25">
      <c r="A4305" s="31"/>
      <c r="D4305" s="30"/>
    </row>
    <row r="4306" spans="1:4" x14ac:dyDescent="0.25">
      <c r="A4306" s="31"/>
      <c r="D4306" s="30"/>
    </row>
    <row r="4307" spans="1:4" x14ac:dyDescent="0.25">
      <c r="A4307" s="31"/>
      <c r="D4307" s="30"/>
    </row>
    <row r="4308" spans="1:4" x14ac:dyDescent="0.25">
      <c r="A4308" s="31"/>
      <c r="D4308" s="30"/>
    </row>
    <row r="4309" spans="1:4" x14ac:dyDescent="0.25">
      <c r="A4309" s="31"/>
      <c r="D4309" s="30"/>
    </row>
    <row r="4310" spans="1:4" x14ac:dyDescent="0.25">
      <c r="A4310" s="31"/>
      <c r="D4310" s="30"/>
    </row>
    <row r="4311" spans="1:4" x14ac:dyDescent="0.25">
      <c r="A4311" s="31"/>
      <c r="D4311" s="30"/>
    </row>
    <row r="4312" spans="1:4" x14ac:dyDescent="0.25">
      <c r="A4312" s="31"/>
      <c r="D4312" s="30"/>
    </row>
    <row r="4313" spans="1:4" x14ac:dyDescent="0.25">
      <c r="A4313" s="31"/>
      <c r="D4313" s="30"/>
    </row>
    <row r="4314" spans="1:4" x14ac:dyDescent="0.25">
      <c r="A4314" s="31"/>
      <c r="D4314" s="30"/>
    </row>
    <row r="4315" spans="1:4" x14ac:dyDescent="0.25">
      <c r="A4315" s="31"/>
      <c r="D4315" s="30"/>
    </row>
    <row r="4316" spans="1:4" x14ac:dyDescent="0.25">
      <c r="A4316" s="31"/>
      <c r="D4316" s="30"/>
    </row>
    <row r="4317" spans="1:4" x14ac:dyDescent="0.25">
      <c r="A4317" s="31"/>
      <c r="D4317" s="30"/>
    </row>
    <row r="4318" spans="1:4" x14ac:dyDescent="0.25">
      <c r="A4318" s="31"/>
      <c r="D4318" s="30"/>
    </row>
    <row r="4319" spans="1:4" x14ac:dyDescent="0.25">
      <c r="A4319" s="31"/>
      <c r="D4319" s="30"/>
    </row>
    <row r="4320" spans="1:4" x14ac:dyDescent="0.25">
      <c r="A4320" s="31"/>
      <c r="D4320" s="30"/>
    </row>
    <row r="4321" spans="1:4" x14ac:dyDescent="0.25">
      <c r="A4321" s="31"/>
      <c r="D4321" s="30"/>
    </row>
    <row r="4322" spans="1:4" x14ac:dyDescent="0.25">
      <c r="A4322" s="31"/>
      <c r="D4322" s="30"/>
    </row>
    <row r="4323" spans="1:4" x14ac:dyDescent="0.25">
      <c r="A4323" s="31"/>
      <c r="D4323" s="30"/>
    </row>
    <row r="4324" spans="1:4" x14ac:dyDescent="0.25">
      <c r="A4324" s="31"/>
      <c r="D4324" s="30"/>
    </row>
    <row r="4325" spans="1:4" x14ac:dyDescent="0.25">
      <c r="A4325" s="31"/>
      <c r="D4325" s="30"/>
    </row>
    <row r="4326" spans="1:4" x14ac:dyDescent="0.25">
      <c r="A4326" s="31"/>
      <c r="D4326" s="30"/>
    </row>
    <row r="4327" spans="1:4" x14ac:dyDescent="0.25">
      <c r="A4327" s="31"/>
      <c r="D4327" s="30"/>
    </row>
    <row r="4328" spans="1:4" x14ac:dyDescent="0.25">
      <c r="A4328" s="31"/>
      <c r="D4328" s="30"/>
    </row>
    <row r="4329" spans="1:4" x14ac:dyDescent="0.25">
      <c r="A4329" s="31"/>
      <c r="D4329" s="30"/>
    </row>
    <row r="4330" spans="1:4" x14ac:dyDescent="0.25">
      <c r="A4330" s="31"/>
      <c r="D4330" s="30"/>
    </row>
    <row r="4331" spans="1:4" x14ac:dyDescent="0.25">
      <c r="A4331" s="31"/>
      <c r="D4331" s="30"/>
    </row>
    <row r="4332" spans="1:4" x14ac:dyDescent="0.25">
      <c r="A4332" s="31"/>
      <c r="D4332" s="30"/>
    </row>
    <row r="4333" spans="1:4" x14ac:dyDescent="0.25">
      <c r="A4333" s="31"/>
      <c r="D4333" s="30"/>
    </row>
    <row r="4334" spans="1:4" x14ac:dyDescent="0.25">
      <c r="A4334" s="31"/>
      <c r="D4334" s="30"/>
    </row>
    <row r="4335" spans="1:4" x14ac:dyDescent="0.25">
      <c r="A4335" s="31"/>
      <c r="D4335" s="30"/>
    </row>
    <row r="4336" spans="1:4" x14ac:dyDescent="0.25">
      <c r="A4336" s="31"/>
      <c r="D4336" s="30"/>
    </row>
    <row r="4337" spans="1:4" x14ac:dyDescent="0.25">
      <c r="A4337" s="31"/>
      <c r="D4337" s="30"/>
    </row>
    <row r="4338" spans="1:4" x14ac:dyDescent="0.25">
      <c r="A4338" s="31"/>
      <c r="D4338" s="30"/>
    </row>
    <row r="4339" spans="1:4" x14ac:dyDescent="0.25">
      <c r="A4339" s="31"/>
      <c r="D4339" s="30"/>
    </row>
    <row r="4340" spans="1:4" x14ac:dyDescent="0.25">
      <c r="A4340" s="31"/>
      <c r="D4340" s="30"/>
    </row>
    <row r="4341" spans="1:4" x14ac:dyDescent="0.25">
      <c r="A4341" s="31"/>
      <c r="D4341" s="30"/>
    </row>
    <row r="4342" spans="1:4" x14ac:dyDescent="0.25">
      <c r="A4342" s="31"/>
      <c r="D4342" s="30"/>
    </row>
    <row r="4343" spans="1:4" x14ac:dyDescent="0.25">
      <c r="A4343" s="31"/>
      <c r="D4343" s="30"/>
    </row>
    <row r="4344" spans="1:4" x14ac:dyDescent="0.25">
      <c r="A4344" s="31"/>
      <c r="D4344" s="30"/>
    </row>
    <row r="4345" spans="1:4" x14ac:dyDescent="0.25">
      <c r="A4345" s="31"/>
      <c r="D4345" s="30"/>
    </row>
    <row r="4346" spans="1:4" x14ac:dyDescent="0.25">
      <c r="A4346" s="31"/>
      <c r="D4346" s="30"/>
    </row>
    <row r="4347" spans="1:4" x14ac:dyDescent="0.25">
      <c r="A4347" s="31"/>
      <c r="D4347" s="30"/>
    </row>
    <row r="4348" spans="1:4" x14ac:dyDescent="0.25">
      <c r="A4348" s="31"/>
      <c r="D4348" s="30"/>
    </row>
    <row r="4349" spans="1:4" x14ac:dyDescent="0.25">
      <c r="A4349" s="31"/>
      <c r="D4349" s="30"/>
    </row>
    <row r="4350" spans="1:4" x14ac:dyDescent="0.25">
      <c r="A4350" s="31"/>
      <c r="D4350" s="30"/>
    </row>
    <row r="4351" spans="1:4" x14ac:dyDescent="0.25">
      <c r="A4351" s="31"/>
      <c r="D4351" s="30"/>
    </row>
    <row r="4352" spans="1:4" x14ac:dyDescent="0.25">
      <c r="A4352" s="31"/>
      <c r="D4352" s="30"/>
    </row>
    <row r="4353" spans="1:4" x14ac:dyDescent="0.25">
      <c r="A4353" s="31"/>
      <c r="D4353" s="30"/>
    </row>
    <row r="4354" spans="1:4" x14ac:dyDescent="0.25">
      <c r="A4354" s="31"/>
      <c r="D4354" s="30"/>
    </row>
    <row r="4355" spans="1:4" x14ac:dyDescent="0.25">
      <c r="A4355" s="31"/>
      <c r="D4355" s="30"/>
    </row>
    <row r="4356" spans="1:4" x14ac:dyDescent="0.25">
      <c r="A4356" s="31"/>
      <c r="D4356" s="30"/>
    </row>
    <row r="4357" spans="1:4" x14ac:dyDescent="0.25">
      <c r="A4357" s="31"/>
      <c r="D4357" s="30"/>
    </row>
    <row r="4358" spans="1:4" x14ac:dyDescent="0.25">
      <c r="A4358" s="31"/>
      <c r="D4358" s="30"/>
    </row>
    <row r="4359" spans="1:4" x14ac:dyDescent="0.25">
      <c r="A4359" s="31"/>
      <c r="D4359" s="30"/>
    </row>
    <row r="4360" spans="1:4" x14ac:dyDescent="0.25">
      <c r="A4360" s="31"/>
      <c r="D4360" s="30"/>
    </row>
    <row r="4361" spans="1:4" x14ac:dyDescent="0.25">
      <c r="A4361" s="31"/>
      <c r="D4361" s="30"/>
    </row>
    <row r="4362" spans="1:4" x14ac:dyDescent="0.25">
      <c r="A4362" s="31"/>
      <c r="D4362" s="30"/>
    </row>
    <row r="4363" spans="1:4" x14ac:dyDescent="0.25">
      <c r="A4363" s="31"/>
      <c r="D4363" s="30"/>
    </row>
    <row r="4364" spans="1:4" x14ac:dyDescent="0.25">
      <c r="A4364" s="31"/>
      <c r="D4364" s="30"/>
    </row>
    <row r="4365" spans="1:4" x14ac:dyDescent="0.25">
      <c r="A4365" s="31"/>
      <c r="D4365" s="30"/>
    </row>
    <row r="4366" spans="1:4" x14ac:dyDescent="0.25">
      <c r="A4366" s="31"/>
      <c r="D4366" s="30"/>
    </row>
    <row r="4367" spans="1:4" x14ac:dyDescent="0.25">
      <c r="A4367" s="31"/>
      <c r="D4367" s="30"/>
    </row>
    <row r="4368" spans="1:4" x14ac:dyDescent="0.25">
      <c r="A4368" s="31"/>
      <c r="D4368" s="30"/>
    </row>
    <row r="4369" spans="1:4" x14ac:dyDescent="0.25">
      <c r="A4369" s="31"/>
      <c r="D4369" s="30"/>
    </row>
    <row r="4370" spans="1:4" x14ac:dyDescent="0.25">
      <c r="A4370" s="31"/>
      <c r="D4370" s="30"/>
    </row>
    <row r="4371" spans="1:4" x14ac:dyDescent="0.25">
      <c r="A4371" s="31"/>
      <c r="D4371" s="30"/>
    </row>
    <row r="4372" spans="1:4" x14ac:dyDescent="0.25">
      <c r="A4372" s="31"/>
      <c r="D4372" s="30"/>
    </row>
    <row r="4373" spans="1:4" x14ac:dyDescent="0.25">
      <c r="A4373" s="31"/>
      <c r="D4373" s="30"/>
    </row>
    <row r="4374" spans="1:4" x14ac:dyDescent="0.25">
      <c r="A4374" s="31"/>
      <c r="D4374" s="30"/>
    </row>
    <row r="4375" spans="1:4" x14ac:dyDescent="0.25">
      <c r="A4375" s="31"/>
      <c r="D4375" s="30"/>
    </row>
    <row r="4376" spans="1:4" x14ac:dyDescent="0.25">
      <c r="A4376" s="31"/>
      <c r="D4376" s="30"/>
    </row>
    <row r="4377" spans="1:4" x14ac:dyDescent="0.25">
      <c r="A4377" s="31"/>
      <c r="D4377" s="30"/>
    </row>
    <row r="4378" spans="1:4" x14ac:dyDescent="0.25">
      <c r="A4378" s="31"/>
      <c r="D4378" s="30"/>
    </row>
    <row r="4379" spans="1:4" x14ac:dyDescent="0.25">
      <c r="A4379" s="31"/>
      <c r="D4379" s="30"/>
    </row>
    <row r="4380" spans="1:4" x14ac:dyDescent="0.25">
      <c r="A4380" s="31"/>
      <c r="D4380" s="30"/>
    </row>
    <row r="4381" spans="1:4" x14ac:dyDescent="0.25">
      <c r="A4381" s="31"/>
      <c r="D4381" s="30"/>
    </row>
    <row r="4382" spans="1:4" x14ac:dyDescent="0.25">
      <c r="A4382" s="31"/>
      <c r="D4382" s="30"/>
    </row>
    <row r="4383" spans="1:4" x14ac:dyDescent="0.25">
      <c r="A4383" s="31"/>
      <c r="D4383" s="30"/>
    </row>
    <row r="4384" spans="1:4" x14ac:dyDescent="0.25">
      <c r="A4384" s="31"/>
      <c r="D4384" s="30"/>
    </row>
    <row r="4385" spans="1:4" x14ac:dyDescent="0.25">
      <c r="A4385" s="31"/>
      <c r="D4385" s="30"/>
    </row>
    <row r="4386" spans="1:4" x14ac:dyDescent="0.25">
      <c r="A4386" s="31"/>
      <c r="D4386" s="30"/>
    </row>
    <row r="4387" spans="1:4" x14ac:dyDescent="0.25">
      <c r="A4387" s="31"/>
      <c r="D4387" s="30"/>
    </row>
    <row r="4388" spans="1:4" x14ac:dyDescent="0.25">
      <c r="A4388" s="31"/>
      <c r="D4388" s="30"/>
    </row>
    <row r="4389" spans="1:4" x14ac:dyDescent="0.25">
      <c r="A4389" s="31"/>
      <c r="D4389" s="30"/>
    </row>
    <row r="4390" spans="1:4" x14ac:dyDescent="0.25">
      <c r="A4390" s="31"/>
      <c r="D4390" s="30"/>
    </row>
    <row r="4391" spans="1:4" x14ac:dyDescent="0.25">
      <c r="A4391" s="31"/>
      <c r="D4391" s="30"/>
    </row>
    <row r="4392" spans="1:4" x14ac:dyDescent="0.25">
      <c r="A4392" s="31"/>
      <c r="D4392" s="30"/>
    </row>
    <row r="4393" spans="1:4" x14ac:dyDescent="0.25">
      <c r="A4393" s="31"/>
      <c r="D4393" s="30"/>
    </row>
    <row r="4394" spans="1:4" x14ac:dyDescent="0.25">
      <c r="A4394" s="31"/>
      <c r="D4394" s="30"/>
    </row>
    <row r="4395" spans="1:4" x14ac:dyDescent="0.25">
      <c r="A4395" s="31"/>
      <c r="D4395" s="30"/>
    </row>
    <row r="4396" spans="1:4" x14ac:dyDescent="0.25">
      <c r="A4396" s="31"/>
      <c r="D4396" s="30"/>
    </row>
    <row r="4397" spans="1:4" x14ac:dyDescent="0.25">
      <c r="A4397" s="31"/>
      <c r="D4397" s="30"/>
    </row>
    <row r="4398" spans="1:4" x14ac:dyDescent="0.25">
      <c r="A4398" s="31"/>
      <c r="D4398" s="30"/>
    </row>
    <row r="4399" spans="1:4" x14ac:dyDescent="0.25">
      <c r="A4399" s="31"/>
      <c r="D4399" s="30"/>
    </row>
    <row r="4400" spans="1:4" x14ac:dyDescent="0.25">
      <c r="A4400" s="31"/>
      <c r="D4400" s="30"/>
    </row>
    <row r="4401" spans="1:4" x14ac:dyDescent="0.25">
      <c r="A4401" s="31"/>
      <c r="D4401" s="30"/>
    </row>
    <row r="4402" spans="1:4" x14ac:dyDescent="0.25">
      <c r="A4402" s="31"/>
      <c r="D4402" s="30"/>
    </row>
    <row r="4403" spans="1:4" x14ac:dyDescent="0.25">
      <c r="A4403" s="31"/>
      <c r="D4403" s="30"/>
    </row>
    <row r="4404" spans="1:4" x14ac:dyDescent="0.25">
      <c r="A4404" s="31"/>
      <c r="D4404" s="30"/>
    </row>
    <row r="4405" spans="1:4" x14ac:dyDescent="0.25">
      <c r="A4405" s="31"/>
      <c r="D4405" s="30"/>
    </row>
    <row r="4406" spans="1:4" x14ac:dyDescent="0.25">
      <c r="A4406" s="31"/>
      <c r="D4406" s="30"/>
    </row>
    <row r="4407" spans="1:4" x14ac:dyDescent="0.25">
      <c r="A4407" s="31"/>
      <c r="D4407" s="30"/>
    </row>
    <row r="4408" spans="1:4" x14ac:dyDescent="0.25">
      <c r="A4408" s="31"/>
      <c r="D4408" s="30"/>
    </row>
    <row r="4409" spans="1:4" x14ac:dyDescent="0.25">
      <c r="A4409" s="31"/>
      <c r="D4409" s="30"/>
    </row>
    <row r="4410" spans="1:4" x14ac:dyDescent="0.25">
      <c r="A4410" s="31"/>
      <c r="D4410" s="30"/>
    </row>
    <row r="4411" spans="1:4" x14ac:dyDescent="0.25">
      <c r="A4411" s="31"/>
      <c r="D4411" s="30"/>
    </row>
    <row r="4412" spans="1:4" x14ac:dyDescent="0.25">
      <c r="A4412" s="31"/>
      <c r="D4412" s="30"/>
    </row>
    <row r="4413" spans="1:4" x14ac:dyDescent="0.25">
      <c r="A4413" s="31"/>
      <c r="D4413" s="30"/>
    </row>
    <row r="4414" spans="1:4" x14ac:dyDescent="0.25">
      <c r="A4414" s="31"/>
      <c r="D4414" s="30"/>
    </row>
    <row r="4415" spans="1:4" x14ac:dyDescent="0.25">
      <c r="A4415" s="31"/>
      <c r="D4415" s="30"/>
    </row>
    <row r="4416" spans="1:4" x14ac:dyDescent="0.25">
      <c r="A4416" s="31"/>
      <c r="D4416" s="30"/>
    </row>
    <row r="4417" spans="1:4" x14ac:dyDescent="0.25">
      <c r="A4417" s="31"/>
      <c r="D4417" s="30"/>
    </row>
    <row r="4418" spans="1:4" x14ac:dyDescent="0.25">
      <c r="A4418" s="31"/>
      <c r="D4418" s="30"/>
    </row>
    <row r="4419" spans="1:4" x14ac:dyDescent="0.25">
      <c r="A4419" s="31"/>
      <c r="D4419" s="30"/>
    </row>
    <row r="4420" spans="1:4" x14ac:dyDescent="0.25">
      <c r="A4420" s="31"/>
      <c r="D4420" s="30"/>
    </row>
    <row r="4421" spans="1:4" x14ac:dyDescent="0.25">
      <c r="A4421" s="31"/>
      <c r="D4421" s="30"/>
    </row>
    <row r="4422" spans="1:4" x14ac:dyDescent="0.25">
      <c r="A4422" s="31"/>
      <c r="D4422" s="30"/>
    </row>
    <row r="4423" spans="1:4" x14ac:dyDescent="0.25">
      <c r="A4423" s="31"/>
      <c r="D4423" s="30"/>
    </row>
    <row r="4424" spans="1:4" x14ac:dyDescent="0.25">
      <c r="A4424" s="31"/>
      <c r="D4424" s="30"/>
    </row>
    <row r="4425" spans="1:4" x14ac:dyDescent="0.25">
      <c r="A4425" s="31"/>
      <c r="D4425" s="30"/>
    </row>
    <row r="4426" spans="1:4" x14ac:dyDescent="0.25">
      <c r="A4426" s="31"/>
      <c r="D4426" s="30"/>
    </row>
    <row r="4427" spans="1:4" x14ac:dyDescent="0.25">
      <c r="A4427" s="31"/>
      <c r="D4427" s="30"/>
    </row>
    <row r="4428" spans="1:4" x14ac:dyDescent="0.25">
      <c r="A4428" s="31"/>
      <c r="D4428" s="30"/>
    </row>
    <row r="4429" spans="1:4" x14ac:dyDescent="0.25">
      <c r="A4429" s="31"/>
      <c r="D4429" s="30"/>
    </row>
    <row r="4430" spans="1:4" x14ac:dyDescent="0.25">
      <c r="A4430" s="31"/>
      <c r="D4430" s="30"/>
    </row>
    <row r="4431" spans="1:4" x14ac:dyDescent="0.25">
      <c r="A4431" s="31"/>
      <c r="D4431" s="30"/>
    </row>
    <row r="4432" spans="1:4" x14ac:dyDescent="0.25">
      <c r="A4432" s="31"/>
      <c r="D4432" s="30"/>
    </row>
    <row r="4433" spans="1:4" x14ac:dyDescent="0.25">
      <c r="A4433" s="31"/>
      <c r="D4433" s="30"/>
    </row>
    <row r="4434" spans="1:4" x14ac:dyDescent="0.25">
      <c r="A4434" s="31"/>
      <c r="D4434" s="30"/>
    </row>
    <row r="4435" spans="1:4" x14ac:dyDescent="0.25">
      <c r="A4435" s="31"/>
      <c r="D4435" s="30"/>
    </row>
    <row r="4436" spans="1:4" x14ac:dyDescent="0.25">
      <c r="A4436" s="31"/>
      <c r="D4436" s="30"/>
    </row>
    <row r="4437" spans="1:4" x14ac:dyDescent="0.25">
      <c r="A4437" s="31"/>
      <c r="D4437" s="30"/>
    </row>
    <row r="4438" spans="1:4" x14ac:dyDescent="0.25">
      <c r="A4438" s="31"/>
      <c r="D4438" s="30"/>
    </row>
    <row r="4439" spans="1:4" x14ac:dyDescent="0.25">
      <c r="A4439" s="31"/>
      <c r="D4439" s="30"/>
    </row>
    <row r="4440" spans="1:4" x14ac:dyDescent="0.25">
      <c r="A4440" s="31"/>
      <c r="D4440" s="30"/>
    </row>
    <row r="4441" spans="1:4" x14ac:dyDescent="0.25">
      <c r="A4441" s="31"/>
      <c r="D4441" s="30"/>
    </row>
    <row r="4442" spans="1:4" x14ac:dyDescent="0.25">
      <c r="A4442" s="31"/>
      <c r="D4442" s="30"/>
    </row>
    <row r="4443" spans="1:4" x14ac:dyDescent="0.25">
      <c r="A4443" s="31"/>
      <c r="D4443" s="30"/>
    </row>
    <row r="4444" spans="1:4" x14ac:dyDescent="0.25">
      <c r="A4444" s="31"/>
      <c r="D4444" s="30"/>
    </row>
    <row r="4445" spans="1:4" x14ac:dyDescent="0.25">
      <c r="A4445" s="31"/>
      <c r="D4445" s="30"/>
    </row>
    <row r="4446" spans="1:4" x14ac:dyDescent="0.25">
      <c r="A4446" s="31"/>
      <c r="D4446" s="30"/>
    </row>
    <row r="4447" spans="1:4" x14ac:dyDescent="0.25">
      <c r="A4447" s="31"/>
      <c r="D4447" s="30"/>
    </row>
    <row r="4448" spans="1:4" x14ac:dyDescent="0.25">
      <c r="A4448" s="31"/>
      <c r="D4448" s="30"/>
    </row>
    <row r="4449" spans="1:4" x14ac:dyDescent="0.25">
      <c r="A4449" s="31"/>
      <c r="D4449" s="30"/>
    </row>
    <row r="4450" spans="1:4" x14ac:dyDescent="0.25">
      <c r="A4450" s="31"/>
      <c r="D4450" s="30"/>
    </row>
    <row r="4451" spans="1:4" x14ac:dyDescent="0.25">
      <c r="A4451" s="31"/>
      <c r="D4451" s="30"/>
    </row>
    <row r="4452" spans="1:4" x14ac:dyDescent="0.25">
      <c r="A4452" s="31"/>
      <c r="D4452" s="30"/>
    </row>
    <row r="4453" spans="1:4" x14ac:dyDescent="0.25">
      <c r="A4453" s="31"/>
      <c r="D4453" s="30"/>
    </row>
    <row r="4454" spans="1:4" x14ac:dyDescent="0.25">
      <c r="A4454" s="31"/>
      <c r="D4454" s="30"/>
    </row>
    <row r="4455" spans="1:4" x14ac:dyDescent="0.25">
      <c r="A4455" s="31"/>
      <c r="D4455" s="30"/>
    </row>
    <row r="4456" spans="1:4" x14ac:dyDescent="0.25">
      <c r="A4456" s="31"/>
      <c r="D4456" s="30"/>
    </row>
    <row r="4457" spans="1:4" x14ac:dyDescent="0.25">
      <c r="A4457" s="31"/>
      <c r="D4457" s="30"/>
    </row>
    <row r="4458" spans="1:4" x14ac:dyDescent="0.25">
      <c r="A4458" s="31"/>
      <c r="D4458" s="30"/>
    </row>
    <row r="4459" spans="1:4" x14ac:dyDescent="0.25">
      <c r="A4459" s="31"/>
      <c r="D4459" s="30"/>
    </row>
    <row r="4460" spans="1:4" x14ac:dyDescent="0.25">
      <c r="A4460" s="31"/>
      <c r="D4460" s="30"/>
    </row>
    <row r="4461" spans="1:4" x14ac:dyDescent="0.25">
      <c r="A4461" s="31"/>
      <c r="D4461" s="30"/>
    </row>
    <row r="4462" spans="1:4" x14ac:dyDescent="0.25">
      <c r="A4462" s="31"/>
      <c r="D4462" s="30"/>
    </row>
    <row r="4463" spans="1:4" x14ac:dyDescent="0.25">
      <c r="A4463" s="31"/>
      <c r="D4463" s="30"/>
    </row>
    <row r="4464" spans="1:4" x14ac:dyDescent="0.25">
      <c r="A4464" s="31"/>
      <c r="D4464" s="30"/>
    </row>
    <row r="4465" spans="1:4" x14ac:dyDescent="0.25">
      <c r="A4465" s="31"/>
      <c r="D4465" s="30"/>
    </row>
    <row r="4466" spans="1:4" x14ac:dyDescent="0.25">
      <c r="A4466" s="31"/>
      <c r="D4466" s="30"/>
    </row>
    <row r="4467" spans="1:4" x14ac:dyDescent="0.25">
      <c r="A4467" s="31"/>
      <c r="D4467" s="30"/>
    </row>
    <row r="4468" spans="1:4" x14ac:dyDescent="0.25">
      <c r="A4468" s="31"/>
      <c r="D4468" s="30"/>
    </row>
    <row r="4469" spans="1:4" x14ac:dyDescent="0.25">
      <c r="A4469" s="31"/>
      <c r="D4469" s="30"/>
    </row>
    <row r="4470" spans="1:4" x14ac:dyDescent="0.25">
      <c r="A4470" s="31"/>
      <c r="D4470" s="30"/>
    </row>
    <row r="4471" spans="1:4" x14ac:dyDescent="0.25">
      <c r="A4471" s="31"/>
      <c r="D4471" s="30"/>
    </row>
    <row r="4472" spans="1:4" x14ac:dyDescent="0.25">
      <c r="A4472" s="31"/>
      <c r="D4472" s="30"/>
    </row>
    <row r="4473" spans="1:4" x14ac:dyDescent="0.25">
      <c r="A4473" s="31"/>
      <c r="D4473" s="30"/>
    </row>
    <row r="4474" spans="1:4" x14ac:dyDescent="0.25">
      <c r="A4474" s="31"/>
      <c r="D4474" s="30"/>
    </row>
    <row r="4475" spans="1:4" x14ac:dyDescent="0.25">
      <c r="A4475" s="31"/>
      <c r="D4475" s="30"/>
    </row>
    <row r="4476" spans="1:4" x14ac:dyDescent="0.25">
      <c r="A4476" s="31"/>
      <c r="D4476" s="30"/>
    </row>
    <row r="4477" spans="1:4" x14ac:dyDescent="0.25">
      <c r="A4477" s="31"/>
      <c r="D4477" s="30"/>
    </row>
    <row r="4478" spans="1:4" x14ac:dyDescent="0.25">
      <c r="A4478" s="31"/>
      <c r="D4478" s="30"/>
    </row>
    <row r="4479" spans="1:4" x14ac:dyDescent="0.25">
      <c r="A4479" s="31"/>
      <c r="D4479" s="30"/>
    </row>
    <row r="4480" spans="1:4" x14ac:dyDescent="0.25">
      <c r="A4480" s="31"/>
      <c r="D4480" s="30"/>
    </row>
    <row r="4481" spans="1:4" x14ac:dyDescent="0.25">
      <c r="A4481" s="31"/>
      <c r="D4481" s="30"/>
    </row>
    <row r="4482" spans="1:4" x14ac:dyDescent="0.25">
      <c r="A4482" s="31"/>
      <c r="D4482" s="30"/>
    </row>
    <row r="4483" spans="1:4" x14ac:dyDescent="0.25">
      <c r="A4483" s="31"/>
      <c r="D4483" s="30"/>
    </row>
    <row r="4484" spans="1:4" x14ac:dyDescent="0.25">
      <c r="A4484" s="31"/>
      <c r="D4484" s="30"/>
    </row>
    <row r="4485" spans="1:4" x14ac:dyDescent="0.25">
      <c r="A4485" s="31"/>
      <c r="D4485" s="30"/>
    </row>
    <row r="4486" spans="1:4" x14ac:dyDescent="0.25">
      <c r="A4486" s="31"/>
      <c r="D4486" s="30"/>
    </row>
    <row r="4487" spans="1:4" x14ac:dyDescent="0.25">
      <c r="A4487" s="31"/>
      <c r="D4487" s="30"/>
    </row>
    <row r="4488" spans="1:4" x14ac:dyDescent="0.25">
      <c r="A4488" s="31"/>
      <c r="D4488" s="30"/>
    </row>
    <row r="4489" spans="1:4" x14ac:dyDescent="0.25">
      <c r="A4489" s="31"/>
      <c r="D4489" s="30"/>
    </row>
    <row r="4490" spans="1:4" x14ac:dyDescent="0.25">
      <c r="A4490" s="31"/>
      <c r="D4490" s="30"/>
    </row>
    <row r="4491" spans="1:4" x14ac:dyDescent="0.25">
      <c r="A4491" s="31"/>
      <c r="D4491" s="30"/>
    </row>
    <row r="4492" spans="1:4" x14ac:dyDescent="0.25">
      <c r="A4492" s="31"/>
      <c r="D4492" s="30"/>
    </row>
    <row r="4493" spans="1:4" x14ac:dyDescent="0.25">
      <c r="A4493" s="31"/>
      <c r="D4493" s="30"/>
    </row>
    <row r="4494" spans="1:4" x14ac:dyDescent="0.25">
      <c r="A4494" s="31"/>
      <c r="D4494" s="30"/>
    </row>
    <row r="4495" spans="1:4" x14ac:dyDescent="0.25">
      <c r="A4495" s="31"/>
      <c r="D4495" s="30"/>
    </row>
    <row r="4496" spans="1:4" x14ac:dyDescent="0.25">
      <c r="A4496" s="31"/>
      <c r="D4496" s="30"/>
    </row>
    <row r="4497" spans="1:4" x14ac:dyDescent="0.25">
      <c r="A4497" s="31"/>
      <c r="D4497" s="30"/>
    </row>
    <row r="4498" spans="1:4" x14ac:dyDescent="0.25">
      <c r="A4498" s="31"/>
      <c r="D4498" s="30"/>
    </row>
    <row r="4499" spans="1:4" x14ac:dyDescent="0.25">
      <c r="A4499" s="31"/>
      <c r="D4499" s="30"/>
    </row>
    <row r="4500" spans="1:4" x14ac:dyDescent="0.25">
      <c r="A4500" s="31"/>
      <c r="D4500" s="30"/>
    </row>
    <row r="4501" spans="1:4" x14ac:dyDescent="0.25">
      <c r="A4501" s="31"/>
      <c r="D4501" s="30"/>
    </row>
    <row r="4502" spans="1:4" x14ac:dyDescent="0.25">
      <c r="A4502" s="31"/>
      <c r="D4502" s="30"/>
    </row>
    <row r="4503" spans="1:4" x14ac:dyDescent="0.25">
      <c r="A4503" s="31"/>
      <c r="D4503" s="30"/>
    </row>
    <row r="4504" spans="1:4" x14ac:dyDescent="0.25">
      <c r="A4504" s="31"/>
      <c r="D4504" s="30"/>
    </row>
    <row r="4505" spans="1:4" x14ac:dyDescent="0.25">
      <c r="A4505" s="31"/>
      <c r="D4505" s="30"/>
    </row>
    <row r="4506" spans="1:4" x14ac:dyDescent="0.25">
      <c r="A4506" s="31"/>
      <c r="D4506" s="30"/>
    </row>
    <row r="4507" spans="1:4" x14ac:dyDescent="0.25">
      <c r="A4507" s="31"/>
      <c r="D4507" s="30"/>
    </row>
    <row r="4508" spans="1:4" x14ac:dyDescent="0.25">
      <c r="A4508" s="31"/>
      <c r="D4508" s="30"/>
    </row>
    <row r="4509" spans="1:4" x14ac:dyDescent="0.25">
      <c r="A4509" s="31"/>
      <c r="D4509" s="30"/>
    </row>
    <row r="4510" spans="1:4" x14ac:dyDescent="0.25">
      <c r="A4510" s="31"/>
      <c r="D4510" s="30"/>
    </row>
    <row r="4511" spans="1:4" x14ac:dyDescent="0.25">
      <c r="A4511" s="31"/>
      <c r="D4511" s="30"/>
    </row>
    <row r="4512" spans="1:4" x14ac:dyDescent="0.25">
      <c r="A4512" s="31"/>
      <c r="D4512" s="30"/>
    </row>
    <row r="4513" spans="1:4" x14ac:dyDescent="0.25">
      <c r="A4513" s="31"/>
      <c r="D4513" s="30"/>
    </row>
    <row r="4514" spans="1:4" x14ac:dyDescent="0.25">
      <c r="A4514" s="31"/>
      <c r="D4514" s="30"/>
    </row>
    <row r="4515" spans="1:4" x14ac:dyDescent="0.25">
      <c r="A4515" s="31"/>
      <c r="D4515" s="30"/>
    </row>
    <row r="4516" spans="1:4" x14ac:dyDescent="0.25">
      <c r="A4516" s="31"/>
      <c r="D4516" s="30"/>
    </row>
    <row r="4517" spans="1:4" x14ac:dyDescent="0.25">
      <c r="A4517" s="31"/>
      <c r="D4517" s="30"/>
    </row>
    <row r="4518" spans="1:4" x14ac:dyDescent="0.25">
      <c r="A4518" s="31"/>
      <c r="D4518" s="30"/>
    </row>
    <row r="4519" spans="1:4" x14ac:dyDescent="0.25">
      <c r="A4519" s="31"/>
      <c r="D4519" s="30"/>
    </row>
    <row r="4520" spans="1:4" x14ac:dyDescent="0.25">
      <c r="A4520" s="31"/>
      <c r="D4520" s="30"/>
    </row>
    <row r="4521" spans="1:4" x14ac:dyDescent="0.25">
      <c r="A4521" s="31"/>
      <c r="D4521" s="30"/>
    </row>
    <row r="4522" spans="1:4" x14ac:dyDescent="0.25">
      <c r="A4522" s="31"/>
      <c r="D4522" s="30"/>
    </row>
    <row r="4523" spans="1:4" x14ac:dyDescent="0.25">
      <c r="A4523" s="31"/>
      <c r="D4523" s="30"/>
    </row>
    <row r="4524" spans="1:4" x14ac:dyDescent="0.25">
      <c r="A4524" s="31"/>
      <c r="D4524" s="30"/>
    </row>
    <row r="4525" spans="1:4" x14ac:dyDescent="0.25">
      <c r="A4525" s="31"/>
      <c r="D4525" s="30"/>
    </row>
    <row r="4526" spans="1:4" x14ac:dyDescent="0.25">
      <c r="A4526" s="31"/>
      <c r="D4526" s="30"/>
    </row>
    <row r="4527" spans="1:4" x14ac:dyDescent="0.25">
      <c r="A4527" s="31"/>
      <c r="D4527" s="30"/>
    </row>
    <row r="4528" spans="1:4" x14ac:dyDescent="0.25">
      <c r="A4528" s="31"/>
      <c r="D4528" s="30"/>
    </row>
    <row r="4529" spans="1:4" x14ac:dyDescent="0.25">
      <c r="A4529" s="31"/>
      <c r="D4529" s="30"/>
    </row>
    <row r="4530" spans="1:4" x14ac:dyDescent="0.25">
      <c r="A4530" s="31"/>
      <c r="D4530" s="30"/>
    </row>
    <row r="4531" spans="1:4" x14ac:dyDescent="0.25">
      <c r="A4531" s="31"/>
      <c r="D4531" s="30"/>
    </row>
    <row r="4532" spans="1:4" x14ac:dyDescent="0.25">
      <c r="A4532" s="31"/>
      <c r="D4532" s="30"/>
    </row>
    <row r="4533" spans="1:4" x14ac:dyDescent="0.25">
      <c r="A4533" s="31"/>
      <c r="D4533" s="30"/>
    </row>
    <row r="4534" spans="1:4" x14ac:dyDescent="0.25">
      <c r="A4534" s="31"/>
      <c r="D4534" s="30"/>
    </row>
    <row r="4535" spans="1:4" x14ac:dyDescent="0.25">
      <c r="A4535" s="31"/>
      <c r="D4535" s="30"/>
    </row>
    <row r="4536" spans="1:4" x14ac:dyDescent="0.25">
      <c r="A4536" s="31"/>
      <c r="D4536" s="30"/>
    </row>
    <row r="4537" spans="1:4" x14ac:dyDescent="0.25">
      <c r="A4537" s="31"/>
      <c r="D4537" s="30"/>
    </row>
    <row r="4538" spans="1:4" x14ac:dyDescent="0.25">
      <c r="A4538" s="31"/>
      <c r="D4538" s="30"/>
    </row>
    <row r="4539" spans="1:4" x14ac:dyDescent="0.25">
      <c r="A4539" s="31"/>
      <c r="D4539" s="30"/>
    </row>
    <row r="4540" spans="1:4" x14ac:dyDescent="0.25">
      <c r="A4540" s="31"/>
      <c r="D4540" s="30"/>
    </row>
    <row r="4541" spans="1:4" x14ac:dyDescent="0.25">
      <c r="A4541" s="31"/>
      <c r="D4541" s="30"/>
    </row>
    <row r="4542" spans="1:4" x14ac:dyDescent="0.25">
      <c r="A4542" s="31"/>
      <c r="D4542" s="30"/>
    </row>
    <row r="4543" spans="1:4" x14ac:dyDescent="0.25">
      <c r="A4543" s="31"/>
      <c r="D4543" s="30"/>
    </row>
    <row r="4544" spans="1:4" x14ac:dyDescent="0.25">
      <c r="A4544" s="31"/>
      <c r="D4544" s="30"/>
    </row>
    <row r="4545" spans="1:4" x14ac:dyDescent="0.25">
      <c r="A4545" s="31"/>
      <c r="D4545" s="30"/>
    </row>
    <row r="4546" spans="1:4" x14ac:dyDescent="0.25">
      <c r="A4546" s="31"/>
      <c r="D4546" s="30"/>
    </row>
    <row r="4547" spans="1:4" x14ac:dyDescent="0.25">
      <c r="A4547" s="31"/>
      <c r="D4547" s="30"/>
    </row>
    <row r="4548" spans="1:4" x14ac:dyDescent="0.25">
      <c r="A4548" s="31"/>
      <c r="D4548" s="30"/>
    </row>
    <row r="4549" spans="1:4" x14ac:dyDescent="0.25">
      <c r="A4549" s="31"/>
      <c r="D4549" s="30"/>
    </row>
    <row r="4550" spans="1:4" x14ac:dyDescent="0.25">
      <c r="A4550" s="31"/>
      <c r="D4550" s="30"/>
    </row>
    <row r="4551" spans="1:4" x14ac:dyDescent="0.25">
      <c r="A4551" s="31"/>
      <c r="D4551" s="30"/>
    </row>
    <row r="4552" spans="1:4" x14ac:dyDescent="0.25">
      <c r="A4552" s="31"/>
      <c r="D4552" s="30"/>
    </row>
    <row r="4553" spans="1:4" x14ac:dyDescent="0.25">
      <c r="A4553" s="31"/>
      <c r="D4553" s="30"/>
    </row>
    <row r="4554" spans="1:4" x14ac:dyDescent="0.25">
      <c r="A4554" s="31"/>
      <c r="D4554" s="30"/>
    </row>
    <row r="4555" spans="1:4" x14ac:dyDescent="0.25">
      <c r="A4555" s="31"/>
      <c r="D4555" s="30"/>
    </row>
    <row r="4556" spans="1:4" x14ac:dyDescent="0.25">
      <c r="A4556" s="31"/>
      <c r="D4556" s="30"/>
    </row>
    <row r="4557" spans="1:4" x14ac:dyDescent="0.25">
      <c r="A4557" s="31"/>
      <c r="D4557" s="30"/>
    </row>
    <row r="4558" spans="1:4" x14ac:dyDescent="0.25">
      <c r="A4558" s="31"/>
      <c r="D4558" s="30"/>
    </row>
    <row r="4559" spans="1:4" x14ac:dyDescent="0.25">
      <c r="A4559" s="31"/>
      <c r="D4559" s="30"/>
    </row>
    <row r="4560" spans="1:4" x14ac:dyDescent="0.25">
      <c r="A4560" s="31"/>
      <c r="D4560" s="30"/>
    </row>
    <row r="4561" spans="1:4" x14ac:dyDescent="0.25">
      <c r="A4561" s="31"/>
      <c r="D4561" s="30"/>
    </row>
    <row r="4562" spans="1:4" x14ac:dyDescent="0.25">
      <c r="A4562" s="31"/>
      <c r="D4562" s="30"/>
    </row>
    <row r="4563" spans="1:4" x14ac:dyDescent="0.25">
      <c r="A4563" s="31"/>
      <c r="D4563" s="30"/>
    </row>
    <row r="4564" spans="1:4" x14ac:dyDescent="0.25">
      <c r="A4564" s="31"/>
      <c r="D4564" s="30"/>
    </row>
    <row r="4565" spans="1:4" x14ac:dyDescent="0.25">
      <c r="A4565" s="31"/>
      <c r="D4565" s="30"/>
    </row>
    <row r="4566" spans="1:4" x14ac:dyDescent="0.25">
      <c r="A4566" s="31"/>
      <c r="D4566" s="30"/>
    </row>
    <row r="4567" spans="1:4" x14ac:dyDescent="0.25">
      <c r="A4567" s="31"/>
      <c r="D4567" s="30"/>
    </row>
    <row r="4568" spans="1:4" x14ac:dyDescent="0.25">
      <c r="A4568" s="31"/>
      <c r="D4568" s="30"/>
    </row>
    <row r="4569" spans="1:4" x14ac:dyDescent="0.25">
      <c r="A4569" s="31"/>
      <c r="D4569" s="30"/>
    </row>
    <row r="4570" spans="1:4" x14ac:dyDescent="0.25">
      <c r="A4570" s="31"/>
      <c r="D4570" s="30"/>
    </row>
    <row r="4571" spans="1:4" x14ac:dyDescent="0.25">
      <c r="A4571" s="31"/>
      <c r="D4571" s="30"/>
    </row>
    <row r="4572" spans="1:4" x14ac:dyDescent="0.25">
      <c r="A4572" s="31"/>
      <c r="D4572" s="30"/>
    </row>
    <row r="4573" spans="1:4" x14ac:dyDescent="0.25">
      <c r="A4573" s="31"/>
      <c r="D4573" s="30"/>
    </row>
    <row r="4574" spans="1:4" x14ac:dyDescent="0.25">
      <c r="A4574" s="31"/>
      <c r="D4574" s="30"/>
    </row>
    <row r="4575" spans="1:4" x14ac:dyDescent="0.25">
      <c r="A4575" s="31"/>
      <c r="D4575" s="30"/>
    </row>
    <row r="4576" spans="1:4" x14ac:dyDescent="0.25">
      <c r="A4576" s="31"/>
      <c r="D4576" s="30"/>
    </row>
    <row r="4577" spans="1:4" x14ac:dyDescent="0.25">
      <c r="A4577" s="31"/>
      <c r="D4577" s="30"/>
    </row>
    <row r="4578" spans="1:4" x14ac:dyDescent="0.25">
      <c r="A4578" s="31"/>
      <c r="D4578" s="30"/>
    </row>
    <row r="4579" spans="1:4" x14ac:dyDescent="0.25">
      <c r="A4579" s="31"/>
      <c r="D4579" s="30"/>
    </row>
    <row r="4580" spans="1:4" x14ac:dyDescent="0.25">
      <c r="A4580" s="31"/>
      <c r="D4580" s="30"/>
    </row>
    <row r="4581" spans="1:4" x14ac:dyDescent="0.25">
      <c r="A4581" s="31"/>
      <c r="D4581" s="30"/>
    </row>
    <row r="4582" spans="1:4" x14ac:dyDescent="0.25">
      <c r="A4582" s="31"/>
      <c r="D4582" s="30"/>
    </row>
    <row r="4583" spans="1:4" x14ac:dyDescent="0.25">
      <c r="A4583" s="31"/>
      <c r="D4583" s="30"/>
    </row>
    <row r="4584" spans="1:4" x14ac:dyDescent="0.25">
      <c r="A4584" s="31"/>
      <c r="D4584" s="30"/>
    </row>
    <row r="4585" spans="1:4" x14ac:dyDescent="0.25">
      <c r="A4585" s="31"/>
      <c r="D4585" s="30"/>
    </row>
    <row r="4586" spans="1:4" x14ac:dyDescent="0.25">
      <c r="A4586" s="31"/>
      <c r="D4586" s="30"/>
    </row>
    <row r="4587" spans="1:4" x14ac:dyDescent="0.25">
      <c r="A4587" s="31"/>
      <c r="D4587" s="30"/>
    </row>
    <row r="4588" spans="1:4" x14ac:dyDescent="0.25">
      <c r="A4588" s="31"/>
      <c r="D4588" s="30"/>
    </row>
    <row r="4589" spans="1:4" x14ac:dyDescent="0.25">
      <c r="A4589" s="31"/>
      <c r="D4589" s="30"/>
    </row>
    <row r="4590" spans="1:4" x14ac:dyDescent="0.25">
      <c r="A4590" s="31"/>
      <c r="D4590" s="30"/>
    </row>
    <row r="4591" spans="1:4" x14ac:dyDescent="0.25">
      <c r="A4591" s="31"/>
      <c r="D4591" s="30"/>
    </row>
    <row r="4592" spans="1:4" x14ac:dyDescent="0.25">
      <c r="A4592" s="31"/>
      <c r="D4592" s="30"/>
    </row>
    <row r="4593" spans="1:4" x14ac:dyDescent="0.25">
      <c r="A4593" s="31"/>
      <c r="D4593" s="30"/>
    </row>
    <row r="4594" spans="1:4" x14ac:dyDescent="0.25">
      <c r="A4594" s="31"/>
      <c r="D4594" s="30"/>
    </row>
    <row r="4595" spans="1:4" x14ac:dyDescent="0.25">
      <c r="A4595" s="31"/>
      <c r="D4595" s="30"/>
    </row>
    <row r="4596" spans="1:4" x14ac:dyDescent="0.25">
      <c r="A4596" s="31"/>
      <c r="D4596" s="30"/>
    </row>
    <row r="4597" spans="1:4" x14ac:dyDescent="0.25">
      <c r="A4597" s="31"/>
      <c r="D4597" s="30"/>
    </row>
    <row r="4598" spans="1:4" x14ac:dyDescent="0.25">
      <c r="A4598" s="31"/>
      <c r="D4598" s="30"/>
    </row>
    <row r="4599" spans="1:4" x14ac:dyDescent="0.25">
      <c r="A4599" s="31"/>
      <c r="D4599" s="30"/>
    </row>
    <row r="4600" spans="1:4" x14ac:dyDescent="0.25">
      <c r="A4600" s="31"/>
      <c r="D4600" s="30"/>
    </row>
    <row r="4601" spans="1:4" x14ac:dyDescent="0.25">
      <c r="A4601" s="31"/>
      <c r="D4601" s="30"/>
    </row>
    <row r="4602" spans="1:4" x14ac:dyDescent="0.25">
      <c r="A4602" s="31"/>
      <c r="D4602" s="30"/>
    </row>
    <row r="4603" spans="1:4" x14ac:dyDescent="0.25">
      <c r="A4603" s="31"/>
      <c r="D4603" s="30"/>
    </row>
    <row r="4604" spans="1:4" x14ac:dyDescent="0.25">
      <c r="A4604" s="31"/>
      <c r="D4604" s="30"/>
    </row>
    <row r="4605" spans="1:4" x14ac:dyDescent="0.25">
      <c r="A4605" s="31"/>
      <c r="D4605" s="30"/>
    </row>
    <row r="4606" spans="1:4" x14ac:dyDescent="0.25">
      <c r="A4606" s="31"/>
      <c r="D4606" s="30"/>
    </row>
    <row r="4607" spans="1:4" x14ac:dyDescent="0.25">
      <c r="A4607" s="31"/>
      <c r="D4607" s="30"/>
    </row>
    <row r="4608" spans="1:4" x14ac:dyDescent="0.25">
      <c r="A4608" s="31"/>
      <c r="D4608" s="30"/>
    </row>
    <row r="4609" spans="1:4" x14ac:dyDescent="0.25">
      <c r="A4609" s="31"/>
      <c r="D4609" s="30"/>
    </row>
    <row r="4610" spans="1:4" x14ac:dyDescent="0.25">
      <c r="A4610" s="31"/>
      <c r="D4610" s="30"/>
    </row>
    <row r="4611" spans="1:4" x14ac:dyDescent="0.25">
      <c r="A4611" s="31"/>
      <c r="D4611" s="30"/>
    </row>
    <row r="4612" spans="1:4" x14ac:dyDescent="0.25">
      <c r="A4612" s="31"/>
      <c r="D4612" s="30"/>
    </row>
    <row r="4613" spans="1:4" x14ac:dyDescent="0.25">
      <c r="A4613" s="31"/>
      <c r="D4613" s="30"/>
    </row>
    <row r="4614" spans="1:4" x14ac:dyDescent="0.25">
      <c r="A4614" s="31"/>
      <c r="D4614" s="30"/>
    </row>
    <row r="4615" spans="1:4" x14ac:dyDescent="0.25">
      <c r="A4615" s="31"/>
      <c r="D4615" s="30"/>
    </row>
    <row r="4616" spans="1:4" x14ac:dyDescent="0.25">
      <c r="A4616" s="31"/>
      <c r="D4616" s="30"/>
    </row>
    <row r="4617" spans="1:4" x14ac:dyDescent="0.25">
      <c r="A4617" s="31"/>
      <c r="D4617" s="30"/>
    </row>
    <row r="4618" spans="1:4" x14ac:dyDescent="0.25">
      <c r="A4618" s="31"/>
      <c r="D4618" s="30"/>
    </row>
    <row r="4619" spans="1:4" x14ac:dyDescent="0.25">
      <c r="A4619" s="31"/>
      <c r="D4619" s="30"/>
    </row>
    <row r="4620" spans="1:4" x14ac:dyDescent="0.25">
      <c r="A4620" s="31"/>
      <c r="D4620" s="30"/>
    </row>
    <row r="4621" spans="1:4" x14ac:dyDescent="0.25">
      <c r="A4621" s="31"/>
      <c r="D4621" s="30"/>
    </row>
    <row r="4622" spans="1:4" x14ac:dyDescent="0.25">
      <c r="A4622" s="31"/>
      <c r="D4622" s="30"/>
    </row>
    <row r="4623" spans="1:4" x14ac:dyDescent="0.25">
      <c r="A4623" s="31"/>
      <c r="D4623" s="30"/>
    </row>
    <row r="4624" spans="1:4" x14ac:dyDescent="0.25">
      <c r="A4624" s="31"/>
      <c r="D4624" s="30"/>
    </row>
    <row r="4625" spans="1:4" x14ac:dyDescent="0.25">
      <c r="A4625" s="31"/>
      <c r="D4625" s="30"/>
    </row>
    <row r="4626" spans="1:4" x14ac:dyDescent="0.25">
      <c r="A4626" s="31"/>
      <c r="D4626" s="30"/>
    </row>
    <row r="4627" spans="1:4" x14ac:dyDescent="0.25">
      <c r="A4627" s="31"/>
      <c r="D4627" s="30"/>
    </row>
    <row r="4628" spans="1:4" x14ac:dyDescent="0.25">
      <c r="A4628" s="31"/>
      <c r="D4628" s="30"/>
    </row>
    <row r="4629" spans="1:4" x14ac:dyDescent="0.25">
      <c r="A4629" s="31"/>
      <c r="D4629" s="30"/>
    </row>
    <row r="4630" spans="1:4" x14ac:dyDescent="0.25">
      <c r="A4630" s="31"/>
      <c r="D4630" s="30"/>
    </row>
    <row r="4631" spans="1:4" x14ac:dyDescent="0.25">
      <c r="A4631" s="31"/>
      <c r="D4631" s="30"/>
    </row>
    <row r="4632" spans="1:4" x14ac:dyDescent="0.25">
      <c r="A4632" s="31"/>
      <c r="D4632" s="30"/>
    </row>
    <row r="4633" spans="1:4" x14ac:dyDescent="0.25">
      <c r="A4633" s="31"/>
      <c r="D4633" s="30"/>
    </row>
    <row r="4634" spans="1:4" x14ac:dyDescent="0.25">
      <c r="A4634" s="31"/>
      <c r="D4634" s="30"/>
    </row>
    <row r="4635" spans="1:4" x14ac:dyDescent="0.25">
      <c r="A4635" s="31"/>
      <c r="D4635" s="30"/>
    </row>
    <row r="4636" spans="1:4" x14ac:dyDescent="0.25">
      <c r="A4636" s="31"/>
      <c r="D4636" s="30"/>
    </row>
    <row r="4637" spans="1:4" x14ac:dyDescent="0.25">
      <c r="A4637" s="31"/>
      <c r="D4637" s="30"/>
    </row>
    <row r="4638" spans="1:4" x14ac:dyDescent="0.25">
      <c r="A4638" s="31"/>
      <c r="D4638" s="30"/>
    </row>
    <row r="4639" spans="1:4" x14ac:dyDescent="0.25">
      <c r="A4639" s="31"/>
      <c r="D4639" s="30"/>
    </row>
    <row r="4640" spans="1:4" x14ac:dyDescent="0.25">
      <c r="A4640" s="31"/>
      <c r="D4640" s="30"/>
    </row>
    <row r="4641" spans="1:4" x14ac:dyDescent="0.25">
      <c r="A4641" s="31"/>
      <c r="D4641" s="30"/>
    </row>
    <row r="4642" spans="1:4" x14ac:dyDescent="0.25">
      <c r="A4642" s="31"/>
      <c r="D4642" s="30"/>
    </row>
    <row r="4643" spans="1:4" x14ac:dyDescent="0.25">
      <c r="A4643" s="31"/>
      <c r="D4643" s="30"/>
    </row>
    <row r="4644" spans="1:4" x14ac:dyDescent="0.25">
      <c r="A4644" s="31"/>
      <c r="D4644" s="30"/>
    </row>
    <row r="4645" spans="1:4" x14ac:dyDescent="0.25">
      <c r="A4645" s="31"/>
      <c r="D4645" s="30"/>
    </row>
    <row r="4646" spans="1:4" x14ac:dyDescent="0.25">
      <c r="A4646" s="31"/>
      <c r="D4646" s="30"/>
    </row>
    <row r="4647" spans="1:4" x14ac:dyDescent="0.25">
      <c r="A4647" s="31"/>
      <c r="D4647" s="30"/>
    </row>
    <row r="4648" spans="1:4" x14ac:dyDescent="0.25">
      <c r="A4648" s="31"/>
      <c r="D4648" s="30"/>
    </row>
    <row r="4649" spans="1:4" x14ac:dyDescent="0.25">
      <c r="A4649" s="31"/>
      <c r="D4649" s="30"/>
    </row>
    <row r="4650" spans="1:4" x14ac:dyDescent="0.25">
      <c r="A4650" s="31"/>
      <c r="D4650" s="30"/>
    </row>
    <row r="4651" spans="1:4" x14ac:dyDescent="0.25">
      <c r="A4651" s="31"/>
      <c r="D4651" s="30"/>
    </row>
    <row r="4652" spans="1:4" x14ac:dyDescent="0.25">
      <c r="A4652" s="31"/>
      <c r="D4652" s="30"/>
    </row>
    <row r="4653" spans="1:4" x14ac:dyDescent="0.25">
      <c r="A4653" s="31"/>
      <c r="D4653" s="30"/>
    </row>
    <row r="4654" spans="1:4" x14ac:dyDescent="0.25">
      <c r="A4654" s="31"/>
      <c r="D4654" s="30"/>
    </row>
    <row r="4655" spans="1:4" x14ac:dyDescent="0.25">
      <c r="A4655" s="31"/>
      <c r="D4655" s="30"/>
    </row>
    <row r="4656" spans="1:4" x14ac:dyDescent="0.25">
      <c r="A4656" s="31"/>
      <c r="D4656" s="30"/>
    </row>
    <row r="4657" spans="1:4" x14ac:dyDescent="0.25">
      <c r="A4657" s="31"/>
      <c r="D4657" s="30"/>
    </row>
    <row r="4658" spans="1:4" x14ac:dyDescent="0.25">
      <c r="A4658" s="31"/>
      <c r="D4658" s="30"/>
    </row>
    <row r="4659" spans="1:4" x14ac:dyDescent="0.25">
      <c r="A4659" s="31"/>
      <c r="D4659" s="30"/>
    </row>
    <row r="4660" spans="1:4" x14ac:dyDescent="0.25">
      <c r="A4660" s="31"/>
      <c r="D4660" s="30"/>
    </row>
    <row r="4661" spans="1:4" x14ac:dyDescent="0.25">
      <c r="A4661" s="31"/>
      <c r="D4661" s="30"/>
    </row>
    <row r="4662" spans="1:4" x14ac:dyDescent="0.25">
      <c r="A4662" s="31"/>
      <c r="D4662" s="30"/>
    </row>
    <row r="4663" spans="1:4" x14ac:dyDescent="0.25">
      <c r="A4663" s="31"/>
      <c r="D4663" s="30"/>
    </row>
    <row r="4664" spans="1:4" x14ac:dyDescent="0.25">
      <c r="A4664" s="31"/>
      <c r="D4664" s="30"/>
    </row>
    <row r="4665" spans="1:4" x14ac:dyDescent="0.25">
      <c r="A4665" s="31"/>
      <c r="D4665" s="30"/>
    </row>
    <row r="4666" spans="1:4" x14ac:dyDescent="0.25">
      <c r="A4666" s="31"/>
      <c r="D4666" s="30"/>
    </row>
    <row r="4667" spans="1:4" x14ac:dyDescent="0.25">
      <c r="A4667" s="31"/>
      <c r="D4667" s="30"/>
    </row>
    <row r="4668" spans="1:4" x14ac:dyDescent="0.25">
      <c r="A4668" s="31"/>
      <c r="D4668" s="30"/>
    </row>
    <row r="4669" spans="1:4" x14ac:dyDescent="0.25">
      <c r="A4669" s="31"/>
      <c r="D4669" s="30"/>
    </row>
    <row r="4670" spans="1:4" x14ac:dyDescent="0.25">
      <c r="A4670" s="31"/>
      <c r="D4670" s="30"/>
    </row>
    <row r="4671" spans="1:4" x14ac:dyDescent="0.25">
      <c r="A4671" s="31"/>
      <c r="D4671" s="30"/>
    </row>
    <row r="4672" spans="1:4" x14ac:dyDescent="0.25">
      <c r="A4672" s="31"/>
      <c r="D4672" s="30"/>
    </row>
    <row r="4673" spans="1:4" x14ac:dyDescent="0.25">
      <c r="A4673" s="31"/>
      <c r="D4673" s="30"/>
    </row>
    <row r="4674" spans="1:4" x14ac:dyDescent="0.25">
      <c r="A4674" s="31"/>
      <c r="D4674" s="30"/>
    </row>
    <row r="4675" spans="1:4" x14ac:dyDescent="0.25">
      <c r="A4675" s="31"/>
      <c r="D4675" s="30"/>
    </row>
    <row r="4676" spans="1:4" x14ac:dyDescent="0.25">
      <c r="A4676" s="31"/>
      <c r="D4676" s="30"/>
    </row>
    <row r="4677" spans="1:4" x14ac:dyDescent="0.25">
      <c r="A4677" s="31"/>
      <c r="D4677" s="30"/>
    </row>
    <row r="4678" spans="1:4" x14ac:dyDescent="0.25">
      <c r="A4678" s="31"/>
      <c r="D4678" s="30"/>
    </row>
    <row r="4679" spans="1:4" x14ac:dyDescent="0.25">
      <c r="A4679" s="31"/>
      <c r="D4679" s="30"/>
    </row>
    <row r="4680" spans="1:4" x14ac:dyDescent="0.25">
      <c r="A4680" s="31"/>
      <c r="D4680" s="30"/>
    </row>
    <row r="4681" spans="1:4" x14ac:dyDescent="0.25">
      <c r="A4681" s="31"/>
      <c r="D4681" s="30"/>
    </row>
    <row r="4682" spans="1:4" x14ac:dyDescent="0.25">
      <c r="A4682" s="31"/>
      <c r="D4682" s="30"/>
    </row>
    <row r="4683" spans="1:4" x14ac:dyDescent="0.25">
      <c r="A4683" s="31"/>
      <c r="D4683" s="30"/>
    </row>
    <row r="4684" spans="1:4" x14ac:dyDescent="0.25">
      <c r="A4684" s="31"/>
      <c r="D4684" s="30"/>
    </row>
    <row r="4685" spans="1:4" x14ac:dyDescent="0.25">
      <c r="A4685" s="31"/>
      <c r="D4685" s="30"/>
    </row>
    <row r="4686" spans="1:4" x14ac:dyDescent="0.25">
      <c r="A4686" s="31"/>
      <c r="D4686" s="30"/>
    </row>
    <row r="4687" spans="1:4" x14ac:dyDescent="0.25">
      <c r="A4687" s="31"/>
      <c r="D4687" s="30"/>
    </row>
    <row r="4688" spans="1:4" x14ac:dyDescent="0.25">
      <c r="A4688" s="31"/>
      <c r="D4688" s="30"/>
    </row>
    <row r="4689" spans="1:4" x14ac:dyDescent="0.25">
      <c r="A4689" s="31"/>
      <c r="D4689" s="30"/>
    </row>
    <row r="4690" spans="1:4" x14ac:dyDescent="0.25">
      <c r="A4690" s="31"/>
      <c r="D4690" s="30"/>
    </row>
    <row r="4691" spans="1:4" x14ac:dyDescent="0.25">
      <c r="A4691" s="31"/>
      <c r="D4691" s="30"/>
    </row>
    <row r="4692" spans="1:4" x14ac:dyDescent="0.25">
      <c r="A4692" s="31"/>
      <c r="D4692" s="30"/>
    </row>
    <row r="4693" spans="1:4" x14ac:dyDescent="0.25">
      <c r="A4693" s="31"/>
      <c r="D4693" s="30"/>
    </row>
    <row r="4694" spans="1:4" x14ac:dyDescent="0.25">
      <c r="A4694" s="31"/>
      <c r="D4694" s="30"/>
    </row>
    <row r="4695" spans="1:4" x14ac:dyDescent="0.25">
      <c r="A4695" s="31"/>
      <c r="D4695" s="30"/>
    </row>
    <row r="4696" spans="1:4" x14ac:dyDescent="0.25">
      <c r="A4696" s="31"/>
      <c r="D4696" s="30"/>
    </row>
    <row r="4697" spans="1:4" x14ac:dyDescent="0.25">
      <c r="A4697" s="31"/>
      <c r="D4697" s="30"/>
    </row>
    <row r="4698" spans="1:4" x14ac:dyDescent="0.25">
      <c r="A4698" s="31"/>
      <c r="D4698" s="30"/>
    </row>
    <row r="4699" spans="1:4" x14ac:dyDescent="0.25">
      <c r="A4699" s="31"/>
      <c r="D4699" s="30"/>
    </row>
    <row r="4700" spans="1:4" x14ac:dyDescent="0.25">
      <c r="A4700" s="31"/>
      <c r="D4700" s="30"/>
    </row>
    <row r="4701" spans="1:4" x14ac:dyDescent="0.25">
      <c r="A4701" s="31"/>
      <c r="D4701" s="30"/>
    </row>
    <row r="4702" spans="1:4" x14ac:dyDescent="0.25">
      <c r="A4702" s="31"/>
      <c r="D4702" s="30"/>
    </row>
    <row r="4703" spans="1:4" x14ac:dyDescent="0.25">
      <c r="A4703" s="31"/>
      <c r="D4703" s="30"/>
    </row>
    <row r="4704" spans="1:4" x14ac:dyDescent="0.25">
      <c r="A4704" s="31"/>
      <c r="D4704" s="30"/>
    </row>
    <row r="4705" spans="1:4" x14ac:dyDescent="0.25">
      <c r="A4705" s="31"/>
      <c r="D4705" s="30"/>
    </row>
    <row r="4706" spans="1:4" x14ac:dyDescent="0.25">
      <c r="A4706" s="31"/>
      <c r="D4706" s="30"/>
    </row>
    <row r="4707" spans="1:4" x14ac:dyDescent="0.25">
      <c r="A4707" s="31"/>
      <c r="D4707" s="30"/>
    </row>
    <row r="4708" spans="1:4" x14ac:dyDescent="0.25">
      <c r="A4708" s="31"/>
      <c r="D4708" s="30"/>
    </row>
    <row r="4709" spans="1:4" x14ac:dyDescent="0.25">
      <c r="A4709" s="31"/>
      <c r="D4709" s="30"/>
    </row>
    <row r="4710" spans="1:4" x14ac:dyDescent="0.25">
      <c r="A4710" s="31"/>
      <c r="D4710" s="30"/>
    </row>
    <row r="4711" spans="1:4" x14ac:dyDescent="0.25">
      <c r="A4711" s="31"/>
      <c r="D4711" s="30"/>
    </row>
    <row r="4712" spans="1:4" x14ac:dyDescent="0.25">
      <c r="A4712" s="31"/>
      <c r="D4712" s="30"/>
    </row>
    <row r="4713" spans="1:4" x14ac:dyDescent="0.25">
      <c r="A4713" s="31"/>
      <c r="D4713" s="30"/>
    </row>
    <row r="4714" spans="1:4" x14ac:dyDescent="0.25">
      <c r="A4714" s="31"/>
      <c r="D4714" s="30"/>
    </row>
    <row r="4715" spans="1:4" x14ac:dyDescent="0.25">
      <c r="A4715" s="31"/>
      <c r="D4715" s="30"/>
    </row>
    <row r="4716" spans="1:4" x14ac:dyDescent="0.25">
      <c r="A4716" s="31"/>
      <c r="D4716" s="30"/>
    </row>
    <row r="4717" spans="1:4" x14ac:dyDescent="0.25">
      <c r="A4717" s="31"/>
      <c r="D4717" s="30"/>
    </row>
    <row r="4718" spans="1:4" x14ac:dyDescent="0.25">
      <c r="A4718" s="31"/>
      <c r="D4718" s="30"/>
    </row>
    <row r="4719" spans="1:4" x14ac:dyDescent="0.25">
      <c r="A4719" s="31"/>
      <c r="D4719" s="30"/>
    </row>
    <row r="4720" spans="1:4" x14ac:dyDescent="0.25">
      <c r="A4720" s="31"/>
      <c r="D4720" s="30"/>
    </row>
    <row r="4721" spans="1:4" x14ac:dyDescent="0.25">
      <c r="A4721" s="31"/>
      <c r="D4721" s="30"/>
    </row>
    <row r="4722" spans="1:4" x14ac:dyDescent="0.25">
      <c r="A4722" s="31"/>
      <c r="D4722" s="30"/>
    </row>
    <row r="4723" spans="1:4" x14ac:dyDescent="0.25">
      <c r="A4723" s="31"/>
      <c r="D4723" s="30"/>
    </row>
    <row r="4724" spans="1:4" x14ac:dyDescent="0.25">
      <c r="A4724" s="31"/>
      <c r="D4724" s="30"/>
    </row>
    <row r="4725" spans="1:4" x14ac:dyDescent="0.25">
      <c r="A4725" s="31"/>
      <c r="D4725" s="30"/>
    </row>
    <row r="4726" spans="1:4" x14ac:dyDescent="0.25">
      <c r="A4726" s="31"/>
      <c r="D4726" s="30"/>
    </row>
    <row r="4727" spans="1:4" x14ac:dyDescent="0.25">
      <c r="A4727" s="31"/>
      <c r="D4727" s="30"/>
    </row>
    <row r="4728" spans="1:4" x14ac:dyDescent="0.25">
      <c r="A4728" s="31"/>
      <c r="D4728" s="30"/>
    </row>
    <row r="4729" spans="1:4" x14ac:dyDescent="0.25">
      <c r="A4729" s="31"/>
      <c r="D4729" s="30"/>
    </row>
    <row r="4730" spans="1:4" x14ac:dyDescent="0.25">
      <c r="A4730" s="31"/>
      <c r="D4730" s="30"/>
    </row>
    <row r="4731" spans="1:4" x14ac:dyDescent="0.25">
      <c r="A4731" s="31"/>
      <c r="D4731" s="30"/>
    </row>
    <row r="4732" spans="1:4" x14ac:dyDescent="0.25">
      <c r="A4732" s="31"/>
      <c r="D4732" s="30"/>
    </row>
    <row r="4733" spans="1:4" x14ac:dyDescent="0.25">
      <c r="A4733" s="31"/>
      <c r="D4733" s="30"/>
    </row>
    <row r="4734" spans="1:4" x14ac:dyDescent="0.25">
      <c r="A4734" s="31"/>
      <c r="D4734" s="30"/>
    </row>
    <row r="4735" spans="1:4" x14ac:dyDescent="0.25">
      <c r="A4735" s="31"/>
      <c r="D4735" s="30"/>
    </row>
    <row r="4736" spans="1:4" x14ac:dyDescent="0.25">
      <c r="A4736" s="31"/>
      <c r="D4736" s="30"/>
    </row>
    <row r="4737" spans="1:4" x14ac:dyDescent="0.25">
      <c r="A4737" s="31"/>
      <c r="D4737" s="30"/>
    </row>
    <row r="4738" spans="1:4" x14ac:dyDescent="0.25">
      <c r="A4738" s="31"/>
      <c r="D4738" s="30"/>
    </row>
    <row r="4739" spans="1:4" x14ac:dyDescent="0.25">
      <c r="A4739" s="31"/>
      <c r="D4739" s="30"/>
    </row>
    <row r="4740" spans="1:4" x14ac:dyDescent="0.25">
      <c r="A4740" s="31"/>
      <c r="D4740" s="30"/>
    </row>
    <row r="4741" spans="1:4" x14ac:dyDescent="0.25">
      <c r="A4741" s="31"/>
      <c r="D4741" s="30"/>
    </row>
    <row r="4742" spans="1:4" x14ac:dyDescent="0.25">
      <c r="A4742" s="31"/>
      <c r="D4742" s="30"/>
    </row>
    <row r="4743" spans="1:4" x14ac:dyDescent="0.25">
      <c r="A4743" s="31"/>
      <c r="D4743" s="30"/>
    </row>
    <row r="4744" spans="1:4" x14ac:dyDescent="0.25">
      <c r="A4744" s="31"/>
      <c r="D4744" s="30"/>
    </row>
    <row r="4745" spans="1:4" x14ac:dyDescent="0.25">
      <c r="A4745" s="31"/>
      <c r="D4745" s="30"/>
    </row>
    <row r="4746" spans="1:4" x14ac:dyDescent="0.25">
      <c r="A4746" s="31"/>
      <c r="D4746" s="30"/>
    </row>
    <row r="4747" spans="1:4" x14ac:dyDescent="0.25">
      <c r="A4747" s="31"/>
      <c r="D4747" s="30"/>
    </row>
    <row r="4748" spans="1:4" x14ac:dyDescent="0.25">
      <c r="A4748" s="31"/>
      <c r="D4748" s="30"/>
    </row>
    <row r="4749" spans="1:4" x14ac:dyDescent="0.25">
      <c r="A4749" s="31"/>
      <c r="D4749" s="30"/>
    </row>
    <row r="4750" spans="1:4" x14ac:dyDescent="0.25">
      <c r="A4750" s="31"/>
      <c r="D4750" s="30"/>
    </row>
    <row r="4751" spans="1:4" x14ac:dyDescent="0.25">
      <c r="A4751" s="31"/>
      <c r="D4751" s="30"/>
    </row>
    <row r="4752" spans="1:4" x14ac:dyDescent="0.25">
      <c r="A4752" s="31"/>
      <c r="D4752" s="30"/>
    </row>
    <row r="4753" spans="1:4" x14ac:dyDescent="0.25">
      <c r="A4753" s="31"/>
      <c r="D4753" s="30"/>
    </row>
    <row r="4754" spans="1:4" x14ac:dyDescent="0.25">
      <c r="A4754" s="31"/>
      <c r="D4754" s="30"/>
    </row>
    <row r="4755" spans="1:4" x14ac:dyDescent="0.25">
      <c r="A4755" s="31"/>
      <c r="D4755" s="30"/>
    </row>
    <row r="4756" spans="1:4" x14ac:dyDescent="0.25">
      <c r="A4756" s="31"/>
      <c r="D4756" s="30"/>
    </row>
    <row r="4757" spans="1:4" x14ac:dyDescent="0.25">
      <c r="A4757" s="31"/>
      <c r="D4757" s="30"/>
    </row>
    <row r="4758" spans="1:4" x14ac:dyDescent="0.25">
      <c r="A4758" s="31"/>
      <c r="D4758" s="30"/>
    </row>
    <row r="4759" spans="1:4" x14ac:dyDescent="0.25">
      <c r="A4759" s="31"/>
      <c r="D4759" s="30"/>
    </row>
    <row r="4760" spans="1:4" x14ac:dyDescent="0.25">
      <c r="A4760" s="31"/>
      <c r="D4760" s="30"/>
    </row>
    <row r="4761" spans="1:4" x14ac:dyDescent="0.25">
      <c r="A4761" s="31"/>
      <c r="D4761" s="30"/>
    </row>
    <row r="4762" spans="1:4" x14ac:dyDescent="0.25">
      <c r="A4762" s="31"/>
      <c r="D4762" s="30"/>
    </row>
    <row r="4763" spans="1:4" x14ac:dyDescent="0.25">
      <c r="A4763" s="31"/>
      <c r="D4763" s="30"/>
    </row>
    <row r="4764" spans="1:4" x14ac:dyDescent="0.25">
      <c r="A4764" s="31"/>
      <c r="D4764" s="30"/>
    </row>
    <row r="4765" spans="1:4" x14ac:dyDescent="0.25">
      <c r="A4765" s="31"/>
      <c r="D4765" s="30"/>
    </row>
    <row r="4766" spans="1:4" x14ac:dyDescent="0.25">
      <c r="A4766" s="31"/>
      <c r="D4766" s="30"/>
    </row>
    <row r="4767" spans="1:4" x14ac:dyDescent="0.25">
      <c r="A4767" s="31"/>
      <c r="D4767" s="30"/>
    </row>
    <row r="4768" spans="1:4" x14ac:dyDescent="0.25">
      <c r="A4768" s="31"/>
      <c r="D4768" s="30"/>
    </row>
    <row r="4769" spans="1:4" x14ac:dyDescent="0.25">
      <c r="A4769" s="31"/>
      <c r="D4769" s="30"/>
    </row>
    <row r="4770" spans="1:4" x14ac:dyDescent="0.25">
      <c r="A4770" s="31"/>
      <c r="D4770" s="30"/>
    </row>
    <row r="4771" spans="1:4" x14ac:dyDescent="0.25">
      <c r="A4771" s="31"/>
      <c r="D4771" s="30"/>
    </row>
    <row r="4772" spans="1:4" x14ac:dyDescent="0.25">
      <c r="A4772" s="31"/>
      <c r="D4772" s="30"/>
    </row>
    <row r="4773" spans="1:4" x14ac:dyDescent="0.25">
      <c r="A4773" s="31"/>
      <c r="D4773" s="30"/>
    </row>
    <row r="4774" spans="1:4" x14ac:dyDescent="0.25">
      <c r="A4774" s="31"/>
      <c r="D4774" s="30"/>
    </row>
    <row r="4775" spans="1:4" x14ac:dyDescent="0.25">
      <c r="A4775" s="31"/>
      <c r="D4775" s="30"/>
    </row>
    <row r="4776" spans="1:4" x14ac:dyDescent="0.25">
      <c r="A4776" s="31"/>
      <c r="D4776" s="30"/>
    </row>
    <row r="4777" spans="1:4" x14ac:dyDescent="0.25">
      <c r="A4777" s="31"/>
      <c r="D4777" s="30"/>
    </row>
    <row r="4778" spans="1:4" x14ac:dyDescent="0.25">
      <c r="A4778" s="31"/>
      <c r="D4778" s="30"/>
    </row>
    <row r="4779" spans="1:4" x14ac:dyDescent="0.25">
      <c r="A4779" s="31"/>
      <c r="D4779" s="30"/>
    </row>
    <row r="4780" spans="1:4" x14ac:dyDescent="0.25">
      <c r="A4780" s="31"/>
      <c r="D4780" s="30"/>
    </row>
    <row r="4781" spans="1:4" x14ac:dyDescent="0.25">
      <c r="A4781" s="31"/>
      <c r="D4781" s="30"/>
    </row>
    <row r="4782" spans="1:4" x14ac:dyDescent="0.25">
      <c r="A4782" s="31"/>
      <c r="D4782" s="30"/>
    </row>
    <row r="4783" spans="1:4" x14ac:dyDescent="0.25">
      <c r="A4783" s="31"/>
      <c r="D4783" s="30"/>
    </row>
    <row r="4784" spans="1:4" x14ac:dyDescent="0.25">
      <c r="A4784" s="31"/>
      <c r="D4784" s="30"/>
    </row>
    <row r="4785" spans="1:4" x14ac:dyDescent="0.25">
      <c r="A4785" s="31"/>
      <c r="D4785" s="30"/>
    </row>
    <row r="4786" spans="1:4" x14ac:dyDescent="0.25">
      <c r="A4786" s="31"/>
      <c r="D4786" s="30"/>
    </row>
    <row r="4787" spans="1:4" x14ac:dyDescent="0.25">
      <c r="A4787" s="31"/>
      <c r="D4787" s="30"/>
    </row>
    <row r="4788" spans="1:4" x14ac:dyDescent="0.25">
      <c r="A4788" s="31"/>
      <c r="D4788" s="30"/>
    </row>
    <row r="4789" spans="1:4" x14ac:dyDescent="0.25">
      <c r="A4789" s="31"/>
      <c r="D4789" s="30"/>
    </row>
    <row r="4790" spans="1:4" x14ac:dyDescent="0.25">
      <c r="A4790" s="31"/>
      <c r="D4790" s="30"/>
    </row>
    <row r="4791" spans="1:4" x14ac:dyDescent="0.25">
      <c r="A4791" s="31"/>
      <c r="D4791" s="30"/>
    </row>
    <row r="4792" spans="1:4" x14ac:dyDescent="0.25">
      <c r="A4792" s="31"/>
      <c r="D4792" s="30"/>
    </row>
    <row r="4793" spans="1:4" x14ac:dyDescent="0.25">
      <c r="A4793" s="31"/>
      <c r="D4793" s="30"/>
    </row>
    <row r="4794" spans="1:4" x14ac:dyDescent="0.25">
      <c r="A4794" s="31"/>
      <c r="D4794" s="30"/>
    </row>
    <row r="4795" spans="1:4" x14ac:dyDescent="0.25">
      <c r="A4795" s="31"/>
      <c r="D4795" s="30"/>
    </row>
    <row r="4796" spans="1:4" x14ac:dyDescent="0.25">
      <c r="A4796" s="31"/>
      <c r="D4796" s="30"/>
    </row>
    <row r="4797" spans="1:4" x14ac:dyDescent="0.25">
      <c r="A4797" s="31"/>
      <c r="D4797" s="30"/>
    </row>
    <row r="4798" spans="1:4" x14ac:dyDescent="0.25">
      <c r="A4798" s="31"/>
      <c r="D4798" s="30"/>
    </row>
    <row r="4799" spans="1:4" x14ac:dyDescent="0.25">
      <c r="A4799" s="31"/>
      <c r="D4799" s="30"/>
    </row>
    <row r="4800" spans="1:4" x14ac:dyDescent="0.25">
      <c r="A4800" s="31"/>
      <c r="D4800" s="30"/>
    </row>
    <row r="4801" spans="1:4" x14ac:dyDescent="0.25">
      <c r="A4801" s="31"/>
      <c r="D4801" s="30"/>
    </row>
    <row r="4802" spans="1:4" x14ac:dyDescent="0.25">
      <c r="A4802" s="31"/>
      <c r="D4802" s="30"/>
    </row>
    <row r="4803" spans="1:4" x14ac:dyDescent="0.25">
      <c r="A4803" s="31"/>
      <c r="D4803" s="30"/>
    </row>
    <row r="4804" spans="1:4" x14ac:dyDescent="0.25">
      <c r="A4804" s="31"/>
      <c r="D4804" s="30"/>
    </row>
    <row r="4805" spans="1:4" x14ac:dyDescent="0.25">
      <c r="A4805" s="31"/>
      <c r="D4805" s="30"/>
    </row>
    <row r="4806" spans="1:4" x14ac:dyDescent="0.25">
      <c r="A4806" s="31"/>
      <c r="D4806" s="30"/>
    </row>
    <row r="4807" spans="1:4" x14ac:dyDescent="0.25">
      <c r="A4807" s="31"/>
      <c r="D4807" s="30"/>
    </row>
    <row r="4808" spans="1:4" x14ac:dyDescent="0.25">
      <c r="A4808" s="31"/>
      <c r="D4808" s="30"/>
    </row>
    <row r="4809" spans="1:4" x14ac:dyDescent="0.25">
      <c r="A4809" s="31"/>
      <c r="D4809" s="30"/>
    </row>
    <row r="4810" spans="1:4" x14ac:dyDescent="0.25">
      <c r="A4810" s="31"/>
      <c r="D4810" s="30"/>
    </row>
    <row r="4811" spans="1:4" x14ac:dyDescent="0.25">
      <c r="A4811" s="31"/>
      <c r="D4811" s="30"/>
    </row>
    <row r="4812" spans="1:4" x14ac:dyDescent="0.25">
      <c r="A4812" s="31"/>
      <c r="D4812" s="30"/>
    </row>
    <row r="4813" spans="1:4" x14ac:dyDescent="0.25">
      <c r="A4813" s="31"/>
      <c r="D4813" s="30"/>
    </row>
    <row r="4814" spans="1:4" x14ac:dyDescent="0.25">
      <c r="A4814" s="31"/>
      <c r="D4814" s="30"/>
    </row>
    <row r="4815" spans="1:4" x14ac:dyDescent="0.25">
      <c r="A4815" s="31"/>
      <c r="D4815" s="30"/>
    </row>
    <row r="4816" spans="1:4" x14ac:dyDescent="0.25">
      <c r="A4816" s="31"/>
      <c r="D4816" s="30"/>
    </row>
    <row r="4817" spans="1:4" x14ac:dyDescent="0.25">
      <c r="A4817" s="31"/>
      <c r="D4817" s="30"/>
    </row>
    <row r="4818" spans="1:4" x14ac:dyDescent="0.25">
      <c r="A4818" s="31"/>
      <c r="D4818" s="30"/>
    </row>
    <row r="4819" spans="1:4" x14ac:dyDescent="0.25">
      <c r="A4819" s="31"/>
      <c r="D4819" s="30"/>
    </row>
    <row r="4820" spans="1:4" x14ac:dyDescent="0.25">
      <c r="A4820" s="31"/>
      <c r="D4820" s="30"/>
    </row>
    <row r="4821" spans="1:4" x14ac:dyDescent="0.25">
      <c r="A4821" s="31"/>
      <c r="D4821" s="30"/>
    </row>
    <row r="4822" spans="1:4" x14ac:dyDescent="0.25">
      <c r="A4822" s="31"/>
      <c r="D4822" s="30"/>
    </row>
    <row r="4823" spans="1:4" x14ac:dyDescent="0.25">
      <c r="A4823" s="31"/>
      <c r="D4823" s="30"/>
    </row>
    <row r="4824" spans="1:4" x14ac:dyDescent="0.25">
      <c r="A4824" s="31"/>
      <c r="D4824" s="30"/>
    </row>
    <row r="4825" spans="1:4" x14ac:dyDescent="0.25">
      <c r="A4825" s="31"/>
      <c r="D4825" s="30"/>
    </row>
    <row r="4826" spans="1:4" x14ac:dyDescent="0.25">
      <c r="A4826" s="31"/>
      <c r="D4826" s="30"/>
    </row>
    <row r="4827" spans="1:4" x14ac:dyDescent="0.25">
      <c r="A4827" s="31"/>
      <c r="D4827" s="30"/>
    </row>
    <row r="4828" spans="1:4" x14ac:dyDescent="0.25">
      <c r="A4828" s="31"/>
      <c r="D4828" s="30"/>
    </row>
    <row r="4829" spans="1:4" x14ac:dyDescent="0.25">
      <c r="A4829" s="31"/>
      <c r="D4829" s="30"/>
    </row>
    <row r="4830" spans="1:4" x14ac:dyDescent="0.25">
      <c r="A4830" s="31"/>
      <c r="D4830" s="30"/>
    </row>
    <row r="4831" spans="1:4" x14ac:dyDescent="0.25">
      <c r="A4831" s="31"/>
      <c r="D4831" s="30"/>
    </row>
    <row r="4832" spans="1:4" x14ac:dyDescent="0.25">
      <c r="A4832" s="31"/>
      <c r="D4832" s="30"/>
    </row>
    <row r="4833" spans="1:4" x14ac:dyDescent="0.25">
      <c r="A4833" s="31"/>
      <c r="D4833" s="30"/>
    </row>
    <row r="4834" spans="1:4" x14ac:dyDescent="0.25">
      <c r="A4834" s="31"/>
      <c r="D4834" s="30"/>
    </row>
    <row r="4835" spans="1:4" x14ac:dyDescent="0.25">
      <c r="A4835" s="31"/>
      <c r="D4835" s="30"/>
    </row>
    <row r="4836" spans="1:4" x14ac:dyDescent="0.25">
      <c r="A4836" s="31"/>
      <c r="D4836" s="30"/>
    </row>
    <row r="4837" spans="1:4" x14ac:dyDescent="0.25">
      <c r="A4837" s="31"/>
      <c r="D4837" s="30"/>
    </row>
    <row r="4838" spans="1:4" x14ac:dyDescent="0.25">
      <c r="A4838" s="31"/>
      <c r="D4838" s="30"/>
    </row>
    <row r="4839" spans="1:4" x14ac:dyDescent="0.25">
      <c r="A4839" s="31"/>
      <c r="D4839" s="30"/>
    </row>
    <row r="4840" spans="1:4" x14ac:dyDescent="0.25">
      <c r="A4840" s="31"/>
      <c r="D4840" s="30"/>
    </row>
    <row r="4841" spans="1:4" x14ac:dyDescent="0.25">
      <c r="A4841" s="31"/>
      <c r="D4841" s="30"/>
    </row>
    <row r="4842" spans="1:4" x14ac:dyDescent="0.25">
      <c r="A4842" s="31"/>
      <c r="D4842" s="30"/>
    </row>
    <row r="4843" spans="1:4" x14ac:dyDescent="0.25">
      <c r="A4843" s="31"/>
      <c r="D4843" s="30"/>
    </row>
    <row r="4844" spans="1:4" x14ac:dyDescent="0.25">
      <c r="A4844" s="31"/>
      <c r="D4844" s="30"/>
    </row>
    <row r="4845" spans="1:4" x14ac:dyDescent="0.25">
      <c r="A4845" s="31"/>
      <c r="D4845" s="30"/>
    </row>
    <row r="4846" spans="1:4" x14ac:dyDescent="0.25">
      <c r="A4846" s="31"/>
      <c r="D4846" s="30"/>
    </row>
    <row r="4847" spans="1:4" x14ac:dyDescent="0.25">
      <c r="A4847" s="31"/>
      <c r="D4847" s="30"/>
    </row>
    <row r="4848" spans="1:4" x14ac:dyDescent="0.25">
      <c r="A4848" s="31"/>
      <c r="D4848" s="30"/>
    </row>
    <row r="4849" spans="1:4" x14ac:dyDescent="0.25">
      <c r="A4849" s="31"/>
      <c r="D4849" s="30"/>
    </row>
    <row r="4850" spans="1:4" x14ac:dyDescent="0.25">
      <c r="A4850" s="31"/>
      <c r="D4850" s="30"/>
    </row>
    <row r="4851" spans="1:4" x14ac:dyDescent="0.25">
      <c r="A4851" s="31"/>
      <c r="D4851" s="30"/>
    </row>
    <row r="4852" spans="1:4" x14ac:dyDescent="0.25">
      <c r="A4852" s="31"/>
      <c r="D4852" s="30"/>
    </row>
    <row r="4853" spans="1:4" x14ac:dyDescent="0.25">
      <c r="A4853" s="31"/>
      <c r="D4853" s="30"/>
    </row>
    <row r="4854" spans="1:4" x14ac:dyDescent="0.25">
      <c r="A4854" s="31"/>
      <c r="D4854" s="30"/>
    </row>
    <row r="4855" spans="1:4" x14ac:dyDescent="0.25">
      <c r="A4855" s="31"/>
      <c r="D4855" s="30"/>
    </row>
    <row r="4856" spans="1:4" x14ac:dyDescent="0.25">
      <c r="A4856" s="31"/>
      <c r="D4856" s="30"/>
    </row>
    <row r="4857" spans="1:4" x14ac:dyDescent="0.25">
      <c r="A4857" s="31"/>
      <c r="D4857" s="30"/>
    </row>
    <row r="4858" spans="1:4" x14ac:dyDescent="0.25">
      <c r="A4858" s="31"/>
      <c r="D4858" s="30"/>
    </row>
    <row r="4859" spans="1:4" x14ac:dyDescent="0.25">
      <c r="A4859" s="31"/>
      <c r="D4859" s="30"/>
    </row>
    <row r="4860" spans="1:4" x14ac:dyDescent="0.25">
      <c r="A4860" s="31"/>
      <c r="D4860" s="30"/>
    </row>
    <row r="4861" spans="1:4" x14ac:dyDescent="0.25">
      <c r="A4861" s="31"/>
      <c r="D4861" s="30"/>
    </row>
    <row r="4862" spans="1:4" x14ac:dyDescent="0.25">
      <c r="A4862" s="31"/>
      <c r="D4862" s="30"/>
    </row>
    <row r="4863" spans="1:4" x14ac:dyDescent="0.25">
      <c r="A4863" s="31"/>
      <c r="D4863" s="30"/>
    </row>
    <row r="4864" spans="1:4" x14ac:dyDescent="0.25">
      <c r="A4864" s="31"/>
      <c r="D4864" s="30"/>
    </row>
    <row r="4865" spans="1:4" x14ac:dyDescent="0.25">
      <c r="A4865" s="31"/>
      <c r="D4865" s="30"/>
    </row>
    <row r="4866" spans="1:4" x14ac:dyDescent="0.25">
      <c r="A4866" s="31"/>
      <c r="D4866" s="30"/>
    </row>
    <row r="4867" spans="1:4" x14ac:dyDescent="0.25">
      <c r="A4867" s="31"/>
      <c r="D4867" s="30"/>
    </row>
    <row r="4868" spans="1:4" x14ac:dyDescent="0.25">
      <c r="A4868" s="31"/>
      <c r="D4868" s="30"/>
    </row>
    <row r="4869" spans="1:4" x14ac:dyDescent="0.25">
      <c r="A4869" s="31"/>
      <c r="D4869" s="30"/>
    </row>
    <row r="4870" spans="1:4" x14ac:dyDescent="0.25">
      <c r="A4870" s="31"/>
      <c r="D4870" s="30"/>
    </row>
    <row r="4871" spans="1:4" x14ac:dyDescent="0.25">
      <c r="A4871" s="31"/>
      <c r="D4871" s="30"/>
    </row>
    <row r="4872" spans="1:4" x14ac:dyDescent="0.25">
      <c r="A4872" s="31"/>
      <c r="D4872" s="30"/>
    </row>
    <row r="4873" spans="1:4" x14ac:dyDescent="0.25">
      <c r="A4873" s="31"/>
      <c r="D4873" s="30"/>
    </row>
    <row r="4874" spans="1:4" x14ac:dyDescent="0.25">
      <c r="A4874" s="31"/>
      <c r="D4874" s="30"/>
    </row>
    <row r="4875" spans="1:4" x14ac:dyDescent="0.25">
      <c r="A4875" s="31"/>
      <c r="D4875" s="30"/>
    </row>
    <row r="4876" spans="1:4" x14ac:dyDescent="0.25">
      <c r="A4876" s="31"/>
      <c r="D4876" s="30"/>
    </row>
    <row r="4877" spans="1:4" x14ac:dyDescent="0.25">
      <c r="A4877" s="31"/>
      <c r="D4877" s="30"/>
    </row>
    <row r="4878" spans="1:4" x14ac:dyDescent="0.25">
      <c r="A4878" s="31"/>
      <c r="D4878" s="30"/>
    </row>
    <row r="4879" spans="1:4" x14ac:dyDescent="0.25">
      <c r="A4879" s="31"/>
      <c r="D4879" s="30"/>
    </row>
    <row r="4880" spans="1:4" x14ac:dyDescent="0.25">
      <c r="A4880" s="31"/>
      <c r="D4880" s="30"/>
    </row>
    <row r="4881" spans="1:4" x14ac:dyDescent="0.25">
      <c r="A4881" s="31"/>
      <c r="D4881" s="30"/>
    </row>
    <row r="4882" spans="1:4" x14ac:dyDescent="0.25">
      <c r="A4882" s="31"/>
      <c r="D4882" s="30"/>
    </row>
    <row r="4883" spans="1:4" x14ac:dyDescent="0.25">
      <c r="A4883" s="31"/>
      <c r="D4883" s="30"/>
    </row>
    <row r="4884" spans="1:4" x14ac:dyDescent="0.25">
      <c r="A4884" s="31"/>
      <c r="D4884" s="30"/>
    </row>
    <row r="4885" spans="1:4" x14ac:dyDescent="0.25">
      <c r="A4885" s="31"/>
      <c r="D4885" s="30"/>
    </row>
    <row r="4886" spans="1:4" x14ac:dyDescent="0.25">
      <c r="A4886" s="31"/>
      <c r="D4886" s="30"/>
    </row>
    <row r="4887" spans="1:4" x14ac:dyDescent="0.25">
      <c r="A4887" s="31"/>
      <c r="D4887" s="30"/>
    </row>
    <row r="4888" spans="1:4" x14ac:dyDescent="0.25">
      <c r="A4888" s="31"/>
      <c r="D4888" s="30"/>
    </row>
    <row r="4889" spans="1:4" x14ac:dyDescent="0.25">
      <c r="A4889" s="31"/>
      <c r="D4889" s="30"/>
    </row>
    <row r="4890" spans="1:4" x14ac:dyDescent="0.25">
      <c r="A4890" s="31"/>
      <c r="D4890" s="30"/>
    </row>
    <row r="4891" spans="1:4" x14ac:dyDescent="0.25">
      <c r="A4891" s="31"/>
      <c r="D4891" s="30"/>
    </row>
    <row r="4892" spans="1:4" x14ac:dyDescent="0.25">
      <c r="A4892" s="31"/>
      <c r="D4892" s="30"/>
    </row>
    <row r="4893" spans="1:4" x14ac:dyDescent="0.25">
      <c r="A4893" s="31"/>
      <c r="D4893" s="30"/>
    </row>
    <row r="4894" spans="1:4" x14ac:dyDescent="0.25">
      <c r="A4894" s="31"/>
      <c r="D4894" s="30"/>
    </row>
    <row r="4895" spans="1:4" x14ac:dyDescent="0.25">
      <c r="A4895" s="31"/>
      <c r="D4895" s="30"/>
    </row>
    <row r="4896" spans="1:4" x14ac:dyDescent="0.25">
      <c r="A4896" s="31"/>
      <c r="D4896" s="30"/>
    </row>
    <row r="4897" spans="1:4" x14ac:dyDescent="0.25">
      <c r="A4897" s="31"/>
      <c r="D4897" s="30"/>
    </row>
    <row r="4898" spans="1:4" x14ac:dyDescent="0.25">
      <c r="A4898" s="31"/>
      <c r="D4898" s="30"/>
    </row>
    <row r="4899" spans="1:4" x14ac:dyDescent="0.25">
      <c r="A4899" s="31"/>
      <c r="D4899" s="30"/>
    </row>
    <row r="4900" spans="1:4" x14ac:dyDescent="0.25">
      <c r="A4900" s="31"/>
      <c r="D4900" s="30"/>
    </row>
    <row r="4901" spans="1:4" x14ac:dyDescent="0.25">
      <c r="A4901" s="31"/>
      <c r="D4901" s="30"/>
    </row>
    <row r="4902" spans="1:4" x14ac:dyDescent="0.25">
      <c r="A4902" s="31"/>
      <c r="D4902" s="30"/>
    </row>
    <row r="4903" spans="1:4" x14ac:dyDescent="0.25">
      <c r="A4903" s="31"/>
      <c r="D4903" s="30"/>
    </row>
    <row r="4904" spans="1:4" x14ac:dyDescent="0.25">
      <c r="A4904" s="31"/>
      <c r="D4904" s="30"/>
    </row>
    <row r="4905" spans="1:4" x14ac:dyDescent="0.25">
      <c r="A4905" s="31"/>
      <c r="D4905" s="30"/>
    </row>
    <row r="4906" spans="1:4" x14ac:dyDescent="0.25">
      <c r="A4906" s="31"/>
      <c r="D4906" s="30"/>
    </row>
    <row r="4907" spans="1:4" x14ac:dyDescent="0.25">
      <c r="A4907" s="31"/>
      <c r="D4907" s="30"/>
    </row>
    <row r="4908" spans="1:4" x14ac:dyDescent="0.25">
      <c r="A4908" s="31"/>
      <c r="D4908" s="30"/>
    </row>
    <row r="4909" spans="1:4" x14ac:dyDescent="0.25">
      <c r="A4909" s="31"/>
      <c r="D4909" s="30"/>
    </row>
    <row r="4910" spans="1:4" x14ac:dyDescent="0.25">
      <c r="A4910" s="31"/>
      <c r="D4910" s="30"/>
    </row>
    <row r="4911" spans="1:4" x14ac:dyDescent="0.25">
      <c r="A4911" s="31"/>
      <c r="D4911" s="30"/>
    </row>
    <row r="4912" spans="1:4" x14ac:dyDescent="0.25">
      <c r="A4912" s="31"/>
      <c r="D4912" s="30"/>
    </row>
    <row r="4913" spans="1:4" x14ac:dyDescent="0.25">
      <c r="A4913" s="31"/>
      <c r="D4913" s="30"/>
    </row>
    <row r="4914" spans="1:4" x14ac:dyDescent="0.25">
      <c r="A4914" s="31"/>
      <c r="D4914" s="30"/>
    </row>
    <row r="4915" spans="1:4" x14ac:dyDescent="0.25">
      <c r="A4915" s="31"/>
      <c r="D4915" s="30"/>
    </row>
    <row r="4916" spans="1:4" x14ac:dyDescent="0.25">
      <c r="A4916" s="31"/>
      <c r="D4916" s="30"/>
    </row>
    <row r="4917" spans="1:4" x14ac:dyDescent="0.25">
      <c r="A4917" s="31"/>
      <c r="D4917" s="30"/>
    </row>
    <row r="4918" spans="1:4" x14ac:dyDescent="0.25">
      <c r="A4918" s="31"/>
      <c r="D4918" s="30"/>
    </row>
    <row r="4919" spans="1:4" x14ac:dyDescent="0.25">
      <c r="A4919" s="31"/>
      <c r="D4919" s="30"/>
    </row>
    <row r="4920" spans="1:4" x14ac:dyDescent="0.25">
      <c r="A4920" s="31"/>
      <c r="D4920" s="30"/>
    </row>
    <row r="4921" spans="1:4" x14ac:dyDescent="0.25">
      <c r="A4921" s="31"/>
      <c r="D4921" s="30"/>
    </row>
    <row r="4922" spans="1:4" x14ac:dyDescent="0.25">
      <c r="A4922" s="31"/>
      <c r="D4922" s="30"/>
    </row>
    <row r="4923" spans="1:4" x14ac:dyDescent="0.25">
      <c r="A4923" s="31"/>
      <c r="D4923" s="30"/>
    </row>
    <row r="4924" spans="1:4" x14ac:dyDescent="0.25">
      <c r="A4924" s="31"/>
      <c r="D4924" s="30"/>
    </row>
    <row r="4925" spans="1:4" x14ac:dyDescent="0.25">
      <c r="A4925" s="31"/>
      <c r="D4925" s="30"/>
    </row>
    <row r="4926" spans="1:4" x14ac:dyDescent="0.25">
      <c r="A4926" s="31"/>
      <c r="D4926" s="30"/>
    </row>
    <row r="4927" spans="1:4" x14ac:dyDescent="0.25">
      <c r="A4927" s="31"/>
      <c r="D4927" s="30"/>
    </row>
    <row r="4928" spans="1:4" x14ac:dyDescent="0.25">
      <c r="A4928" s="31"/>
      <c r="D4928" s="30"/>
    </row>
    <row r="4929" spans="1:4" x14ac:dyDescent="0.25">
      <c r="A4929" s="31"/>
      <c r="D4929" s="30"/>
    </row>
    <row r="4930" spans="1:4" x14ac:dyDescent="0.25">
      <c r="A4930" s="31"/>
      <c r="D4930" s="30"/>
    </row>
    <row r="4931" spans="1:4" x14ac:dyDescent="0.25">
      <c r="A4931" s="31"/>
      <c r="D4931" s="30"/>
    </row>
    <row r="4932" spans="1:4" x14ac:dyDescent="0.25">
      <c r="A4932" s="31"/>
      <c r="D4932" s="30"/>
    </row>
    <row r="4933" spans="1:4" x14ac:dyDescent="0.25">
      <c r="A4933" s="31"/>
      <c r="D4933" s="30"/>
    </row>
    <row r="4934" spans="1:4" x14ac:dyDescent="0.25">
      <c r="A4934" s="31"/>
      <c r="D4934" s="30"/>
    </row>
    <row r="4935" spans="1:4" x14ac:dyDescent="0.25">
      <c r="A4935" s="31"/>
      <c r="D4935" s="30"/>
    </row>
    <row r="4936" spans="1:4" x14ac:dyDescent="0.25">
      <c r="A4936" s="31"/>
      <c r="D4936" s="30"/>
    </row>
    <row r="4937" spans="1:4" x14ac:dyDescent="0.25">
      <c r="A4937" s="31"/>
      <c r="D4937" s="30"/>
    </row>
    <row r="4938" spans="1:4" x14ac:dyDescent="0.25">
      <c r="A4938" s="31"/>
      <c r="D4938" s="30"/>
    </row>
    <row r="4939" spans="1:4" x14ac:dyDescent="0.25">
      <c r="A4939" s="31"/>
      <c r="D4939" s="30"/>
    </row>
    <row r="4940" spans="1:4" x14ac:dyDescent="0.25">
      <c r="A4940" s="31"/>
      <c r="D4940" s="30"/>
    </row>
    <row r="4941" spans="1:4" x14ac:dyDescent="0.25">
      <c r="A4941" s="31"/>
      <c r="D4941" s="30"/>
    </row>
    <row r="4942" spans="1:4" x14ac:dyDescent="0.25">
      <c r="A4942" s="31"/>
      <c r="D4942" s="30"/>
    </row>
    <row r="4943" spans="1:4" x14ac:dyDescent="0.25">
      <c r="A4943" s="31"/>
      <c r="D4943" s="30"/>
    </row>
    <row r="4944" spans="1:4" x14ac:dyDescent="0.25">
      <c r="A4944" s="31"/>
      <c r="D4944" s="30"/>
    </row>
    <row r="4945" spans="1:4" x14ac:dyDescent="0.25">
      <c r="A4945" s="31"/>
      <c r="D4945" s="30"/>
    </row>
    <row r="4946" spans="1:4" x14ac:dyDescent="0.25">
      <c r="A4946" s="31"/>
      <c r="D4946" s="30"/>
    </row>
    <row r="4947" spans="1:4" x14ac:dyDescent="0.25">
      <c r="A4947" s="31"/>
      <c r="D4947" s="30"/>
    </row>
    <row r="4948" spans="1:4" x14ac:dyDescent="0.25">
      <c r="A4948" s="31"/>
      <c r="D4948" s="30"/>
    </row>
    <row r="4949" spans="1:4" x14ac:dyDescent="0.25">
      <c r="A4949" s="31"/>
      <c r="D4949" s="30"/>
    </row>
    <row r="4950" spans="1:4" x14ac:dyDescent="0.25">
      <c r="A4950" s="31"/>
      <c r="D4950" s="30"/>
    </row>
    <row r="4951" spans="1:4" x14ac:dyDescent="0.25">
      <c r="A4951" s="31"/>
      <c r="D4951" s="30"/>
    </row>
    <row r="4952" spans="1:4" x14ac:dyDescent="0.25">
      <c r="A4952" s="31"/>
      <c r="D4952" s="30"/>
    </row>
    <row r="4953" spans="1:4" x14ac:dyDescent="0.25">
      <c r="A4953" s="31"/>
      <c r="D4953" s="30"/>
    </row>
    <row r="4954" spans="1:4" x14ac:dyDescent="0.25">
      <c r="A4954" s="31"/>
      <c r="D4954" s="30"/>
    </row>
    <row r="4955" spans="1:4" x14ac:dyDescent="0.25">
      <c r="A4955" s="31"/>
      <c r="D4955" s="30"/>
    </row>
    <row r="4956" spans="1:4" x14ac:dyDescent="0.25">
      <c r="A4956" s="31"/>
      <c r="D4956" s="30"/>
    </row>
    <row r="4957" spans="1:4" x14ac:dyDescent="0.25">
      <c r="A4957" s="31"/>
      <c r="D4957" s="30"/>
    </row>
    <row r="4958" spans="1:4" x14ac:dyDescent="0.25">
      <c r="A4958" s="31"/>
      <c r="D4958" s="30"/>
    </row>
    <row r="4959" spans="1:4" x14ac:dyDescent="0.25">
      <c r="A4959" s="31"/>
      <c r="D4959" s="30"/>
    </row>
    <row r="4960" spans="1:4" x14ac:dyDescent="0.25">
      <c r="A4960" s="31"/>
      <c r="D4960" s="30"/>
    </row>
    <row r="4961" spans="1:4" x14ac:dyDescent="0.25">
      <c r="A4961" s="31"/>
      <c r="D4961" s="30"/>
    </row>
    <row r="4962" spans="1:4" x14ac:dyDescent="0.25">
      <c r="A4962" s="31"/>
      <c r="D4962" s="30"/>
    </row>
    <row r="4963" spans="1:4" x14ac:dyDescent="0.25">
      <c r="A4963" s="31"/>
      <c r="D4963" s="30"/>
    </row>
    <row r="4964" spans="1:4" x14ac:dyDescent="0.25">
      <c r="A4964" s="31"/>
      <c r="D4964" s="30"/>
    </row>
    <row r="4965" spans="1:4" x14ac:dyDescent="0.25">
      <c r="A4965" s="31"/>
      <c r="D4965" s="30"/>
    </row>
    <row r="4966" spans="1:4" x14ac:dyDescent="0.25">
      <c r="A4966" s="31"/>
      <c r="D4966" s="30"/>
    </row>
    <row r="4967" spans="1:4" x14ac:dyDescent="0.25">
      <c r="A4967" s="31"/>
      <c r="D4967" s="30"/>
    </row>
    <row r="4968" spans="1:4" x14ac:dyDescent="0.25">
      <c r="A4968" s="31"/>
      <c r="D4968" s="30"/>
    </row>
    <row r="4969" spans="1:4" x14ac:dyDescent="0.25">
      <c r="A4969" s="31"/>
      <c r="D4969" s="30"/>
    </row>
    <row r="4970" spans="1:4" x14ac:dyDescent="0.25">
      <c r="A4970" s="31"/>
      <c r="D4970" s="30"/>
    </row>
    <row r="4971" spans="1:4" x14ac:dyDescent="0.25">
      <c r="A4971" s="31"/>
      <c r="D4971" s="30"/>
    </row>
    <row r="4972" spans="1:4" x14ac:dyDescent="0.25">
      <c r="A4972" s="31"/>
      <c r="D4972" s="30"/>
    </row>
    <row r="4973" spans="1:4" x14ac:dyDescent="0.25">
      <c r="A4973" s="31"/>
      <c r="D4973" s="30"/>
    </row>
    <row r="4974" spans="1:4" x14ac:dyDescent="0.25">
      <c r="A4974" s="31"/>
      <c r="D4974" s="30"/>
    </row>
    <row r="4975" spans="1:4" x14ac:dyDescent="0.25">
      <c r="A4975" s="31"/>
      <c r="D4975" s="30"/>
    </row>
    <row r="4976" spans="1:4" x14ac:dyDescent="0.25">
      <c r="A4976" s="31"/>
      <c r="D4976" s="30"/>
    </row>
    <row r="4977" spans="1:4" x14ac:dyDescent="0.25">
      <c r="A4977" s="31"/>
      <c r="D4977" s="30"/>
    </row>
    <row r="4978" spans="1:4" x14ac:dyDescent="0.25">
      <c r="A4978" s="31"/>
      <c r="D4978" s="30"/>
    </row>
    <row r="4979" spans="1:4" x14ac:dyDescent="0.25">
      <c r="A4979" s="31"/>
      <c r="D4979" s="30"/>
    </row>
    <row r="4980" spans="1:4" x14ac:dyDescent="0.25">
      <c r="A4980" s="31"/>
      <c r="D4980" s="30"/>
    </row>
    <row r="4981" spans="1:4" x14ac:dyDescent="0.25">
      <c r="A4981" s="31"/>
      <c r="D4981" s="30"/>
    </row>
    <row r="4982" spans="1:4" x14ac:dyDescent="0.25">
      <c r="A4982" s="31"/>
      <c r="D4982" s="30"/>
    </row>
    <row r="4983" spans="1:4" x14ac:dyDescent="0.25">
      <c r="A4983" s="31"/>
      <c r="D4983" s="30"/>
    </row>
    <row r="4984" spans="1:4" x14ac:dyDescent="0.25">
      <c r="A4984" s="31"/>
      <c r="D4984" s="30"/>
    </row>
    <row r="4985" spans="1:4" x14ac:dyDescent="0.25">
      <c r="A4985" s="31"/>
      <c r="D4985" s="30"/>
    </row>
    <row r="4986" spans="1:4" x14ac:dyDescent="0.25">
      <c r="A4986" s="31"/>
      <c r="D4986" s="30"/>
    </row>
    <row r="4987" spans="1:4" x14ac:dyDescent="0.25">
      <c r="A4987" s="31"/>
      <c r="D4987" s="30"/>
    </row>
    <row r="4988" spans="1:4" x14ac:dyDescent="0.25">
      <c r="A4988" s="31"/>
      <c r="D4988" s="30"/>
    </row>
    <row r="4989" spans="1:4" x14ac:dyDescent="0.25">
      <c r="A4989" s="31"/>
      <c r="D4989" s="30"/>
    </row>
    <row r="4990" spans="1:4" x14ac:dyDescent="0.25">
      <c r="A4990" s="31"/>
      <c r="D4990" s="30"/>
    </row>
    <row r="4991" spans="1:4" x14ac:dyDescent="0.25">
      <c r="A4991" s="31"/>
      <c r="D4991" s="30"/>
    </row>
    <row r="4992" spans="1:4" x14ac:dyDescent="0.25">
      <c r="A4992" s="31"/>
      <c r="D4992" s="30"/>
    </row>
    <row r="4993" spans="1:4" x14ac:dyDescent="0.25">
      <c r="A4993" s="31"/>
      <c r="D4993" s="30"/>
    </row>
    <row r="4994" spans="1:4" x14ac:dyDescent="0.25">
      <c r="A4994" s="31"/>
      <c r="D4994" s="30"/>
    </row>
    <row r="4995" spans="1:4" x14ac:dyDescent="0.25">
      <c r="A4995" s="31"/>
      <c r="D4995" s="30"/>
    </row>
    <row r="4996" spans="1:4" x14ac:dyDescent="0.25">
      <c r="A4996" s="31"/>
      <c r="D4996" s="30"/>
    </row>
    <row r="4997" spans="1:4" x14ac:dyDescent="0.25">
      <c r="A4997" s="31"/>
      <c r="D4997" s="30"/>
    </row>
    <row r="4998" spans="1:4" x14ac:dyDescent="0.25">
      <c r="A4998" s="31"/>
      <c r="D4998" s="30"/>
    </row>
    <row r="4999" spans="1:4" x14ac:dyDescent="0.25">
      <c r="A4999" s="31"/>
      <c r="D4999" s="30"/>
    </row>
    <row r="5000" spans="1:4" x14ac:dyDescent="0.25">
      <c r="A5000" s="31"/>
      <c r="D5000" s="30"/>
    </row>
    <row r="5001" spans="1:4" x14ac:dyDescent="0.25">
      <c r="A5001" s="31"/>
      <c r="D5001" s="30"/>
    </row>
    <row r="5002" spans="1:4" x14ac:dyDescent="0.25">
      <c r="A5002" s="31"/>
      <c r="D5002" s="30"/>
    </row>
    <row r="5003" spans="1:4" x14ac:dyDescent="0.25">
      <c r="A5003" s="31"/>
      <c r="D5003" s="30"/>
    </row>
    <row r="5004" spans="1:4" x14ac:dyDescent="0.25">
      <c r="A5004" s="31"/>
      <c r="D5004" s="30"/>
    </row>
    <row r="5005" spans="1:4" x14ac:dyDescent="0.25">
      <c r="A5005" s="31"/>
      <c r="D5005" s="30"/>
    </row>
    <row r="5006" spans="1:4" x14ac:dyDescent="0.25">
      <c r="A5006" s="31"/>
      <c r="D5006" s="30"/>
    </row>
    <row r="5007" spans="1:4" x14ac:dyDescent="0.25">
      <c r="A5007" s="31"/>
      <c r="D5007" s="30"/>
    </row>
    <row r="5008" spans="1:4" x14ac:dyDescent="0.25">
      <c r="A5008" s="31"/>
      <c r="D5008" s="30"/>
    </row>
    <row r="5009" spans="1:4" x14ac:dyDescent="0.25">
      <c r="A5009" s="31"/>
      <c r="D5009" s="30"/>
    </row>
    <row r="5010" spans="1:4" x14ac:dyDescent="0.25">
      <c r="A5010" s="31"/>
      <c r="D5010" s="30"/>
    </row>
    <row r="5011" spans="1:4" x14ac:dyDescent="0.25">
      <c r="A5011" s="31"/>
      <c r="D5011" s="30"/>
    </row>
    <row r="5012" spans="1:4" x14ac:dyDescent="0.25">
      <c r="A5012" s="31"/>
      <c r="D5012" s="30"/>
    </row>
    <row r="5013" spans="1:4" x14ac:dyDescent="0.25">
      <c r="A5013" s="31"/>
      <c r="D5013" s="30"/>
    </row>
    <row r="5014" spans="1:4" x14ac:dyDescent="0.25">
      <c r="A5014" s="31"/>
      <c r="D5014" s="30"/>
    </row>
    <row r="5015" spans="1:4" x14ac:dyDescent="0.25">
      <c r="A5015" s="31"/>
      <c r="D5015" s="30"/>
    </row>
    <row r="5016" spans="1:4" x14ac:dyDescent="0.25">
      <c r="A5016" s="31"/>
      <c r="D5016" s="30"/>
    </row>
    <row r="5017" spans="1:4" x14ac:dyDescent="0.25">
      <c r="A5017" s="31"/>
      <c r="D5017" s="30"/>
    </row>
    <row r="5018" spans="1:4" x14ac:dyDescent="0.25">
      <c r="A5018" s="31"/>
      <c r="D5018" s="30"/>
    </row>
    <row r="5019" spans="1:4" x14ac:dyDescent="0.25">
      <c r="A5019" s="31"/>
      <c r="D5019" s="30"/>
    </row>
    <row r="5020" spans="1:4" x14ac:dyDescent="0.25">
      <c r="A5020" s="31"/>
      <c r="D5020" s="30"/>
    </row>
    <row r="5021" spans="1:4" x14ac:dyDescent="0.25">
      <c r="A5021" s="31"/>
      <c r="D5021" s="30"/>
    </row>
    <row r="5022" spans="1:4" x14ac:dyDescent="0.25">
      <c r="A5022" s="31"/>
      <c r="D5022" s="30"/>
    </row>
    <row r="5023" spans="1:4" x14ac:dyDescent="0.25">
      <c r="A5023" s="31"/>
      <c r="D5023" s="30"/>
    </row>
    <row r="5024" spans="1:4" x14ac:dyDescent="0.25">
      <c r="A5024" s="31"/>
      <c r="D5024" s="30"/>
    </row>
    <row r="5025" spans="1:4" x14ac:dyDescent="0.25">
      <c r="A5025" s="31"/>
      <c r="D5025" s="30"/>
    </row>
    <row r="5026" spans="1:4" x14ac:dyDescent="0.25">
      <c r="A5026" s="31"/>
      <c r="D5026" s="30"/>
    </row>
    <row r="5027" spans="1:4" x14ac:dyDescent="0.25">
      <c r="A5027" s="31"/>
      <c r="D5027" s="30"/>
    </row>
    <row r="5028" spans="1:4" x14ac:dyDescent="0.25">
      <c r="A5028" s="31"/>
      <c r="D5028" s="30"/>
    </row>
    <row r="5029" spans="1:4" x14ac:dyDescent="0.25">
      <c r="A5029" s="31"/>
      <c r="D5029" s="30"/>
    </row>
    <row r="5030" spans="1:4" x14ac:dyDescent="0.25">
      <c r="A5030" s="31"/>
      <c r="D5030" s="30"/>
    </row>
    <row r="5031" spans="1:4" x14ac:dyDescent="0.25">
      <c r="A5031" s="31"/>
      <c r="D5031" s="30"/>
    </row>
    <row r="5032" spans="1:4" x14ac:dyDescent="0.25">
      <c r="A5032" s="31"/>
      <c r="D5032" s="30"/>
    </row>
    <row r="5033" spans="1:4" x14ac:dyDescent="0.25">
      <c r="A5033" s="31"/>
      <c r="D5033" s="30"/>
    </row>
    <row r="5034" spans="1:4" x14ac:dyDescent="0.25">
      <c r="A5034" s="31"/>
      <c r="D5034" s="30"/>
    </row>
    <row r="5035" spans="1:4" x14ac:dyDescent="0.25">
      <c r="A5035" s="31"/>
      <c r="D5035" s="30"/>
    </row>
    <row r="5036" spans="1:4" x14ac:dyDescent="0.25">
      <c r="A5036" s="31"/>
      <c r="D5036" s="30"/>
    </row>
    <row r="5037" spans="1:4" x14ac:dyDescent="0.25">
      <c r="A5037" s="31"/>
      <c r="D5037" s="30"/>
    </row>
    <row r="5038" spans="1:4" x14ac:dyDescent="0.25">
      <c r="A5038" s="31"/>
      <c r="D5038" s="30"/>
    </row>
    <row r="5039" spans="1:4" x14ac:dyDescent="0.25">
      <c r="A5039" s="31"/>
      <c r="D5039" s="30"/>
    </row>
    <row r="5040" spans="1:4" x14ac:dyDescent="0.25">
      <c r="A5040" s="31"/>
      <c r="D5040" s="30"/>
    </row>
    <row r="5041" spans="1:4" x14ac:dyDescent="0.25">
      <c r="A5041" s="31"/>
      <c r="D5041" s="30"/>
    </row>
    <row r="5042" spans="1:4" x14ac:dyDescent="0.25">
      <c r="A5042" s="31"/>
      <c r="D5042" s="30"/>
    </row>
    <row r="5043" spans="1:4" x14ac:dyDescent="0.25">
      <c r="A5043" s="31"/>
      <c r="D5043" s="30"/>
    </row>
    <row r="5044" spans="1:4" x14ac:dyDescent="0.25">
      <c r="A5044" s="31"/>
      <c r="D5044" s="30"/>
    </row>
    <row r="5045" spans="1:4" x14ac:dyDescent="0.25">
      <c r="A5045" s="31"/>
      <c r="D5045" s="30"/>
    </row>
    <row r="5046" spans="1:4" x14ac:dyDescent="0.25">
      <c r="A5046" s="31"/>
      <c r="D5046" s="30"/>
    </row>
    <row r="5047" spans="1:4" x14ac:dyDescent="0.25">
      <c r="A5047" s="31"/>
      <c r="D5047" s="30"/>
    </row>
    <row r="5048" spans="1:4" x14ac:dyDescent="0.25">
      <c r="A5048" s="31"/>
      <c r="D5048" s="30"/>
    </row>
    <row r="5049" spans="1:4" x14ac:dyDescent="0.25">
      <c r="A5049" s="31"/>
      <c r="D5049" s="30"/>
    </row>
    <row r="5050" spans="1:4" x14ac:dyDescent="0.25">
      <c r="A5050" s="31"/>
      <c r="D5050" s="30"/>
    </row>
    <row r="5051" spans="1:4" x14ac:dyDescent="0.25">
      <c r="A5051" s="31"/>
      <c r="D5051" s="30"/>
    </row>
    <row r="5052" spans="1:4" x14ac:dyDescent="0.25">
      <c r="A5052" s="31"/>
      <c r="D5052" s="30"/>
    </row>
    <row r="5053" spans="1:4" x14ac:dyDescent="0.25">
      <c r="A5053" s="31"/>
      <c r="D5053" s="30"/>
    </row>
    <row r="5054" spans="1:4" x14ac:dyDescent="0.25">
      <c r="A5054" s="31"/>
      <c r="D5054" s="30"/>
    </row>
    <row r="5055" spans="1:4" x14ac:dyDescent="0.25">
      <c r="A5055" s="31"/>
      <c r="D5055" s="30"/>
    </row>
    <row r="5056" spans="1:4" x14ac:dyDescent="0.25">
      <c r="A5056" s="31"/>
      <c r="D5056" s="30"/>
    </row>
    <row r="5057" spans="1:4" x14ac:dyDescent="0.25">
      <c r="A5057" s="31"/>
      <c r="D5057" s="30"/>
    </row>
    <row r="5058" spans="1:4" x14ac:dyDescent="0.25">
      <c r="A5058" s="31"/>
      <c r="D5058" s="30"/>
    </row>
    <row r="5059" spans="1:4" x14ac:dyDescent="0.25">
      <c r="A5059" s="31"/>
      <c r="D5059" s="30"/>
    </row>
    <row r="5060" spans="1:4" x14ac:dyDescent="0.25">
      <c r="A5060" s="31"/>
      <c r="D5060" s="30"/>
    </row>
    <row r="5061" spans="1:4" x14ac:dyDescent="0.25">
      <c r="A5061" s="31"/>
      <c r="D5061" s="30"/>
    </row>
    <row r="5062" spans="1:4" x14ac:dyDescent="0.25">
      <c r="A5062" s="31"/>
      <c r="D5062" s="30"/>
    </row>
    <row r="5063" spans="1:4" x14ac:dyDescent="0.25">
      <c r="A5063" s="31"/>
      <c r="D5063" s="30"/>
    </row>
    <row r="5064" spans="1:4" x14ac:dyDescent="0.25">
      <c r="A5064" s="31"/>
      <c r="D5064" s="30"/>
    </row>
    <row r="5065" spans="1:4" x14ac:dyDescent="0.25">
      <c r="A5065" s="31"/>
      <c r="D5065" s="30"/>
    </row>
    <row r="5066" spans="1:4" x14ac:dyDescent="0.25">
      <c r="A5066" s="31"/>
      <c r="D5066" s="30"/>
    </row>
    <row r="5067" spans="1:4" x14ac:dyDescent="0.25">
      <c r="A5067" s="31"/>
      <c r="D5067" s="30"/>
    </row>
    <row r="5068" spans="1:4" x14ac:dyDescent="0.25">
      <c r="A5068" s="31"/>
      <c r="D5068" s="30"/>
    </row>
    <row r="5069" spans="1:4" x14ac:dyDescent="0.25">
      <c r="A5069" s="31"/>
      <c r="D5069" s="30"/>
    </row>
    <row r="5070" spans="1:4" x14ac:dyDescent="0.25">
      <c r="A5070" s="31"/>
      <c r="D5070" s="30"/>
    </row>
    <row r="5071" spans="1:4" x14ac:dyDescent="0.25">
      <c r="A5071" s="31"/>
      <c r="D5071" s="30"/>
    </row>
    <row r="5072" spans="1:4" x14ac:dyDescent="0.25">
      <c r="A5072" s="31"/>
      <c r="D5072" s="30"/>
    </row>
    <row r="5073" spans="1:4" x14ac:dyDescent="0.25">
      <c r="A5073" s="31"/>
      <c r="D5073" s="30"/>
    </row>
    <row r="5074" spans="1:4" x14ac:dyDescent="0.25">
      <c r="A5074" s="31"/>
      <c r="D5074" s="30"/>
    </row>
    <row r="5075" spans="1:4" x14ac:dyDescent="0.25">
      <c r="A5075" s="31"/>
      <c r="D5075" s="30"/>
    </row>
    <row r="5076" spans="1:4" x14ac:dyDescent="0.25">
      <c r="A5076" s="31"/>
      <c r="D5076" s="30"/>
    </row>
    <row r="5077" spans="1:4" x14ac:dyDescent="0.25">
      <c r="A5077" s="31"/>
      <c r="D5077" s="30"/>
    </row>
    <row r="5078" spans="1:4" x14ac:dyDescent="0.25">
      <c r="A5078" s="31"/>
      <c r="D5078" s="30"/>
    </row>
    <row r="5079" spans="1:4" x14ac:dyDescent="0.25">
      <c r="A5079" s="31"/>
      <c r="D5079" s="30"/>
    </row>
    <row r="5080" spans="1:4" x14ac:dyDescent="0.25">
      <c r="A5080" s="31"/>
      <c r="D5080" s="30"/>
    </row>
    <row r="5081" spans="1:4" x14ac:dyDescent="0.25">
      <c r="A5081" s="31"/>
      <c r="D5081" s="30"/>
    </row>
    <row r="5082" spans="1:4" x14ac:dyDescent="0.25">
      <c r="A5082" s="31"/>
      <c r="D5082" s="30"/>
    </row>
    <row r="5083" spans="1:4" x14ac:dyDescent="0.25">
      <c r="A5083" s="31"/>
      <c r="D5083" s="30"/>
    </row>
    <row r="5084" spans="1:4" x14ac:dyDescent="0.25">
      <c r="A5084" s="31"/>
      <c r="D5084" s="30"/>
    </row>
    <row r="5085" spans="1:4" x14ac:dyDescent="0.25">
      <c r="A5085" s="31"/>
      <c r="D5085" s="30"/>
    </row>
    <row r="5086" spans="1:4" x14ac:dyDescent="0.25">
      <c r="A5086" s="31"/>
      <c r="D5086" s="30"/>
    </row>
    <row r="5087" spans="1:4" x14ac:dyDescent="0.25">
      <c r="A5087" s="31"/>
      <c r="D5087" s="30"/>
    </row>
    <row r="5088" spans="1:4" x14ac:dyDescent="0.25">
      <c r="A5088" s="31"/>
      <c r="D5088" s="30"/>
    </row>
    <row r="5089" spans="1:4" x14ac:dyDescent="0.25">
      <c r="A5089" s="31"/>
      <c r="D5089" s="30"/>
    </row>
    <row r="5090" spans="1:4" x14ac:dyDescent="0.25">
      <c r="A5090" s="31"/>
      <c r="D5090" s="30"/>
    </row>
    <row r="5091" spans="1:4" x14ac:dyDescent="0.25">
      <c r="A5091" s="31"/>
      <c r="D5091" s="30"/>
    </row>
    <row r="5092" spans="1:4" x14ac:dyDescent="0.25">
      <c r="A5092" s="31"/>
      <c r="D5092" s="30"/>
    </row>
    <row r="5093" spans="1:4" x14ac:dyDescent="0.25">
      <c r="A5093" s="31"/>
      <c r="D5093" s="30"/>
    </row>
    <row r="5094" spans="1:4" x14ac:dyDescent="0.25">
      <c r="A5094" s="31"/>
      <c r="D5094" s="30"/>
    </row>
    <row r="5095" spans="1:4" x14ac:dyDescent="0.25">
      <c r="A5095" s="31"/>
      <c r="D5095" s="30"/>
    </row>
    <row r="5096" spans="1:4" x14ac:dyDescent="0.25">
      <c r="A5096" s="31"/>
      <c r="D5096" s="30"/>
    </row>
    <row r="5097" spans="1:4" x14ac:dyDescent="0.25">
      <c r="A5097" s="31"/>
      <c r="D5097" s="30"/>
    </row>
    <row r="5098" spans="1:4" x14ac:dyDescent="0.25">
      <c r="A5098" s="31"/>
      <c r="D5098" s="30"/>
    </row>
    <row r="5099" spans="1:4" x14ac:dyDescent="0.25">
      <c r="A5099" s="31"/>
      <c r="D5099" s="30"/>
    </row>
    <row r="5100" spans="1:4" x14ac:dyDescent="0.25">
      <c r="A5100" s="31"/>
      <c r="D5100" s="30"/>
    </row>
    <row r="5101" spans="1:4" x14ac:dyDescent="0.25">
      <c r="A5101" s="31"/>
      <c r="D5101" s="30"/>
    </row>
    <row r="5102" spans="1:4" x14ac:dyDescent="0.25">
      <c r="A5102" s="31"/>
      <c r="D5102" s="30"/>
    </row>
    <row r="5103" spans="1:4" x14ac:dyDescent="0.25">
      <c r="A5103" s="31"/>
      <c r="D5103" s="30"/>
    </row>
    <row r="5104" spans="1:4" x14ac:dyDescent="0.25">
      <c r="A5104" s="31"/>
      <c r="D5104" s="30"/>
    </row>
    <row r="5105" spans="1:4" x14ac:dyDescent="0.25">
      <c r="A5105" s="31"/>
      <c r="D5105" s="30"/>
    </row>
    <row r="5106" spans="1:4" x14ac:dyDescent="0.25">
      <c r="A5106" s="31"/>
      <c r="D5106" s="30"/>
    </row>
    <row r="5107" spans="1:4" x14ac:dyDescent="0.25">
      <c r="A5107" s="31"/>
      <c r="D5107" s="30"/>
    </row>
    <row r="5108" spans="1:4" x14ac:dyDescent="0.25">
      <c r="A5108" s="31"/>
      <c r="D5108" s="30"/>
    </row>
    <row r="5109" spans="1:4" x14ac:dyDescent="0.25">
      <c r="A5109" s="31"/>
      <c r="D5109" s="30"/>
    </row>
    <row r="5110" spans="1:4" x14ac:dyDescent="0.25">
      <c r="A5110" s="31"/>
      <c r="D5110" s="30"/>
    </row>
    <row r="5111" spans="1:4" x14ac:dyDescent="0.25">
      <c r="A5111" s="31"/>
      <c r="D5111" s="30"/>
    </row>
    <row r="5112" spans="1:4" x14ac:dyDescent="0.25">
      <c r="A5112" s="31"/>
      <c r="D5112" s="30"/>
    </row>
    <row r="5113" spans="1:4" x14ac:dyDescent="0.25">
      <c r="A5113" s="31"/>
      <c r="D5113" s="30"/>
    </row>
    <row r="5114" spans="1:4" x14ac:dyDescent="0.25">
      <c r="A5114" s="31"/>
      <c r="D5114" s="30"/>
    </row>
    <row r="5115" spans="1:4" x14ac:dyDescent="0.25">
      <c r="A5115" s="31"/>
      <c r="D5115" s="30"/>
    </row>
    <row r="5116" spans="1:4" x14ac:dyDescent="0.25">
      <c r="A5116" s="31"/>
      <c r="D5116" s="30"/>
    </row>
    <row r="5117" spans="1:4" x14ac:dyDescent="0.25">
      <c r="A5117" s="31"/>
      <c r="D5117" s="30"/>
    </row>
    <row r="5118" spans="1:4" x14ac:dyDescent="0.25">
      <c r="A5118" s="31"/>
      <c r="D5118" s="30"/>
    </row>
    <row r="5119" spans="1:4" x14ac:dyDescent="0.25">
      <c r="A5119" s="31"/>
      <c r="D5119" s="30"/>
    </row>
    <row r="5120" spans="1:4" x14ac:dyDescent="0.25">
      <c r="A5120" s="31"/>
      <c r="D5120" s="30"/>
    </row>
    <row r="5121" spans="1:4" x14ac:dyDescent="0.25">
      <c r="A5121" s="31"/>
      <c r="D5121" s="30"/>
    </row>
    <row r="5122" spans="1:4" x14ac:dyDescent="0.25">
      <c r="A5122" s="31"/>
      <c r="D5122" s="30"/>
    </row>
    <row r="5123" spans="1:4" x14ac:dyDescent="0.25">
      <c r="A5123" s="31"/>
      <c r="D5123" s="30"/>
    </row>
    <row r="5124" spans="1:4" x14ac:dyDescent="0.25">
      <c r="A5124" s="31"/>
      <c r="D5124" s="30"/>
    </row>
    <row r="5125" spans="1:4" x14ac:dyDescent="0.25">
      <c r="A5125" s="31"/>
      <c r="D5125" s="30"/>
    </row>
    <row r="5126" spans="1:4" x14ac:dyDescent="0.25">
      <c r="A5126" s="31"/>
      <c r="D5126" s="30"/>
    </row>
    <row r="5127" spans="1:4" x14ac:dyDescent="0.25">
      <c r="A5127" s="31"/>
      <c r="D5127" s="30"/>
    </row>
    <row r="5128" spans="1:4" x14ac:dyDescent="0.25">
      <c r="A5128" s="31"/>
      <c r="D5128" s="30"/>
    </row>
    <row r="5129" spans="1:4" x14ac:dyDescent="0.25">
      <c r="A5129" s="31"/>
      <c r="D5129" s="30"/>
    </row>
    <row r="5130" spans="1:4" x14ac:dyDescent="0.25">
      <c r="A5130" s="31"/>
      <c r="D5130" s="30"/>
    </row>
    <row r="5131" spans="1:4" x14ac:dyDescent="0.25">
      <c r="A5131" s="31"/>
      <c r="D5131" s="30"/>
    </row>
    <row r="5132" spans="1:4" x14ac:dyDescent="0.25">
      <c r="A5132" s="31"/>
      <c r="D5132" s="30"/>
    </row>
    <row r="5133" spans="1:4" x14ac:dyDescent="0.25">
      <c r="A5133" s="31"/>
      <c r="D5133" s="30"/>
    </row>
    <row r="5134" spans="1:4" x14ac:dyDescent="0.25">
      <c r="A5134" s="31"/>
      <c r="D5134" s="30"/>
    </row>
    <row r="5135" spans="1:4" x14ac:dyDescent="0.25">
      <c r="A5135" s="31"/>
      <c r="D5135" s="30"/>
    </row>
    <row r="5136" spans="1:4" x14ac:dyDescent="0.25">
      <c r="A5136" s="31"/>
      <c r="D5136" s="30"/>
    </row>
    <row r="5137" spans="1:4" x14ac:dyDescent="0.25">
      <c r="A5137" s="31"/>
      <c r="D5137" s="30"/>
    </row>
    <row r="5138" spans="1:4" x14ac:dyDescent="0.25">
      <c r="A5138" s="31"/>
      <c r="D5138" s="30"/>
    </row>
    <row r="5139" spans="1:4" x14ac:dyDescent="0.25">
      <c r="A5139" s="31"/>
      <c r="D5139" s="30"/>
    </row>
    <row r="5140" spans="1:4" x14ac:dyDescent="0.25">
      <c r="A5140" s="31"/>
      <c r="D5140" s="30"/>
    </row>
    <row r="5141" spans="1:4" x14ac:dyDescent="0.25">
      <c r="A5141" s="31"/>
      <c r="D5141" s="30"/>
    </row>
    <row r="5142" spans="1:4" x14ac:dyDescent="0.25">
      <c r="A5142" s="31"/>
      <c r="D5142" s="30"/>
    </row>
    <row r="5143" spans="1:4" x14ac:dyDescent="0.25">
      <c r="A5143" s="31"/>
      <c r="D5143" s="30"/>
    </row>
    <row r="5144" spans="1:4" x14ac:dyDescent="0.25">
      <c r="A5144" s="31"/>
      <c r="D5144" s="30"/>
    </row>
    <row r="5145" spans="1:4" x14ac:dyDescent="0.25">
      <c r="A5145" s="31"/>
      <c r="D5145" s="30"/>
    </row>
    <row r="5146" spans="1:4" x14ac:dyDescent="0.25">
      <c r="A5146" s="31"/>
      <c r="D5146" s="30"/>
    </row>
    <row r="5147" spans="1:4" x14ac:dyDescent="0.25">
      <c r="A5147" s="31"/>
      <c r="D5147" s="30"/>
    </row>
    <row r="5148" spans="1:4" x14ac:dyDescent="0.25">
      <c r="A5148" s="31"/>
      <c r="D5148" s="30"/>
    </row>
    <row r="5149" spans="1:4" x14ac:dyDescent="0.25">
      <c r="A5149" s="31"/>
      <c r="D5149" s="30"/>
    </row>
    <row r="5150" spans="1:4" x14ac:dyDescent="0.25">
      <c r="A5150" s="31"/>
      <c r="D5150" s="30"/>
    </row>
    <row r="5151" spans="1:4" x14ac:dyDescent="0.25">
      <c r="A5151" s="31"/>
      <c r="D5151" s="30"/>
    </row>
    <row r="5152" spans="1:4" x14ac:dyDescent="0.25">
      <c r="A5152" s="31"/>
      <c r="D5152" s="30"/>
    </row>
    <row r="5153" spans="1:4" x14ac:dyDescent="0.25">
      <c r="A5153" s="31"/>
      <c r="D5153" s="30"/>
    </row>
    <row r="5154" spans="1:4" x14ac:dyDescent="0.25">
      <c r="A5154" s="31"/>
      <c r="D5154" s="30"/>
    </row>
    <row r="5155" spans="1:4" x14ac:dyDescent="0.25">
      <c r="A5155" s="31"/>
      <c r="D5155" s="30"/>
    </row>
    <row r="5156" spans="1:4" x14ac:dyDescent="0.25">
      <c r="A5156" s="31"/>
      <c r="D5156" s="30"/>
    </row>
    <row r="5157" spans="1:4" x14ac:dyDescent="0.25">
      <c r="A5157" s="31"/>
      <c r="D5157" s="30"/>
    </row>
    <row r="5158" spans="1:4" x14ac:dyDescent="0.25">
      <c r="A5158" s="31"/>
      <c r="D5158" s="30"/>
    </row>
    <row r="5159" spans="1:4" x14ac:dyDescent="0.25">
      <c r="A5159" s="31"/>
      <c r="D5159" s="30"/>
    </row>
    <row r="5160" spans="1:4" x14ac:dyDescent="0.25">
      <c r="A5160" s="31"/>
      <c r="D5160" s="30"/>
    </row>
    <row r="5161" spans="1:4" x14ac:dyDescent="0.25">
      <c r="A5161" s="31"/>
      <c r="D5161" s="30"/>
    </row>
    <row r="5162" spans="1:4" x14ac:dyDescent="0.25">
      <c r="A5162" s="31"/>
      <c r="D5162" s="30"/>
    </row>
    <row r="5163" spans="1:4" x14ac:dyDescent="0.25">
      <c r="A5163" s="31"/>
      <c r="D5163" s="30"/>
    </row>
    <row r="5164" spans="1:4" x14ac:dyDescent="0.25">
      <c r="A5164" s="31"/>
      <c r="D5164" s="30"/>
    </row>
    <row r="5165" spans="1:4" x14ac:dyDescent="0.25">
      <c r="A5165" s="31"/>
      <c r="D5165" s="30"/>
    </row>
    <row r="5166" spans="1:4" x14ac:dyDescent="0.25">
      <c r="A5166" s="31"/>
      <c r="D5166" s="30"/>
    </row>
    <row r="5167" spans="1:4" x14ac:dyDescent="0.25">
      <c r="A5167" s="31"/>
      <c r="D5167" s="30"/>
    </row>
    <row r="5168" spans="1:4" x14ac:dyDescent="0.25">
      <c r="A5168" s="31"/>
      <c r="D5168" s="30"/>
    </row>
    <row r="5169" spans="1:4" x14ac:dyDescent="0.25">
      <c r="A5169" s="31"/>
      <c r="D5169" s="30"/>
    </row>
    <row r="5170" spans="1:4" x14ac:dyDescent="0.25">
      <c r="A5170" s="31"/>
      <c r="D5170" s="30"/>
    </row>
    <row r="5171" spans="1:4" x14ac:dyDescent="0.25">
      <c r="A5171" s="31"/>
      <c r="D5171" s="30"/>
    </row>
    <row r="5172" spans="1:4" x14ac:dyDescent="0.25">
      <c r="A5172" s="31"/>
      <c r="D5172" s="30"/>
    </row>
    <row r="5173" spans="1:4" x14ac:dyDescent="0.25">
      <c r="A5173" s="31"/>
      <c r="D5173" s="30"/>
    </row>
    <row r="5174" spans="1:4" x14ac:dyDescent="0.25">
      <c r="A5174" s="31"/>
      <c r="D5174" s="30"/>
    </row>
    <row r="5175" spans="1:4" x14ac:dyDescent="0.25">
      <c r="A5175" s="31"/>
      <c r="D5175" s="30"/>
    </row>
    <row r="5176" spans="1:4" x14ac:dyDescent="0.25">
      <c r="A5176" s="31"/>
      <c r="D5176" s="30"/>
    </row>
    <row r="5177" spans="1:4" x14ac:dyDescent="0.25">
      <c r="A5177" s="31"/>
      <c r="D5177" s="30"/>
    </row>
    <row r="5178" spans="1:4" x14ac:dyDescent="0.25">
      <c r="A5178" s="31"/>
      <c r="D5178" s="30"/>
    </row>
    <row r="5179" spans="1:4" x14ac:dyDescent="0.25">
      <c r="A5179" s="31"/>
      <c r="D5179" s="30"/>
    </row>
    <row r="5180" spans="1:4" x14ac:dyDescent="0.25">
      <c r="A5180" s="31"/>
      <c r="D5180" s="30"/>
    </row>
    <row r="5181" spans="1:4" x14ac:dyDescent="0.25">
      <c r="A5181" s="31"/>
      <c r="D5181" s="30"/>
    </row>
    <row r="5182" spans="1:4" x14ac:dyDescent="0.25">
      <c r="A5182" s="31"/>
      <c r="D5182" s="30"/>
    </row>
    <row r="5183" spans="1:4" x14ac:dyDescent="0.25">
      <c r="A5183" s="31"/>
      <c r="D5183" s="30"/>
    </row>
    <row r="5184" spans="1:4" x14ac:dyDescent="0.25">
      <c r="A5184" s="31"/>
      <c r="D5184" s="30"/>
    </row>
    <row r="5185" spans="1:4" x14ac:dyDescent="0.25">
      <c r="A5185" s="31"/>
      <c r="D5185" s="30"/>
    </row>
    <row r="5186" spans="1:4" x14ac:dyDescent="0.25">
      <c r="A5186" s="31"/>
      <c r="D5186" s="30"/>
    </row>
    <row r="5187" spans="1:4" x14ac:dyDescent="0.25">
      <c r="A5187" s="31"/>
      <c r="D5187" s="30"/>
    </row>
    <row r="5188" spans="1:4" x14ac:dyDescent="0.25">
      <c r="A5188" s="31"/>
      <c r="D5188" s="30"/>
    </row>
    <row r="5189" spans="1:4" x14ac:dyDescent="0.25">
      <c r="A5189" s="31"/>
      <c r="D5189" s="30"/>
    </row>
    <row r="5190" spans="1:4" x14ac:dyDescent="0.25">
      <c r="A5190" s="31"/>
      <c r="D5190" s="30"/>
    </row>
    <row r="5191" spans="1:4" x14ac:dyDescent="0.25">
      <c r="A5191" s="31"/>
      <c r="D5191" s="30"/>
    </row>
    <row r="5192" spans="1:4" x14ac:dyDescent="0.25">
      <c r="A5192" s="31"/>
      <c r="D5192" s="30"/>
    </row>
    <row r="5193" spans="1:4" x14ac:dyDescent="0.25">
      <c r="A5193" s="31"/>
      <c r="D5193" s="30"/>
    </row>
    <row r="5194" spans="1:4" x14ac:dyDescent="0.25">
      <c r="A5194" s="31"/>
      <c r="D5194" s="30"/>
    </row>
    <row r="5195" spans="1:4" x14ac:dyDescent="0.25">
      <c r="A5195" s="31"/>
      <c r="D5195" s="30"/>
    </row>
    <row r="5196" spans="1:4" x14ac:dyDescent="0.25">
      <c r="A5196" s="31"/>
      <c r="D5196" s="30"/>
    </row>
    <row r="5197" spans="1:4" x14ac:dyDescent="0.25">
      <c r="A5197" s="31"/>
      <c r="D5197" s="30"/>
    </row>
    <row r="5198" spans="1:4" x14ac:dyDescent="0.25">
      <c r="A5198" s="31"/>
      <c r="D5198" s="30"/>
    </row>
    <row r="5199" spans="1:4" x14ac:dyDescent="0.25">
      <c r="A5199" s="31"/>
      <c r="D5199" s="30"/>
    </row>
    <row r="5200" spans="1:4" x14ac:dyDescent="0.25">
      <c r="A5200" s="31"/>
      <c r="D5200" s="30"/>
    </row>
    <row r="5201" spans="1:4" x14ac:dyDescent="0.25">
      <c r="A5201" s="31"/>
      <c r="D5201" s="30"/>
    </row>
    <row r="5202" spans="1:4" x14ac:dyDescent="0.25">
      <c r="A5202" s="31"/>
      <c r="D5202" s="30"/>
    </row>
    <row r="5203" spans="1:4" x14ac:dyDescent="0.25">
      <c r="A5203" s="31"/>
      <c r="D5203" s="30"/>
    </row>
    <row r="5204" spans="1:4" x14ac:dyDescent="0.25">
      <c r="A5204" s="31"/>
      <c r="D5204" s="30"/>
    </row>
    <row r="5205" spans="1:4" x14ac:dyDescent="0.25">
      <c r="A5205" s="31"/>
      <c r="D5205" s="30"/>
    </row>
    <row r="5206" spans="1:4" x14ac:dyDescent="0.25">
      <c r="A5206" s="31"/>
      <c r="D5206" s="30"/>
    </row>
    <row r="5207" spans="1:4" x14ac:dyDescent="0.25">
      <c r="A5207" s="31"/>
      <c r="D5207" s="30"/>
    </row>
    <row r="5208" spans="1:4" x14ac:dyDescent="0.25">
      <c r="A5208" s="31"/>
      <c r="D5208" s="30"/>
    </row>
    <row r="5209" spans="1:4" x14ac:dyDescent="0.25">
      <c r="A5209" s="31"/>
      <c r="D5209" s="30"/>
    </row>
    <row r="5210" spans="1:4" x14ac:dyDescent="0.25">
      <c r="A5210" s="31"/>
      <c r="D5210" s="30"/>
    </row>
    <row r="5211" spans="1:4" x14ac:dyDescent="0.25">
      <c r="A5211" s="31"/>
      <c r="D5211" s="30"/>
    </row>
    <row r="5212" spans="1:4" x14ac:dyDescent="0.25">
      <c r="A5212" s="31"/>
      <c r="D5212" s="30"/>
    </row>
    <row r="5213" spans="1:4" x14ac:dyDescent="0.25">
      <c r="A5213" s="31"/>
      <c r="D5213" s="30"/>
    </row>
    <row r="5214" spans="1:4" x14ac:dyDescent="0.25">
      <c r="A5214" s="31"/>
      <c r="D5214" s="30"/>
    </row>
    <row r="5215" spans="1:4" x14ac:dyDescent="0.25">
      <c r="A5215" s="31"/>
      <c r="D5215" s="30"/>
    </row>
    <row r="5216" spans="1:4" x14ac:dyDescent="0.25">
      <c r="A5216" s="31"/>
      <c r="D5216" s="30"/>
    </row>
    <row r="5217" spans="1:4" x14ac:dyDescent="0.25">
      <c r="A5217" s="31"/>
      <c r="D5217" s="30"/>
    </row>
    <row r="5218" spans="1:4" x14ac:dyDescent="0.25">
      <c r="A5218" s="31"/>
      <c r="D5218" s="30"/>
    </row>
    <row r="5219" spans="1:4" x14ac:dyDescent="0.25">
      <c r="A5219" s="31"/>
      <c r="D5219" s="30"/>
    </row>
    <row r="5220" spans="1:4" x14ac:dyDescent="0.25">
      <c r="A5220" s="31"/>
      <c r="D5220" s="30"/>
    </row>
    <row r="5221" spans="1:4" x14ac:dyDescent="0.25">
      <c r="A5221" s="31"/>
      <c r="D5221" s="30"/>
    </row>
    <row r="5222" spans="1:4" x14ac:dyDescent="0.25">
      <c r="A5222" s="31"/>
      <c r="D5222" s="30"/>
    </row>
    <row r="5223" spans="1:4" x14ac:dyDescent="0.25">
      <c r="A5223" s="31"/>
      <c r="D5223" s="30"/>
    </row>
    <row r="5224" spans="1:4" x14ac:dyDescent="0.25">
      <c r="A5224" s="31"/>
      <c r="D5224" s="30"/>
    </row>
    <row r="5225" spans="1:4" x14ac:dyDescent="0.25">
      <c r="A5225" s="31"/>
      <c r="D5225" s="30"/>
    </row>
    <row r="5226" spans="1:4" x14ac:dyDescent="0.25">
      <c r="A5226" s="31"/>
      <c r="D5226" s="30"/>
    </row>
    <row r="5227" spans="1:4" x14ac:dyDescent="0.25">
      <c r="A5227" s="31"/>
      <c r="D5227" s="30"/>
    </row>
    <row r="5228" spans="1:4" x14ac:dyDescent="0.25">
      <c r="A5228" s="31"/>
      <c r="D5228" s="30"/>
    </row>
    <row r="5229" spans="1:4" x14ac:dyDescent="0.25">
      <c r="A5229" s="31"/>
      <c r="D5229" s="30"/>
    </row>
    <row r="5230" spans="1:4" x14ac:dyDescent="0.25">
      <c r="A5230" s="31"/>
      <c r="D5230" s="30"/>
    </row>
    <row r="5231" spans="1:4" x14ac:dyDescent="0.25">
      <c r="A5231" s="31"/>
      <c r="D5231" s="30"/>
    </row>
    <row r="5232" spans="1:4" x14ac:dyDescent="0.25">
      <c r="A5232" s="31"/>
      <c r="D5232" s="30"/>
    </row>
    <row r="5233" spans="1:4" x14ac:dyDescent="0.25">
      <c r="A5233" s="31"/>
      <c r="D5233" s="30"/>
    </row>
    <row r="5234" spans="1:4" x14ac:dyDescent="0.25">
      <c r="A5234" s="31"/>
      <c r="D5234" s="30"/>
    </row>
    <row r="5235" spans="1:4" x14ac:dyDescent="0.25">
      <c r="A5235" s="31"/>
      <c r="D5235" s="30"/>
    </row>
    <row r="5236" spans="1:4" x14ac:dyDescent="0.25">
      <c r="A5236" s="31"/>
      <c r="D5236" s="30"/>
    </row>
    <row r="5237" spans="1:4" x14ac:dyDescent="0.25">
      <c r="A5237" s="31"/>
      <c r="D5237" s="30"/>
    </row>
    <row r="5238" spans="1:4" x14ac:dyDescent="0.25">
      <c r="A5238" s="31"/>
      <c r="D5238" s="30"/>
    </row>
    <row r="5239" spans="1:4" x14ac:dyDescent="0.25">
      <c r="A5239" s="31"/>
      <c r="D5239" s="30"/>
    </row>
    <row r="5240" spans="1:4" x14ac:dyDescent="0.25">
      <c r="A5240" s="31"/>
      <c r="D5240" s="30"/>
    </row>
    <row r="5241" spans="1:4" x14ac:dyDescent="0.25">
      <c r="A5241" s="31"/>
      <c r="D5241" s="30"/>
    </row>
    <row r="5242" spans="1:4" x14ac:dyDescent="0.25">
      <c r="A5242" s="31"/>
      <c r="D5242" s="30"/>
    </row>
    <row r="5243" spans="1:4" x14ac:dyDescent="0.25">
      <c r="A5243" s="31"/>
      <c r="D5243" s="30"/>
    </row>
    <row r="5244" spans="1:4" x14ac:dyDescent="0.25">
      <c r="A5244" s="31"/>
      <c r="D5244" s="30"/>
    </row>
    <row r="5245" spans="1:4" x14ac:dyDescent="0.25">
      <c r="A5245" s="31"/>
      <c r="D5245" s="30"/>
    </row>
    <row r="5246" spans="1:4" x14ac:dyDescent="0.25">
      <c r="A5246" s="31"/>
      <c r="D5246" s="30"/>
    </row>
    <row r="5247" spans="1:4" x14ac:dyDescent="0.25">
      <c r="A5247" s="31"/>
      <c r="D5247" s="30"/>
    </row>
    <row r="5248" spans="1:4" x14ac:dyDescent="0.25">
      <c r="A5248" s="31"/>
      <c r="D5248" s="30"/>
    </row>
    <row r="5249" spans="1:4" x14ac:dyDescent="0.25">
      <c r="A5249" s="31"/>
      <c r="D5249" s="30"/>
    </row>
    <row r="5250" spans="1:4" x14ac:dyDescent="0.25">
      <c r="A5250" s="31"/>
      <c r="D5250" s="30"/>
    </row>
    <row r="5251" spans="1:4" x14ac:dyDescent="0.25">
      <c r="A5251" s="31"/>
      <c r="D5251" s="30"/>
    </row>
    <row r="5252" spans="1:4" x14ac:dyDescent="0.25">
      <c r="A5252" s="31"/>
      <c r="D5252" s="30"/>
    </row>
    <row r="5253" spans="1:4" x14ac:dyDescent="0.25">
      <c r="A5253" s="31"/>
      <c r="D5253" s="30"/>
    </row>
    <row r="5254" spans="1:4" x14ac:dyDescent="0.25">
      <c r="A5254" s="31"/>
      <c r="D5254" s="30"/>
    </row>
    <row r="5255" spans="1:4" x14ac:dyDescent="0.25">
      <c r="A5255" s="31"/>
      <c r="D5255" s="30"/>
    </row>
    <row r="5256" spans="1:4" x14ac:dyDescent="0.25">
      <c r="A5256" s="31"/>
      <c r="D5256" s="30"/>
    </row>
    <row r="5257" spans="1:4" x14ac:dyDescent="0.25">
      <c r="A5257" s="31"/>
      <c r="D5257" s="30"/>
    </row>
    <row r="5258" spans="1:4" x14ac:dyDescent="0.25">
      <c r="A5258" s="31"/>
      <c r="D5258" s="30"/>
    </row>
    <row r="5259" spans="1:4" x14ac:dyDescent="0.25">
      <c r="A5259" s="31"/>
      <c r="D5259" s="30"/>
    </row>
    <row r="5260" spans="1:4" x14ac:dyDescent="0.25">
      <c r="A5260" s="31"/>
      <c r="D5260" s="30"/>
    </row>
    <row r="5261" spans="1:4" x14ac:dyDescent="0.25">
      <c r="A5261" s="31"/>
      <c r="D5261" s="30"/>
    </row>
    <row r="5262" spans="1:4" x14ac:dyDescent="0.25">
      <c r="A5262" s="31"/>
      <c r="D5262" s="30"/>
    </row>
    <row r="5263" spans="1:4" x14ac:dyDescent="0.25">
      <c r="A5263" s="31"/>
      <c r="D5263" s="30"/>
    </row>
    <row r="5264" spans="1:4" x14ac:dyDescent="0.25">
      <c r="A5264" s="31"/>
      <c r="D5264" s="30"/>
    </row>
    <row r="5265" spans="1:4" x14ac:dyDescent="0.25">
      <c r="A5265" s="31"/>
      <c r="D5265" s="30"/>
    </row>
    <row r="5266" spans="1:4" x14ac:dyDescent="0.25">
      <c r="A5266" s="31"/>
      <c r="D5266" s="30"/>
    </row>
    <row r="5267" spans="1:4" x14ac:dyDescent="0.25">
      <c r="A5267" s="31"/>
      <c r="D5267" s="30"/>
    </row>
    <row r="5268" spans="1:4" x14ac:dyDescent="0.25">
      <c r="A5268" s="31"/>
      <c r="D5268" s="30"/>
    </row>
    <row r="5269" spans="1:4" x14ac:dyDescent="0.25">
      <c r="A5269" s="31"/>
      <c r="D5269" s="30"/>
    </row>
    <row r="5270" spans="1:4" x14ac:dyDescent="0.25">
      <c r="A5270" s="31"/>
      <c r="D5270" s="30"/>
    </row>
    <row r="5271" spans="1:4" x14ac:dyDescent="0.25">
      <c r="A5271" s="31"/>
      <c r="D5271" s="30"/>
    </row>
    <row r="5272" spans="1:4" x14ac:dyDescent="0.25">
      <c r="A5272" s="31"/>
      <c r="D5272" s="30"/>
    </row>
    <row r="5273" spans="1:4" x14ac:dyDescent="0.25">
      <c r="A5273" s="31"/>
      <c r="D5273" s="30"/>
    </row>
    <row r="5274" spans="1:4" x14ac:dyDescent="0.25">
      <c r="A5274" s="31"/>
      <c r="D5274" s="30"/>
    </row>
    <row r="5275" spans="1:4" x14ac:dyDescent="0.25">
      <c r="A5275" s="31"/>
      <c r="D5275" s="30"/>
    </row>
    <row r="5276" spans="1:4" x14ac:dyDescent="0.25">
      <c r="A5276" s="31"/>
      <c r="D5276" s="30"/>
    </row>
    <row r="5277" spans="1:4" x14ac:dyDescent="0.25">
      <c r="A5277" s="31"/>
      <c r="D5277" s="30"/>
    </row>
    <row r="5278" spans="1:4" x14ac:dyDescent="0.25">
      <c r="A5278" s="31"/>
      <c r="D5278" s="30"/>
    </row>
    <row r="5279" spans="1:4" x14ac:dyDescent="0.25">
      <c r="A5279" s="31"/>
      <c r="D5279" s="30"/>
    </row>
    <row r="5280" spans="1:4" x14ac:dyDescent="0.25">
      <c r="A5280" s="31"/>
      <c r="D5280" s="30"/>
    </row>
    <row r="5281" spans="1:4" x14ac:dyDescent="0.25">
      <c r="A5281" s="31"/>
      <c r="D5281" s="30"/>
    </row>
    <row r="5282" spans="1:4" x14ac:dyDescent="0.25">
      <c r="A5282" s="31"/>
      <c r="D5282" s="30"/>
    </row>
    <row r="5283" spans="1:4" x14ac:dyDescent="0.25">
      <c r="A5283" s="31"/>
      <c r="D5283" s="30"/>
    </row>
    <row r="5284" spans="1:4" x14ac:dyDescent="0.25">
      <c r="A5284" s="31"/>
      <c r="D5284" s="30"/>
    </row>
    <row r="5285" spans="1:4" x14ac:dyDescent="0.25">
      <c r="A5285" s="31"/>
      <c r="D5285" s="30"/>
    </row>
    <row r="5286" spans="1:4" x14ac:dyDescent="0.25">
      <c r="A5286" s="31"/>
      <c r="D5286" s="30"/>
    </row>
    <row r="5287" spans="1:4" x14ac:dyDescent="0.25">
      <c r="A5287" s="31"/>
      <c r="D5287" s="30"/>
    </row>
    <row r="5288" spans="1:4" x14ac:dyDescent="0.25">
      <c r="A5288" s="31"/>
      <c r="D5288" s="30"/>
    </row>
    <row r="5289" spans="1:4" x14ac:dyDescent="0.25">
      <c r="A5289" s="31"/>
      <c r="D5289" s="30"/>
    </row>
    <row r="5290" spans="1:4" x14ac:dyDescent="0.25">
      <c r="A5290" s="31"/>
      <c r="D5290" s="30"/>
    </row>
    <row r="5291" spans="1:4" x14ac:dyDescent="0.25">
      <c r="A5291" s="31"/>
      <c r="D5291" s="30"/>
    </row>
    <row r="5292" spans="1:4" x14ac:dyDescent="0.25">
      <c r="A5292" s="31"/>
      <c r="D5292" s="30"/>
    </row>
    <row r="5293" spans="1:4" x14ac:dyDescent="0.25">
      <c r="A5293" s="31"/>
      <c r="D5293" s="30"/>
    </row>
    <row r="5294" spans="1:4" x14ac:dyDescent="0.25">
      <c r="A5294" s="31"/>
      <c r="D5294" s="30"/>
    </row>
    <row r="5295" spans="1:4" x14ac:dyDescent="0.25">
      <c r="A5295" s="31"/>
      <c r="D5295" s="30"/>
    </row>
    <row r="5296" spans="1:4" x14ac:dyDescent="0.25">
      <c r="A5296" s="31"/>
      <c r="D5296" s="30"/>
    </row>
    <row r="5297" spans="1:4" x14ac:dyDescent="0.25">
      <c r="A5297" s="31"/>
      <c r="D5297" s="30"/>
    </row>
    <row r="5298" spans="1:4" x14ac:dyDescent="0.25">
      <c r="A5298" s="31"/>
      <c r="D5298" s="30"/>
    </row>
    <row r="5299" spans="1:4" x14ac:dyDescent="0.25">
      <c r="A5299" s="31"/>
      <c r="D5299" s="30"/>
    </row>
    <row r="5300" spans="1:4" x14ac:dyDescent="0.25">
      <c r="A5300" s="31"/>
      <c r="D5300" s="30"/>
    </row>
    <row r="5301" spans="1:4" x14ac:dyDescent="0.25">
      <c r="A5301" s="31"/>
      <c r="D5301" s="30"/>
    </row>
    <row r="5302" spans="1:4" x14ac:dyDescent="0.25">
      <c r="A5302" s="31"/>
      <c r="D5302" s="30"/>
    </row>
    <row r="5303" spans="1:4" x14ac:dyDescent="0.25">
      <c r="A5303" s="31"/>
      <c r="D5303" s="30"/>
    </row>
    <row r="5304" spans="1:4" x14ac:dyDescent="0.25">
      <c r="A5304" s="31"/>
      <c r="D5304" s="30"/>
    </row>
    <row r="5305" spans="1:4" x14ac:dyDescent="0.25">
      <c r="A5305" s="31"/>
      <c r="D5305" s="30"/>
    </row>
    <row r="5306" spans="1:4" x14ac:dyDescent="0.25">
      <c r="A5306" s="31"/>
      <c r="D5306" s="30"/>
    </row>
    <row r="5307" spans="1:4" x14ac:dyDescent="0.25">
      <c r="A5307" s="31"/>
      <c r="D5307" s="30"/>
    </row>
    <row r="5308" spans="1:4" x14ac:dyDescent="0.25">
      <c r="A5308" s="31"/>
      <c r="D5308" s="30"/>
    </row>
    <row r="5309" spans="1:4" x14ac:dyDescent="0.25">
      <c r="A5309" s="31"/>
      <c r="D5309" s="30"/>
    </row>
    <row r="5310" spans="1:4" x14ac:dyDescent="0.25">
      <c r="A5310" s="31"/>
      <c r="D5310" s="30"/>
    </row>
    <row r="5311" spans="1:4" x14ac:dyDescent="0.25">
      <c r="A5311" s="31"/>
      <c r="D5311" s="30"/>
    </row>
    <row r="5312" spans="1:4" x14ac:dyDescent="0.25">
      <c r="A5312" s="31"/>
      <c r="D5312" s="30"/>
    </row>
    <row r="5313" spans="1:4" x14ac:dyDescent="0.25">
      <c r="A5313" s="31"/>
      <c r="D5313" s="30"/>
    </row>
    <row r="5314" spans="1:4" x14ac:dyDescent="0.25">
      <c r="A5314" s="31"/>
      <c r="D5314" s="30"/>
    </row>
    <row r="5315" spans="1:4" x14ac:dyDescent="0.25">
      <c r="A5315" s="31"/>
      <c r="D5315" s="30"/>
    </row>
    <row r="5316" spans="1:4" x14ac:dyDescent="0.25">
      <c r="A5316" s="31"/>
      <c r="D5316" s="30"/>
    </row>
    <row r="5317" spans="1:4" x14ac:dyDescent="0.25">
      <c r="A5317" s="31"/>
      <c r="D5317" s="30"/>
    </row>
    <row r="5318" spans="1:4" x14ac:dyDescent="0.25">
      <c r="A5318" s="31"/>
      <c r="D5318" s="30"/>
    </row>
    <row r="5319" spans="1:4" x14ac:dyDescent="0.25">
      <c r="A5319" s="31"/>
      <c r="D5319" s="30"/>
    </row>
    <row r="5320" spans="1:4" x14ac:dyDescent="0.25">
      <c r="A5320" s="31"/>
      <c r="D5320" s="30"/>
    </row>
    <row r="5321" spans="1:4" x14ac:dyDescent="0.25">
      <c r="A5321" s="31"/>
      <c r="D5321" s="30"/>
    </row>
    <row r="5322" spans="1:4" x14ac:dyDescent="0.25">
      <c r="A5322" s="31"/>
      <c r="D5322" s="30"/>
    </row>
    <row r="5323" spans="1:4" x14ac:dyDescent="0.25">
      <c r="A5323" s="31"/>
      <c r="D5323" s="30"/>
    </row>
    <row r="5324" spans="1:4" x14ac:dyDescent="0.25">
      <c r="A5324" s="31"/>
      <c r="D5324" s="30"/>
    </row>
    <row r="5325" spans="1:4" x14ac:dyDescent="0.25">
      <c r="A5325" s="31"/>
      <c r="D5325" s="30"/>
    </row>
    <row r="5326" spans="1:4" x14ac:dyDescent="0.25">
      <c r="A5326" s="31"/>
      <c r="D5326" s="30"/>
    </row>
    <row r="5327" spans="1:4" x14ac:dyDescent="0.25">
      <c r="A5327" s="31"/>
      <c r="D5327" s="30"/>
    </row>
    <row r="5328" spans="1:4" x14ac:dyDescent="0.25">
      <c r="A5328" s="31"/>
      <c r="D5328" s="30"/>
    </row>
    <row r="5329" spans="1:4" x14ac:dyDescent="0.25">
      <c r="A5329" s="31"/>
      <c r="D5329" s="30"/>
    </row>
    <row r="5330" spans="1:4" x14ac:dyDescent="0.25">
      <c r="A5330" s="31"/>
      <c r="D5330" s="30"/>
    </row>
    <row r="5331" spans="1:4" x14ac:dyDescent="0.25">
      <c r="A5331" s="31"/>
      <c r="D5331" s="30"/>
    </row>
    <row r="5332" spans="1:4" x14ac:dyDescent="0.25">
      <c r="A5332" s="31"/>
      <c r="D5332" s="30"/>
    </row>
    <row r="5333" spans="1:4" x14ac:dyDescent="0.25">
      <c r="A5333" s="31"/>
      <c r="D5333" s="30"/>
    </row>
    <row r="5334" spans="1:4" x14ac:dyDescent="0.25">
      <c r="A5334" s="31"/>
      <c r="D5334" s="30"/>
    </row>
    <row r="5335" spans="1:4" x14ac:dyDescent="0.25">
      <c r="A5335" s="31"/>
      <c r="D5335" s="30"/>
    </row>
    <row r="5336" spans="1:4" x14ac:dyDescent="0.25">
      <c r="A5336" s="31"/>
      <c r="D5336" s="30"/>
    </row>
    <row r="5337" spans="1:4" x14ac:dyDescent="0.25">
      <c r="A5337" s="31"/>
      <c r="D5337" s="30"/>
    </row>
    <row r="5338" spans="1:4" x14ac:dyDescent="0.25">
      <c r="A5338" s="31"/>
      <c r="D5338" s="30"/>
    </row>
    <row r="5339" spans="1:4" x14ac:dyDescent="0.25">
      <c r="A5339" s="31"/>
      <c r="D5339" s="30"/>
    </row>
    <row r="5340" spans="1:4" x14ac:dyDescent="0.25">
      <c r="A5340" s="31"/>
      <c r="D5340" s="30"/>
    </row>
    <row r="5341" spans="1:4" x14ac:dyDescent="0.25">
      <c r="A5341" s="31"/>
      <c r="D5341" s="30"/>
    </row>
    <row r="5342" spans="1:4" x14ac:dyDescent="0.25">
      <c r="A5342" s="31"/>
      <c r="D5342" s="30"/>
    </row>
    <row r="5343" spans="1:4" x14ac:dyDescent="0.25">
      <c r="A5343" s="31"/>
      <c r="D5343" s="30"/>
    </row>
    <row r="5344" spans="1:4" x14ac:dyDescent="0.25">
      <c r="A5344" s="31"/>
      <c r="D5344" s="30"/>
    </row>
    <row r="5345" spans="1:4" x14ac:dyDescent="0.25">
      <c r="A5345" s="31"/>
      <c r="D5345" s="30"/>
    </row>
    <row r="5346" spans="1:4" x14ac:dyDescent="0.25">
      <c r="A5346" s="31"/>
      <c r="D5346" s="30"/>
    </row>
    <row r="5347" spans="1:4" x14ac:dyDescent="0.25">
      <c r="A5347" s="31"/>
      <c r="D5347" s="30"/>
    </row>
    <row r="5348" spans="1:4" x14ac:dyDescent="0.25">
      <c r="A5348" s="31"/>
      <c r="D5348" s="30"/>
    </row>
    <row r="5349" spans="1:4" x14ac:dyDescent="0.25">
      <c r="A5349" s="31"/>
      <c r="D5349" s="30"/>
    </row>
    <row r="5350" spans="1:4" x14ac:dyDescent="0.25">
      <c r="A5350" s="31"/>
      <c r="D5350" s="30"/>
    </row>
    <row r="5351" spans="1:4" x14ac:dyDescent="0.25">
      <c r="A5351" s="31"/>
      <c r="D5351" s="30"/>
    </row>
    <row r="5352" spans="1:4" x14ac:dyDescent="0.25">
      <c r="A5352" s="31"/>
      <c r="D5352" s="30"/>
    </row>
    <row r="5353" spans="1:4" x14ac:dyDescent="0.25">
      <c r="A5353" s="31"/>
      <c r="D5353" s="30"/>
    </row>
    <row r="5354" spans="1:4" x14ac:dyDescent="0.25">
      <c r="A5354" s="31"/>
      <c r="D5354" s="30"/>
    </row>
    <row r="5355" spans="1:4" x14ac:dyDescent="0.25">
      <c r="A5355" s="31"/>
      <c r="D5355" s="30"/>
    </row>
    <row r="5356" spans="1:4" x14ac:dyDescent="0.25">
      <c r="A5356" s="31"/>
      <c r="D5356" s="30"/>
    </row>
    <row r="5357" spans="1:4" x14ac:dyDescent="0.25">
      <c r="A5357" s="31"/>
      <c r="D5357" s="30"/>
    </row>
    <row r="5358" spans="1:4" x14ac:dyDescent="0.25">
      <c r="A5358" s="31"/>
      <c r="D5358" s="30"/>
    </row>
    <row r="5359" spans="1:4" x14ac:dyDescent="0.25">
      <c r="A5359" s="31"/>
      <c r="D5359" s="30"/>
    </row>
    <row r="5360" spans="1:4" x14ac:dyDescent="0.25">
      <c r="A5360" s="31"/>
      <c r="D5360" s="30"/>
    </row>
    <row r="5361" spans="1:4" x14ac:dyDescent="0.25">
      <c r="A5361" s="31"/>
      <c r="D5361" s="30"/>
    </row>
    <row r="5362" spans="1:4" x14ac:dyDescent="0.25">
      <c r="A5362" s="31"/>
      <c r="D5362" s="30"/>
    </row>
    <row r="5363" spans="1:4" x14ac:dyDescent="0.25">
      <c r="A5363" s="31"/>
      <c r="D5363" s="30"/>
    </row>
    <row r="5364" spans="1:4" x14ac:dyDescent="0.25">
      <c r="A5364" s="31"/>
      <c r="D5364" s="30"/>
    </row>
    <row r="5365" spans="1:4" x14ac:dyDescent="0.25">
      <c r="A5365" s="31"/>
      <c r="D5365" s="30"/>
    </row>
    <row r="5366" spans="1:4" x14ac:dyDescent="0.25">
      <c r="A5366" s="31"/>
      <c r="D5366" s="30"/>
    </row>
    <row r="5367" spans="1:4" x14ac:dyDescent="0.25">
      <c r="A5367" s="31"/>
      <c r="D5367" s="30"/>
    </row>
    <row r="5368" spans="1:4" x14ac:dyDescent="0.25">
      <c r="A5368" s="31"/>
      <c r="D5368" s="30"/>
    </row>
    <row r="5369" spans="1:4" x14ac:dyDescent="0.25">
      <c r="A5369" s="31"/>
      <c r="D5369" s="30"/>
    </row>
    <row r="5370" spans="1:4" x14ac:dyDescent="0.25">
      <c r="A5370" s="31"/>
      <c r="D5370" s="30"/>
    </row>
    <row r="5371" spans="1:4" x14ac:dyDescent="0.25">
      <c r="A5371" s="31"/>
      <c r="D5371" s="30"/>
    </row>
    <row r="5372" spans="1:4" x14ac:dyDescent="0.25">
      <c r="A5372" s="31"/>
      <c r="D5372" s="30"/>
    </row>
    <row r="5373" spans="1:4" x14ac:dyDescent="0.25">
      <c r="A5373" s="31"/>
      <c r="D5373" s="30"/>
    </row>
    <row r="5374" spans="1:4" x14ac:dyDescent="0.25">
      <c r="A5374" s="31"/>
      <c r="D5374" s="30"/>
    </row>
    <row r="5375" spans="1:4" x14ac:dyDescent="0.25">
      <c r="A5375" s="31"/>
      <c r="D5375" s="30"/>
    </row>
    <row r="5376" spans="1:4" x14ac:dyDescent="0.25">
      <c r="A5376" s="31"/>
      <c r="D5376" s="30"/>
    </row>
    <row r="5377" spans="1:4" x14ac:dyDescent="0.25">
      <c r="A5377" s="31"/>
      <c r="D5377" s="30"/>
    </row>
    <row r="5378" spans="1:4" x14ac:dyDescent="0.25">
      <c r="A5378" s="31"/>
      <c r="D5378" s="30"/>
    </row>
    <row r="5379" spans="1:4" x14ac:dyDescent="0.25">
      <c r="A5379" s="31"/>
      <c r="D5379" s="30"/>
    </row>
    <row r="5380" spans="1:4" x14ac:dyDescent="0.25">
      <c r="A5380" s="31"/>
      <c r="D5380" s="30"/>
    </row>
    <row r="5381" spans="1:4" x14ac:dyDescent="0.25">
      <c r="A5381" s="31"/>
      <c r="D5381" s="30"/>
    </row>
    <row r="5382" spans="1:4" x14ac:dyDescent="0.25">
      <c r="A5382" s="31"/>
      <c r="D5382" s="30"/>
    </row>
    <row r="5383" spans="1:4" x14ac:dyDescent="0.25">
      <c r="A5383" s="31"/>
      <c r="D5383" s="30"/>
    </row>
    <row r="5384" spans="1:4" x14ac:dyDescent="0.25">
      <c r="A5384" s="31"/>
      <c r="D5384" s="30"/>
    </row>
    <row r="5385" spans="1:4" x14ac:dyDescent="0.25">
      <c r="A5385" s="31"/>
      <c r="D5385" s="30"/>
    </row>
    <row r="5386" spans="1:4" x14ac:dyDescent="0.25">
      <c r="A5386" s="31"/>
      <c r="D5386" s="30"/>
    </row>
    <row r="5387" spans="1:4" x14ac:dyDescent="0.25">
      <c r="A5387" s="31"/>
      <c r="D5387" s="30"/>
    </row>
    <row r="5388" spans="1:4" x14ac:dyDescent="0.25">
      <c r="A5388" s="31"/>
      <c r="D5388" s="30"/>
    </row>
    <row r="5389" spans="1:4" x14ac:dyDescent="0.25">
      <c r="A5389" s="31"/>
      <c r="D5389" s="30"/>
    </row>
    <row r="5390" spans="1:4" x14ac:dyDescent="0.25">
      <c r="A5390" s="31"/>
      <c r="D5390" s="30"/>
    </row>
    <row r="5391" spans="1:4" x14ac:dyDescent="0.25">
      <c r="A5391" s="31"/>
      <c r="D5391" s="30"/>
    </row>
    <row r="5392" spans="1:4" x14ac:dyDescent="0.25">
      <c r="A5392" s="31"/>
      <c r="D5392" s="30"/>
    </row>
    <row r="5393" spans="1:4" x14ac:dyDescent="0.25">
      <c r="A5393" s="31"/>
      <c r="D5393" s="30"/>
    </row>
    <row r="5394" spans="1:4" x14ac:dyDescent="0.25">
      <c r="A5394" s="31"/>
      <c r="D5394" s="30"/>
    </row>
    <row r="5395" spans="1:4" x14ac:dyDescent="0.25">
      <c r="A5395" s="31"/>
      <c r="D5395" s="30"/>
    </row>
    <row r="5396" spans="1:4" x14ac:dyDescent="0.25">
      <c r="A5396" s="31"/>
      <c r="D5396" s="30"/>
    </row>
    <row r="5397" spans="1:4" x14ac:dyDescent="0.25">
      <c r="A5397" s="31"/>
      <c r="D5397" s="30"/>
    </row>
    <row r="5398" spans="1:4" x14ac:dyDescent="0.25">
      <c r="A5398" s="31"/>
      <c r="D5398" s="30"/>
    </row>
    <row r="5399" spans="1:4" x14ac:dyDescent="0.25">
      <c r="A5399" s="31"/>
      <c r="D5399" s="30"/>
    </row>
    <row r="5400" spans="1:4" x14ac:dyDescent="0.25">
      <c r="A5400" s="31"/>
      <c r="D5400" s="30"/>
    </row>
    <row r="5401" spans="1:4" x14ac:dyDescent="0.25">
      <c r="A5401" s="31"/>
      <c r="D5401" s="30"/>
    </row>
    <row r="5402" spans="1:4" x14ac:dyDescent="0.25">
      <c r="A5402" s="31"/>
      <c r="D5402" s="30"/>
    </row>
    <row r="5403" spans="1:4" x14ac:dyDescent="0.25">
      <c r="A5403" s="31"/>
      <c r="D5403" s="30"/>
    </row>
    <row r="5404" spans="1:4" x14ac:dyDescent="0.25">
      <c r="A5404" s="31"/>
      <c r="D5404" s="30"/>
    </row>
    <row r="5405" spans="1:4" x14ac:dyDescent="0.25">
      <c r="A5405" s="31"/>
      <c r="D5405" s="30"/>
    </row>
    <row r="5406" spans="1:4" x14ac:dyDescent="0.25">
      <c r="A5406" s="31"/>
      <c r="D5406" s="30"/>
    </row>
    <row r="5407" spans="1:4" x14ac:dyDescent="0.25">
      <c r="A5407" s="31"/>
      <c r="D5407" s="30"/>
    </row>
    <row r="5408" spans="1:4" x14ac:dyDescent="0.25">
      <c r="A5408" s="31"/>
      <c r="D5408" s="30"/>
    </row>
    <row r="5409" spans="1:4" x14ac:dyDescent="0.25">
      <c r="A5409" s="31"/>
      <c r="D5409" s="30"/>
    </row>
    <row r="5410" spans="1:4" x14ac:dyDescent="0.25">
      <c r="A5410" s="31"/>
      <c r="D5410" s="30"/>
    </row>
    <row r="5411" spans="1:4" x14ac:dyDescent="0.25">
      <c r="A5411" s="31"/>
      <c r="D5411" s="30"/>
    </row>
    <row r="5412" spans="1:4" x14ac:dyDescent="0.25">
      <c r="A5412" s="31"/>
      <c r="D5412" s="30"/>
    </row>
    <row r="5413" spans="1:4" x14ac:dyDescent="0.25">
      <c r="A5413" s="31"/>
      <c r="D5413" s="30"/>
    </row>
    <row r="5414" spans="1:4" x14ac:dyDescent="0.25">
      <c r="A5414" s="31"/>
      <c r="D5414" s="30"/>
    </row>
    <row r="5415" spans="1:4" x14ac:dyDescent="0.25">
      <c r="A5415" s="31"/>
      <c r="D5415" s="30"/>
    </row>
    <row r="5416" spans="1:4" x14ac:dyDescent="0.25">
      <c r="A5416" s="31"/>
      <c r="D5416" s="30"/>
    </row>
    <row r="5417" spans="1:4" x14ac:dyDescent="0.25">
      <c r="A5417" s="31"/>
      <c r="D5417" s="30"/>
    </row>
    <row r="5418" spans="1:4" x14ac:dyDescent="0.25">
      <c r="A5418" s="31"/>
      <c r="D5418" s="30"/>
    </row>
    <row r="5419" spans="1:4" x14ac:dyDescent="0.25">
      <c r="A5419" s="31"/>
      <c r="D5419" s="30"/>
    </row>
    <row r="5420" spans="1:4" x14ac:dyDescent="0.25">
      <c r="A5420" s="31"/>
      <c r="D5420" s="30"/>
    </row>
    <row r="5421" spans="1:4" x14ac:dyDescent="0.25">
      <c r="A5421" s="31"/>
      <c r="D5421" s="30"/>
    </row>
    <row r="5422" spans="1:4" x14ac:dyDescent="0.25">
      <c r="A5422" s="31"/>
      <c r="D5422" s="30"/>
    </row>
    <row r="5423" spans="1:4" x14ac:dyDescent="0.25">
      <c r="A5423" s="31"/>
      <c r="D5423" s="30"/>
    </row>
    <row r="5424" spans="1:4" x14ac:dyDescent="0.25">
      <c r="A5424" s="31"/>
      <c r="D5424" s="30"/>
    </row>
    <row r="5425" spans="1:4" x14ac:dyDescent="0.25">
      <c r="A5425" s="31"/>
      <c r="D5425" s="30"/>
    </row>
    <row r="5426" spans="1:4" x14ac:dyDescent="0.25">
      <c r="A5426" s="31"/>
      <c r="D5426" s="30"/>
    </row>
    <row r="5427" spans="1:4" x14ac:dyDescent="0.25">
      <c r="A5427" s="31"/>
      <c r="D5427" s="30"/>
    </row>
    <row r="5428" spans="1:4" x14ac:dyDescent="0.25">
      <c r="A5428" s="31"/>
      <c r="D5428" s="30"/>
    </row>
    <row r="5429" spans="1:4" x14ac:dyDescent="0.25">
      <c r="A5429" s="31"/>
      <c r="D5429" s="30"/>
    </row>
    <row r="5430" spans="1:4" x14ac:dyDescent="0.25">
      <c r="A5430" s="31"/>
      <c r="D5430" s="30"/>
    </row>
    <row r="5431" spans="1:4" x14ac:dyDescent="0.25">
      <c r="A5431" s="31"/>
      <c r="D5431" s="30"/>
    </row>
    <row r="5432" spans="1:4" x14ac:dyDescent="0.25">
      <c r="A5432" s="31"/>
      <c r="D5432" s="30"/>
    </row>
    <row r="5433" spans="1:4" x14ac:dyDescent="0.25">
      <c r="A5433" s="31"/>
      <c r="D5433" s="30"/>
    </row>
    <row r="5434" spans="1:4" x14ac:dyDescent="0.25">
      <c r="A5434" s="31"/>
      <c r="D5434" s="30"/>
    </row>
    <row r="5435" spans="1:4" x14ac:dyDescent="0.25">
      <c r="A5435" s="31"/>
      <c r="D5435" s="30"/>
    </row>
    <row r="5436" spans="1:4" x14ac:dyDescent="0.25">
      <c r="A5436" s="31"/>
      <c r="D5436" s="30"/>
    </row>
    <row r="5437" spans="1:4" x14ac:dyDescent="0.25">
      <c r="A5437" s="31"/>
      <c r="D5437" s="30"/>
    </row>
    <row r="5438" spans="1:4" x14ac:dyDescent="0.25">
      <c r="A5438" s="31"/>
      <c r="D5438" s="30"/>
    </row>
    <row r="5439" spans="1:4" x14ac:dyDescent="0.25">
      <c r="A5439" s="31"/>
      <c r="D5439" s="30"/>
    </row>
    <row r="5440" spans="1:4" x14ac:dyDescent="0.25">
      <c r="A5440" s="31"/>
      <c r="D5440" s="30"/>
    </row>
    <row r="5441" spans="1:4" x14ac:dyDescent="0.25">
      <c r="A5441" s="31"/>
      <c r="D5441" s="30"/>
    </row>
    <row r="5442" spans="1:4" x14ac:dyDescent="0.25">
      <c r="A5442" s="31"/>
      <c r="D5442" s="30"/>
    </row>
    <row r="5443" spans="1:4" x14ac:dyDescent="0.25">
      <c r="A5443" s="31"/>
      <c r="D5443" s="30"/>
    </row>
    <row r="5444" spans="1:4" x14ac:dyDescent="0.25">
      <c r="A5444" s="31"/>
      <c r="D5444" s="30"/>
    </row>
    <row r="5445" spans="1:4" x14ac:dyDescent="0.25">
      <c r="A5445" s="31"/>
      <c r="D5445" s="30"/>
    </row>
    <row r="5446" spans="1:4" x14ac:dyDescent="0.25">
      <c r="A5446" s="31"/>
      <c r="D5446" s="30"/>
    </row>
    <row r="5447" spans="1:4" x14ac:dyDescent="0.25">
      <c r="A5447" s="31"/>
      <c r="D5447" s="30"/>
    </row>
    <row r="5448" spans="1:4" x14ac:dyDescent="0.25">
      <c r="A5448" s="31"/>
      <c r="D5448" s="30"/>
    </row>
    <row r="5449" spans="1:4" x14ac:dyDescent="0.25">
      <c r="A5449" s="31"/>
      <c r="D5449" s="30"/>
    </row>
    <row r="5450" spans="1:4" x14ac:dyDescent="0.25">
      <c r="A5450" s="31"/>
      <c r="D5450" s="30"/>
    </row>
    <row r="5451" spans="1:4" x14ac:dyDescent="0.25">
      <c r="A5451" s="31"/>
      <c r="D5451" s="30"/>
    </row>
    <row r="5452" spans="1:4" x14ac:dyDescent="0.25">
      <c r="A5452" s="31"/>
      <c r="D5452" s="30"/>
    </row>
    <row r="5453" spans="1:4" x14ac:dyDescent="0.25">
      <c r="A5453" s="31"/>
      <c r="D5453" s="30"/>
    </row>
    <row r="5454" spans="1:4" x14ac:dyDescent="0.25">
      <c r="A5454" s="31"/>
      <c r="D5454" s="30"/>
    </row>
    <row r="5455" spans="1:4" x14ac:dyDescent="0.25">
      <c r="A5455" s="31"/>
      <c r="D5455" s="30"/>
    </row>
    <row r="5456" spans="1:4" x14ac:dyDescent="0.25">
      <c r="A5456" s="31"/>
      <c r="D5456" s="30"/>
    </row>
    <row r="5457" spans="1:4" x14ac:dyDescent="0.25">
      <c r="A5457" s="31"/>
      <c r="D5457" s="30"/>
    </row>
    <row r="5458" spans="1:4" x14ac:dyDescent="0.25">
      <c r="A5458" s="31"/>
      <c r="D5458" s="30"/>
    </row>
    <row r="5459" spans="1:4" x14ac:dyDescent="0.25">
      <c r="A5459" s="31"/>
      <c r="D5459" s="30"/>
    </row>
    <row r="5460" spans="1:4" x14ac:dyDescent="0.25">
      <c r="A5460" s="31"/>
      <c r="D5460" s="30"/>
    </row>
    <row r="5461" spans="1:4" x14ac:dyDescent="0.25">
      <c r="A5461" s="31"/>
      <c r="D5461" s="30"/>
    </row>
    <row r="5462" spans="1:4" x14ac:dyDescent="0.25">
      <c r="A5462" s="31"/>
      <c r="D5462" s="30"/>
    </row>
    <row r="5463" spans="1:4" x14ac:dyDescent="0.25">
      <c r="A5463" s="31"/>
      <c r="D5463" s="30"/>
    </row>
    <row r="5464" spans="1:4" x14ac:dyDescent="0.25">
      <c r="A5464" s="31"/>
      <c r="D5464" s="30"/>
    </row>
    <row r="5465" spans="1:4" x14ac:dyDescent="0.25">
      <c r="A5465" s="31"/>
      <c r="D5465" s="30"/>
    </row>
    <row r="5466" spans="1:4" x14ac:dyDescent="0.25">
      <c r="A5466" s="31"/>
      <c r="D5466" s="30"/>
    </row>
    <row r="5467" spans="1:4" x14ac:dyDescent="0.25">
      <c r="A5467" s="31"/>
      <c r="D5467" s="30"/>
    </row>
    <row r="5468" spans="1:4" x14ac:dyDescent="0.25">
      <c r="A5468" s="31"/>
      <c r="D5468" s="30"/>
    </row>
    <row r="5469" spans="1:4" x14ac:dyDescent="0.25">
      <c r="A5469" s="31"/>
      <c r="D5469" s="30"/>
    </row>
    <row r="5470" spans="1:4" x14ac:dyDescent="0.25">
      <c r="A5470" s="31"/>
      <c r="D5470" s="30"/>
    </row>
    <row r="5471" spans="1:4" x14ac:dyDescent="0.25">
      <c r="A5471" s="31"/>
      <c r="D5471" s="30"/>
    </row>
    <row r="5472" spans="1:4" x14ac:dyDescent="0.25">
      <c r="A5472" s="31"/>
      <c r="D5472" s="30"/>
    </row>
    <row r="5473" spans="1:4" x14ac:dyDescent="0.25">
      <c r="A5473" s="31"/>
      <c r="D5473" s="30"/>
    </row>
    <row r="5474" spans="1:4" x14ac:dyDescent="0.25">
      <c r="A5474" s="31"/>
      <c r="D5474" s="30"/>
    </row>
    <row r="5475" spans="1:4" x14ac:dyDescent="0.25">
      <c r="A5475" s="31"/>
      <c r="D5475" s="30"/>
    </row>
    <row r="5476" spans="1:4" x14ac:dyDescent="0.25">
      <c r="A5476" s="31"/>
      <c r="D5476" s="30"/>
    </row>
    <row r="5477" spans="1:4" x14ac:dyDescent="0.25">
      <c r="A5477" s="31"/>
      <c r="D5477" s="30"/>
    </row>
    <row r="5478" spans="1:4" x14ac:dyDescent="0.25">
      <c r="A5478" s="31"/>
      <c r="D5478" s="30"/>
    </row>
    <row r="5479" spans="1:4" x14ac:dyDescent="0.25">
      <c r="A5479" s="31"/>
      <c r="D5479" s="30"/>
    </row>
    <row r="5480" spans="1:4" x14ac:dyDescent="0.25">
      <c r="A5480" s="31"/>
      <c r="D5480" s="30"/>
    </row>
    <row r="5481" spans="1:4" x14ac:dyDescent="0.25">
      <c r="A5481" s="31"/>
      <c r="D5481" s="30"/>
    </row>
    <row r="5482" spans="1:4" x14ac:dyDescent="0.25">
      <c r="A5482" s="31"/>
      <c r="D5482" s="30"/>
    </row>
    <row r="5483" spans="1:4" x14ac:dyDescent="0.25">
      <c r="A5483" s="31"/>
      <c r="D5483" s="30"/>
    </row>
    <row r="5484" spans="1:4" x14ac:dyDescent="0.25">
      <c r="A5484" s="31"/>
      <c r="D5484" s="30"/>
    </row>
    <row r="5485" spans="1:4" x14ac:dyDescent="0.25">
      <c r="A5485" s="31"/>
      <c r="D5485" s="30"/>
    </row>
    <row r="5486" spans="1:4" x14ac:dyDescent="0.25">
      <c r="A5486" s="31"/>
      <c r="D5486" s="30"/>
    </row>
    <row r="5487" spans="1:4" x14ac:dyDescent="0.25">
      <c r="A5487" s="31"/>
      <c r="D5487" s="30"/>
    </row>
    <row r="5488" spans="1:4" x14ac:dyDescent="0.25">
      <c r="A5488" s="31"/>
      <c r="D5488" s="30"/>
    </row>
    <row r="5489" spans="1:4" x14ac:dyDescent="0.25">
      <c r="A5489" s="31"/>
      <c r="D5489" s="30"/>
    </row>
    <row r="5490" spans="1:4" x14ac:dyDescent="0.25">
      <c r="A5490" s="31"/>
      <c r="D5490" s="30"/>
    </row>
    <row r="5491" spans="1:4" x14ac:dyDescent="0.25">
      <c r="A5491" s="31"/>
      <c r="D5491" s="30"/>
    </row>
    <row r="5492" spans="1:4" x14ac:dyDescent="0.25">
      <c r="A5492" s="31"/>
      <c r="D5492" s="30"/>
    </row>
    <row r="5493" spans="1:4" x14ac:dyDescent="0.25">
      <c r="A5493" s="31"/>
      <c r="D5493" s="30"/>
    </row>
    <row r="5494" spans="1:4" x14ac:dyDescent="0.25">
      <c r="A5494" s="31"/>
      <c r="D5494" s="30"/>
    </row>
    <row r="5495" spans="1:4" x14ac:dyDescent="0.25">
      <c r="A5495" s="31"/>
      <c r="D5495" s="30"/>
    </row>
    <row r="5496" spans="1:4" x14ac:dyDescent="0.25">
      <c r="A5496" s="31"/>
      <c r="D5496" s="30"/>
    </row>
    <row r="5497" spans="1:4" x14ac:dyDescent="0.25">
      <c r="A5497" s="31"/>
      <c r="D5497" s="30"/>
    </row>
    <row r="5498" spans="1:4" x14ac:dyDescent="0.25">
      <c r="A5498" s="31"/>
      <c r="D5498" s="30"/>
    </row>
    <row r="5499" spans="1:4" x14ac:dyDescent="0.25">
      <c r="A5499" s="31"/>
      <c r="D5499" s="30"/>
    </row>
    <row r="5500" spans="1:4" x14ac:dyDescent="0.25">
      <c r="A5500" s="31"/>
      <c r="D5500" s="30"/>
    </row>
    <row r="5501" spans="1:4" x14ac:dyDescent="0.25">
      <c r="A5501" s="31"/>
      <c r="D5501" s="30"/>
    </row>
    <row r="5502" spans="1:4" x14ac:dyDescent="0.25">
      <c r="A5502" s="31"/>
      <c r="D5502" s="30"/>
    </row>
    <row r="5503" spans="1:4" x14ac:dyDescent="0.25">
      <c r="A5503" s="31"/>
      <c r="D5503" s="30"/>
    </row>
    <row r="5504" spans="1:4" x14ac:dyDescent="0.25">
      <c r="A5504" s="31"/>
      <c r="D5504" s="30"/>
    </row>
    <row r="5505" spans="1:4" x14ac:dyDescent="0.25">
      <c r="A5505" s="31"/>
      <c r="D5505" s="30"/>
    </row>
    <row r="5506" spans="1:4" x14ac:dyDescent="0.25">
      <c r="A5506" s="31"/>
      <c r="D5506" s="30"/>
    </row>
    <row r="5507" spans="1:4" x14ac:dyDescent="0.25">
      <c r="A5507" s="31"/>
      <c r="D5507" s="30"/>
    </row>
    <row r="5508" spans="1:4" x14ac:dyDescent="0.25">
      <c r="A5508" s="31"/>
      <c r="D5508" s="30"/>
    </row>
    <row r="5509" spans="1:4" x14ac:dyDescent="0.25">
      <c r="A5509" s="31"/>
      <c r="D5509" s="30"/>
    </row>
    <row r="5510" spans="1:4" x14ac:dyDescent="0.25">
      <c r="A5510" s="31"/>
      <c r="D5510" s="30"/>
    </row>
    <row r="5511" spans="1:4" x14ac:dyDescent="0.25">
      <c r="A5511" s="31"/>
      <c r="D5511" s="30"/>
    </row>
    <row r="5512" spans="1:4" x14ac:dyDescent="0.25">
      <c r="A5512" s="31"/>
      <c r="D5512" s="30"/>
    </row>
    <row r="5513" spans="1:4" x14ac:dyDescent="0.25">
      <c r="A5513" s="31"/>
      <c r="D5513" s="30"/>
    </row>
    <row r="5514" spans="1:4" x14ac:dyDescent="0.25">
      <c r="A5514" s="31"/>
      <c r="D5514" s="30"/>
    </row>
    <row r="5515" spans="1:4" x14ac:dyDescent="0.25">
      <c r="A5515" s="31"/>
      <c r="D5515" s="30"/>
    </row>
    <row r="5516" spans="1:4" x14ac:dyDescent="0.25">
      <c r="A5516" s="31"/>
      <c r="D5516" s="30"/>
    </row>
    <row r="5517" spans="1:4" x14ac:dyDescent="0.25">
      <c r="A5517" s="31"/>
      <c r="D5517" s="30"/>
    </row>
    <row r="5518" spans="1:4" x14ac:dyDescent="0.25">
      <c r="A5518" s="31"/>
      <c r="D5518" s="30"/>
    </row>
    <row r="5519" spans="1:4" x14ac:dyDescent="0.25">
      <c r="A5519" s="31"/>
      <c r="D5519" s="30"/>
    </row>
    <row r="5520" spans="1:4" x14ac:dyDescent="0.25">
      <c r="A5520" s="31"/>
      <c r="D5520" s="30"/>
    </row>
    <row r="5521" spans="1:4" x14ac:dyDescent="0.25">
      <c r="A5521" s="31"/>
      <c r="D5521" s="30"/>
    </row>
    <row r="5522" spans="1:4" x14ac:dyDescent="0.25">
      <c r="A5522" s="31"/>
      <c r="D5522" s="30"/>
    </row>
    <row r="5523" spans="1:4" x14ac:dyDescent="0.25">
      <c r="A5523" s="31"/>
      <c r="D5523" s="30"/>
    </row>
    <row r="5524" spans="1:4" x14ac:dyDescent="0.25">
      <c r="A5524" s="31"/>
      <c r="D5524" s="30"/>
    </row>
    <row r="5525" spans="1:4" x14ac:dyDescent="0.25">
      <c r="A5525" s="31"/>
      <c r="D5525" s="30"/>
    </row>
    <row r="5526" spans="1:4" x14ac:dyDescent="0.25">
      <c r="A5526" s="31"/>
      <c r="D5526" s="30"/>
    </row>
    <row r="5527" spans="1:4" x14ac:dyDescent="0.25">
      <c r="A5527" s="31"/>
      <c r="D5527" s="30"/>
    </row>
    <row r="5528" spans="1:4" x14ac:dyDescent="0.25">
      <c r="A5528" s="31"/>
      <c r="D5528" s="30"/>
    </row>
    <row r="5529" spans="1:4" x14ac:dyDescent="0.25">
      <c r="A5529" s="31"/>
      <c r="D5529" s="30"/>
    </row>
    <row r="5530" spans="1:4" x14ac:dyDescent="0.25">
      <c r="A5530" s="31"/>
      <c r="D5530" s="30"/>
    </row>
    <row r="5531" spans="1:4" x14ac:dyDescent="0.25">
      <c r="A5531" s="31"/>
      <c r="D5531" s="30"/>
    </row>
    <row r="5532" spans="1:4" x14ac:dyDescent="0.25">
      <c r="A5532" s="31"/>
      <c r="D5532" s="30"/>
    </row>
    <row r="5533" spans="1:4" x14ac:dyDescent="0.25">
      <c r="A5533" s="31"/>
      <c r="D5533" s="30"/>
    </row>
    <row r="5534" spans="1:4" x14ac:dyDescent="0.25">
      <c r="A5534" s="31"/>
      <c r="D5534" s="30"/>
    </row>
    <row r="5535" spans="1:4" x14ac:dyDescent="0.25">
      <c r="A5535" s="31"/>
      <c r="D5535" s="30"/>
    </row>
    <row r="5536" spans="1:4" x14ac:dyDescent="0.25">
      <c r="A5536" s="31"/>
      <c r="D5536" s="30"/>
    </row>
    <row r="5537" spans="1:4" x14ac:dyDescent="0.25">
      <c r="A5537" s="31"/>
      <c r="D5537" s="30"/>
    </row>
    <row r="5538" spans="1:4" x14ac:dyDescent="0.25">
      <c r="A5538" s="31"/>
      <c r="D5538" s="30"/>
    </row>
    <row r="5539" spans="1:4" x14ac:dyDescent="0.25">
      <c r="A5539" s="31"/>
      <c r="D5539" s="30"/>
    </row>
    <row r="5540" spans="1:4" x14ac:dyDescent="0.25">
      <c r="A5540" s="31"/>
      <c r="D5540" s="30"/>
    </row>
    <row r="5541" spans="1:4" x14ac:dyDescent="0.25">
      <c r="A5541" s="31"/>
      <c r="D5541" s="30"/>
    </row>
    <row r="5542" spans="1:4" x14ac:dyDescent="0.25">
      <c r="A5542" s="31"/>
      <c r="D5542" s="30"/>
    </row>
    <row r="5543" spans="1:4" x14ac:dyDescent="0.25">
      <c r="A5543" s="31"/>
      <c r="D5543" s="30"/>
    </row>
    <row r="5544" spans="1:4" x14ac:dyDescent="0.25">
      <c r="A5544" s="31"/>
      <c r="D5544" s="30"/>
    </row>
    <row r="5545" spans="1:4" x14ac:dyDescent="0.25">
      <c r="A5545" s="31"/>
      <c r="D5545" s="30"/>
    </row>
    <row r="5546" spans="1:4" x14ac:dyDescent="0.25">
      <c r="A5546" s="31"/>
      <c r="D5546" s="30"/>
    </row>
    <row r="5547" spans="1:4" x14ac:dyDescent="0.25">
      <c r="A5547" s="31"/>
      <c r="D5547" s="30"/>
    </row>
    <row r="5548" spans="1:4" x14ac:dyDescent="0.25">
      <c r="A5548" s="31"/>
      <c r="D5548" s="30"/>
    </row>
    <row r="5549" spans="1:4" x14ac:dyDescent="0.25">
      <c r="A5549" s="31"/>
      <c r="D5549" s="30"/>
    </row>
    <row r="5550" spans="1:4" x14ac:dyDescent="0.25">
      <c r="A5550" s="31"/>
      <c r="D5550" s="30"/>
    </row>
    <row r="5551" spans="1:4" x14ac:dyDescent="0.25">
      <c r="A5551" s="31"/>
      <c r="D5551" s="30"/>
    </row>
    <row r="5552" spans="1:4" x14ac:dyDescent="0.25">
      <c r="A5552" s="31"/>
      <c r="D5552" s="30"/>
    </row>
    <row r="5553" spans="1:4" x14ac:dyDescent="0.25">
      <c r="A5553" s="31"/>
      <c r="D5553" s="30"/>
    </row>
    <row r="5554" spans="1:4" x14ac:dyDescent="0.25">
      <c r="A5554" s="31"/>
      <c r="D5554" s="30"/>
    </row>
    <row r="5555" spans="1:4" x14ac:dyDescent="0.25">
      <c r="A5555" s="31"/>
      <c r="D5555" s="30"/>
    </row>
    <row r="5556" spans="1:4" x14ac:dyDescent="0.25">
      <c r="A5556" s="31"/>
      <c r="D5556" s="30"/>
    </row>
    <row r="5557" spans="1:4" x14ac:dyDescent="0.25">
      <c r="A5557" s="31"/>
      <c r="D5557" s="30"/>
    </row>
    <row r="5558" spans="1:4" x14ac:dyDescent="0.25">
      <c r="A5558" s="31"/>
      <c r="D5558" s="30"/>
    </row>
    <row r="5559" spans="1:4" x14ac:dyDescent="0.25">
      <c r="A5559" s="31"/>
      <c r="D5559" s="30"/>
    </row>
    <row r="5560" spans="1:4" x14ac:dyDescent="0.25">
      <c r="A5560" s="31"/>
      <c r="D5560" s="30"/>
    </row>
    <row r="5561" spans="1:4" x14ac:dyDescent="0.25">
      <c r="A5561" s="31"/>
      <c r="D5561" s="30"/>
    </row>
    <row r="5562" spans="1:4" x14ac:dyDescent="0.25">
      <c r="A5562" s="31"/>
      <c r="D5562" s="30"/>
    </row>
    <row r="5563" spans="1:4" x14ac:dyDescent="0.25">
      <c r="A5563" s="31"/>
      <c r="D5563" s="30"/>
    </row>
    <row r="5564" spans="1:4" x14ac:dyDescent="0.25">
      <c r="A5564" s="31"/>
      <c r="D5564" s="30"/>
    </row>
    <row r="5565" spans="1:4" x14ac:dyDescent="0.25">
      <c r="A5565" s="31"/>
      <c r="D5565" s="30"/>
    </row>
    <row r="5566" spans="1:4" x14ac:dyDescent="0.25">
      <c r="A5566" s="31"/>
      <c r="D5566" s="30"/>
    </row>
    <row r="5567" spans="1:4" x14ac:dyDescent="0.25">
      <c r="A5567" s="31"/>
      <c r="D5567" s="30"/>
    </row>
    <row r="5568" spans="1:4" x14ac:dyDescent="0.25">
      <c r="A5568" s="31"/>
      <c r="D5568" s="30"/>
    </row>
    <row r="5569" spans="1:4" x14ac:dyDescent="0.25">
      <c r="A5569" s="31"/>
      <c r="D5569" s="30"/>
    </row>
    <row r="5570" spans="1:4" x14ac:dyDescent="0.25">
      <c r="A5570" s="31"/>
      <c r="D5570" s="30"/>
    </row>
    <row r="5571" spans="1:4" x14ac:dyDescent="0.25">
      <c r="A5571" s="31"/>
      <c r="D5571" s="30"/>
    </row>
    <row r="5572" spans="1:4" x14ac:dyDescent="0.25">
      <c r="A5572" s="31"/>
      <c r="D5572" s="30"/>
    </row>
    <row r="5573" spans="1:4" x14ac:dyDescent="0.25">
      <c r="A5573" s="31"/>
      <c r="D5573" s="30"/>
    </row>
    <row r="5574" spans="1:4" x14ac:dyDescent="0.25">
      <c r="A5574" s="31"/>
      <c r="D5574" s="30"/>
    </row>
    <row r="5575" spans="1:4" x14ac:dyDescent="0.25">
      <c r="A5575" s="31"/>
      <c r="D5575" s="30"/>
    </row>
    <row r="5576" spans="1:4" x14ac:dyDescent="0.25">
      <c r="A5576" s="31"/>
      <c r="D5576" s="30"/>
    </row>
    <row r="5577" spans="1:4" x14ac:dyDescent="0.25">
      <c r="A5577" s="31"/>
      <c r="D5577" s="30"/>
    </row>
    <row r="5578" spans="1:4" x14ac:dyDescent="0.25">
      <c r="A5578" s="31"/>
      <c r="D5578" s="30"/>
    </row>
    <row r="5579" spans="1:4" x14ac:dyDescent="0.25">
      <c r="A5579" s="31"/>
      <c r="D5579" s="30"/>
    </row>
    <row r="5580" spans="1:4" x14ac:dyDescent="0.25">
      <c r="A5580" s="31"/>
      <c r="D5580" s="30"/>
    </row>
    <row r="5581" spans="1:4" x14ac:dyDescent="0.25">
      <c r="A5581" s="31"/>
      <c r="D5581" s="30"/>
    </row>
    <row r="5582" spans="1:4" x14ac:dyDescent="0.25">
      <c r="A5582" s="31"/>
      <c r="D5582" s="30"/>
    </row>
    <row r="5583" spans="1:4" x14ac:dyDescent="0.25">
      <c r="A5583" s="31"/>
      <c r="D5583" s="30"/>
    </row>
    <row r="5584" spans="1:4" x14ac:dyDescent="0.25">
      <c r="A5584" s="31"/>
      <c r="D5584" s="30"/>
    </row>
    <row r="5585" spans="1:4" x14ac:dyDescent="0.25">
      <c r="A5585" s="31"/>
      <c r="D5585" s="30"/>
    </row>
    <row r="5586" spans="1:4" x14ac:dyDescent="0.25">
      <c r="A5586" s="31"/>
      <c r="D5586" s="30"/>
    </row>
    <row r="5587" spans="1:4" x14ac:dyDescent="0.25">
      <c r="A5587" s="31"/>
      <c r="D5587" s="30"/>
    </row>
    <row r="5588" spans="1:4" x14ac:dyDescent="0.25">
      <c r="A5588" s="31"/>
      <c r="D5588" s="30"/>
    </row>
    <row r="5589" spans="1:4" x14ac:dyDescent="0.25">
      <c r="A5589" s="31"/>
      <c r="D5589" s="30"/>
    </row>
    <row r="5590" spans="1:4" x14ac:dyDescent="0.25">
      <c r="A5590" s="31"/>
      <c r="D5590" s="30"/>
    </row>
    <row r="5591" spans="1:4" x14ac:dyDescent="0.25">
      <c r="A5591" s="31"/>
      <c r="D5591" s="30"/>
    </row>
    <row r="5592" spans="1:4" x14ac:dyDescent="0.25">
      <c r="A5592" s="31"/>
      <c r="D5592" s="30"/>
    </row>
    <row r="5593" spans="1:4" x14ac:dyDescent="0.25">
      <c r="A5593" s="31"/>
      <c r="D5593" s="30"/>
    </row>
    <row r="5594" spans="1:4" x14ac:dyDescent="0.25">
      <c r="A5594" s="31"/>
      <c r="D5594" s="30"/>
    </row>
    <row r="5595" spans="1:4" x14ac:dyDescent="0.25">
      <c r="A5595" s="31"/>
      <c r="D5595" s="30"/>
    </row>
    <row r="5596" spans="1:4" x14ac:dyDescent="0.25">
      <c r="A5596" s="31"/>
      <c r="D5596" s="30"/>
    </row>
    <row r="5597" spans="1:4" x14ac:dyDescent="0.25">
      <c r="A5597" s="31"/>
      <c r="D5597" s="30"/>
    </row>
    <row r="5598" spans="1:4" x14ac:dyDescent="0.25">
      <c r="A5598" s="31"/>
      <c r="D5598" s="30"/>
    </row>
    <row r="5599" spans="1:4" x14ac:dyDescent="0.25">
      <c r="A5599" s="31"/>
      <c r="D5599" s="30"/>
    </row>
    <row r="5600" spans="1:4" x14ac:dyDescent="0.25">
      <c r="A5600" s="31"/>
      <c r="D5600" s="30"/>
    </row>
    <row r="5601" spans="1:4" x14ac:dyDescent="0.25">
      <c r="A5601" s="31"/>
      <c r="D5601" s="30"/>
    </row>
    <row r="5602" spans="1:4" x14ac:dyDescent="0.25">
      <c r="A5602" s="31"/>
      <c r="D5602" s="30"/>
    </row>
    <row r="5603" spans="1:4" x14ac:dyDescent="0.25">
      <c r="A5603" s="31"/>
      <c r="D5603" s="30"/>
    </row>
    <row r="5604" spans="1:4" x14ac:dyDescent="0.25">
      <c r="A5604" s="31"/>
      <c r="D5604" s="30"/>
    </row>
    <row r="5605" spans="1:4" x14ac:dyDescent="0.25">
      <c r="A5605" s="31"/>
      <c r="D5605" s="30"/>
    </row>
    <row r="5606" spans="1:4" x14ac:dyDescent="0.25">
      <c r="A5606" s="31"/>
      <c r="D5606" s="30"/>
    </row>
    <row r="5607" spans="1:4" x14ac:dyDescent="0.25">
      <c r="A5607" s="31"/>
      <c r="D5607" s="30"/>
    </row>
    <row r="5608" spans="1:4" x14ac:dyDescent="0.25">
      <c r="A5608" s="31"/>
      <c r="D5608" s="30"/>
    </row>
    <row r="5609" spans="1:4" x14ac:dyDescent="0.25">
      <c r="A5609" s="31"/>
      <c r="D5609" s="30"/>
    </row>
    <row r="5610" spans="1:4" x14ac:dyDescent="0.25">
      <c r="A5610" s="31"/>
      <c r="D5610" s="30"/>
    </row>
    <row r="5611" spans="1:4" x14ac:dyDescent="0.25">
      <c r="A5611" s="31"/>
      <c r="D5611" s="30"/>
    </row>
    <row r="5612" spans="1:4" x14ac:dyDescent="0.25">
      <c r="A5612" s="31"/>
      <c r="D5612" s="30"/>
    </row>
    <row r="5613" spans="1:4" x14ac:dyDescent="0.25">
      <c r="A5613" s="31"/>
      <c r="D5613" s="30"/>
    </row>
    <row r="5614" spans="1:4" x14ac:dyDescent="0.25">
      <c r="A5614" s="31"/>
      <c r="D5614" s="30"/>
    </row>
    <row r="5615" spans="1:4" x14ac:dyDescent="0.25">
      <c r="A5615" s="31"/>
      <c r="D5615" s="30"/>
    </row>
    <row r="5616" spans="1:4" x14ac:dyDescent="0.25">
      <c r="A5616" s="31"/>
      <c r="D5616" s="30"/>
    </row>
    <row r="5617" spans="1:4" x14ac:dyDescent="0.25">
      <c r="A5617" s="31"/>
      <c r="D5617" s="30"/>
    </row>
    <row r="5618" spans="1:4" x14ac:dyDescent="0.25">
      <c r="A5618" s="31"/>
      <c r="D5618" s="30"/>
    </row>
    <row r="5619" spans="1:4" x14ac:dyDescent="0.25">
      <c r="A5619" s="31"/>
      <c r="D5619" s="30"/>
    </row>
    <row r="5620" spans="1:4" x14ac:dyDescent="0.25">
      <c r="A5620" s="31"/>
      <c r="D5620" s="30"/>
    </row>
    <row r="5621" spans="1:4" x14ac:dyDescent="0.25">
      <c r="A5621" s="31"/>
      <c r="D5621" s="30"/>
    </row>
    <row r="5622" spans="1:4" x14ac:dyDescent="0.25">
      <c r="A5622" s="31"/>
      <c r="D5622" s="30"/>
    </row>
    <row r="5623" spans="1:4" x14ac:dyDescent="0.25">
      <c r="A5623" s="31"/>
      <c r="D5623" s="30"/>
    </row>
    <row r="5624" spans="1:4" x14ac:dyDescent="0.25">
      <c r="A5624" s="31"/>
      <c r="D5624" s="30"/>
    </row>
    <row r="5625" spans="1:4" x14ac:dyDescent="0.25">
      <c r="A5625" s="31"/>
      <c r="D5625" s="30"/>
    </row>
    <row r="5626" spans="1:4" x14ac:dyDescent="0.25">
      <c r="A5626" s="31"/>
      <c r="D5626" s="30"/>
    </row>
    <row r="5627" spans="1:4" x14ac:dyDescent="0.25">
      <c r="A5627" s="31"/>
      <c r="D5627" s="30"/>
    </row>
    <row r="5628" spans="1:4" x14ac:dyDescent="0.25">
      <c r="A5628" s="31"/>
      <c r="D5628" s="30"/>
    </row>
    <row r="5629" spans="1:4" x14ac:dyDescent="0.25">
      <c r="A5629" s="31"/>
      <c r="D5629" s="30"/>
    </row>
    <row r="5630" spans="1:4" x14ac:dyDescent="0.25">
      <c r="A5630" s="31"/>
      <c r="D5630" s="30"/>
    </row>
    <row r="5631" spans="1:4" x14ac:dyDescent="0.25">
      <c r="A5631" s="31"/>
      <c r="D5631" s="30"/>
    </row>
    <row r="5632" spans="1:4" x14ac:dyDescent="0.25">
      <c r="A5632" s="31"/>
      <c r="D5632" s="30"/>
    </row>
    <row r="5633" spans="1:4" x14ac:dyDescent="0.25">
      <c r="A5633" s="31"/>
      <c r="D5633" s="30"/>
    </row>
    <row r="5634" spans="1:4" x14ac:dyDescent="0.25">
      <c r="A5634" s="31"/>
      <c r="D5634" s="30"/>
    </row>
    <row r="5635" spans="1:4" x14ac:dyDescent="0.25">
      <c r="A5635" s="31"/>
      <c r="D5635" s="30"/>
    </row>
    <row r="5636" spans="1:4" x14ac:dyDescent="0.25">
      <c r="A5636" s="31"/>
      <c r="D5636" s="30"/>
    </row>
    <row r="5637" spans="1:4" x14ac:dyDescent="0.25">
      <c r="A5637" s="31"/>
      <c r="D5637" s="30"/>
    </row>
    <row r="5638" spans="1:4" x14ac:dyDescent="0.25">
      <c r="A5638" s="31"/>
      <c r="D5638" s="30"/>
    </row>
    <row r="5639" spans="1:4" x14ac:dyDescent="0.25">
      <c r="A5639" s="31"/>
      <c r="D5639" s="30"/>
    </row>
    <row r="5640" spans="1:4" x14ac:dyDescent="0.25">
      <c r="A5640" s="31"/>
      <c r="D5640" s="30"/>
    </row>
    <row r="5641" spans="1:4" x14ac:dyDescent="0.25">
      <c r="A5641" s="31"/>
      <c r="D5641" s="30"/>
    </row>
    <row r="5642" spans="1:4" x14ac:dyDescent="0.25">
      <c r="A5642" s="31"/>
      <c r="D5642" s="30"/>
    </row>
    <row r="5643" spans="1:4" x14ac:dyDescent="0.25">
      <c r="A5643" s="31"/>
      <c r="D5643" s="30"/>
    </row>
    <row r="5644" spans="1:4" x14ac:dyDescent="0.25">
      <c r="A5644" s="31"/>
      <c r="D5644" s="30"/>
    </row>
    <row r="5645" spans="1:4" x14ac:dyDescent="0.25">
      <c r="A5645" s="31"/>
      <c r="D5645" s="30"/>
    </row>
    <row r="5646" spans="1:4" x14ac:dyDescent="0.25">
      <c r="A5646" s="31"/>
      <c r="D5646" s="30"/>
    </row>
    <row r="5647" spans="1:4" x14ac:dyDescent="0.25">
      <c r="A5647" s="31"/>
      <c r="D5647" s="30"/>
    </row>
    <row r="5648" spans="1:4" x14ac:dyDescent="0.25">
      <c r="A5648" s="31"/>
      <c r="D5648" s="30"/>
    </row>
    <row r="5649" spans="1:4" x14ac:dyDescent="0.25">
      <c r="A5649" s="31"/>
      <c r="D5649" s="30"/>
    </row>
    <row r="5650" spans="1:4" x14ac:dyDescent="0.25">
      <c r="A5650" s="31"/>
      <c r="D5650" s="30"/>
    </row>
    <row r="5651" spans="1:4" x14ac:dyDescent="0.25">
      <c r="A5651" s="31"/>
      <c r="D5651" s="30"/>
    </row>
    <row r="5652" spans="1:4" x14ac:dyDescent="0.25">
      <c r="A5652" s="31"/>
      <c r="D5652" s="30"/>
    </row>
    <row r="5653" spans="1:4" x14ac:dyDescent="0.25">
      <c r="A5653" s="31"/>
      <c r="D5653" s="30"/>
    </row>
    <row r="5654" spans="1:4" x14ac:dyDescent="0.25">
      <c r="A5654" s="31"/>
      <c r="D5654" s="30"/>
    </row>
    <row r="5655" spans="1:4" x14ac:dyDescent="0.25">
      <c r="A5655" s="31"/>
      <c r="D5655" s="30"/>
    </row>
    <row r="5656" spans="1:4" x14ac:dyDescent="0.25">
      <c r="A5656" s="31"/>
      <c r="D5656" s="30"/>
    </row>
    <row r="5657" spans="1:4" x14ac:dyDescent="0.25">
      <c r="A5657" s="31"/>
      <c r="D5657" s="30"/>
    </row>
    <row r="5658" spans="1:4" x14ac:dyDescent="0.25">
      <c r="A5658" s="31"/>
      <c r="D5658" s="30"/>
    </row>
    <row r="5659" spans="1:4" x14ac:dyDescent="0.25">
      <c r="A5659" s="31"/>
      <c r="D5659" s="30"/>
    </row>
    <row r="5660" spans="1:4" x14ac:dyDescent="0.25">
      <c r="A5660" s="31"/>
      <c r="D5660" s="30"/>
    </row>
    <row r="5661" spans="1:4" x14ac:dyDescent="0.25">
      <c r="A5661" s="31"/>
      <c r="D5661" s="30"/>
    </row>
    <row r="5662" spans="1:4" x14ac:dyDescent="0.25">
      <c r="A5662" s="31"/>
      <c r="D5662" s="30"/>
    </row>
    <row r="5663" spans="1:4" x14ac:dyDescent="0.25">
      <c r="A5663" s="31"/>
      <c r="D5663" s="30"/>
    </row>
    <row r="5664" spans="1:4" x14ac:dyDescent="0.25">
      <c r="A5664" s="31"/>
      <c r="D5664" s="30"/>
    </row>
    <row r="5665" spans="1:4" x14ac:dyDescent="0.25">
      <c r="A5665" s="31"/>
      <c r="D5665" s="30"/>
    </row>
    <row r="5666" spans="1:4" x14ac:dyDescent="0.25">
      <c r="A5666" s="31"/>
      <c r="D5666" s="30"/>
    </row>
    <row r="5667" spans="1:4" x14ac:dyDescent="0.25">
      <c r="A5667" s="31"/>
      <c r="D5667" s="30"/>
    </row>
    <row r="5668" spans="1:4" x14ac:dyDescent="0.25">
      <c r="A5668" s="31"/>
      <c r="D5668" s="30"/>
    </row>
    <row r="5669" spans="1:4" x14ac:dyDescent="0.25">
      <c r="A5669" s="31"/>
      <c r="D5669" s="30"/>
    </row>
    <row r="5670" spans="1:4" x14ac:dyDescent="0.25">
      <c r="A5670" s="31"/>
      <c r="D5670" s="30"/>
    </row>
    <row r="5671" spans="1:4" x14ac:dyDescent="0.25">
      <c r="A5671" s="31"/>
      <c r="D5671" s="30"/>
    </row>
    <row r="5672" spans="1:4" x14ac:dyDescent="0.25">
      <c r="A5672" s="31"/>
      <c r="D5672" s="30"/>
    </row>
    <row r="5673" spans="1:4" x14ac:dyDescent="0.25">
      <c r="A5673" s="31"/>
      <c r="D5673" s="30"/>
    </row>
    <row r="5674" spans="1:4" x14ac:dyDescent="0.25">
      <c r="A5674" s="31"/>
      <c r="D5674" s="30"/>
    </row>
    <row r="5675" spans="1:4" x14ac:dyDescent="0.25">
      <c r="A5675" s="31"/>
      <c r="D5675" s="30"/>
    </row>
    <row r="5676" spans="1:4" x14ac:dyDescent="0.25">
      <c r="A5676" s="31"/>
      <c r="D5676" s="30"/>
    </row>
    <row r="5677" spans="1:4" x14ac:dyDescent="0.25">
      <c r="A5677" s="31"/>
      <c r="D5677" s="30"/>
    </row>
    <row r="5678" spans="1:4" x14ac:dyDescent="0.25">
      <c r="A5678" s="31"/>
      <c r="D5678" s="30"/>
    </row>
    <row r="5679" spans="1:4" x14ac:dyDescent="0.25">
      <c r="A5679" s="31"/>
      <c r="D5679" s="30"/>
    </row>
    <row r="5680" spans="1:4" x14ac:dyDescent="0.25">
      <c r="A5680" s="31"/>
      <c r="D5680" s="30"/>
    </row>
    <row r="5681" spans="1:4" x14ac:dyDescent="0.25">
      <c r="A5681" s="31"/>
      <c r="D5681" s="30"/>
    </row>
    <row r="5682" spans="1:4" x14ac:dyDescent="0.25">
      <c r="A5682" s="31"/>
      <c r="D5682" s="30"/>
    </row>
    <row r="5683" spans="1:4" x14ac:dyDescent="0.25">
      <c r="A5683" s="31"/>
      <c r="D5683" s="30"/>
    </row>
    <row r="5684" spans="1:4" x14ac:dyDescent="0.25">
      <c r="A5684" s="31"/>
      <c r="D5684" s="30"/>
    </row>
    <row r="5685" spans="1:4" x14ac:dyDescent="0.25">
      <c r="A5685" s="31"/>
      <c r="D5685" s="30"/>
    </row>
    <row r="5686" spans="1:4" x14ac:dyDescent="0.25">
      <c r="A5686" s="31"/>
      <c r="D5686" s="30"/>
    </row>
    <row r="5687" spans="1:4" x14ac:dyDescent="0.25">
      <c r="A5687" s="31"/>
      <c r="D5687" s="30"/>
    </row>
    <row r="5688" spans="1:4" x14ac:dyDescent="0.25">
      <c r="A5688" s="31"/>
      <c r="D5688" s="30"/>
    </row>
    <row r="5689" spans="1:4" x14ac:dyDescent="0.25">
      <c r="A5689" s="31"/>
      <c r="D5689" s="30"/>
    </row>
    <row r="5690" spans="1:4" x14ac:dyDescent="0.25">
      <c r="A5690" s="31"/>
      <c r="D5690" s="30"/>
    </row>
    <row r="5691" spans="1:4" x14ac:dyDescent="0.25">
      <c r="A5691" s="31"/>
      <c r="D5691" s="30"/>
    </row>
    <row r="5692" spans="1:4" x14ac:dyDescent="0.25">
      <c r="A5692" s="31"/>
      <c r="D5692" s="30"/>
    </row>
    <row r="5693" spans="1:4" x14ac:dyDescent="0.25">
      <c r="A5693" s="31"/>
      <c r="D5693" s="30"/>
    </row>
    <row r="5694" spans="1:4" x14ac:dyDescent="0.25">
      <c r="A5694" s="31"/>
      <c r="D5694" s="30"/>
    </row>
    <row r="5695" spans="1:4" x14ac:dyDescent="0.25">
      <c r="A5695" s="31"/>
      <c r="D5695" s="30"/>
    </row>
    <row r="5696" spans="1:4" x14ac:dyDescent="0.25">
      <c r="A5696" s="31"/>
      <c r="D5696" s="30"/>
    </row>
    <row r="5697" spans="1:4" x14ac:dyDescent="0.25">
      <c r="A5697" s="31"/>
      <c r="D5697" s="30"/>
    </row>
    <row r="5698" spans="1:4" x14ac:dyDescent="0.25">
      <c r="A5698" s="31"/>
      <c r="D5698" s="30"/>
    </row>
    <row r="5699" spans="1:4" x14ac:dyDescent="0.25">
      <c r="A5699" s="31"/>
      <c r="D5699" s="30"/>
    </row>
    <row r="5700" spans="1:4" x14ac:dyDescent="0.25">
      <c r="A5700" s="31"/>
      <c r="D5700" s="30"/>
    </row>
    <row r="5701" spans="1:4" x14ac:dyDescent="0.25">
      <c r="A5701" s="31"/>
      <c r="D5701" s="30"/>
    </row>
    <row r="5702" spans="1:4" x14ac:dyDescent="0.25">
      <c r="A5702" s="31"/>
      <c r="D5702" s="30"/>
    </row>
    <row r="5703" spans="1:4" x14ac:dyDescent="0.25">
      <c r="A5703" s="31"/>
      <c r="D5703" s="30"/>
    </row>
    <row r="5704" spans="1:4" x14ac:dyDescent="0.25">
      <c r="A5704" s="31"/>
      <c r="D5704" s="30"/>
    </row>
    <row r="5705" spans="1:4" x14ac:dyDescent="0.25">
      <c r="A5705" s="31"/>
      <c r="D5705" s="30"/>
    </row>
    <row r="5706" spans="1:4" x14ac:dyDescent="0.25">
      <c r="A5706" s="31"/>
      <c r="D5706" s="30"/>
    </row>
    <row r="5707" spans="1:4" x14ac:dyDescent="0.25">
      <c r="A5707" s="31"/>
      <c r="D5707" s="30"/>
    </row>
    <row r="5708" spans="1:4" x14ac:dyDescent="0.25">
      <c r="A5708" s="31"/>
      <c r="D5708" s="30"/>
    </row>
    <row r="5709" spans="1:4" x14ac:dyDescent="0.25">
      <c r="A5709" s="31"/>
      <c r="D5709" s="30"/>
    </row>
    <row r="5710" spans="1:4" x14ac:dyDescent="0.25">
      <c r="A5710" s="31"/>
      <c r="D5710" s="30"/>
    </row>
    <row r="5711" spans="1:4" x14ac:dyDescent="0.25">
      <c r="A5711" s="31"/>
      <c r="D5711" s="30"/>
    </row>
    <row r="5712" spans="1:4" x14ac:dyDescent="0.25">
      <c r="A5712" s="31"/>
      <c r="D5712" s="30"/>
    </row>
    <row r="5713" spans="1:4" x14ac:dyDescent="0.25">
      <c r="A5713" s="31"/>
      <c r="D5713" s="30"/>
    </row>
    <row r="5714" spans="1:4" x14ac:dyDescent="0.25">
      <c r="A5714" s="31"/>
      <c r="D5714" s="30"/>
    </row>
    <row r="5715" spans="1:4" x14ac:dyDescent="0.25">
      <c r="A5715" s="31"/>
      <c r="D5715" s="30"/>
    </row>
    <row r="5716" spans="1:4" x14ac:dyDescent="0.25">
      <c r="A5716" s="31"/>
      <c r="D5716" s="30"/>
    </row>
    <row r="5717" spans="1:4" x14ac:dyDescent="0.25">
      <c r="A5717" s="31"/>
      <c r="D5717" s="30"/>
    </row>
    <row r="5718" spans="1:4" x14ac:dyDescent="0.25">
      <c r="A5718" s="31"/>
      <c r="D5718" s="30"/>
    </row>
    <row r="5719" spans="1:4" x14ac:dyDescent="0.25">
      <c r="A5719" s="31"/>
      <c r="D5719" s="30"/>
    </row>
    <row r="5720" spans="1:4" x14ac:dyDescent="0.25">
      <c r="A5720" s="31"/>
      <c r="D5720" s="30"/>
    </row>
    <row r="5721" spans="1:4" x14ac:dyDescent="0.25">
      <c r="A5721" s="31"/>
      <c r="D5721" s="30"/>
    </row>
    <row r="5722" spans="1:4" x14ac:dyDescent="0.25">
      <c r="A5722" s="31"/>
      <c r="D5722" s="30"/>
    </row>
    <row r="5723" spans="1:4" x14ac:dyDescent="0.25">
      <c r="A5723" s="31"/>
      <c r="D5723" s="30"/>
    </row>
    <row r="5724" spans="1:4" x14ac:dyDescent="0.25">
      <c r="A5724" s="31"/>
      <c r="D5724" s="30"/>
    </row>
    <row r="5725" spans="1:4" x14ac:dyDescent="0.25">
      <c r="A5725" s="31"/>
      <c r="D5725" s="30"/>
    </row>
    <row r="5726" spans="1:4" x14ac:dyDescent="0.25">
      <c r="A5726" s="31"/>
      <c r="D5726" s="30"/>
    </row>
    <row r="5727" spans="1:4" x14ac:dyDescent="0.25">
      <c r="A5727" s="31"/>
      <c r="D5727" s="30"/>
    </row>
    <row r="5728" spans="1:4" x14ac:dyDescent="0.25">
      <c r="A5728" s="31"/>
      <c r="D5728" s="30"/>
    </row>
    <row r="5729" spans="1:4" x14ac:dyDescent="0.25">
      <c r="A5729" s="31"/>
      <c r="D5729" s="30"/>
    </row>
    <row r="5730" spans="1:4" x14ac:dyDescent="0.25">
      <c r="A5730" s="31"/>
      <c r="D5730" s="30"/>
    </row>
    <row r="5731" spans="1:4" x14ac:dyDescent="0.25">
      <c r="A5731" s="31"/>
      <c r="D5731" s="30"/>
    </row>
    <row r="5732" spans="1:4" x14ac:dyDescent="0.25">
      <c r="A5732" s="31"/>
      <c r="D5732" s="30"/>
    </row>
    <row r="5733" spans="1:4" x14ac:dyDescent="0.25">
      <c r="A5733" s="31"/>
      <c r="D5733" s="30"/>
    </row>
    <row r="5734" spans="1:4" x14ac:dyDescent="0.25">
      <c r="A5734" s="31"/>
      <c r="D5734" s="30"/>
    </row>
    <row r="5735" spans="1:4" x14ac:dyDescent="0.25">
      <c r="A5735" s="31"/>
      <c r="D5735" s="30"/>
    </row>
    <row r="5736" spans="1:4" x14ac:dyDescent="0.25">
      <c r="A5736" s="31"/>
      <c r="D5736" s="30"/>
    </row>
    <row r="5737" spans="1:4" x14ac:dyDescent="0.25">
      <c r="A5737" s="31"/>
      <c r="D5737" s="30"/>
    </row>
    <row r="5738" spans="1:4" x14ac:dyDescent="0.25">
      <c r="A5738" s="31"/>
      <c r="D5738" s="30"/>
    </row>
    <row r="5739" spans="1:4" x14ac:dyDescent="0.25">
      <c r="A5739" s="31"/>
      <c r="D5739" s="30"/>
    </row>
    <row r="5740" spans="1:4" x14ac:dyDescent="0.25">
      <c r="A5740" s="31"/>
      <c r="D5740" s="30"/>
    </row>
    <row r="5741" spans="1:4" x14ac:dyDescent="0.25">
      <c r="A5741" s="31"/>
      <c r="D5741" s="30"/>
    </row>
    <row r="5742" spans="1:4" x14ac:dyDescent="0.25">
      <c r="A5742" s="31"/>
      <c r="D5742" s="30"/>
    </row>
    <row r="5743" spans="1:4" x14ac:dyDescent="0.25">
      <c r="A5743" s="31"/>
      <c r="D5743" s="30"/>
    </row>
    <row r="5744" spans="1:4" x14ac:dyDescent="0.25">
      <c r="A5744" s="31"/>
      <c r="D5744" s="30"/>
    </row>
    <row r="5745" spans="1:4" x14ac:dyDescent="0.25">
      <c r="A5745" s="31"/>
      <c r="D5745" s="30"/>
    </row>
    <row r="5746" spans="1:4" x14ac:dyDescent="0.25">
      <c r="A5746" s="31"/>
      <c r="D5746" s="30"/>
    </row>
    <row r="5747" spans="1:4" x14ac:dyDescent="0.25">
      <c r="A5747" s="31"/>
      <c r="D5747" s="30"/>
    </row>
    <row r="5748" spans="1:4" x14ac:dyDescent="0.25">
      <c r="A5748" s="31"/>
      <c r="D5748" s="30"/>
    </row>
    <row r="5749" spans="1:4" x14ac:dyDescent="0.25">
      <c r="A5749" s="31"/>
      <c r="D5749" s="30"/>
    </row>
    <row r="5750" spans="1:4" x14ac:dyDescent="0.25">
      <c r="A5750" s="31"/>
      <c r="D5750" s="30"/>
    </row>
    <row r="5751" spans="1:4" x14ac:dyDescent="0.25">
      <c r="A5751" s="31"/>
      <c r="D5751" s="30"/>
    </row>
    <row r="5752" spans="1:4" x14ac:dyDescent="0.25">
      <c r="A5752" s="31"/>
      <c r="D5752" s="30"/>
    </row>
    <row r="5753" spans="1:4" x14ac:dyDescent="0.25">
      <c r="A5753" s="31"/>
      <c r="D5753" s="30"/>
    </row>
    <row r="5754" spans="1:4" x14ac:dyDescent="0.25">
      <c r="A5754" s="31"/>
      <c r="D5754" s="30"/>
    </row>
    <row r="5755" spans="1:4" x14ac:dyDescent="0.25">
      <c r="A5755" s="31"/>
      <c r="D5755" s="30"/>
    </row>
    <row r="5756" spans="1:4" x14ac:dyDescent="0.25">
      <c r="A5756" s="31"/>
      <c r="D5756" s="30"/>
    </row>
    <row r="5757" spans="1:4" x14ac:dyDescent="0.25">
      <c r="A5757" s="31"/>
      <c r="D5757" s="30"/>
    </row>
    <row r="5758" spans="1:4" x14ac:dyDescent="0.25">
      <c r="A5758" s="31"/>
      <c r="D5758" s="30"/>
    </row>
    <row r="5759" spans="1:4" x14ac:dyDescent="0.25">
      <c r="A5759" s="31"/>
      <c r="D5759" s="30"/>
    </row>
    <row r="5760" spans="1:4" x14ac:dyDescent="0.25">
      <c r="A5760" s="31"/>
      <c r="D5760" s="30"/>
    </row>
    <row r="5761" spans="1:4" x14ac:dyDescent="0.25">
      <c r="A5761" s="31"/>
      <c r="D5761" s="30"/>
    </row>
    <row r="5762" spans="1:4" x14ac:dyDescent="0.25">
      <c r="A5762" s="31"/>
      <c r="D5762" s="30"/>
    </row>
    <row r="5763" spans="1:4" x14ac:dyDescent="0.25">
      <c r="A5763" s="31"/>
      <c r="D5763" s="30"/>
    </row>
    <row r="5764" spans="1:4" x14ac:dyDescent="0.25">
      <c r="A5764" s="31"/>
      <c r="D5764" s="30"/>
    </row>
    <row r="5765" spans="1:4" x14ac:dyDescent="0.25">
      <c r="A5765" s="31"/>
      <c r="D5765" s="30"/>
    </row>
    <row r="5766" spans="1:4" x14ac:dyDescent="0.25">
      <c r="A5766" s="31"/>
      <c r="D5766" s="30"/>
    </row>
    <row r="5767" spans="1:4" x14ac:dyDescent="0.25">
      <c r="A5767" s="31"/>
      <c r="D5767" s="30"/>
    </row>
    <row r="5768" spans="1:4" x14ac:dyDescent="0.25">
      <c r="A5768" s="31"/>
      <c r="D5768" s="30"/>
    </row>
    <row r="5769" spans="1:4" x14ac:dyDescent="0.25">
      <c r="A5769" s="31"/>
      <c r="D5769" s="30"/>
    </row>
    <row r="5770" spans="1:4" x14ac:dyDescent="0.25">
      <c r="A5770" s="31"/>
      <c r="D5770" s="30"/>
    </row>
    <row r="5771" spans="1:4" x14ac:dyDescent="0.25">
      <c r="A5771" s="31"/>
      <c r="D5771" s="30"/>
    </row>
    <row r="5772" spans="1:4" x14ac:dyDescent="0.25">
      <c r="A5772" s="31"/>
      <c r="D5772" s="30"/>
    </row>
    <row r="5773" spans="1:4" x14ac:dyDescent="0.25">
      <c r="A5773" s="31"/>
      <c r="D5773" s="30"/>
    </row>
    <row r="5774" spans="1:4" x14ac:dyDescent="0.25">
      <c r="A5774" s="31"/>
      <c r="D5774" s="30"/>
    </row>
    <row r="5775" spans="1:4" x14ac:dyDescent="0.25">
      <c r="A5775" s="31"/>
      <c r="D5775" s="30"/>
    </row>
    <row r="5776" spans="1:4" x14ac:dyDescent="0.25">
      <c r="A5776" s="31"/>
      <c r="D5776" s="30"/>
    </row>
    <row r="5777" spans="1:4" x14ac:dyDescent="0.25">
      <c r="A5777" s="31"/>
      <c r="D5777" s="30"/>
    </row>
    <row r="5778" spans="1:4" x14ac:dyDescent="0.25">
      <c r="A5778" s="31"/>
      <c r="D5778" s="30"/>
    </row>
    <row r="5779" spans="1:4" x14ac:dyDescent="0.25">
      <c r="A5779" s="31"/>
      <c r="D5779" s="30"/>
    </row>
    <row r="5780" spans="1:4" x14ac:dyDescent="0.25">
      <c r="A5780" s="31"/>
      <c r="D5780" s="30"/>
    </row>
    <row r="5781" spans="1:4" x14ac:dyDescent="0.25">
      <c r="A5781" s="31"/>
      <c r="D5781" s="30"/>
    </row>
    <row r="5782" spans="1:4" x14ac:dyDescent="0.25">
      <c r="A5782" s="31"/>
      <c r="D5782" s="30"/>
    </row>
    <row r="5783" spans="1:4" x14ac:dyDescent="0.25">
      <c r="A5783" s="31"/>
      <c r="D5783" s="30"/>
    </row>
    <row r="5784" spans="1:4" x14ac:dyDescent="0.25">
      <c r="A5784" s="31"/>
      <c r="D5784" s="30"/>
    </row>
    <row r="5785" spans="1:4" x14ac:dyDescent="0.25">
      <c r="A5785" s="31"/>
      <c r="D5785" s="30"/>
    </row>
    <row r="5786" spans="1:4" x14ac:dyDescent="0.25">
      <c r="A5786" s="31"/>
      <c r="D5786" s="30"/>
    </row>
    <row r="5787" spans="1:4" x14ac:dyDescent="0.25">
      <c r="A5787" s="31"/>
      <c r="D5787" s="30"/>
    </row>
    <row r="5788" spans="1:4" x14ac:dyDescent="0.25">
      <c r="A5788" s="31"/>
      <c r="D5788" s="30"/>
    </row>
    <row r="5789" spans="1:4" x14ac:dyDescent="0.25">
      <c r="A5789" s="31"/>
      <c r="D5789" s="30"/>
    </row>
    <row r="5790" spans="1:4" x14ac:dyDescent="0.25">
      <c r="A5790" s="31"/>
      <c r="D5790" s="30"/>
    </row>
    <row r="5791" spans="1:4" x14ac:dyDescent="0.25">
      <c r="A5791" s="31"/>
      <c r="D5791" s="30"/>
    </row>
    <row r="5792" spans="1:4" x14ac:dyDescent="0.25">
      <c r="A5792" s="31"/>
      <c r="D5792" s="30"/>
    </row>
    <row r="5793" spans="1:4" x14ac:dyDescent="0.25">
      <c r="A5793" s="31"/>
      <c r="D5793" s="30"/>
    </row>
    <row r="5794" spans="1:4" x14ac:dyDescent="0.25">
      <c r="A5794" s="31"/>
      <c r="D5794" s="30"/>
    </row>
    <row r="5795" spans="1:4" x14ac:dyDescent="0.25">
      <c r="A5795" s="31"/>
      <c r="D5795" s="30"/>
    </row>
    <row r="5796" spans="1:4" x14ac:dyDescent="0.25">
      <c r="A5796" s="31"/>
      <c r="D5796" s="30"/>
    </row>
    <row r="5797" spans="1:4" x14ac:dyDescent="0.25">
      <c r="A5797" s="31"/>
      <c r="D5797" s="30"/>
    </row>
    <row r="5798" spans="1:4" x14ac:dyDescent="0.25">
      <c r="A5798" s="31"/>
      <c r="D5798" s="30"/>
    </row>
    <row r="5799" spans="1:4" x14ac:dyDescent="0.25">
      <c r="A5799" s="31"/>
      <c r="D5799" s="30"/>
    </row>
    <row r="5800" spans="1:4" x14ac:dyDescent="0.25">
      <c r="A5800" s="31"/>
      <c r="D5800" s="30"/>
    </row>
    <row r="5801" spans="1:4" x14ac:dyDescent="0.25">
      <c r="A5801" s="31"/>
      <c r="D5801" s="30"/>
    </row>
    <row r="5802" spans="1:4" x14ac:dyDescent="0.25">
      <c r="A5802" s="31"/>
      <c r="D5802" s="30"/>
    </row>
    <row r="5803" spans="1:4" x14ac:dyDescent="0.25">
      <c r="A5803" s="31"/>
      <c r="D5803" s="30"/>
    </row>
    <row r="5804" spans="1:4" x14ac:dyDescent="0.25">
      <c r="A5804" s="31"/>
      <c r="D5804" s="30"/>
    </row>
    <row r="5805" spans="1:4" x14ac:dyDescent="0.25">
      <c r="A5805" s="31"/>
      <c r="D5805" s="30"/>
    </row>
    <row r="5806" spans="1:4" x14ac:dyDescent="0.25">
      <c r="A5806" s="31"/>
      <c r="D5806" s="30"/>
    </row>
    <row r="5807" spans="1:4" x14ac:dyDescent="0.25">
      <c r="A5807" s="31"/>
      <c r="D5807" s="30"/>
    </row>
    <row r="5808" spans="1:4" x14ac:dyDescent="0.25">
      <c r="A5808" s="31"/>
      <c r="D5808" s="30"/>
    </row>
    <row r="5809" spans="1:4" x14ac:dyDescent="0.25">
      <c r="A5809" s="31"/>
      <c r="D5809" s="30"/>
    </row>
    <row r="5810" spans="1:4" x14ac:dyDescent="0.25">
      <c r="A5810" s="31"/>
      <c r="D5810" s="30"/>
    </row>
    <row r="5811" spans="1:4" x14ac:dyDescent="0.25">
      <c r="A5811" s="31"/>
      <c r="D5811" s="30"/>
    </row>
    <row r="5812" spans="1:4" x14ac:dyDescent="0.25">
      <c r="A5812" s="31"/>
      <c r="D5812" s="30"/>
    </row>
    <row r="5813" spans="1:4" x14ac:dyDescent="0.25">
      <c r="A5813" s="31"/>
      <c r="D5813" s="30"/>
    </row>
    <row r="5814" spans="1:4" x14ac:dyDescent="0.25">
      <c r="A5814" s="31"/>
      <c r="D5814" s="30"/>
    </row>
    <row r="5815" spans="1:4" x14ac:dyDescent="0.25">
      <c r="A5815" s="31"/>
      <c r="D5815" s="30"/>
    </row>
    <row r="5816" spans="1:4" x14ac:dyDescent="0.25">
      <c r="A5816" s="31"/>
      <c r="D5816" s="30"/>
    </row>
    <row r="5817" spans="1:4" x14ac:dyDescent="0.25">
      <c r="A5817" s="31"/>
      <c r="D5817" s="30"/>
    </row>
    <row r="5818" spans="1:4" x14ac:dyDescent="0.25">
      <c r="A5818" s="31"/>
      <c r="D5818" s="30"/>
    </row>
    <row r="5819" spans="1:4" x14ac:dyDescent="0.25">
      <c r="A5819" s="31"/>
      <c r="D5819" s="30"/>
    </row>
    <row r="5820" spans="1:4" x14ac:dyDescent="0.25">
      <c r="A5820" s="31"/>
      <c r="D5820" s="30"/>
    </row>
    <row r="5821" spans="1:4" x14ac:dyDescent="0.25">
      <c r="A5821" s="31"/>
      <c r="D5821" s="30"/>
    </row>
    <row r="5822" spans="1:4" x14ac:dyDescent="0.25">
      <c r="A5822" s="31"/>
      <c r="D5822" s="30"/>
    </row>
    <row r="5823" spans="1:4" x14ac:dyDescent="0.25">
      <c r="A5823" s="31"/>
      <c r="D5823" s="30"/>
    </row>
    <row r="5824" spans="1:4" x14ac:dyDescent="0.25">
      <c r="A5824" s="31"/>
      <c r="D5824" s="30"/>
    </row>
    <row r="5825" spans="1:4" x14ac:dyDescent="0.25">
      <c r="A5825" s="31"/>
      <c r="D5825" s="30"/>
    </row>
    <row r="5826" spans="1:4" x14ac:dyDescent="0.25">
      <c r="A5826" s="31"/>
      <c r="D5826" s="30"/>
    </row>
    <row r="5827" spans="1:4" x14ac:dyDescent="0.25">
      <c r="A5827" s="31"/>
      <c r="D5827" s="30"/>
    </row>
    <row r="5828" spans="1:4" x14ac:dyDescent="0.25">
      <c r="A5828" s="31"/>
      <c r="D5828" s="30"/>
    </row>
    <row r="5829" spans="1:4" x14ac:dyDescent="0.25">
      <c r="A5829" s="31"/>
      <c r="D5829" s="30"/>
    </row>
    <row r="5830" spans="1:4" x14ac:dyDescent="0.25">
      <c r="A5830" s="31"/>
      <c r="D5830" s="30"/>
    </row>
    <row r="5831" spans="1:4" x14ac:dyDescent="0.25">
      <c r="A5831" s="31"/>
      <c r="D5831" s="30"/>
    </row>
    <row r="5832" spans="1:4" x14ac:dyDescent="0.25">
      <c r="A5832" s="31"/>
      <c r="D5832" s="30"/>
    </row>
    <row r="5833" spans="1:4" x14ac:dyDescent="0.25">
      <c r="A5833" s="31"/>
      <c r="D5833" s="30"/>
    </row>
    <row r="5834" spans="1:4" x14ac:dyDescent="0.25">
      <c r="A5834" s="31"/>
      <c r="D5834" s="30"/>
    </row>
    <row r="5835" spans="1:4" x14ac:dyDescent="0.25">
      <c r="A5835" s="31"/>
      <c r="D5835" s="30"/>
    </row>
    <row r="5836" spans="1:4" x14ac:dyDescent="0.25">
      <c r="A5836" s="31"/>
      <c r="D5836" s="30"/>
    </row>
    <row r="5837" spans="1:4" x14ac:dyDescent="0.25">
      <c r="A5837" s="31"/>
      <c r="D5837" s="30"/>
    </row>
    <row r="5838" spans="1:4" x14ac:dyDescent="0.25">
      <c r="A5838" s="31"/>
      <c r="D5838" s="30"/>
    </row>
    <row r="5839" spans="1:4" x14ac:dyDescent="0.25">
      <c r="A5839" s="31"/>
      <c r="D5839" s="30"/>
    </row>
    <row r="5840" spans="1:4" x14ac:dyDescent="0.25">
      <c r="A5840" s="31"/>
      <c r="D5840" s="30"/>
    </row>
    <row r="5841" spans="1:4" x14ac:dyDescent="0.25">
      <c r="A5841" s="31"/>
      <c r="D5841" s="30"/>
    </row>
    <row r="5842" spans="1:4" x14ac:dyDescent="0.25">
      <c r="A5842" s="31"/>
      <c r="D5842" s="30"/>
    </row>
    <row r="5843" spans="1:4" x14ac:dyDescent="0.25">
      <c r="A5843" s="31"/>
      <c r="D5843" s="30"/>
    </row>
    <row r="5844" spans="1:4" x14ac:dyDescent="0.25">
      <c r="A5844" s="31"/>
      <c r="D5844" s="30"/>
    </row>
    <row r="5845" spans="1:4" x14ac:dyDescent="0.25">
      <c r="A5845" s="31"/>
      <c r="D5845" s="30"/>
    </row>
    <row r="5846" spans="1:4" x14ac:dyDescent="0.25">
      <c r="A5846" s="31"/>
      <c r="D5846" s="30"/>
    </row>
    <row r="5847" spans="1:4" x14ac:dyDescent="0.25">
      <c r="A5847" s="31"/>
      <c r="D5847" s="30"/>
    </row>
    <row r="5848" spans="1:4" x14ac:dyDescent="0.25">
      <c r="A5848" s="31"/>
      <c r="D5848" s="30"/>
    </row>
    <row r="5849" spans="1:4" x14ac:dyDescent="0.25">
      <c r="A5849" s="31"/>
      <c r="D5849" s="30"/>
    </row>
    <row r="5850" spans="1:4" x14ac:dyDescent="0.25">
      <c r="A5850" s="31"/>
      <c r="D5850" s="30"/>
    </row>
    <row r="5851" spans="1:4" x14ac:dyDescent="0.25">
      <c r="A5851" s="31"/>
      <c r="D5851" s="30"/>
    </row>
    <row r="5852" spans="1:4" x14ac:dyDescent="0.25">
      <c r="A5852" s="31"/>
      <c r="D5852" s="30"/>
    </row>
    <row r="5853" spans="1:4" x14ac:dyDescent="0.25">
      <c r="A5853" s="31"/>
      <c r="D5853" s="30"/>
    </row>
    <row r="5854" spans="1:4" x14ac:dyDescent="0.25">
      <c r="A5854" s="31"/>
      <c r="D5854" s="30"/>
    </row>
    <row r="5855" spans="1:4" x14ac:dyDescent="0.25">
      <c r="A5855" s="31"/>
      <c r="D5855" s="30"/>
    </row>
    <row r="5856" spans="1:4" x14ac:dyDescent="0.25">
      <c r="A5856" s="31"/>
      <c r="D5856" s="30"/>
    </row>
    <row r="5857" spans="1:4" x14ac:dyDescent="0.25">
      <c r="A5857" s="31"/>
      <c r="D5857" s="30"/>
    </row>
    <row r="5858" spans="1:4" x14ac:dyDescent="0.25">
      <c r="A5858" s="31"/>
      <c r="D5858" s="30"/>
    </row>
    <row r="5859" spans="1:4" x14ac:dyDescent="0.25">
      <c r="A5859" s="31"/>
      <c r="D5859" s="30"/>
    </row>
    <row r="5860" spans="1:4" x14ac:dyDescent="0.25">
      <c r="A5860" s="31"/>
      <c r="D5860" s="30"/>
    </row>
    <row r="5861" spans="1:4" x14ac:dyDescent="0.25">
      <c r="A5861" s="31"/>
      <c r="D5861" s="30"/>
    </row>
    <row r="5862" spans="1:4" x14ac:dyDescent="0.25">
      <c r="A5862" s="31"/>
      <c r="D5862" s="30"/>
    </row>
    <row r="5863" spans="1:4" x14ac:dyDescent="0.25">
      <c r="A5863" s="31"/>
      <c r="D5863" s="30"/>
    </row>
    <row r="5864" spans="1:4" x14ac:dyDescent="0.25">
      <c r="A5864" s="31"/>
      <c r="D5864" s="30"/>
    </row>
    <row r="5865" spans="1:4" x14ac:dyDescent="0.25">
      <c r="A5865" s="31"/>
      <c r="D5865" s="30"/>
    </row>
    <row r="5866" spans="1:4" x14ac:dyDescent="0.25">
      <c r="A5866" s="31"/>
      <c r="D5866" s="30"/>
    </row>
    <row r="5867" spans="1:4" x14ac:dyDescent="0.25">
      <c r="A5867" s="31"/>
      <c r="D5867" s="30"/>
    </row>
    <row r="5868" spans="1:4" x14ac:dyDescent="0.25">
      <c r="A5868" s="31"/>
      <c r="D5868" s="30"/>
    </row>
    <row r="5869" spans="1:4" x14ac:dyDescent="0.25">
      <c r="A5869" s="31"/>
      <c r="D5869" s="30"/>
    </row>
    <row r="5870" spans="1:4" x14ac:dyDescent="0.25">
      <c r="A5870" s="31"/>
      <c r="D5870" s="30"/>
    </row>
    <row r="5871" spans="1:4" x14ac:dyDescent="0.25">
      <c r="A5871" s="31"/>
      <c r="D5871" s="30"/>
    </row>
    <row r="5872" spans="1:4" x14ac:dyDescent="0.25">
      <c r="A5872" s="31"/>
      <c r="D5872" s="30"/>
    </row>
    <row r="5873" spans="1:4" x14ac:dyDescent="0.25">
      <c r="A5873" s="31"/>
      <c r="D5873" s="30"/>
    </row>
    <row r="5874" spans="1:4" x14ac:dyDescent="0.25">
      <c r="A5874" s="31"/>
      <c r="D5874" s="30"/>
    </row>
    <row r="5875" spans="1:4" x14ac:dyDescent="0.25">
      <c r="A5875" s="31"/>
      <c r="D5875" s="30"/>
    </row>
    <row r="5876" spans="1:4" x14ac:dyDescent="0.25">
      <c r="A5876" s="31"/>
      <c r="D5876" s="30"/>
    </row>
    <row r="5877" spans="1:4" x14ac:dyDescent="0.25">
      <c r="A5877" s="31"/>
      <c r="D5877" s="30"/>
    </row>
    <row r="5878" spans="1:4" x14ac:dyDescent="0.25">
      <c r="A5878" s="31"/>
      <c r="D5878" s="30"/>
    </row>
    <row r="5879" spans="1:4" x14ac:dyDescent="0.25">
      <c r="A5879" s="31"/>
      <c r="D5879" s="30"/>
    </row>
    <row r="5880" spans="1:4" x14ac:dyDescent="0.25">
      <c r="A5880" s="31"/>
      <c r="D5880" s="30"/>
    </row>
    <row r="5881" spans="1:4" x14ac:dyDescent="0.25">
      <c r="A5881" s="31"/>
      <c r="D5881" s="30"/>
    </row>
    <row r="5882" spans="1:4" x14ac:dyDescent="0.25">
      <c r="A5882" s="31"/>
      <c r="D5882" s="30"/>
    </row>
    <row r="5883" spans="1:4" x14ac:dyDescent="0.25">
      <c r="A5883" s="31"/>
      <c r="D5883" s="30"/>
    </row>
    <row r="5884" spans="1:4" x14ac:dyDescent="0.25">
      <c r="A5884" s="31"/>
      <c r="D5884" s="30"/>
    </row>
    <row r="5885" spans="1:4" x14ac:dyDescent="0.25">
      <c r="A5885" s="31"/>
      <c r="D5885" s="30"/>
    </row>
    <row r="5886" spans="1:4" x14ac:dyDescent="0.25">
      <c r="A5886" s="31"/>
      <c r="D5886" s="30"/>
    </row>
    <row r="5887" spans="1:4" x14ac:dyDescent="0.25">
      <c r="A5887" s="31"/>
      <c r="D5887" s="30"/>
    </row>
    <row r="5888" spans="1:4" x14ac:dyDescent="0.25">
      <c r="A5888" s="31"/>
      <c r="D5888" s="30"/>
    </row>
    <row r="5889" spans="1:4" x14ac:dyDescent="0.25">
      <c r="A5889" s="31"/>
      <c r="D5889" s="30"/>
    </row>
    <row r="5890" spans="1:4" x14ac:dyDescent="0.25">
      <c r="A5890" s="31"/>
      <c r="D5890" s="30"/>
    </row>
    <row r="5891" spans="1:4" x14ac:dyDescent="0.25">
      <c r="A5891" s="31"/>
      <c r="D5891" s="30"/>
    </row>
    <row r="5892" spans="1:4" x14ac:dyDescent="0.25">
      <c r="A5892" s="31"/>
      <c r="D5892" s="30"/>
    </row>
    <row r="5893" spans="1:4" x14ac:dyDescent="0.25">
      <c r="A5893" s="31"/>
      <c r="D5893" s="30"/>
    </row>
    <row r="5894" spans="1:4" x14ac:dyDescent="0.25">
      <c r="A5894" s="31"/>
      <c r="D5894" s="30"/>
    </row>
    <row r="5895" spans="1:4" x14ac:dyDescent="0.25">
      <c r="A5895" s="31"/>
      <c r="D5895" s="30"/>
    </row>
    <row r="5896" spans="1:4" x14ac:dyDescent="0.25">
      <c r="A5896" s="31"/>
      <c r="D5896" s="30"/>
    </row>
    <row r="5897" spans="1:4" x14ac:dyDescent="0.25">
      <c r="A5897" s="31"/>
      <c r="D5897" s="30"/>
    </row>
    <row r="5898" spans="1:4" x14ac:dyDescent="0.25">
      <c r="A5898" s="31"/>
      <c r="D5898" s="30"/>
    </row>
    <row r="5899" spans="1:4" x14ac:dyDescent="0.25">
      <c r="A5899" s="31"/>
      <c r="D5899" s="30"/>
    </row>
    <row r="5900" spans="1:4" x14ac:dyDescent="0.25">
      <c r="A5900" s="31"/>
      <c r="D5900" s="30"/>
    </row>
    <row r="5901" spans="1:4" x14ac:dyDescent="0.25">
      <c r="A5901" s="31"/>
      <c r="D5901" s="30"/>
    </row>
    <row r="5902" spans="1:4" x14ac:dyDescent="0.25">
      <c r="A5902" s="31"/>
      <c r="D5902" s="30"/>
    </row>
    <row r="5903" spans="1:4" x14ac:dyDescent="0.25">
      <c r="A5903" s="31"/>
      <c r="D5903" s="30"/>
    </row>
    <row r="5904" spans="1:4" x14ac:dyDescent="0.25">
      <c r="A5904" s="31"/>
      <c r="D5904" s="30"/>
    </row>
    <row r="5905" spans="1:4" x14ac:dyDescent="0.25">
      <c r="A5905" s="31"/>
      <c r="D5905" s="30"/>
    </row>
    <row r="5906" spans="1:4" x14ac:dyDescent="0.25">
      <c r="A5906" s="31"/>
      <c r="D5906" s="30"/>
    </row>
    <row r="5907" spans="1:4" x14ac:dyDescent="0.25">
      <c r="A5907" s="31"/>
      <c r="D5907" s="30"/>
    </row>
    <row r="5908" spans="1:4" x14ac:dyDescent="0.25">
      <c r="A5908" s="31"/>
      <c r="D5908" s="30"/>
    </row>
    <row r="5909" spans="1:4" x14ac:dyDescent="0.25">
      <c r="A5909" s="31"/>
      <c r="D5909" s="30"/>
    </row>
    <row r="5910" spans="1:4" x14ac:dyDescent="0.25">
      <c r="A5910" s="31"/>
      <c r="D5910" s="30"/>
    </row>
    <row r="5911" spans="1:4" x14ac:dyDescent="0.25">
      <c r="A5911" s="31"/>
      <c r="D5911" s="30"/>
    </row>
    <row r="5912" spans="1:4" x14ac:dyDescent="0.25">
      <c r="A5912" s="31"/>
      <c r="D5912" s="30"/>
    </row>
    <row r="5913" spans="1:4" x14ac:dyDescent="0.25">
      <c r="A5913" s="31"/>
      <c r="D5913" s="30"/>
    </row>
    <row r="5914" spans="1:4" x14ac:dyDescent="0.25">
      <c r="A5914" s="31"/>
      <c r="D5914" s="30"/>
    </row>
    <row r="5915" spans="1:4" x14ac:dyDescent="0.25">
      <c r="A5915" s="31"/>
      <c r="D5915" s="30"/>
    </row>
    <row r="5916" spans="1:4" x14ac:dyDescent="0.25">
      <c r="A5916" s="31"/>
      <c r="D5916" s="30"/>
    </row>
    <row r="5917" spans="1:4" x14ac:dyDescent="0.25">
      <c r="A5917" s="31"/>
      <c r="D5917" s="30"/>
    </row>
    <row r="5918" spans="1:4" x14ac:dyDescent="0.25">
      <c r="A5918" s="31"/>
      <c r="D5918" s="30"/>
    </row>
    <row r="5919" spans="1:4" x14ac:dyDescent="0.25">
      <c r="A5919" s="31"/>
      <c r="D5919" s="30"/>
    </row>
    <row r="5920" spans="1:4" x14ac:dyDescent="0.25">
      <c r="A5920" s="31"/>
      <c r="D5920" s="30"/>
    </row>
    <row r="5921" spans="1:4" x14ac:dyDescent="0.25">
      <c r="A5921" s="31"/>
      <c r="D5921" s="30"/>
    </row>
    <row r="5922" spans="1:4" x14ac:dyDescent="0.25">
      <c r="A5922" s="31"/>
      <c r="D5922" s="30"/>
    </row>
    <row r="5923" spans="1:4" x14ac:dyDescent="0.25">
      <c r="A5923" s="31"/>
      <c r="D5923" s="30"/>
    </row>
    <row r="5924" spans="1:4" x14ac:dyDescent="0.25">
      <c r="A5924" s="31"/>
      <c r="D5924" s="30"/>
    </row>
    <row r="5925" spans="1:4" x14ac:dyDescent="0.25">
      <c r="A5925" s="31"/>
      <c r="D5925" s="30"/>
    </row>
    <row r="5926" spans="1:4" x14ac:dyDescent="0.25">
      <c r="A5926" s="31"/>
      <c r="D5926" s="30"/>
    </row>
    <row r="5927" spans="1:4" x14ac:dyDescent="0.25">
      <c r="A5927" s="31"/>
      <c r="D5927" s="30"/>
    </row>
    <row r="5928" spans="1:4" x14ac:dyDescent="0.25">
      <c r="A5928" s="31"/>
      <c r="D5928" s="30"/>
    </row>
    <row r="5929" spans="1:4" x14ac:dyDescent="0.25">
      <c r="A5929" s="31"/>
      <c r="D5929" s="30"/>
    </row>
    <row r="5930" spans="1:4" x14ac:dyDescent="0.25">
      <c r="A5930" s="31"/>
      <c r="D5930" s="30"/>
    </row>
    <row r="5931" spans="1:4" x14ac:dyDescent="0.25">
      <c r="A5931" s="31"/>
      <c r="D5931" s="30"/>
    </row>
    <row r="5932" spans="1:4" x14ac:dyDescent="0.25">
      <c r="A5932" s="31"/>
      <c r="D5932" s="30"/>
    </row>
    <row r="5933" spans="1:4" x14ac:dyDescent="0.25">
      <c r="A5933" s="31"/>
      <c r="D5933" s="30"/>
    </row>
    <row r="5934" spans="1:4" x14ac:dyDescent="0.25">
      <c r="A5934" s="31"/>
      <c r="D5934" s="30"/>
    </row>
    <row r="5935" spans="1:4" x14ac:dyDescent="0.25">
      <c r="A5935" s="31"/>
      <c r="D5935" s="30"/>
    </row>
    <row r="5936" spans="1:4" x14ac:dyDescent="0.25">
      <c r="A5936" s="31"/>
      <c r="D5936" s="30"/>
    </row>
    <row r="5937" spans="1:4" x14ac:dyDescent="0.25">
      <c r="A5937" s="31"/>
      <c r="D5937" s="30"/>
    </row>
    <row r="5938" spans="1:4" x14ac:dyDescent="0.25">
      <c r="A5938" s="31"/>
      <c r="D5938" s="30"/>
    </row>
    <row r="5939" spans="1:4" x14ac:dyDescent="0.25">
      <c r="A5939" s="31"/>
      <c r="D5939" s="30"/>
    </row>
    <row r="5940" spans="1:4" x14ac:dyDescent="0.25">
      <c r="A5940" s="31"/>
      <c r="D5940" s="30"/>
    </row>
    <row r="5941" spans="1:4" x14ac:dyDescent="0.25">
      <c r="A5941" s="31"/>
      <c r="D5941" s="30"/>
    </row>
    <row r="5942" spans="1:4" x14ac:dyDescent="0.25">
      <c r="A5942" s="31"/>
      <c r="D5942" s="30"/>
    </row>
    <row r="5943" spans="1:4" x14ac:dyDescent="0.25">
      <c r="A5943" s="31"/>
      <c r="D5943" s="30"/>
    </row>
    <row r="5944" spans="1:4" x14ac:dyDescent="0.25">
      <c r="A5944" s="31"/>
      <c r="D5944" s="30"/>
    </row>
    <row r="5945" spans="1:4" x14ac:dyDescent="0.25">
      <c r="A5945" s="31"/>
      <c r="D5945" s="30"/>
    </row>
    <row r="5946" spans="1:4" x14ac:dyDescent="0.25">
      <c r="A5946" s="31"/>
      <c r="D5946" s="30"/>
    </row>
    <row r="5947" spans="1:4" x14ac:dyDescent="0.25">
      <c r="A5947" s="31"/>
      <c r="D5947" s="30"/>
    </row>
    <row r="5948" spans="1:4" x14ac:dyDescent="0.25">
      <c r="A5948" s="31"/>
      <c r="D5948" s="30"/>
    </row>
    <row r="5949" spans="1:4" x14ac:dyDescent="0.25">
      <c r="A5949" s="31"/>
      <c r="D5949" s="30"/>
    </row>
    <row r="5950" spans="1:4" x14ac:dyDescent="0.25">
      <c r="A5950" s="31"/>
      <c r="D5950" s="30"/>
    </row>
    <row r="5951" spans="1:4" x14ac:dyDescent="0.25">
      <c r="A5951" s="31"/>
      <c r="D5951" s="30"/>
    </row>
    <row r="5952" spans="1:4" x14ac:dyDescent="0.25">
      <c r="A5952" s="31"/>
      <c r="D5952" s="30"/>
    </row>
    <row r="5953" spans="1:4" x14ac:dyDescent="0.25">
      <c r="A5953" s="31"/>
      <c r="D5953" s="30"/>
    </row>
    <row r="5954" spans="1:4" x14ac:dyDescent="0.25">
      <c r="A5954" s="31"/>
      <c r="D5954" s="30"/>
    </row>
    <row r="5955" spans="1:4" x14ac:dyDescent="0.25">
      <c r="A5955" s="31"/>
      <c r="D5955" s="30"/>
    </row>
    <row r="5956" spans="1:4" x14ac:dyDescent="0.25">
      <c r="A5956" s="31"/>
      <c r="D5956" s="30"/>
    </row>
    <row r="5957" spans="1:4" x14ac:dyDescent="0.25">
      <c r="A5957" s="31"/>
      <c r="D5957" s="30"/>
    </row>
    <row r="5958" spans="1:4" x14ac:dyDescent="0.25">
      <c r="A5958" s="31"/>
      <c r="D5958" s="30"/>
    </row>
    <row r="5959" spans="1:4" x14ac:dyDescent="0.25">
      <c r="A5959" s="31"/>
      <c r="D5959" s="30"/>
    </row>
    <row r="5960" spans="1:4" x14ac:dyDescent="0.25">
      <c r="A5960" s="31"/>
      <c r="D5960" s="30"/>
    </row>
    <row r="5961" spans="1:4" x14ac:dyDescent="0.25">
      <c r="A5961" s="31"/>
      <c r="D5961" s="30"/>
    </row>
    <row r="5962" spans="1:4" x14ac:dyDescent="0.25">
      <c r="A5962" s="31"/>
      <c r="D5962" s="30"/>
    </row>
    <row r="5963" spans="1:4" x14ac:dyDescent="0.25">
      <c r="A5963" s="31"/>
      <c r="D5963" s="30"/>
    </row>
    <row r="5964" spans="1:4" x14ac:dyDescent="0.25">
      <c r="A5964" s="31"/>
      <c r="D5964" s="30"/>
    </row>
    <row r="5965" spans="1:4" x14ac:dyDescent="0.25">
      <c r="A5965" s="31"/>
      <c r="D5965" s="30"/>
    </row>
    <row r="5966" spans="1:4" x14ac:dyDescent="0.25">
      <c r="A5966" s="31"/>
      <c r="D5966" s="30"/>
    </row>
    <row r="5967" spans="1:4" x14ac:dyDescent="0.25">
      <c r="A5967" s="31"/>
      <c r="D5967" s="30"/>
    </row>
    <row r="5968" spans="1:4" x14ac:dyDescent="0.25">
      <c r="A5968" s="31"/>
      <c r="D5968" s="30"/>
    </row>
    <row r="5969" spans="1:4" x14ac:dyDescent="0.25">
      <c r="A5969" s="31"/>
      <c r="D5969" s="30"/>
    </row>
    <row r="5970" spans="1:4" x14ac:dyDescent="0.25">
      <c r="A5970" s="31"/>
      <c r="D5970" s="30"/>
    </row>
    <row r="5971" spans="1:4" x14ac:dyDescent="0.25">
      <c r="A5971" s="31"/>
      <c r="D5971" s="30"/>
    </row>
    <row r="5972" spans="1:4" x14ac:dyDescent="0.25">
      <c r="A5972" s="31"/>
      <c r="D5972" s="30"/>
    </row>
    <row r="5973" spans="1:4" x14ac:dyDescent="0.25">
      <c r="A5973" s="31"/>
      <c r="D5973" s="30"/>
    </row>
    <row r="5974" spans="1:4" x14ac:dyDescent="0.25">
      <c r="A5974" s="31"/>
      <c r="D5974" s="30"/>
    </row>
    <row r="5975" spans="1:4" x14ac:dyDescent="0.25">
      <c r="A5975" s="31"/>
      <c r="D5975" s="30"/>
    </row>
    <row r="5976" spans="1:4" x14ac:dyDescent="0.25">
      <c r="A5976" s="31"/>
      <c r="D5976" s="30"/>
    </row>
    <row r="5977" spans="1:4" x14ac:dyDescent="0.25">
      <c r="A5977" s="31"/>
      <c r="D5977" s="30"/>
    </row>
    <row r="5978" spans="1:4" x14ac:dyDescent="0.25">
      <c r="A5978" s="31"/>
      <c r="D5978" s="30"/>
    </row>
    <row r="5979" spans="1:4" x14ac:dyDescent="0.25">
      <c r="A5979" s="31"/>
      <c r="D5979" s="30"/>
    </row>
    <row r="5980" spans="1:4" x14ac:dyDescent="0.25">
      <c r="A5980" s="31"/>
      <c r="D5980" s="30"/>
    </row>
    <row r="5981" spans="1:4" x14ac:dyDescent="0.25">
      <c r="A5981" s="31"/>
      <c r="D5981" s="30"/>
    </row>
    <row r="5982" spans="1:4" x14ac:dyDescent="0.25">
      <c r="A5982" s="31"/>
      <c r="D5982" s="30"/>
    </row>
    <row r="5983" spans="1:4" x14ac:dyDescent="0.25">
      <c r="A5983" s="31"/>
      <c r="D5983" s="30"/>
    </row>
    <row r="5984" spans="1:4" x14ac:dyDescent="0.25">
      <c r="A5984" s="31"/>
      <c r="D5984" s="30"/>
    </row>
    <row r="5985" spans="1:4" x14ac:dyDescent="0.25">
      <c r="A5985" s="31"/>
      <c r="D5985" s="30"/>
    </row>
    <row r="5986" spans="1:4" x14ac:dyDescent="0.25">
      <c r="A5986" s="31"/>
      <c r="D5986" s="30"/>
    </row>
    <row r="5987" spans="1:4" x14ac:dyDescent="0.25">
      <c r="A5987" s="31"/>
      <c r="D5987" s="30"/>
    </row>
    <row r="5988" spans="1:4" x14ac:dyDescent="0.25">
      <c r="A5988" s="31"/>
      <c r="D5988" s="30"/>
    </row>
    <row r="5989" spans="1:4" x14ac:dyDescent="0.25">
      <c r="A5989" s="31"/>
      <c r="D5989" s="30"/>
    </row>
    <row r="5990" spans="1:4" x14ac:dyDescent="0.25">
      <c r="A5990" s="31"/>
      <c r="D5990" s="30"/>
    </row>
    <row r="5991" spans="1:4" x14ac:dyDescent="0.25">
      <c r="A5991" s="31"/>
      <c r="D5991" s="30"/>
    </row>
    <row r="5992" spans="1:4" x14ac:dyDescent="0.25">
      <c r="A5992" s="31"/>
      <c r="D5992" s="30"/>
    </row>
    <row r="5993" spans="1:4" x14ac:dyDescent="0.25">
      <c r="A5993" s="31"/>
      <c r="D5993" s="30"/>
    </row>
    <row r="5994" spans="1:4" x14ac:dyDescent="0.25">
      <c r="A5994" s="31"/>
      <c r="D5994" s="30"/>
    </row>
    <row r="5995" spans="1:4" x14ac:dyDescent="0.25">
      <c r="A5995" s="31"/>
      <c r="D5995" s="30"/>
    </row>
    <row r="5996" spans="1:4" x14ac:dyDescent="0.25">
      <c r="A5996" s="31"/>
      <c r="D5996" s="30"/>
    </row>
    <row r="5997" spans="1:4" x14ac:dyDescent="0.25">
      <c r="A5997" s="31"/>
      <c r="D5997" s="30"/>
    </row>
    <row r="5998" spans="1:4" x14ac:dyDescent="0.25">
      <c r="A5998" s="31"/>
      <c r="D5998" s="30"/>
    </row>
    <row r="5999" spans="1:4" x14ac:dyDescent="0.25">
      <c r="A5999" s="31"/>
      <c r="D5999" s="30"/>
    </row>
    <row r="6000" spans="1:4" x14ac:dyDescent="0.25">
      <c r="A6000" s="31"/>
      <c r="D6000" s="30"/>
    </row>
    <row r="6001" spans="1:4" x14ac:dyDescent="0.25">
      <c r="A6001" s="31"/>
      <c r="D6001" s="30"/>
    </row>
    <row r="6002" spans="1:4" x14ac:dyDescent="0.25">
      <c r="A6002" s="31"/>
      <c r="D6002" s="30"/>
    </row>
    <row r="6003" spans="1:4" x14ac:dyDescent="0.25">
      <c r="A6003" s="31"/>
      <c r="D6003" s="30"/>
    </row>
    <row r="6004" spans="1:4" x14ac:dyDescent="0.25">
      <c r="A6004" s="31"/>
      <c r="D6004" s="30"/>
    </row>
    <row r="6005" spans="1:4" x14ac:dyDescent="0.25">
      <c r="A6005" s="31"/>
      <c r="D6005" s="30"/>
    </row>
    <row r="6006" spans="1:4" x14ac:dyDescent="0.25">
      <c r="A6006" s="31"/>
      <c r="D6006" s="30"/>
    </row>
    <row r="6007" spans="1:4" x14ac:dyDescent="0.25">
      <c r="A6007" s="31"/>
      <c r="D6007" s="30"/>
    </row>
    <row r="6008" spans="1:4" x14ac:dyDescent="0.25">
      <c r="A6008" s="31"/>
      <c r="D6008" s="30"/>
    </row>
    <row r="6009" spans="1:4" x14ac:dyDescent="0.25">
      <c r="A6009" s="31"/>
      <c r="D6009" s="30"/>
    </row>
    <row r="6010" spans="1:4" x14ac:dyDescent="0.25">
      <c r="A6010" s="31"/>
      <c r="D6010" s="30"/>
    </row>
    <row r="6011" spans="1:4" x14ac:dyDescent="0.25">
      <c r="A6011" s="31"/>
      <c r="D6011" s="30"/>
    </row>
    <row r="6012" spans="1:4" x14ac:dyDescent="0.25">
      <c r="A6012" s="31"/>
      <c r="D6012" s="30"/>
    </row>
    <row r="6013" spans="1:4" x14ac:dyDescent="0.25">
      <c r="A6013" s="31"/>
      <c r="D6013" s="30"/>
    </row>
    <row r="6014" spans="1:4" x14ac:dyDescent="0.25">
      <c r="A6014" s="31"/>
      <c r="D6014" s="30"/>
    </row>
    <row r="6015" spans="1:4" x14ac:dyDescent="0.25">
      <c r="A6015" s="31"/>
      <c r="D6015" s="30"/>
    </row>
    <row r="6016" spans="1:4" x14ac:dyDescent="0.25">
      <c r="A6016" s="31"/>
      <c r="D6016" s="30"/>
    </row>
    <row r="6017" spans="1:4" x14ac:dyDescent="0.25">
      <c r="A6017" s="31"/>
      <c r="D6017" s="30"/>
    </row>
    <row r="6018" spans="1:4" x14ac:dyDescent="0.25">
      <c r="A6018" s="31"/>
      <c r="D6018" s="30"/>
    </row>
    <row r="6019" spans="1:4" x14ac:dyDescent="0.25">
      <c r="A6019" s="31"/>
      <c r="D6019" s="30"/>
    </row>
    <row r="6020" spans="1:4" x14ac:dyDescent="0.25">
      <c r="A6020" s="31"/>
      <c r="D6020" s="30"/>
    </row>
    <row r="6021" spans="1:4" x14ac:dyDescent="0.25">
      <c r="A6021" s="31"/>
      <c r="D6021" s="30"/>
    </row>
    <row r="6022" spans="1:4" x14ac:dyDescent="0.25">
      <c r="A6022" s="31"/>
      <c r="D6022" s="30"/>
    </row>
    <row r="6023" spans="1:4" x14ac:dyDescent="0.25">
      <c r="A6023" s="31"/>
      <c r="D6023" s="30"/>
    </row>
    <row r="6024" spans="1:4" x14ac:dyDescent="0.25">
      <c r="A6024" s="31"/>
      <c r="D6024" s="30"/>
    </row>
    <row r="6025" spans="1:4" x14ac:dyDescent="0.25">
      <c r="A6025" s="31"/>
      <c r="D6025" s="30"/>
    </row>
    <row r="6026" spans="1:4" x14ac:dyDescent="0.25">
      <c r="A6026" s="31"/>
      <c r="D6026" s="30"/>
    </row>
    <row r="6027" spans="1:4" x14ac:dyDescent="0.25">
      <c r="A6027" s="31"/>
      <c r="D6027" s="30"/>
    </row>
    <row r="6028" spans="1:4" x14ac:dyDescent="0.25">
      <c r="A6028" s="31"/>
      <c r="D6028" s="30"/>
    </row>
    <row r="6029" spans="1:4" x14ac:dyDescent="0.25">
      <c r="A6029" s="31"/>
      <c r="D6029" s="30"/>
    </row>
    <row r="6030" spans="1:4" x14ac:dyDescent="0.25">
      <c r="A6030" s="31"/>
      <c r="D6030" s="30"/>
    </row>
    <row r="6031" spans="1:4" x14ac:dyDescent="0.25">
      <c r="A6031" s="31"/>
      <c r="D6031" s="30"/>
    </row>
    <row r="6032" spans="1:4" x14ac:dyDescent="0.25">
      <c r="A6032" s="31"/>
      <c r="D6032" s="30"/>
    </row>
    <row r="6033" spans="1:4" x14ac:dyDescent="0.25">
      <c r="A6033" s="31"/>
      <c r="D6033" s="30"/>
    </row>
    <row r="6034" spans="1:4" x14ac:dyDescent="0.25">
      <c r="A6034" s="31"/>
      <c r="D6034" s="30"/>
    </row>
    <row r="6035" spans="1:4" x14ac:dyDescent="0.25">
      <c r="A6035" s="31"/>
      <c r="D6035" s="30"/>
    </row>
    <row r="6036" spans="1:4" x14ac:dyDescent="0.25">
      <c r="A6036" s="31"/>
      <c r="D6036" s="30"/>
    </row>
    <row r="6037" spans="1:4" x14ac:dyDescent="0.25">
      <c r="A6037" s="31"/>
      <c r="D6037" s="30"/>
    </row>
    <row r="6038" spans="1:4" x14ac:dyDescent="0.25">
      <c r="A6038" s="31"/>
      <c r="D6038" s="30"/>
    </row>
    <row r="6039" spans="1:4" x14ac:dyDescent="0.25">
      <c r="A6039" s="31"/>
      <c r="D6039" s="30"/>
    </row>
    <row r="6040" spans="1:4" x14ac:dyDescent="0.25">
      <c r="A6040" s="31"/>
      <c r="D6040" s="30"/>
    </row>
    <row r="6041" spans="1:4" x14ac:dyDescent="0.25">
      <c r="A6041" s="31"/>
      <c r="D6041" s="30"/>
    </row>
    <row r="6042" spans="1:4" x14ac:dyDescent="0.25">
      <c r="A6042" s="31"/>
      <c r="D6042" s="30"/>
    </row>
    <row r="6043" spans="1:4" x14ac:dyDescent="0.25">
      <c r="A6043" s="31"/>
      <c r="D6043" s="30"/>
    </row>
    <row r="6044" spans="1:4" x14ac:dyDescent="0.25">
      <c r="A6044" s="31"/>
      <c r="D6044" s="30"/>
    </row>
    <row r="6045" spans="1:4" x14ac:dyDescent="0.25">
      <c r="A6045" s="31"/>
      <c r="D6045" s="30"/>
    </row>
    <row r="6046" spans="1:4" x14ac:dyDescent="0.25">
      <c r="A6046" s="31"/>
      <c r="D6046" s="30"/>
    </row>
    <row r="6047" spans="1:4" x14ac:dyDescent="0.25">
      <c r="A6047" s="31"/>
      <c r="D6047" s="30"/>
    </row>
    <row r="6048" spans="1:4" x14ac:dyDescent="0.25">
      <c r="A6048" s="31"/>
      <c r="D6048" s="30"/>
    </row>
    <row r="6049" spans="1:4" x14ac:dyDescent="0.25">
      <c r="A6049" s="31"/>
      <c r="D6049" s="30"/>
    </row>
    <row r="6050" spans="1:4" x14ac:dyDescent="0.25">
      <c r="A6050" s="31"/>
      <c r="D6050" s="30"/>
    </row>
    <row r="6051" spans="1:4" x14ac:dyDescent="0.25">
      <c r="A6051" s="31"/>
      <c r="D6051" s="30"/>
    </row>
    <row r="6052" spans="1:4" x14ac:dyDescent="0.25">
      <c r="A6052" s="31"/>
      <c r="D6052" s="30"/>
    </row>
    <row r="6053" spans="1:4" x14ac:dyDescent="0.25">
      <c r="A6053" s="31"/>
      <c r="D6053" s="30"/>
    </row>
    <row r="6054" spans="1:4" x14ac:dyDescent="0.25">
      <c r="A6054" s="31"/>
      <c r="D6054" s="30"/>
    </row>
    <row r="6055" spans="1:4" x14ac:dyDescent="0.25">
      <c r="A6055" s="31"/>
      <c r="D6055" s="30"/>
    </row>
    <row r="6056" spans="1:4" x14ac:dyDescent="0.25">
      <c r="A6056" s="31"/>
      <c r="D6056" s="30"/>
    </row>
    <row r="6057" spans="1:4" x14ac:dyDescent="0.25">
      <c r="A6057" s="31"/>
      <c r="D6057" s="30"/>
    </row>
    <row r="6058" spans="1:4" x14ac:dyDescent="0.25">
      <c r="A6058" s="31"/>
      <c r="D6058" s="30"/>
    </row>
    <row r="6059" spans="1:4" x14ac:dyDescent="0.25">
      <c r="A6059" s="31"/>
      <c r="D6059" s="30"/>
    </row>
    <row r="6060" spans="1:4" x14ac:dyDescent="0.25">
      <c r="A6060" s="31"/>
      <c r="D6060" s="30"/>
    </row>
    <row r="6061" spans="1:4" x14ac:dyDescent="0.25">
      <c r="A6061" s="31"/>
      <c r="D6061" s="30"/>
    </row>
    <row r="6062" spans="1:4" x14ac:dyDescent="0.25">
      <c r="A6062" s="31"/>
      <c r="D6062" s="30"/>
    </row>
    <row r="6063" spans="1:4" x14ac:dyDescent="0.25">
      <c r="A6063" s="31"/>
      <c r="D6063" s="30"/>
    </row>
    <row r="6064" spans="1:4" x14ac:dyDescent="0.25">
      <c r="A6064" s="31"/>
      <c r="D6064" s="30"/>
    </row>
    <row r="6065" spans="1:4" x14ac:dyDescent="0.25">
      <c r="A6065" s="31"/>
      <c r="D6065" s="30"/>
    </row>
    <row r="6066" spans="1:4" x14ac:dyDescent="0.25">
      <c r="A6066" s="31"/>
      <c r="D6066" s="30"/>
    </row>
    <row r="6067" spans="1:4" x14ac:dyDescent="0.25">
      <c r="A6067" s="31"/>
      <c r="D6067" s="30"/>
    </row>
    <row r="6068" spans="1:4" x14ac:dyDescent="0.25">
      <c r="A6068" s="31"/>
      <c r="D6068" s="30"/>
    </row>
    <row r="6069" spans="1:4" x14ac:dyDescent="0.25">
      <c r="A6069" s="31"/>
      <c r="D6069" s="30"/>
    </row>
    <row r="6070" spans="1:4" x14ac:dyDescent="0.25">
      <c r="A6070" s="31"/>
      <c r="D6070" s="30"/>
    </row>
    <row r="6071" spans="1:4" x14ac:dyDescent="0.25">
      <c r="A6071" s="31"/>
      <c r="D6071" s="30"/>
    </row>
    <row r="6072" spans="1:4" x14ac:dyDescent="0.25">
      <c r="A6072" s="31"/>
      <c r="D6072" s="30"/>
    </row>
    <row r="6073" spans="1:4" x14ac:dyDescent="0.25">
      <c r="A6073" s="31"/>
      <c r="D6073" s="30"/>
    </row>
    <row r="6074" spans="1:4" x14ac:dyDescent="0.25">
      <c r="A6074" s="31"/>
      <c r="D6074" s="30"/>
    </row>
    <row r="6075" spans="1:4" x14ac:dyDescent="0.25">
      <c r="A6075" s="31"/>
      <c r="D6075" s="30"/>
    </row>
    <row r="6076" spans="1:4" x14ac:dyDescent="0.25">
      <c r="A6076" s="31"/>
      <c r="D6076" s="30"/>
    </row>
    <row r="6077" spans="1:4" x14ac:dyDescent="0.25">
      <c r="A6077" s="31"/>
      <c r="D6077" s="30"/>
    </row>
    <row r="6078" spans="1:4" x14ac:dyDescent="0.25">
      <c r="A6078" s="31"/>
      <c r="D6078" s="30"/>
    </row>
    <row r="6079" spans="1:4" x14ac:dyDescent="0.25">
      <c r="A6079" s="31"/>
      <c r="D6079" s="30"/>
    </row>
    <row r="6080" spans="1:4" x14ac:dyDescent="0.25">
      <c r="A6080" s="31"/>
      <c r="D6080" s="30"/>
    </row>
    <row r="6081" spans="1:4" x14ac:dyDescent="0.25">
      <c r="A6081" s="31"/>
      <c r="D6081" s="30"/>
    </row>
    <row r="6082" spans="1:4" x14ac:dyDescent="0.25">
      <c r="A6082" s="31"/>
      <c r="D6082" s="30"/>
    </row>
    <row r="6083" spans="1:4" x14ac:dyDescent="0.25">
      <c r="A6083" s="31"/>
      <c r="D6083" s="30"/>
    </row>
    <row r="6084" spans="1:4" x14ac:dyDescent="0.25">
      <c r="A6084" s="31"/>
      <c r="D6084" s="30"/>
    </row>
    <row r="6085" spans="1:4" x14ac:dyDescent="0.25">
      <c r="A6085" s="31"/>
      <c r="D6085" s="30"/>
    </row>
    <row r="6086" spans="1:4" x14ac:dyDescent="0.25">
      <c r="A6086" s="31"/>
      <c r="D6086" s="30"/>
    </row>
    <row r="6087" spans="1:4" x14ac:dyDescent="0.25">
      <c r="A6087" s="31"/>
      <c r="D6087" s="30"/>
    </row>
    <row r="6088" spans="1:4" x14ac:dyDescent="0.25">
      <c r="A6088" s="31"/>
      <c r="D6088" s="30"/>
    </row>
    <row r="6089" spans="1:4" x14ac:dyDescent="0.25">
      <c r="A6089" s="31"/>
      <c r="D6089" s="30"/>
    </row>
    <row r="6090" spans="1:4" x14ac:dyDescent="0.25">
      <c r="A6090" s="31"/>
      <c r="D6090" s="30"/>
    </row>
    <row r="6091" spans="1:4" x14ac:dyDescent="0.25">
      <c r="A6091" s="31"/>
      <c r="D6091" s="30"/>
    </row>
    <row r="6092" spans="1:4" x14ac:dyDescent="0.25">
      <c r="A6092" s="31"/>
      <c r="D6092" s="30"/>
    </row>
    <row r="6093" spans="1:4" x14ac:dyDescent="0.25">
      <c r="A6093" s="31"/>
      <c r="D6093" s="30"/>
    </row>
    <row r="6094" spans="1:4" x14ac:dyDescent="0.25">
      <c r="A6094" s="31"/>
      <c r="D6094" s="30"/>
    </row>
    <row r="6095" spans="1:4" x14ac:dyDescent="0.25">
      <c r="A6095" s="31"/>
      <c r="D6095" s="30"/>
    </row>
    <row r="6096" spans="1:4" x14ac:dyDescent="0.25">
      <c r="A6096" s="31"/>
      <c r="D6096" s="30"/>
    </row>
    <row r="6097" spans="1:4" x14ac:dyDescent="0.25">
      <c r="A6097" s="31"/>
      <c r="D6097" s="30"/>
    </row>
    <row r="6098" spans="1:4" x14ac:dyDescent="0.25">
      <c r="A6098" s="31"/>
      <c r="D6098" s="30"/>
    </row>
    <row r="6099" spans="1:4" x14ac:dyDescent="0.25">
      <c r="A6099" s="31"/>
      <c r="D6099" s="30"/>
    </row>
    <row r="6100" spans="1:4" x14ac:dyDescent="0.25">
      <c r="A6100" s="31"/>
      <c r="D6100" s="30"/>
    </row>
    <row r="6101" spans="1:4" x14ac:dyDescent="0.25">
      <c r="A6101" s="31"/>
      <c r="D6101" s="30"/>
    </row>
    <row r="6102" spans="1:4" x14ac:dyDescent="0.25">
      <c r="A6102" s="31"/>
      <c r="D6102" s="30"/>
    </row>
    <row r="6103" spans="1:4" x14ac:dyDescent="0.25">
      <c r="A6103" s="31"/>
      <c r="D6103" s="30"/>
    </row>
    <row r="6104" spans="1:4" x14ac:dyDescent="0.25">
      <c r="A6104" s="31"/>
      <c r="D6104" s="30"/>
    </row>
    <row r="6105" spans="1:4" x14ac:dyDescent="0.25">
      <c r="A6105" s="31"/>
      <c r="D6105" s="30"/>
    </row>
    <row r="6106" spans="1:4" x14ac:dyDescent="0.25">
      <c r="A6106" s="31"/>
      <c r="D6106" s="30"/>
    </row>
    <row r="6107" spans="1:4" x14ac:dyDescent="0.25">
      <c r="A6107" s="31"/>
      <c r="D6107" s="30"/>
    </row>
    <row r="6108" spans="1:4" x14ac:dyDescent="0.25">
      <c r="A6108" s="31"/>
      <c r="D6108" s="30"/>
    </row>
    <row r="6109" spans="1:4" x14ac:dyDescent="0.25">
      <c r="A6109" s="31"/>
      <c r="D6109" s="30"/>
    </row>
    <row r="6110" spans="1:4" x14ac:dyDescent="0.25">
      <c r="A6110" s="31"/>
      <c r="D6110" s="30"/>
    </row>
    <row r="6111" spans="1:4" x14ac:dyDescent="0.25">
      <c r="A6111" s="31"/>
      <c r="D6111" s="30"/>
    </row>
    <row r="6112" spans="1:4" x14ac:dyDescent="0.25">
      <c r="A6112" s="31"/>
      <c r="D6112" s="30"/>
    </row>
    <row r="6113" spans="1:4" x14ac:dyDescent="0.25">
      <c r="A6113" s="31"/>
      <c r="D6113" s="30"/>
    </row>
    <row r="6114" spans="1:4" x14ac:dyDescent="0.25">
      <c r="A6114" s="31"/>
      <c r="D6114" s="30"/>
    </row>
    <row r="6115" spans="1:4" x14ac:dyDescent="0.25">
      <c r="A6115" s="31"/>
      <c r="D6115" s="30"/>
    </row>
    <row r="6116" spans="1:4" x14ac:dyDescent="0.25">
      <c r="A6116" s="31"/>
      <c r="D6116" s="30"/>
    </row>
    <row r="6117" spans="1:4" x14ac:dyDescent="0.25">
      <c r="A6117" s="31"/>
      <c r="D6117" s="30"/>
    </row>
    <row r="6118" spans="1:4" x14ac:dyDescent="0.25">
      <c r="A6118" s="31"/>
      <c r="D6118" s="30"/>
    </row>
    <row r="6119" spans="1:4" x14ac:dyDescent="0.25">
      <c r="A6119" s="31"/>
      <c r="D6119" s="30"/>
    </row>
    <row r="6120" spans="1:4" x14ac:dyDescent="0.25">
      <c r="A6120" s="31"/>
      <c r="D6120" s="30"/>
    </row>
    <row r="6121" spans="1:4" x14ac:dyDescent="0.25">
      <c r="A6121" s="31"/>
      <c r="D6121" s="30"/>
    </row>
    <row r="6122" spans="1:4" x14ac:dyDescent="0.25">
      <c r="A6122" s="31"/>
      <c r="D6122" s="30"/>
    </row>
    <row r="6123" spans="1:4" x14ac:dyDescent="0.25">
      <c r="A6123" s="31"/>
      <c r="D6123" s="30"/>
    </row>
    <row r="6124" spans="1:4" x14ac:dyDescent="0.25">
      <c r="A6124" s="31"/>
      <c r="D6124" s="30"/>
    </row>
    <row r="6125" spans="1:4" x14ac:dyDescent="0.25">
      <c r="A6125" s="31"/>
      <c r="D6125" s="30"/>
    </row>
    <row r="6126" spans="1:4" x14ac:dyDescent="0.25">
      <c r="A6126" s="31"/>
      <c r="D6126" s="30"/>
    </row>
    <row r="6127" spans="1:4" x14ac:dyDescent="0.25">
      <c r="A6127" s="31"/>
      <c r="D6127" s="30"/>
    </row>
    <row r="6128" spans="1:4" x14ac:dyDescent="0.25">
      <c r="A6128" s="31"/>
      <c r="D6128" s="30"/>
    </row>
    <row r="6129" spans="1:4" x14ac:dyDescent="0.25">
      <c r="A6129" s="31"/>
      <c r="D6129" s="30"/>
    </row>
    <row r="6130" spans="1:4" x14ac:dyDescent="0.25">
      <c r="A6130" s="31"/>
      <c r="D6130" s="30"/>
    </row>
    <row r="6131" spans="1:4" x14ac:dyDescent="0.25">
      <c r="A6131" s="31"/>
      <c r="D6131" s="30"/>
    </row>
    <row r="6132" spans="1:4" x14ac:dyDescent="0.25">
      <c r="A6132" s="31"/>
      <c r="D6132" s="30"/>
    </row>
    <row r="6133" spans="1:4" x14ac:dyDescent="0.25">
      <c r="A6133" s="31"/>
      <c r="D6133" s="30"/>
    </row>
    <row r="6134" spans="1:4" x14ac:dyDescent="0.25">
      <c r="A6134" s="31"/>
      <c r="D6134" s="30"/>
    </row>
    <row r="6135" spans="1:4" x14ac:dyDescent="0.25">
      <c r="A6135" s="31"/>
      <c r="D6135" s="30"/>
    </row>
    <row r="6136" spans="1:4" x14ac:dyDescent="0.25">
      <c r="A6136" s="31"/>
      <c r="D6136" s="30"/>
    </row>
    <row r="6137" spans="1:4" x14ac:dyDescent="0.25">
      <c r="A6137" s="31"/>
      <c r="D6137" s="30"/>
    </row>
    <row r="6138" spans="1:4" x14ac:dyDescent="0.25">
      <c r="A6138" s="31"/>
      <c r="D6138" s="30"/>
    </row>
    <row r="6139" spans="1:4" x14ac:dyDescent="0.25">
      <c r="A6139" s="31"/>
      <c r="D6139" s="30"/>
    </row>
    <row r="6140" spans="1:4" x14ac:dyDescent="0.25">
      <c r="A6140" s="31"/>
      <c r="D6140" s="30"/>
    </row>
    <row r="6141" spans="1:4" x14ac:dyDescent="0.25">
      <c r="A6141" s="31"/>
      <c r="D6141" s="30"/>
    </row>
    <row r="6142" spans="1:4" x14ac:dyDescent="0.25">
      <c r="A6142" s="31"/>
      <c r="D6142" s="30"/>
    </row>
    <row r="6143" spans="1:4" x14ac:dyDescent="0.25">
      <c r="A6143" s="31"/>
      <c r="D6143" s="30"/>
    </row>
    <row r="6144" spans="1:4" x14ac:dyDescent="0.25">
      <c r="A6144" s="31"/>
      <c r="D6144" s="30"/>
    </row>
    <row r="6145" spans="1:4" x14ac:dyDescent="0.25">
      <c r="A6145" s="31"/>
      <c r="D6145" s="30"/>
    </row>
    <row r="6146" spans="1:4" x14ac:dyDescent="0.25">
      <c r="A6146" s="31"/>
      <c r="D6146" s="30"/>
    </row>
    <row r="6147" spans="1:4" x14ac:dyDescent="0.25">
      <c r="A6147" s="31"/>
      <c r="D6147" s="30"/>
    </row>
    <row r="6148" spans="1:4" x14ac:dyDescent="0.25">
      <c r="A6148" s="31"/>
      <c r="D6148" s="30"/>
    </row>
    <row r="6149" spans="1:4" x14ac:dyDescent="0.25">
      <c r="A6149" s="31"/>
      <c r="D6149" s="30"/>
    </row>
    <row r="6150" spans="1:4" x14ac:dyDescent="0.25">
      <c r="A6150" s="31"/>
      <c r="D6150" s="30"/>
    </row>
    <row r="6151" spans="1:4" x14ac:dyDescent="0.25">
      <c r="A6151" s="31"/>
      <c r="D6151" s="30"/>
    </row>
    <row r="6152" spans="1:4" x14ac:dyDescent="0.25">
      <c r="A6152" s="31"/>
      <c r="D6152" s="30"/>
    </row>
    <row r="6153" spans="1:4" x14ac:dyDescent="0.25">
      <c r="A6153" s="31"/>
      <c r="D6153" s="30"/>
    </row>
    <row r="6154" spans="1:4" x14ac:dyDescent="0.25">
      <c r="A6154" s="31"/>
      <c r="D6154" s="30"/>
    </row>
    <row r="6155" spans="1:4" x14ac:dyDescent="0.25">
      <c r="A6155" s="31"/>
      <c r="D6155" s="30"/>
    </row>
    <row r="6156" spans="1:4" x14ac:dyDescent="0.25">
      <c r="A6156" s="31"/>
      <c r="D6156" s="30"/>
    </row>
    <row r="6157" spans="1:4" x14ac:dyDescent="0.25">
      <c r="A6157" s="31"/>
      <c r="D6157" s="30"/>
    </row>
    <row r="6158" spans="1:4" x14ac:dyDescent="0.25">
      <c r="A6158" s="31"/>
      <c r="D6158" s="30"/>
    </row>
    <row r="6159" spans="1:4" x14ac:dyDescent="0.25">
      <c r="A6159" s="31"/>
      <c r="D6159" s="30"/>
    </row>
    <row r="6160" spans="1:4" x14ac:dyDescent="0.25">
      <c r="A6160" s="31"/>
      <c r="D6160" s="30"/>
    </row>
    <row r="6161" spans="1:4" x14ac:dyDescent="0.25">
      <c r="A6161" s="31"/>
      <c r="D6161" s="30"/>
    </row>
    <row r="6162" spans="1:4" x14ac:dyDescent="0.25">
      <c r="A6162" s="31"/>
      <c r="D6162" s="30"/>
    </row>
    <row r="6163" spans="1:4" x14ac:dyDescent="0.25">
      <c r="A6163" s="31"/>
      <c r="D6163" s="30"/>
    </row>
    <row r="6164" spans="1:4" x14ac:dyDescent="0.25">
      <c r="A6164" s="31"/>
      <c r="D6164" s="30"/>
    </row>
    <row r="6165" spans="1:4" x14ac:dyDescent="0.25">
      <c r="A6165" s="31"/>
      <c r="D6165" s="30"/>
    </row>
    <row r="6166" spans="1:4" x14ac:dyDescent="0.25">
      <c r="A6166" s="31"/>
      <c r="D6166" s="30"/>
    </row>
    <row r="6167" spans="1:4" x14ac:dyDescent="0.25">
      <c r="A6167" s="31"/>
      <c r="D6167" s="30"/>
    </row>
    <row r="6168" spans="1:4" x14ac:dyDescent="0.25">
      <c r="A6168" s="31"/>
      <c r="D6168" s="30"/>
    </row>
    <row r="6169" spans="1:4" x14ac:dyDescent="0.25">
      <c r="A6169" s="31"/>
      <c r="D6169" s="30"/>
    </row>
    <row r="6170" spans="1:4" x14ac:dyDescent="0.25">
      <c r="A6170" s="31"/>
      <c r="D6170" s="30"/>
    </row>
    <row r="6171" spans="1:4" x14ac:dyDescent="0.25">
      <c r="A6171" s="31"/>
      <c r="D6171" s="30"/>
    </row>
    <row r="6172" spans="1:4" x14ac:dyDescent="0.25">
      <c r="A6172" s="31"/>
      <c r="D6172" s="30"/>
    </row>
    <row r="6173" spans="1:4" x14ac:dyDescent="0.25">
      <c r="A6173" s="31"/>
      <c r="D6173" s="30"/>
    </row>
    <row r="6174" spans="1:4" x14ac:dyDescent="0.25">
      <c r="A6174" s="31"/>
      <c r="D6174" s="30"/>
    </row>
    <row r="6175" spans="1:4" x14ac:dyDescent="0.25">
      <c r="A6175" s="31"/>
      <c r="D6175" s="30"/>
    </row>
    <row r="6176" spans="1:4" x14ac:dyDescent="0.25">
      <c r="A6176" s="31"/>
      <c r="D6176" s="30"/>
    </row>
    <row r="6177" spans="1:4" x14ac:dyDescent="0.25">
      <c r="A6177" s="31"/>
      <c r="D6177" s="30"/>
    </row>
    <row r="6178" spans="1:4" x14ac:dyDescent="0.25">
      <c r="A6178" s="31"/>
      <c r="D6178" s="30"/>
    </row>
    <row r="6179" spans="1:4" x14ac:dyDescent="0.25">
      <c r="A6179" s="31"/>
      <c r="D6179" s="30"/>
    </row>
    <row r="6180" spans="1:4" x14ac:dyDescent="0.25">
      <c r="A6180" s="31"/>
      <c r="D6180" s="30"/>
    </row>
    <row r="6181" spans="1:4" x14ac:dyDescent="0.25">
      <c r="A6181" s="31"/>
      <c r="D6181" s="30"/>
    </row>
    <row r="6182" spans="1:4" x14ac:dyDescent="0.25">
      <c r="A6182" s="31"/>
      <c r="D6182" s="30"/>
    </row>
    <row r="6183" spans="1:4" x14ac:dyDescent="0.25">
      <c r="A6183" s="31"/>
      <c r="D6183" s="30"/>
    </row>
    <row r="6184" spans="1:4" x14ac:dyDescent="0.25">
      <c r="A6184" s="31"/>
      <c r="D6184" s="30"/>
    </row>
    <row r="6185" spans="1:4" x14ac:dyDescent="0.25">
      <c r="A6185" s="31"/>
      <c r="D6185" s="30"/>
    </row>
    <row r="6186" spans="1:4" x14ac:dyDescent="0.25">
      <c r="A6186" s="31"/>
      <c r="D6186" s="30"/>
    </row>
    <row r="6187" spans="1:4" x14ac:dyDescent="0.25">
      <c r="A6187" s="31"/>
      <c r="D6187" s="30"/>
    </row>
    <row r="6188" spans="1:4" x14ac:dyDescent="0.25">
      <c r="A6188" s="31"/>
      <c r="D6188" s="30"/>
    </row>
    <row r="6189" spans="1:4" x14ac:dyDescent="0.25">
      <c r="A6189" s="31"/>
      <c r="D6189" s="30"/>
    </row>
    <row r="6190" spans="1:4" x14ac:dyDescent="0.25">
      <c r="A6190" s="31"/>
      <c r="D6190" s="30"/>
    </row>
    <row r="6191" spans="1:4" x14ac:dyDescent="0.25">
      <c r="A6191" s="31"/>
      <c r="D6191" s="30"/>
    </row>
    <row r="6192" spans="1:4" x14ac:dyDescent="0.25">
      <c r="A6192" s="31"/>
      <c r="D6192" s="30"/>
    </row>
    <row r="6193" spans="1:4" x14ac:dyDescent="0.25">
      <c r="A6193" s="31"/>
      <c r="D6193" s="30"/>
    </row>
    <row r="6194" spans="1:4" x14ac:dyDescent="0.25">
      <c r="A6194" s="31"/>
      <c r="D6194" s="30"/>
    </row>
    <row r="6195" spans="1:4" x14ac:dyDescent="0.25">
      <c r="A6195" s="31"/>
      <c r="D6195" s="30"/>
    </row>
    <row r="6196" spans="1:4" x14ac:dyDescent="0.25">
      <c r="A6196" s="31"/>
      <c r="D6196" s="30"/>
    </row>
    <row r="6197" spans="1:4" x14ac:dyDescent="0.25">
      <c r="A6197" s="31"/>
      <c r="D6197" s="30"/>
    </row>
    <row r="6198" spans="1:4" x14ac:dyDescent="0.25">
      <c r="A6198" s="31"/>
      <c r="D6198" s="30"/>
    </row>
    <row r="6199" spans="1:4" x14ac:dyDescent="0.25">
      <c r="A6199" s="31"/>
      <c r="D6199" s="30"/>
    </row>
    <row r="6200" spans="1:4" x14ac:dyDescent="0.25">
      <c r="A6200" s="31"/>
      <c r="D6200" s="30"/>
    </row>
    <row r="6201" spans="1:4" x14ac:dyDescent="0.25">
      <c r="A6201" s="31"/>
      <c r="D6201" s="30"/>
    </row>
    <row r="6202" spans="1:4" x14ac:dyDescent="0.25">
      <c r="A6202" s="31"/>
      <c r="D6202" s="30"/>
    </row>
    <row r="6203" spans="1:4" x14ac:dyDescent="0.25">
      <c r="A6203" s="31"/>
      <c r="D6203" s="30"/>
    </row>
    <row r="6204" spans="1:4" x14ac:dyDescent="0.25">
      <c r="A6204" s="31"/>
      <c r="D6204" s="30"/>
    </row>
    <row r="6205" spans="1:4" x14ac:dyDescent="0.25">
      <c r="A6205" s="31"/>
      <c r="D6205" s="30"/>
    </row>
    <row r="6206" spans="1:4" x14ac:dyDescent="0.25">
      <c r="A6206" s="31"/>
      <c r="D6206" s="30"/>
    </row>
    <row r="6207" spans="1:4" x14ac:dyDescent="0.25">
      <c r="A6207" s="31"/>
      <c r="D6207" s="30"/>
    </row>
    <row r="6208" spans="1:4" x14ac:dyDescent="0.25">
      <c r="A6208" s="31"/>
      <c r="D6208" s="30"/>
    </row>
    <row r="6209" spans="1:4" x14ac:dyDescent="0.25">
      <c r="A6209" s="31"/>
      <c r="D6209" s="30"/>
    </row>
    <row r="6210" spans="1:4" x14ac:dyDescent="0.25">
      <c r="A6210" s="31"/>
      <c r="D6210" s="30"/>
    </row>
    <row r="6211" spans="1:4" x14ac:dyDescent="0.25">
      <c r="A6211" s="31"/>
      <c r="D6211" s="30"/>
    </row>
    <row r="6212" spans="1:4" x14ac:dyDescent="0.25">
      <c r="A6212" s="31"/>
      <c r="D6212" s="30"/>
    </row>
    <row r="6213" spans="1:4" x14ac:dyDescent="0.25">
      <c r="A6213" s="31"/>
      <c r="D6213" s="30"/>
    </row>
    <row r="6214" spans="1:4" x14ac:dyDescent="0.25">
      <c r="A6214" s="31"/>
      <c r="D6214" s="30"/>
    </row>
    <row r="6215" spans="1:4" x14ac:dyDescent="0.25">
      <c r="A6215" s="31"/>
      <c r="D6215" s="30"/>
    </row>
    <row r="6216" spans="1:4" x14ac:dyDescent="0.25">
      <c r="A6216" s="31"/>
      <c r="D6216" s="30"/>
    </row>
    <row r="6217" spans="1:4" x14ac:dyDescent="0.25">
      <c r="A6217" s="31"/>
      <c r="D6217" s="30"/>
    </row>
    <row r="6218" spans="1:4" x14ac:dyDescent="0.25">
      <c r="A6218" s="31"/>
      <c r="D6218" s="30"/>
    </row>
    <row r="6219" spans="1:4" x14ac:dyDescent="0.25">
      <c r="A6219" s="31"/>
      <c r="D6219" s="30"/>
    </row>
    <row r="6220" spans="1:4" x14ac:dyDescent="0.25">
      <c r="A6220" s="31"/>
      <c r="D6220" s="30"/>
    </row>
    <row r="6221" spans="1:4" x14ac:dyDescent="0.25">
      <c r="A6221" s="31"/>
      <c r="D6221" s="30"/>
    </row>
    <row r="6222" spans="1:4" x14ac:dyDescent="0.25">
      <c r="A6222" s="31"/>
      <c r="D6222" s="30"/>
    </row>
    <row r="6223" spans="1:4" x14ac:dyDescent="0.25">
      <c r="A6223" s="31"/>
      <c r="D6223" s="30"/>
    </row>
    <row r="6224" spans="1:4" x14ac:dyDescent="0.25">
      <c r="A6224" s="31"/>
      <c r="D6224" s="30"/>
    </row>
    <row r="6225" spans="1:4" x14ac:dyDescent="0.25">
      <c r="A6225" s="31"/>
      <c r="D6225" s="30"/>
    </row>
    <row r="6226" spans="1:4" x14ac:dyDescent="0.25">
      <c r="A6226" s="31"/>
      <c r="D6226" s="30"/>
    </row>
    <row r="6227" spans="1:4" x14ac:dyDescent="0.25">
      <c r="A6227" s="31"/>
      <c r="D6227" s="30"/>
    </row>
    <row r="6228" spans="1:4" x14ac:dyDescent="0.25">
      <c r="A6228" s="31"/>
      <c r="D6228" s="30"/>
    </row>
    <row r="6229" spans="1:4" x14ac:dyDescent="0.25">
      <c r="A6229" s="31"/>
      <c r="D6229" s="30"/>
    </row>
    <row r="6230" spans="1:4" x14ac:dyDescent="0.25">
      <c r="A6230" s="31"/>
      <c r="D6230" s="30"/>
    </row>
    <row r="6231" spans="1:4" x14ac:dyDescent="0.25">
      <c r="A6231" s="31"/>
      <c r="D6231" s="30"/>
    </row>
    <row r="6232" spans="1:4" x14ac:dyDescent="0.25">
      <c r="A6232" s="31"/>
      <c r="D6232" s="30"/>
    </row>
    <row r="6233" spans="1:4" x14ac:dyDescent="0.25">
      <c r="A6233" s="31"/>
      <c r="D6233" s="30"/>
    </row>
    <row r="6234" spans="1:4" x14ac:dyDescent="0.25">
      <c r="A6234" s="31"/>
      <c r="D6234" s="30"/>
    </row>
    <row r="6235" spans="1:4" x14ac:dyDescent="0.25">
      <c r="A6235" s="31"/>
      <c r="D6235" s="30"/>
    </row>
    <row r="6236" spans="1:4" x14ac:dyDescent="0.25">
      <c r="A6236" s="31"/>
      <c r="D6236" s="30"/>
    </row>
    <row r="6237" spans="1:4" x14ac:dyDescent="0.25">
      <c r="A6237" s="31"/>
      <c r="D6237" s="30"/>
    </row>
    <row r="6238" spans="1:4" x14ac:dyDescent="0.25">
      <c r="A6238" s="31"/>
      <c r="D6238" s="30"/>
    </row>
    <row r="6239" spans="1:4" x14ac:dyDescent="0.25">
      <c r="A6239" s="31"/>
      <c r="D6239" s="30"/>
    </row>
    <row r="6240" spans="1:4" x14ac:dyDescent="0.25">
      <c r="A6240" s="31"/>
      <c r="D6240" s="30"/>
    </row>
    <row r="6241" spans="1:4" x14ac:dyDescent="0.25">
      <c r="A6241" s="31"/>
      <c r="D6241" s="30"/>
    </row>
    <row r="6242" spans="1:4" x14ac:dyDescent="0.25">
      <c r="A6242" s="31"/>
      <c r="D6242" s="30"/>
    </row>
    <row r="6243" spans="1:4" x14ac:dyDescent="0.25">
      <c r="A6243" s="31"/>
      <c r="D6243" s="30"/>
    </row>
    <row r="6244" spans="1:4" x14ac:dyDescent="0.25">
      <c r="A6244" s="31"/>
      <c r="D6244" s="30"/>
    </row>
    <row r="6245" spans="1:4" x14ac:dyDescent="0.25">
      <c r="A6245" s="31"/>
      <c r="D6245" s="30"/>
    </row>
    <row r="6246" spans="1:4" x14ac:dyDescent="0.25">
      <c r="A6246" s="31"/>
      <c r="D6246" s="30"/>
    </row>
    <row r="6247" spans="1:4" x14ac:dyDescent="0.25">
      <c r="A6247" s="31"/>
      <c r="D6247" s="30"/>
    </row>
    <row r="6248" spans="1:4" x14ac:dyDescent="0.25">
      <c r="A6248" s="31"/>
      <c r="D6248" s="30"/>
    </row>
    <row r="6249" spans="1:4" x14ac:dyDescent="0.25">
      <c r="A6249" s="31"/>
      <c r="D6249" s="30"/>
    </row>
    <row r="6250" spans="1:4" x14ac:dyDescent="0.25">
      <c r="A6250" s="31"/>
      <c r="D6250" s="30"/>
    </row>
    <row r="6251" spans="1:4" x14ac:dyDescent="0.25">
      <c r="A6251" s="31"/>
      <c r="D6251" s="30"/>
    </row>
    <row r="6252" spans="1:4" x14ac:dyDescent="0.25">
      <c r="A6252" s="31"/>
      <c r="D6252" s="30"/>
    </row>
    <row r="6253" spans="1:4" x14ac:dyDescent="0.25">
      <c r="A6253" s="31"/>
      <c r="D6253" s="30"/>
    </row>
    <row r="6254" spans="1:4" x14ac:dyDescent="0.25">
      <c r="A6254" s="31"/>
      <c r="D6254" s="30"/>
    </row>
    <row r="6255" spans="1:4" x14ac:dyDescent="0.25">
      <c r="A6255" s="31"/>
      <c r="D6255" s="30"/>
    </row>
    <row r="6256" spans="1:4" x14ac:dyDescent="0.25">
      <c r="A6256" s="31"/>
      <c r="D6256" s="30"/>
    </row>
    <row r="6257" spans="1:4" x14ac:dyDescent="0.25">
      <c r="A6257" s="31"/>
      <c r="D6257" s="30"/>
    </row>
    <row r="6258" spans="1:4" x14ac:dyDescent="0.25">
      <c r="A6258" s="31"/>
      <c r="D6258" s="30"/>
    </row>
    <row r="6259" spans="1:4" x14ac:dyDescent="0.25">
      <c r="A6259" s="31"/>
      <c r="D6259" s="30"/>
    </row>
    <row r="6260" spans="1:4" x14ac:dyDescent="0.25">
      <c r="A6260" s="31"/>
      <c r="D6260" s="30"/>
    </row>
    <row r="6261" spans="1:4" x14ac:dyDescent="0.25">
      <c r="A6261" s="31"/>
      <c r="D6261" s="30"/>
    </row>
    <row r="6262" spans="1:4" x14ac:dyDescent="0.25">
      <c r="A6262" s="31"/>
      <c r="D6262" s="30"/>
    </row>
    <row r="6263" spans="1:4" x14ac:dyDescent="0.25">
      <c r="A6263" s="31"/>
      <c r="D6263" s="30"/>
    </row>
    <row r="6264" spans="1:4" x14ac:dyDescent="0.25">
      <c r="A6264" s="31"/>
      <c r="D6264" s="30"/>
    </row>
    <row r="6265" spans="1:4" x14ac:dyDescent="0.25">
      <c r="A6265" s="31"/>
      <c r="D6265" s="30"/>
    </row>
    <row r="6266" spans="1:4" x14ac:dyDescent="0.25">
      <c r="A6266" s="31"/>
      <c r="D6266" s="30"/>
    </row>
    <row r="6267" spans="1:4" x14ac:dyDescent="0.25">
      <c r="A6267" s="31"/>
      <c r="D6267" s="30"/>
    </row>
    <row r="6268" spans="1:4" x14ac:dyDescent="0.25">
      <c r="A6268" s="31"/>
      <c r="D6268" s="30"/>
    </row>
    <row r="6269" spans="1:4" x14ac:dyDescent="0.25">
      <c r="A6269" s="31"/>
      <c r="D6269" s="30"/>
    </row>
    <row r="6270" spans="1:4" x14ac:dyDescent="0.25">
      <c r="A6270" s="31"/>
      <c r="D6270" s="30"/>
    </row>
    <row r="6271" spans="1:4" x14ac:dyDescent="0.25">
      <c r="A6271" s="31"/>
      <c r="D6271" s="30"/>
    </row>
    <row r="6272" spans="1:4" x14ac:dyDescent="0.25">
      <c r="A6272" s="31"/>
      <c r="D6272" s="30"/>
    </row>
    <row r="6273" spans="1:4" x14ac:dyDescent="0.25">
      <c r="A6273" s="31"/>
      <c r="D6273" s="30"/>
    </row>
    <row r="6274" spans="1:4" x14ac:dyDescent="0.25">
      <c r="A6274" s="31"/>
      <c r="D6274" s="30"/>
    </row>
    <row r="6275" spans="1:4" x14ac:dyDescent="0.25">
      <c r="A6275" s="31"/>
      <c r="D6275" s="30"/>
    </row>
    <row r="6276" spans="1:4" x14ac:dyDescent="0.25">
      <c r="A6276" s="31"/>
      <c r="D6276" s="30"/>
    </row>
    <row r="6277" spans="1:4" x14ac:dyDescent="0.25">
      <c r="A6277" s="31"/>
      <c r="D6277" s="30"/>
    </row>
    <row r="6278" spans="1:4" x14ac:dyDescent="0.25">
      <c r="A6278" s="31"/>
      <c r="D6278" s="30"/>
    </row>
    <row r="6279" spans="1:4" x14ac:dyDescent="0.25">
      <c r="A6279" s="31"/>
      <c r="D6279" s="30"/>
    </row>
    <row r="6280" spans="1:4" x14ac:dyDescent="0.25">
      <c r="A6280" s="31"/>
      <c r="D6280" s="30"/>
    </row>
    <row r="6281" spans="1:4" x14ac:dyDescent="0.25">
      <c r="A6281" s="31"/>
      <c r="D6281" s="30"/>
    </row>
    <row r="6282" spans="1:4" x14ac:dyDescent="0.25">
      <c r="A6282" s="31"/>
      <c r="D6282" s="30"/>
    </row>
    <row r="6283" spans="1:4" x14ac:dyDescent="0.25">
      <c r="A6283" s="31"/>
      <c r="D6283" s="30"/>
    </row>
    <row r="6284" spans="1:4" x14ac:dyDescent="0.25">
      <c r="A6284" s="31"/>
      <c r="D6284" s="30"/>
    </row>
    <row r="6285" spans="1:4" x14ac:dyDescent="0.25">
      <c r="A6285" s="31"/>
      <c r="D6285" s="30"/>
    </row>
    <row r="6286" spans="1:4" x14ac:dyDescent="0.25">
      <c r="A6286" s="31"/>
      <c r="D6286" s="30"/>
    </row>
    <row r="6287" spans="1:4" x14ac:dyDescent="0.25">
      <c r="A6287" s="31"/>
      <c r="D6287" s="30"/>
    </row>
    <row r="6288" spans="1:4" x14ac:dyDescent="0.25">
      <c r="A6288" s="31"/>
      <c r="D6288" s="30"/>
    </row>
    <row r="6289" spans="1:4" x14ac:dyDescent="0.25">
      <c r="A6289" s="31"/>
      <c r="D6289" s="30"/>
    </row>
    <row r="6290" spans="1:4" x14ac:dyDescent="0.25">
      <c r="A6290" s="31"/>
      <c r="D6290" s="30"/>
    </row>
    <row r="6291" spans="1:4" x14ac:dyDescent="0.25">
      <c r="A6291" s="31"/>
      <c r="D6291" s="30"/>
    </row>
    <row r="6292" spans="1:4" x14ac:dyDescent="0.25">
      <c r="A6292" s="31"/>
      <c r="D6292" s="30"/>
    </row>
    <row r="6293" spans="1:4" x14ac:dyDescent="0.25">
      <c r="A6293" s="31"/>
      <c r="D6293" s="30"/>
    </row>
    <row r="6294" spans="1:4" x14ac:dyDescent="0.25">
      <c r="A6294" s="31"/>
      <c r="D6294" s="30"/>
    </row>
    <row r="6295" spans="1:4" x14ac:dyDescent="0.25">
      <c r="A6295" s="31"/>
      <c r="D6295" s="30"/>
    </row>
    <row r="6296" spans="1:4" x14ac:dyDescent="0.25">
      <c r="A6296" s="31"/>
      <c r="D6296" s="30"/>
    </row>
    <row r="6297" spans="1:4" x14ac:dyDescent="0.25">
      <c r="A6297" s="31"/>
      <c r="D6297" s="30"/>
    </row>
    <row r="6298" spans="1:4" x14ac:dyDescent="0.25">
      <c r="A6298" s="31"/>
      <c r="D6298" s="30"/>
    </row>
    <row r="6299" spans="1:4" x14ac:dyDescent="0.25">
      <c r="A6299" s="31"/>
      <c r="D6299" s="30"/>
    </row>
    <row r="6300" spans="1:4" x14ac:dyDescent="0.25">
      <c r="A6300" s="31"/>
      <c r="D6300" s="30"/>
    </row>
    <row r="6301" spans="1:4" x14ac:dyDescent="0.25">
      <c r="A6301" s="31"/>
      <c r="D6301" s="30"/>
    </row>
    <row r="6302" spans="1:4" x14ac:dyDescent="0.25">
      <c r="A6302" s="31"/>
      <c r="D6302" s="30"/>
    </row>
    <row r="6303" spans="1:4" x14ac:dyDescent="0.25">
      <c r="A6303" s="31"/>
      <c r="D6303" s="30"/>
    </row>
    <row r="6304" spans="1:4" x14ac:dyDescent="0.25">
      <c r="A6304" s="31"/>
      <c r="D6304" s="30"/>
    </row>
    <row r="6305" spans="1:4" x14ac:dyDescent="0.25">
      <c r="A6305" s="31"/>
      <c r="D6305" s="30"/>
    </row>
    <row r="6306" spans="1:4" x14ac:dyDescent="0.25">
      <c r="A6306" s="31"/>
      <c r="D6306" s="30"/>
    </row>
    <row r="6307" spans="1:4" x14ac:dyDescent="0.25">
      <c r="A6307" s="31"/>
      <c r="D6307" s="30"/>
    </row>
    <row r="6308" spans="1:4" x14ac:dyDescent="0.25">
      <c r="A6308" s="31"/>
      <c r="D6308" s="30"/>
    </row>
    <row r="6309" spans="1:4" x14ac:dyDescent="0.25">
      <c r="A6309" s="31"/>
      <c r="D6309" s="30"/>
    </row>
    <row r="6310" spans="1:4" x14ac:dyDescent="0.25">
      <c r="A6310" s="31"/>
      <c r="D6310" s="30"/>
    </row>
    <row r="6311" spans="1:4" x14ac:dyDescent="0.25">
      <c r="A6311" s="31"/>
      <c r="D6311" s="30"/>
    </row>
    <row r="6312" spans="1:4" x14ac:dyDescent="0.25">
      <c r="A6312" s="31"/>
      <c r="D6312" s="30"/>
    </row>
    <row r="6313" spans="1:4" x14ac:dyDescent="0.25">
      <c r="A6313" s="31"/>
      <c r="D6313" s="30"/>
    </row>
    <row r="6314" spans="1:4" x14ac:dyDescent="0.25">
      <c r="A6314" s="31"/>
      <c r="D6314" s="30"/>
    </row>
    <row r="6315" spans="1:4" x14ac:dyDescent="0.25">
      <c r="A6315" s="31"/>
      <c r="D6315" s="30"/>
    </row>
    <row r="6316" spans="1:4" x14ac:dyDescent="0.25">
      <c r="A6316" s="31"/>
      <c r="D6316" s="30"/>
    </row>
    <row r="6317" spans="1:4" x14ac:dyDescent="0.25">
      <c r="A6317" s="31"/>
      <c r="D6317" s="30"/>
    </row>
    <row r="6318" spans="1:4" x14ac:dyDescent="0.25">
      <c r="A6318" s="31"/>
      <c r="D6318" s="30"/>
    </row>
    <row r="6319" spans="1:4" x14ac:dyDescent="0.25">
      <c r="A6319" s="31"/>
      <c r="D6319" s="30"/>
    </row>
    <row r="6320" spans="1:4" x14ac:dyDescent="0.25">
      <c r="A6320" s="31"/>
      <c r="D6320" s="30"/>
    </row>
    <row r="6321" spans="1:4" x14ac:dyDescent="0.25">
      <c r="A6321" s="31"/>
      <c r="D6321" s="30"/>
    </row>
    <row r="6322" spans="1:4" x14ac:dyDescent="0.25">
      <c r="A6322" s="31"/>
      <c r="D6322" s="30"/>
    </row>
    <row r="6323" spans="1:4" x14ac:dyDescent="0.25">
      <c r="A6323" s="31"/>
      <c r="D6323" s="30"/>
    </row>
    <row r="6324" spans="1:4" x14ac:dyDescent="0.25">
      <c r="A6324" s="31"/>
      <c r="D6324" s="30"/>
    </row>
    <row r="6325" spans="1:4" x14ac:dyDescent="0.25">
      <c r="A6325" s="31"/>
      <c r="D6325" s="30"/>
    </row>
    <row r="6326" spans="1:4" x14ac:dyDescent="0.25">
      <c r="A6326" s="31"/>
      <c r="D6326" s="30"/>
    </row>
    <row r="6327" spans="1:4" x14ac:dyDescent="0.25">
      <c r="A6327" s="31"/>
      <c r="D6327" s="30"/>
    </row>
    <row r="6328" spans="1:4" x14ac:dyDescent="0.25">
      <c r="A6328" s="31"/>
      <c r="D6328" s="30"/>
    </row>
    <row r="6329" spans="1:4" x14ac:dyDescent="0.25">
      <c r="A6329" s="31"/>
      <c r="D6329" s="30"/>
    </row>
    <row r="6330" spans="1:4" x14ac:dyDescent="0.25">
      <c r="A6330" s="31"/>
      <c r="D6330" s="30"/>
    </row>
    <row r="6331" spans="1:4" x14ac:dyDescent="0.25">
      <c r="A6331" s="31"/>
      <c r="D6331" s="30"/>
    </row>
    <row r="6332" spans="1:4" x14ac:dyDescent="0.25">
      <c r="A6332" s="31"/>
      <c r="D6332" s="30"/>
    </row>
    <row r="6333" spans="1:4" x14ac:dyDescent="0.25">
      <c r="A6333" s="31"/>
      <c r="D6333" s="30"/>
    </row>
    <row r="6334" spans="1:4" x14ac:dyDescent="0.25">
      <c r="A6334" s="31"/>
      <c r="D6334" s="30"/>
    </row>
    <row r="6335" spans="1:4" x14ac:dyDescent="0.25">
      <c r="A6335" s="31"/>
      <c r="D6335" s="30"/>
    </row>
    <row r="6336" spans="1:4" x14ac:dyDescent="0.25">
      <c r="A6336" s="31"/>
      <c r="D6336" s="30"/>
    </row>
    <row r="6337" spans="1:4" x14ac:dyDescent="0.25">
      <c r="A6337" s="31"/>
      <c r="D6337" s="30"/>
    </row>
    <row r="6338" spans="1:4" x14ac:dyDescent="0.25">
      <c r="A6338" s="31"/>
      <c r="D6338" s="30"/>
    </row>
    <row r="6339" spans="1:4" x14ac:dyDescent="0.25">
      <c r="A6339" s="31"/>
      <c r="D6339" s="30"/>
    </row>
    <row r="6340" spans="1:4" x14ac:dyDescent="0.25">
      <c r="A6340" s="31"/>
      <c r="D6340" s="30"/>
    </row>
    <row r="6341" spans="1:4" x14ac:dyDescent="0.25">
      <c r="A6341" s="31"/>
      <c r="D6341" s="30"/>
    </row>
    <row r="6342" spans="1:4" x14ac:dyDescent="0.25">
      <c r="A6342" s="31"/>
      <c r="D6342" s="30"/>
    </row>
    <row r="6343" spans="1:4" x14ac:dyDescent="0.25">
      <c r="A6343" s="31"/>
      <c r="D6343" s="30"/>
    </row>
    <row r="6344" spans="1:4" x14ac:dyDescent="0.25">
      <c r="A6344" s="31"/>
      <c r="D6344" s="30"/>
    </row>
    <row r="6345" spans="1:4" x14ac:dyDescent="0.25">
      <c r="A6345" s="31"/>
      <c r="D6345" s="30"/>
    </row>
    <row r="6346" spans="1:4" x14ac:dyDescent="0.25">
      <c r="A6346" s="31"/>
      <c r="D6346" s="30"/>
    </row>
    <row r="6347" spans="1:4" x14ac:dyDescent="0.25">
      <c r="A6347" s="31"/>
      <c r="D6347" s="30"/>
    </row>
    <row r="6348" spans="1:4" x14ac:dyDescent="0.25">
      <c r="A6348" s="31"/>
      <c r="D6348" s="30"/>
    </row>
    <row r="6349" spans="1:4" x14ac:dyDescent="0.25">
      <c r="A6349" s="31"/>
      <c r="D6349" s="30"/>
    </row>
    <row r="6350" spans="1:4" x14ac:dyDescent="0.25">
      <c r="A6350" s="31"/>
      <c r="D6350" s="30"/>
    </row>
    <row r="6351" spans="1:4" x14ac:dyDescent="0.25">
      <c r="A6351" s="31"/>
      <c r="D6351" s="30"/>
    </row>
    <row r="6352" spans="1:4" x14ac:dyDescent="0.25">
      <c r="A6352" s="31"/>
      <c r="D6352" s="30"/>
    </row>
    <row r="6353" spans="1:4" x14ac:dyDescent="0.25">
      <c r="A6353" s="31"/>
      <c r="D6353" s="30"/>
    </row>
    <row r="6354" spans="1:4" x14ac:dyDescent="0.25">
      <c r="A6354" s="31"/>
      <c r="D6354" s="30"/>
    </row>
    <row r="6355" spans="1:4" x14ac:dyDescent="0.25">
      <c r="A6355" s="31"/>
      <c r="D6355" s="30"/>
    </row>
    <row r="6356" spans="1:4" x14ac:dyDescent="0.25">
      <c r="A6356" s="31"/>
      <c r="D6356" s="30"/>
    </row>
    <row r="6357" spans="1:4" x14ac:dyDescent="0.25">
      <c r="A6357" s="31"/>
      <c r="D6357" s="30"/>
    </row>
    <row r="6358" spans="1:4" x14ac:dyDescent="0.25">
      <c r="A6358" s="31"/>
      <c r="D6358" s="30"/>
    </row>
    <row r="6359" spans="1:4" x14ac:dyDescent="0.25">
      <c r="A6359" s="31"/>
      <c r="D6359" s="30"/>
    </row>
    <row r="6360" spans="1:4" x14ac:dyDescent="0.25">
      <c r="A6360" s="31"/>
      <c r="D6360" s="30"/>
    </row>
    <row r="6361" spans="1:4" x14ac:dyDescent="0.25">
      <c r="A6361" s="31"/>
      <c r="D6361" s="30"/>
    </row>
    <row r="6362" spans="1:4" x14ac:dyDescent="0.25">
      <c r="A6362" s="31"/>
      <c r="D6362" s="30"/>
    </row>
    <row r="6363" spans="1:4" x14ac:dyDescent="0.25">
      <c r="A6363" s="31"/>
      <c r="D6363" s="30"/>
    </row>
    <row r="6364" spans="1:4" x14ac:dyDescent="0.25">
      <c r="A6364" s="31"/>
      <c r="D6364" s="30"/>
    </row>
    <row r="6365" spans="1:4" x14ac:dyDescent="0.25">
      <c r="A6365" s="31"/>
      <c r="D6365" s="30"/>
    </row>
    <row r="6366" spans="1:4" x14ac:dyDescent="0.25">
      <c r="A6366" s="31"/>
      <c r="D6366" s="30"/>
    </row>
    <row r="6367" spans="1:4" x14ac:dyDescent="0.25">
      <c r="A6367" s="31"/>
      <c r="D6367" s="30"/>
    </row>
    <row r="6368" spans="1:4" x14ac:dyDescent="0.25">
      <c r="A6368" s="31"/>
      <c r="D6368" s="30"/>
    </row>
    <row r="6369" spans="1:4" x14ac:dyDescent="0.25">
      <c r="A6369" s="31"/>
      <c r="D6369" s="30"/>
    </row>
    <row r="6370" spans="1:4" x14ac:dyDescent="0.25">
      <c r="A6370" s="31"/>
      <c r="D6370" s="30"/>
    </row>
    <row r="6371" spans="1:4" x14ac:dyDescent="0.25">
      <c r="A6371" s="31"/>
      <c r="D6371" s="30"/>
    </row>
    <row r="6372" spans="1:4" x14ac:dyDescent="0.25">
      <c r="A6372" s="31"/>
      <c r="D6372" s="30"/>
    </row>
    <row r="6373" spans="1:4" x14ac:dyDescent="0.25">
      <c r="A6373" s="31"/>
      <c r="D6373" s="30"/>
    </row>
    <row r="6374" spans="1:4" x14ac:dyDescent="0.25">
      <c r="A6374" s="31"/>
      <c r="D6374" s="30"/>
    </row>
    <row r="6375" spans="1:4" x14ac:dyDescent="0.25">
      <c r="A6375" s="31"/>
      <c r="D6375" s="30"/>
    </row>
    <row r="6376" spans="1:4" x14ac:dyDescent="0.25">
      <c r="A6376" s="31"/>
      <c r="D6376" s="30"/>
    </row>
    <row r="6377" spans="1:4" x14ac:dyDescent="0.25">
      <c r="A6377" s="31"/>
      <c r="D6377" s="30"/>
    </row>
    <row r="6378" spans="1:4" x14ac:dyDescent="0.25">
      <c r="A6378" s="31"/>
      <c r="D6378" s="30"/>
    </row>
    <row r="6379" spans="1:4" x14ac:dyDescent="0.25">
      <c r="A6379" s="31"/>
      <c r="D6379" s="30"/>
    </row>
    <row r="6380" spans="1:4" x14ac:dyDescent="0.25">
      <c r="A6380" s="31"/>
      <c r="D6380" s="30"/>
    </row>
    <row r="6381" spans="1:4" x14ac:dyDescent="0.25">
      <c r="A6381" s="31"/>
      <c r="D6381" s="30"/>
    </row>
    <row r="6382" spans="1:4" x14ac:dyDescent="0.25">
      <c r="A6382" s="31"/>
      <c r="D6382" s="30"/>
    </row>
    <row r="6383" spans="1:4" x14ac:dyDescent="0.25">
      <c r="A6383" s="31"/>
      <c r="D6383" s="30"/>
    </row>
    <row r="6384" spans="1:4" x14ac:dyDescent="0.25">
      <c r="A6384" s="31"/>
      <c r="D6384" s="30"/>
    </row>
    <row r="6385" spans="1:4" x14ac:dyDescent="0.25">
      <c r="A6385" s="31"/>
      <c r="D6385" s="30"/>
    </row>
    <row r="6386" spans="1:4" x14ac:dyDescent="0.25">
      <c r="A6386" s="31"/>
      <c r="D6386" s="30"/>
    </row>
    <row r="6387" spans="1:4" x14ac:dyDescent="0.25">
      <c r="A6387" s="31"/>
      <c r="D6387" s="30"/>
    </row>
    <row r="6388" spans="1:4" x14ac:dyDescent="0.25">
      <c r="A6388" s="31"/>
      <c r="D6388" s="30"/>
    </row>
    <row r="6389" spans="1:4" x14ac:dyDescent="0.25">
      <c r="A6389" s="31"/>
      <c r="D6389" s="30"/>
    </row>
    <row r="6390" spans="1:4" x14ac:dyDescent="0.25">
      <c r="A6390" s="31"/>
      <c r="D6390" s="30"/>
    </row>
    <row r="6391" spans="1:4" x14ac:dyDescent="0.25">
      <c r="A6391" s="31"/>
      <c r="D6391" s="30"/>
    </row>
    <row r="6392" spans="1:4" x14ac:dyDescent="0.25">
      <c r="A6392" s="31"/>
      <c r="D6392" s="30"/>
    </row>
    <row r="6393" spans="1:4" x14ac:dyDescent="0.25">
      <c r="A6393" s="31"/>
      <c r="D6393" s="30"/>
    </row>
    <row r="6394" spans="1:4" x14ac:dyDescent="0.25">
      <c r="A6394" s="31"/>
      <c r="D6394" s="30"/>
    </row>
    <row r="6395" spans="1:4" x14ac:dyDescent="0.25">
      <c r="A6395" s="31"/>
      <c r="D6395" s="30"/>
    </row>
    <row r="6396" spans="1:4" x14ac:dyDescent="0.25">
      <c r="A6396" s="31"/>
      <c r="D6396" s="30"/>
    </row>
    <row r="6397" spans="1:4" x14ac:dyDescent="0.25">
      <c r="A6397" s="31"/>
      <c r="D6397" s="30"/>
    </row>
    <row r="6398" spans="1:4" x14ac:dyDescent="0.25">
      <c r="A6398" s="31"/>
      <c r="D6398" s="30"/>
    </row>
    <row r="6399" spans="1:4" x14ac:dyDescent="0.25">
      <c r="A6399" s="31"/>
      <c r="D6399" s="30"/>
    </row>
    <row r="6400" spans="1:4" x14ac:dyDescent="0.25">
      <c r="A6400" s="31"/>
      <c r="D6400" s="30"/>
    </row>
    <row r="6401" spans="1:4" x14ac:dyDescent="0.25">
      <c r="A6401" s="31"/>
      <c r="D6401" s="30"/>
    </row>
    <row r="6402" spans="1:4" x14ac:dyDescent="0.25">
      <c r="A6402" s="31"/>
      <c r="D6402" s="30"/>
    </row>
    <row r="6403" spans="1:4" x14ac:dyDescent="0.25">
      <c r="A6403" s="31"/>
      <c r="D6403" s="30"/>
    </row>
    <row r="6404" spans="1:4" x14ac:dyDescent="0.25">
      <c r="A6404" s="31"/>
      <c r="D6404" s="30"/>
    </row>
    <row r="6405" spans="1:4" x14ac:dyDescent="0.25">
      <c r="A6405" s="31"/>
      <c r="D6405" s="30"/>
    </row>
    <row r="6406" spans="1:4" x14ac:dyDescent="0.25">
      <c r="A6406" s="31"/>
      <c r="D6406" s="30"/>
    </row>
    <row r="6407" spans="1:4" x14ac:dyDescent="0.25">
      <c r="A6407" s="31"/>
      <c r="D6407" s="30"/>
    </row>
    <row r="6408" spans="1:4" x14ac:dyDescent="0.25">
      <c r="A6408" s="31"/>
      <c r="D6408" s="30"/>
    </row>
    <row r="6409" spans="1:4" x14ac:dyDescent="0.25">
      <c r="A6409" s="31"/>
      <c r="D6409" s="30"/>
    </row>
    <row r="6410" spans="1:4" x14ac:dyDescent="0.25">
      <c r="A6410" s="31"/>
      <c r="D6410" s="30"/>
    </row>
    <row r="6411" spans="1:4" x14ac:dyDescent="0.25">
      <c r="A6411" s="31"/>
      <c r="D6411" s="30"/>
    </row>
    <row r="6412" spans="1:4" x14ac:dyDescent="0.25">
      <c r="A6412" s="31"/>
      <c r="D6412" s="30"/>
    </row>
    <row r="6413" spans="1:4" x14ac:dyDescent="0.25">
      <c r="A6413" s="31"/>
      <c r="D6413" s="30"/>
    </row>
    <row r="6414" spans="1:4" x14ac:dyDescent="0.25">
      <c r="A6414" s="31"/>
      <c r="D6414" s="30"/>
    </row>
    <row r="6415" spans="1:4" x14ac:dyDescent="0.25">
      <c r="A6415" s="31"/>
      <c r="D6415" s="30"/>
    </row>
    <row r="6416" spans="1:4" x14ac:dyDescent="0.25">
      <c r="A6416" s="31"/>
      <c r="D6416" s="30"/>
    </row>
    <row r="6417" spans="1:4" x14ac:dyDescent="0.25">
      <c r="A6417" s="31"/>
      <c r="D6417" s="30"/>
    </row>
    <row r="6418" spans="1:4" x14ac:dyDescent="0.25">
      <c r="A6418" s="31"/>
      <c r="D6418" s="30"/>
    </row>
    <row r="6419" spans="1:4" x14ac:dyDescent="0.25">
      <c r="A6419" s="31"/>
      <c r="D6419" s="30"/>
    </row>
    <row r="6420" spans="1:4" x14ac:dyDescent="0.25">
      <c r="A6420" s="31"/>
      <c r="D6420" s="30"/>
    </row>
    <row r="6421" spans="1:4" x14ac:dyDescent="0.25">
      <c r="A6421" s="31"/>
      <c r="D6421" s="30"/>
    </row>
    <row r="6422" spans="1:4" x14ac:dyDescent="0.25">
      <c r="A6422" s="31"/>
      <c r="D6422" s="30"/>
    </row>
    <row r="6423" spans="1:4" x14ac:dyDescent="0.25">
      <c r="A6423" s="31"/>
      <c r="D6423" s="30"/>
    </row>
    <row r="6424" spans="1:4" x14ac:dyDescent="0.25">
      <c r="A6424" s="31"/>
      <c r="D6424" s="30"/>
    </row>
    <row r="6425" spans="1:4" x14ac:dyDescent="0.25">
      <c r="A6425" s="31"/>
      <c r="D6425" s="30"/>
    </row>
    <row r="6426" spans="1:4" x14ac:dyDescent="0.25">
      <c r="A6426" s="31"/>
      <c r="D6426" s="30"/>
    </row>
    <row r="6427" spans="1:4" x14ac:dyDescent="0.25">
      <c r="A6427" s="31"/>
      <c r="D6427" s="30"/>
    </row>
    <row r="6428" spans="1:4" x14ac:dyDescent="0.25">
      <c r="A6428" s="31"/>
      <c r="D6428" s="30"/>
    </row>
    <row r="6429" spans="1:4" x14ac:dyDescent="0.25">
      <c r="A6429" s="31"/>
      <c r="D6429" s="30"/>
    </row>
    <row r="6430" spans="1:4" x14ac:dyDescent="0.25">
      <c r="A6430" s="31"/>
      <c r="D6430" s="30"/>
    </row>
    <row r="6431" spans="1:4" x14ac:dyDescent="0.25">
      <c r="A6431" s="31"/>
      <c r="D6431" s="30"/>
    </row>
    <row r="6432" spans="1:4" x14ac:dyDescent="0.25">
      <c r="A6432" s="31"/>
      <c r="D6432" s="30"/>
    </row>
    <row r="6433" spans="1:4" x14ac:dyDescent="0.25">
      <c r="A6433" s="31"/>
      <c r="D6433" s="30"/>
    </row>
    <row r="6434" spans="1:4" x14ac:dyDescent="0.25">
      <c r="A6434" s="31"/>
      <c r="D6434" s="30"/>
    </row>
    <row r="6435" spans="1:4" x14ac:dyDescent="0.25">
      <c r="A6435" s="31"/>
      <c r="D6435" s="30"/>
    </row>
    <row r="6436" spans="1:4" x14ac:dyDescent="0.25">
      <c r="A6436" s="31"/>
      <c r="D6436" s="30"/>
    </row>
    <row r="6437" spans="1:4" x14ac:dyDescent="0.25">
      <c r="A6437" s="31"/>
      <c r="D6437" s="30"/>
    </row>
    <row r="6438" spans="1:4" x14ac:dyDescent="0.25">
      <c r="A6438" s="31"/>
      <c r="D6438" s="30"/>
    </row>
    <row r="6439" spans="1:4" x14ac:dyDescent="0.25">
      <c r="A6439" s="31"/>
      <c r="D6439" s="30"/>
    </row>
    <row r="6440" spans="1:4" x14ac:dyDescent="0.25">
      <c r="A6440" s="31"/>
      <c r="D6440" s="30"/>
    </row>
    <row r="6441" spans="1:4" x14ac:dyDescent="0.25">
      <c r="A6441" s="31"/>
      <c r="D6441" s="30"/>
    </row>
    <row r="6442" spans="1:4" x14ac:dyDescent="0.25">
      <c r="A6442" s="31"/>
      <c r="D6442" s="30"/>
    </row>
    <row r="6443" spans="1:4" x14ac:dyDescent="0.25">
      <c r="A6443" s="31"/>
      <c r="D6443" s="30"/>
    </row>
    <row r="6444" spans="1:4" x14ac:dyDescent="0.25">
      <c r="A6444" s="31"/>
      <c r="D6444" s="30"/>
    </row>
    <row r="6445" spans="1:4" x14ac:dyDescent="0.25">
      <c r="A6445" s="31"/>
      <c r="D6445" s="30"/>
    </row>
    <row r="6446" spans="1:4" x14ac:dyDescent="0.25">
      <c r="A6446" s="31"/>
      <c r="D6446" s="30"/>
    </row>
    <row r="6447" spans="1:4" x14ac:dyDescent="0.25">
      <c r="A6447" s="31"/>
      <c r="D6447" s="30"/>
    </row>
    <row r="6448" spans="1:4" x14ac:dyDescent="0.25">
      <c r="A6448" s="31"/>
      <c r="D6448" s="30"/>
    </row>
    <row r="6449" spans="1:4" x14ac:dyDescent="0.25">
      <c r="A6449" s="31"/>
      <c r="D6449" s="30"/>
    </row>
    <row r="6450" spans="1:4" x14ac:dyDescent="0.25">
      <c r="A6450" s="31"/>
      <c r="D6450" s="30"/>
    </row>
    <row r="6451" spans="1:4" x14ac:dyDescent="0.25">
      <c r="A6451" s="31"/>
      <c r="D6451" s="30"/>
    </row>
    <row r="6452" spans="1:4" x14ac:dyDescent="0.25">
      <c r="A6452" s="31"/>
      <c r="D6452" s="30"/>
    </row>
    <row r="6453" spans="1:4" x14ac:dyDescent="0.25">
      <c r="A6453" s="31"/>
      <c r="D6453" s="30"/>
    </row>
    <row r="6454" spans="1:4" x14ac:dyDescent="0.25">
      <c r="A6454" s="31"/>
      <c r="D6454" s="30"/>
    </row>
    <row r="6455" spans="1:4" x14ac:dyDescent="0.25">
      <c r="A6455" s="31"/>
      <c r="D6455" s="30"/>
    </row>
    <row r="6456" spans="1:4" x14ac:dyDescent="0.25">
      <c r="A6456" s="31"/>
      <c r="D6456" s="30"/>
    </row>
    <row r="6457" spans="1:4" x14ac:dyDescent="0.25">
      <c r="A6457" s="31"/>
      <c r="D6457" s="30"/>
    </row>
    <row r="6458" spans="1:4" x14ac:dyDescent="0.25">
      <c r="A6458" s="31"/>
      <c r="D6458" s="30"/>
    </row>
    <row r="6459" spans="1:4" x14ac:dyDescent="0.25">
      <c r="A6459" s="31"/>
      <c r="D6459" s="30"/>
    </row>
    <row r="6460" spans="1:4" x14ac:dyDescent="0.25">
      <c r="A6460" s="31"/>
      <c r="D6460" s="30"/>
    </row>
    <row r="6461" spans="1:4" x14ac:dyDescent="0.25">
      <c r="A6461" s="31"/>
      <c r="D6461" s="30"/>
    </row>
    <row r="6462" spans="1:4" x14ac:dyDescent="0.25">
      <c r="A6462" s="31"/>
      <c r="D6462" s="30"/>
    </row>
    <row r="6463" spans="1:4" x14ac:dyDescent="0.25">
      <c r="A6463" s="31"/>
      <c r="D6463" s="30"/>
    </row>
    <row r="6464" spans="1:4" x14ac:dyDescent="0.25">
      <c r="A6464" s="31"/>
      <c r="D6464" s="30"/>
    </row>
    <row r="6465" spans="1:4" x14ac:dyDescent="0.25">
      <c r="A6465" s="31"/>
      <c r="D6465" s="30"/>
    </row>
    <row r="6466" spans="1:4" x14ac:dyDescent="0.25">
      <c r="A6466" s="31"/>
      <c r="D6466" s="30"/>
    </row>
    <row r="6467" spans="1:4" x14ac:dyDescent="0.25">
      <c r="A6467" s="31"/>
      <c r="D6467" s="30"/>
    </row>
    <row r="6468" spans="1:4" x14ac:dyDescent="0.25">
      <c r="A6468" s="31"/>
      <c r="D6468" s="30"/>
    </row>
    <row r="6469" spans="1:4" x14ac:dyDescent="0.25">
      <c r="A6469" s="31"/>
      <c r="D6469" s="30"/>
    </row>
    <row r="6470" spans="1:4" x14ac:dyDescent="0.25">
      <c r="A6470" s="31"/>
      <c r="D6470" s="30"/>
    </row>
    <row r="6471" spans="1:4" x14ac:dyDescent="0.25">
      <c r="A6471" s="31"/>
      <c r="D6471" s="30"/>
    </row>
    <row r="6472" spans="1:4" x14ac:dyDescent="0.25">
      <c r="A6472" s="31"/>
      <c r="D6472" s="30"/>
    </row>
    <row r="6473" spans="1:4" x14ac:dyDescent="0.25">
      <c r="A6473" s="31"/>
      <c r="D6473" s="30"/>
    </row>
    <row r="6474" spans="1:4" x14ac:dyDescent="0.25">
      <c r="A6474" s="31"/>
      <c r="D6474" s="30"/>
    </row>
    <row r="6475" spans="1:4" x14ac:dyDescent="0.25">
      <c r="A6475" s="31"/>
      <c r="D6475" s="30"/>
    </row>
    <row r="6476" spans="1:4" x14ac:dyDescent="0.25">
      <c r="A6476" s="31"/>
      <c r="D6476" s="30"/>
    </row>
    <row r="6477" spans="1:4" x14ac:dyDescent="0.25">
      <c r="A6477" s="31"/>
      <c r="D6477" s="30"/>
    </row>
    <row r="6478" spans="1:4" x14ac:dyDescent="0.25">
      <c r="A6478" s="31"/>
      <c r="D6478" s="30"/>
    </row>
    <row r="6479" spans="1:4" x14ac:dyDescent="0.25">
      <c r="A6479" s="31"/>
      <c r="D6479" s="30"/>
    </row>
    <row r="6480" spans="1:4" x14ac:dyDescent="0.25">
      <c r="A6480" s="31"/>
      <c r="D6480" s="30"/>
    </row>
    <row r="6481" spans="1:4" x14ac:dyDescent="0.25">
      <c r="A6481" s="31"/>
      <c r="D6481" s="30"/>
    </row>
    <row r="6482" spans="1:4" x14ac:dyDescent="0.25">
      <c r="A6482" s="31"/>
      <c r="D6482" s="30"/>
    </row>
    <row r="6483" spans="1:4" x14ac:dyDescent="0.25">
      <c r="A6483" s="31"/>
      <c r="D6483" s="30"/>
    </row>
    <row r="6484" spans="1:4" x14ac:dyDescent="0.25">
      <c r="A6484" s="31"/>
      <c r="D6484" s="30"/>
    </row>
    <row r="6485" spans="1:4" x14ac:dyDescent="0.25">
      <c r="A6485" s="31"/>
      <c r="D6485" s="30"/>
    </row>
    <row r="6486" spans="1:4" x14ac:dyDescent="0.25">
      <c r="A6486" s="31"/>
      <c r="D6486" s="30"/>
    </row>
    <row r="6487" spans="1:4" x14ac:dyDescent="0.25">
      <c r="A6487" s="31"/>
      <c r="D6487" s="30"/>
    </row>
    <row r="6488" spans="1:4" x14ac:dyDescent="0.25">
      <c r="A6488" s="31"/>
      <c r="D6488" s="30"/>
    </row>
    <row r="6489" spans="1:4" x14ac:dyDescent="0.25">
      <c r="A6489" s="31"/>
      <c r="D6489" s="30"/>
    </row>
    <row r="6490" spans="1:4" x14ac:dyDescent="0.25">
      <c r="A6490" s="31"/>
      <c r="D6490" s="30"/>
    </row>
    <row r="6491" spans="1:4" x14ac:dyDescent="0.25">
      <c r="A6491" s="31"/>
      <c r="D6491" s="30"/>
    </row>
    <row r="6492" spans="1:4" x14ac:dyDescent="0.25">
      <c r="A6492" s="31"/>
      <c r="D6492" s="30"/>
    </row>
    <row r="6493" spans="1:4" x14ac:dyDescent="0.25">
      <c r="A6493" s="31"/>
      <c r="D6493" s="30"/>
    </row>
    <row r="6494" spans="1:4" x14ac:dyDescent="0.25">
      <c r="A6494" s="31"/>
      <c r="D6494" s="30"/>
    </row>
    <row r="6495" spans="1:4" x14ac:dyDescent="0.25">
      <c r="A6495" s="31"/>
      <c r="D6495" s="30"/>
    </row>
    <row r="6496" spans="1:4" x14ac:dyDescent="0.25">
      <c r="A6496" s="31"/>
      <c r="D6496" s="30"/>
    </row>
    <row r="6497" spans="1:4" x14ac:dyDescent="0.25">
      <c r="A6497" s="31"/>
      <c r="D6497" s="30"/>
    </row>
    <row r="6498" spans="1:4" x14ac:dyDescent="0.25">
      <c r="A6498" s="31"/>
      <c r="D6498" s="30"/>
    </row>
    <row r="6499" spans="1:4" x14ac:dyDescent="0.25">
      <c r="A6499" s="31"/>
      <c r="D6499" s="30"/>
    </row>
    <row r="6500" spans="1:4" x14ac:dyDescent="0.25">
      <c r="A6500" s="31"/>
      <c r="D6500" s="30"/>
    </row>
    <row r="6501" spans="1:4" x14ac:dyDescent="0.25">
      <c r="A6501" s="31"/>
      <c r="D6501" s="30"/>
    </row>
    <row r="6502" spans="1:4" x14ac:dyDescent="0.25">
      <c r="A6502" s="31"/>
      <c r="D6502" s="30"/>
    </row>
    <row r="6503" spans="1:4" x14ac:dyDescent="0.25">
      <c r="A6503" s="31"/>
      <c r="D6503" s="30"/>
    </row>
    <row r="6504" spans="1:4" x14ac:dyDescent="0.25">
      <c r="A6504" s="31"/>
      <c r="D6504" s="30"/>
    </row>
    <row r="6505" spans="1:4" x14ac:dyDescent="0.25">
      <c r="A6505" s="31"/>
      <c r="D6505" s="30"/>
    </row>
    <row r="6506" spans="1:4" x14ac:dyDescent="0.25">
      <c r="A6506" s="31"/>
      <c r="D6506" s="30"/>
    </row>
    <row r="6507" spans="1:4" x14ac:dyDescent="0.25">
      <c r="A6507" s="31"/>
      <c r="D6507" s="30"/>
    </row>
    <row r="6508" spans="1:4" x14ac:dyDescent="0.25">
      <c r="A6508" s="31"/>
      <c r="D6508" s="30"/>
    </row>
    <row r="6509" spans="1:4" x14ac:dyDescent="0.25">
      <c r="A6509" s="31"/>
      <c r="D6509" s="30"/>
    </row>
    <row r="6510" spans="1:4" x14ac:dyDescent="0.25">
      <c r="A6510" s="31"/>
      <c r="D6510" s="30"/>
    </row>
    <row r="6511" spans="1:4" x14ac:dyDescent="0.25">
      <c r="A6511" s="31"/>
      <c r="D6511" s="30"/>
    </row>
    <row r="6512" spans="1:4" x14ac:dyDescent="0.25">
      <c r="A6512" s="31"/>
      <c r="D6512" s="30"/>
    </row>
    <row r="6513" spans="1:4" x14ac:dyDescent="0.25">
      <c r="A6513" s="31"/>
      <c r="D6513" s="30"/>
    </row>
    <row r="6514" spans="1:4" x14ac:dyDescent="0.25">
      <c r="A6514" s="31"/>
      <c r="D6514" s="30"/>
    </row>
    <row r="6515" spans="1:4" x14ac:dyDescent="0.25">
      <c r="A6515" s="31"/>
      <c r="D6515" s="30"/>
    </row>
    <row r="6516" spans="1:4" x14ac:dyDescent="0.25">
      <c r="A6516" s="31"/>
      <c r="D6516" s="30"/>
    </row>
    <row r="6517" spans="1:4" x14ac:dyDescent="0.25">
      <c r="A6517" s="31"/>
      <c r="D6517" s="30"/>
    </row>
    <row r="6518" spans="1:4" x14ac:dyDescent="0.25">
      <c r="A6518" s="31"/>
      <c r="D6518" s="30"/>
    </row>
    <row r="6519" spans="1:4" x14ac:dyDescent="0.25">
      <c r="A6519" s="31"/>
      <c r="D6519" s="30"/>
    </row>
    <row r="6520" spans="1:4" x14ac:dyDescent="0.25">
      <c r="A6520" s="31"/>
      <c r="D6520" s="30"/>
    </row>
    <row r="6521" spans="1:4" x14ac:dyDescent="0.25">
      <c r="A6521" s="31"/>
      <c r="D6521" s="30"/>
    </row>
    <row r="6522" spans="1:4" x14ac:dyDescent="0.25">
      <c r="A6522" s="31"/>
      <c r="D6522" s="30"/>
    </row>
    <row r="6523" spans="1:4" x14ac:dyDescent="0.25">
      <c r="A6523" s="31"/>
      <c r="D6523" s="30"/>
    </row>
    <row r="6524" spans="1:4" x14ac:dyDescent="0.25">
      <c r="A6524" s="31"/>
      <c r="D6524" s="30"/>
    </row>
    <row r="6525" spans="1:4" x14ac:dyDescent="0.25">
      <c r="A6525" s="31"/>
      <c r="D6525" s="30"/>
    </row>
    <row r="6526" spans="1:4" x14ac:dyDescent="0.25">
      <c r="A6526" s="31"/>
      <c r="D6526" s="30"/>
    </row>
    <row r="6527" spans="1:4" x14ac:dyDescent="0.25">
      <c r="A6527" s="31"/>
      <c r="D6527" s="30"/>
    </row>
    <row r="6528" spans="1:4" x14ac:dyDescent="0.25">
      <c r="A6528" s="31"/>
      <c r="D6528" s="30"/>
    </row>
    <row r="6529" spans="1:4" x14ac:dyDescent="0.25">
      <c r="A6529" s="31"/>
      <c r="D6529" s="30"/>
    </row>
    <row r="6530" spans="1:4" x14ac:dyDescent="0.25">
      <c r="A6530" s="31"/>
      <c r="D6530" s="30"/>
    </row>
    <row r="6531" spans="1:4" x14ac:dyDescent="0.25">
      <c r="A6531" s="31"/>
      <c r="D6531" s="30"/>
    </row>
    <row r="6532" spans="1:4" x14ac:dyDescent="0.25">
      <c r="A6532" s="31"/>
      <c r="D6532" s="30"/>
    </row>
    <row r="6533" spans="1:4" x14ac:dyDescent="0.25">
      <c r="A6533" s="31"/>
      <c r="D6533" s="30"/>
    </row>
    <row r="6534" spans="1:4" x14ac:dyDescent="0.25">
      <c r="A6534" s="31"/>
      <c r="D6534" s="30"/>
    </row>
    <row r="6535" spans="1:4" x14ac:dyDescent="0.25">
      <c r="A6535" s="31"/>
      <c r="D6535" s="30"/>
    </row>
    <row r="6536" spans="1:4" x14ac:dyDescent="0.25">
      <c r="A6536" s="31"/>
      <c r="D6536" s="30"/>
    </row>
    <row r="6537" spans="1:4" x14ac:dyDescent="0.25">
      <c r="A6537" s="31"/>
      <c r="D6537" s="30"/>
    </row>
    <row r="6538" spans="1:4" x14ac:dyDescent="0.25">
      <c r="A6538" s="31"/>
      <c r="D6538" s="30"/>
    </row>
    <row r="6539" spans="1:4" x14ac:dyDescent="0.25">
      <c r="A6539" s="31"/>
      <c r="D6539" s="30"/>
    </row>
    <row r="6540" spans="1:4" x14ac:dyDescent="0.25">
      <c r="A6540" s="31"/>
      <c r="D6540" s="30"/>
    </row>
    <row r="6541" spans="1:4" x14ac:dyDescent="0.25">
      <c r="A6541" s="31"/>
      <c r="D6541" s="30"/>
    </row>
    <row r="6542" spans="1:4" x14ac:dyDescent="0.25">
      <c r="A6542" s="31"/>
      <c r="D6542" s="30"/>
    </row>
    <row r="6543" spans="1:4" x14ac:dyDescent="0.25">
      <c r="A6543" s="31"/>
      <c r="D6543" s="30"/>
    </row>
    <row r="6544" spans="1:4" x14ac:dyDescent="0.25">
      <c r="A6544" s="31"/>
      <c r="D6544" s="30"/>
    </row>
    <row r="6545" spans="1:4" x14ac:dyDescent="0.25">
      <c r="A6545" s="31"/>
      <c r="D6545" s="30"/>
    </row>
    <row r="6546" spans="1:4" x14ac:dyDescent="0.25">
      <c r="A6546" s="31"/>
      <c r="D6546" s="30"/>
    </row>
    <row r="6547" spans="1:4" x14ac:dyDescent="0.25">
      <c r="A6547" s="31"/>
      <c r="D6547" s="30"/>
    </row>
    <row r="6548" spans="1:4" x14ac:dyDescent="0.25">
      <c r="A6548" s="31"/>
      <c r="D6548" s="30"/>
    </row>
    <row r="6549" spans="1:4" x14ac:dyDescent="0.25">
      <c r="A6549" s="31"/>
      <c r="D6549" s="30"/>
    </row>
    <row r="6550" spans="1:4" x14ac:dyDescent="0.25">
      <c r="A6550" s="31"/>
      <c r="D6550" s="30"/>
    </row>
    <row r="6551" spans="1:4" x14ac:dyDescent="0.25">
      <c r="A6551" s="31"/>
      <c r="D6551" s="30"/>
    </row>
    <row r="6552" spans="1:4" x14ac:dyDescent="0.25">
      <c r="A6552" s="31"/>
      <c r="D6552" s="30"/>
    </row>
    <row r="6553" spans="1:4" x14ac:dyDescent="0.25">
      <c r="A6553" s="31"/>
      <c r="D6553" s="30"/>
    </row>
    <row r="6554" spans="1:4" x14ac:dyDescent="0.25">
      <c r="A6554" s="31"/>
      <c r="D6554" s="30"/>
    </row>
    <row r="6555" spans="1:4" x14ac:dyDescent="0.25">
      <c r="A6555" s="31"/>
      <c r="D6555" s="30"/>
    </row>
    <row r="6556" spans="1:4" x14ac:dyDescent="0.25">
      <c r="A6556" s="31"/>
      <c r="D6556" s="30"/>
    </row>
    <row r="6557" spans="1:4" x14ac:dyDescent="0.25">
      <c r="A6557" s="31"/>
      <c r="D6557" s="30"/>
    </row>
    <row r="6558" spans="1:4" x14ac:dyDescent="0.25">
      <c r="A6558" s="31"/>
      <c r="D6558" s="30"/>
    </row>
    <row r="6559" spans="1:4" x14ac:dyDescent="0.25">
      <c r="A6559" s="31"/>
      <c r="D6559" s="30"/>
    </row>
    <row r="6560" spans="1:4" x14ac:dyDescent="0.25">
      <c r="A6560" s="31"/>
      <c r="D6560" s="30"/>
    </row>
    <row r="6561" spans="1:4" x14ac:dyDescent="0.25">
      <c r="A6561" s="31"/>
      <c r="D6561" s="30"/>
    </row>
    <row r="6562" spans="1:4" x14ac:dyDescent="0.25">
      <c r="A6562" s="31"/>
      <c r="D6562" s="30"/>
    </row>
    <row r="6563" spans="1:4" x14ac:dyDescent="0.25">
      <c r="A6563" s="31"/>
      <c r="D6563" s="30"/>
    </row>
    <row r="6564" spans="1:4" x14ac:dyDescent="0.25">
      <c r="A6564" s="31"/>
      <c r="D6564" s="30"/>
    </row>
    <row r="6565" spans="1:4" x14ac:dyDescent="0.25">
      <c r="A6565" s="31"/>
      <c r="D6565" s="30"/>
    </row>
    <row r="6566" spans="1:4" x14ac:dyDescent="0.25">
      <c r="A6566" s="31"/>
      <c r="D6566" s="30"/>
    </row>
    <row r="6567" spans="1:4" x14ac:dyDescent="0.25">
      <c r="A6567" s="31"/>
      <c r="D6567" s="30"/>
    </row>
    <row r="6568" spans="1:4" x14ac:dyDescent="0.25">
      <c r="A6568" s="31"/>
      <c r="D6568" s="30"/>
    </row>
    <row r="6569" spans="1:4" x14ac:dyDescent="0.25">
      <c r="A6569" s="31"/>
      <c r="D6569" s="30"/>
    </row>
    <row r="6570" spans="1:4" x14ac:dyDescent="0.25">
      <c r="A6570" s="31"/>
      <c r="D6570" s="30"/>
    </row>
    <row r="6571" spans="1:4" x14ac:dyDescent="0.25">
      <c r="A6571" s="31"/>
      <c r="D6571" s="30"/>
    </row>
    <row r="6572" spans="1:4" x14ac:dyDescent="0.25">
      <c r="A6572" s="31"/>
      <c r="D6572" s="30"/>
    </row>
    <row r="6573" spans="1:4" x14ac:dyDescent="0.25">
      <c r="A6573" s="31"/>
      <c r="D6573" s="30"/>
    </row>
    <row r="6574" spans="1:4" x14ac:dyDescent="0.25">
      <c r="A6574" s="31"/>
      <c r="D6574" s="30"/>
    </row>
    <row r="6575" spans="1:4" x14ac:dyDescent="0.25">
      <c r="A6575" s="31"/>
      <c r="D6575" s="30"/>
    </row>
    <row r="6576" spans="1:4" x14ac:dyDescent="0.25">
      <c r="A6576" s="31"/>
      <c r="D6576" s="30"/>
    </row>
    <row r="6577" spans="1:4" x14ac:dyDescent="0.25">
      <c r="A6577" s="31"/>
      <c r="D6577" s="30"/>
    </row>
    <row r="6578" spans="1:4" x14ac:dyDescent="0.25">
      <c r="A6578" s="31"/>
      <c r="D6578" s="30"/>
    </row>
    <row r="6579" spans="1:4" x14ac:dyDescent="0.25">
      <c r="A6579" s="31"/>
      <c r="D6579" s="30"/>
    </row>
    <row r="6580" spans="1:4" x14ac:dyDescent="0.25">
      <c r="A6580" s="31"/>
      <c r="D6580" s="30"/>
    </row>
    <row r="6581" spans="1:4" x14ac:dyDescent="0.25">
      <c r="A6581" s="31"/>
      <c r="D6581" s="30"/>
    </row>
    <row r="6582" spans="1:4" x14ac:dyDescent="0.25">
      <c r="A6582" s="31"/>
      <c r="D6582" s="30"/>
    </row>
    <row r="6583" spans="1:4" x14ac:dyDescent="0.25">
      <c r="A6583" s="31"/>
      <c r="D6583" s="30"/>
    </row>
    <row r="6584" spans="1:4" x14ac:dyDescent="0.25">
      <c r="A6584" s="31"/>
      <c r="D6584" s="30"/>
    </row>
    <row r="6585" spans="1:4" x14ac:dyDescent="0.25">
      <c r="A6585" s="31"/>
      <c r="D6585" s="30"/>
    </row>
    <row r="6586" spans="1:4" x14ac:dyDescent="0.25">
      <c r="A6586" s="31"/>
      <c r="D6586" s="30"/>
    </row>
    <row r="6587" spans="1:4" x14ac:dyDescent="0.25">
      <c r="A6587" s="31"/>
      <c r="D6587" s="30"/>
    </row>
    <row r="6588" spans="1:4" x14ac:dyDescent="0.25">
      <c r="A6588" s="31"/>
      <c r="D6588" s="30"/>
    </row>
    <row r="6589" spans="1:4" x14ac:dyDescent="0.25">
      <c r="A6589" s="31"/>
      <c r="D6589" s="30"/>
    </row>
    <row r="6590" spans="1:4" x14ac:dyDescent="0.25">
      <c r="A6590" s="31"/>
      <c r="D6590" s="30"/>
    </row>
    <row r="6591" spans="1:4" x14ac:dyDescent="0.25">
      <c r="A6591" s="31"/>
      <c r="D6591" s="30"/>
    </row>
    <row r="6592" spans="1:4" x14ac:dyDescent="0.25">
      <c r="A6592" s="31"/>
      <c r="D6592" s="30"/>
    </row>
    <row r="6593" spans="1:4" x14ac:dyDescent="0.25">
      <c r="A6593" s="31"/>
      <c r="D6593" s="30"/>
    </row>
    <row r="6594" spans="1:4" x14ac:dyDescent="0.25">
      <c r="A6594" s="31"/>
      <c r="D6594" s="30"/>
    </row>
    <row r="6595" spans="1:4" x14ac:dyDescent="0.25">
      <c r="A6595" s="31"/>
      <c r="D6595" s="30"/>
    </row>
    <row r="6596" spans="1:4" x14ac:dyDescent="0.25">
      <c r="A6596" s="31"/>
      <c r="D6596" s="30"/>
    </row>
    <row r="6597" spans="1:4" x14ac:dyDescent="0.25">
      <c r="A6597" s="31"/>
      <c r="D6597" s="30"/>
    </row>
    <row r="6598" spans="1:4" x14ac:dyDescent="0.25">
      <c r="A6598" s="31"/>
      <c r="D6598" s="30"/>
    </row>
    <row r="6599" spans="1:4" x14ac:dyDescent="0.25">
      <c r="A6599" s="31"/>
      <c r="D6599" s="30"/>
    </row>
    <row r="6600" spans="1:4" x14ac:dyDescent="0.25">
      <c r="A6600" s="31"/>
      <c r="D6600" s="30"/>
    </row>
    <row r="6601" spans="1:4" x14ac:dyDescent="0.25">
      <c r="A6601" s="31"/>
      <c r="D6601" s="30"/>
    </row>
    <row r="6602" spans="1:4" x14ac:dyDescent="0.25">
      <c r="A6602" s="31"/>
      <c r="D6602" s="30"/>
    </row>
    <row r="6603" spans="1:4" x14ac:dyDescent="0.25">
      <c r="A6603" s="31"/>
      <c r="D6603" s="30"/>
    </row>
    <row r="6604" spans="1:4" x14ac:dyDescent="0.25">
      <c r="A6604" s="31"/>
      <c r="D6604" s="30"/>
    </row>
    <row r="6605" spans="1:4" x14ac:dyDescent="0.25">
      <c r="A6605" s="31"/>
      <c r="D6605" s="30"/>
    </row>
    <row r="6606" spans="1:4" x14ac:dyDescent="0.25">
      <c r="A6606" s="31"/>
      <c r="D6606" s="30"/>
    </row>
    <row r="6607" spans="1:4" x14ac:dyDescent="0.25">
      <c r="A6607" s="31"/>
      <c r="D6607" s="30"/>
    </row>
    <row r="6608" spans="1:4" x14ac:dyDescent="0.25">
      <c r="A6608" s="31"/>
      <c r="D6608" s="30"/>
    </row>
    <row r="6609" spans="1:4" x14ac:dyDescent="0.25">
      <c r="A6609" s="31"/>
      <c r="D6609" s="30"/>
    </row>
    <row r="6610" spans="1:4" x14ac:dyDescent="0.25">
      <c r="A6610" s="31"/>
      <c r="D6610" s="30"/>
    </row>
    <row r="6611" spans="1:4" x14ac:dyDescent="0.25">
      <c r="A6611" s="31"/>
      <c r="D6611" s="30"/>
    </row>
    <row r="6612" spans="1:4" x14ac:dyDescent="0.25">
      <c r="A6612" s="31"/>
      <c r="D6612" s="30"/>
    </row>
    <row r="6613" spans="1:4" x14ac:dyDescent="0.25">
      <c r="A6613" s="31"/>
      <c r="D6613" s="30"/>
    </row>
    <row r="6614" spans="1:4" x14ac:dyDescent="0.25">
      <c r="A6614" s="31"/>
      <c r="D6614" s="30"/>
    </row>
    <row r="6615" spans="1:4" x14ac:dyDescent="0.25">
      <c r="A6615" s="31"/>
      <c r="D6615" s="30"/>
    </row>
    <row r="6616" spans="1:4" x14ac:dyDescent="0.25">
      <c r="A6616" s="31"/>
      <c r="D6616" s="30"/>
    </row>
    <row r="6617" spans="1:4" x14ac:dyDescent="0.25">
      <c r="A6617" s="31"/>
      <c r="D6617" s="30"/>
    </row>
    <row r="6618" spans="1:4" x14ac:dyDescent="0.25">
      <c r="A6618" s="31"/>
      <c r="D6618" s="30"/>
    </row>
    <row r="6619" spans="1:4" x14ac:dyDescent="0.25">
      <c r="A6619" s="31"/>
      <c r="D6619" s="30"/>
    </row>
    <row r="6620" spans="1:4" x14ac:dyDescent="0.25">
      <c r="A6620" s="31"/>
      <c r="D6620" s="30"/>
    </row>
    <row r="6621" spans="1:4" x14ac:dyDescent="0.25">
      <c r="A6621" s="31"/>
      <c r="D6621" s="30"/>
    </row>
    <row r="6622" spans="1:4" x14ac:dyDescent="0.25">
      <c r="A6622" s="31"/>
      <c r="D6622" s="30"/>
    </row>
    <row r="6623" spans="1:4" x14ac:dyDescent="0.25">
      <c r="A6623" s="31"/>
      <c r="D6623" s="30"/>
    </row>
    <row r="6624" spans="1:4" x14ac:dyDescent="0.25">
      <c r="A6624" s="31"/>
      <c r="D6624" s="30"/>
    </row>
    <row r="6625" spans="1:4" x14ac:dyDescent="0.25">
      <c r="A6625" s="31"/>
      <c r="D6625" s="30"/>
    </row>
    <row r="6626" spans="1:4" x14ac:dyDescent="0.25">
      <c r="A6626" s="31"/>
      <c r="D6626" s="30"/>
    </row>
    <row r="6627" spans="1:4" x14ac:dyDescent="0.25">
      <c r="A6627" s="31"/>
      <c r="D6627" s="30"/>
    </row>
    <row r="6628" spans="1:4" x14ac:dyDescent="0.25">
      <c r="A6628" s="31"/>
      <c r="D6628" s="30"/>
    </row>
    <row r="6629" spans="1:4" x14ac:dyDescent="0.25">
      <c r="A6629" s="31"/>
      <c r="D6629" s="30"/>
    </row>
    <row r="6630" spans="1:4" x14ac:dyDescent="0.25">
      <c r="A6630" s="31"/>
      <c r="D6630" s="30"/>
    </row>
    <row r="6631" spans="1:4" x14ac:dyDescent="0.25">
      <c r="A6631" s="31"/>
      <c r="D6631" s="30"/>
    </row>
    <row r="6632" spans="1:4" x14ac:dyDescent="0.25">
      <c r="A6632" s="31"/>
      <c r="D6632" s="30"/>
    </row>
    <row r="6633" spans="1:4" x14ac:dyDescent="0.25">
      <c r="A6633" s="31"/>
      <c r="D6633" s="30"/>
    </row>
    <row r="6634" spans="1:4" x14ac:dyDescent="0.25">
      <c r="A6634" s="31"/>
      <c r="D6634" s="30"/>
    </row>
    <row r="6635" spans="1:4" x14ac:dyDescent="0.25">
      <c r="A6635" s="31"/>
      <c r="D6635" s="30"/>
    </row>
    <row r="6636" spans="1:4" x14ac:dyDescent="0.25">
      <c r="A6636" s="31"/>
      <c r="D6636" s="30"/>
    </row>
    <row r="6637" spans="1:4" x14ac:dyDescent="0.25">
      <c r="A6637" s="31"/>
      <c r="D6637" s="30"/>
    </row>
    <row r="6638" spans="1:4" x14ac:dyDescent="0.25">
      <c r="A6638" s="31"/>
      <c r="D6638" s="30"/>
    </row>
    <row r="6639" spans="1:4" x14ac:dyDescent="0.25">
      <c r="A6639" s="31"/>
      <c r="D6639" s="30"/>
    </row>
    <row r="6640" spans="1:4" x14ac:dyDescent="0.25">
      <c r="A6640" s="31"/>
      <c r="D6640" s="30"/>
    </row>
    <row r="6641" spans="1:4" x14ac:dyDescent="0.25">
      <c r="A6641" s="31"/>
      <c r="D6641" s="30"/>
    </row>
    <row r="6642" spans="1:4" x14ac:dyDescent="0.25">
      <c r="A6642" s="31"/>
      <c r="D6642" s="30"/>
    </row>
    <row r="6643" spans="1:4" x14ac:dyDescent="0.25">
      <c r="A6643" s="31"/>
      <c r="D6643" s="30"/>
    </row>
    <row r="6644" spans="1:4" x14ac:dyDescent="0.25">
      <c r="A6644" s="31"/>
      <c r="D6644" s="30"/>
    </row>
    <row r="6645" spans="1:4" x14ac:dyDescent="0.25">
      <c r="A6645" s="31"/>
      <c r="D6645" s="30"/>
    </row>
    <row r="6646" spans="1:4" x14ac:dyDescent="0.25">
      <c r="A6646" s="31"/>
      <c r="D6646" s="30"/>
    </row>
    <row r="6647" spans="1:4" x14ac:dyDescent="0.25">
      <c r="A6647" s="31"/>
      <c r="D6647" s="30"/>
    </row>
    <row r="6648" spans="1:4" x14ac:dyDescent="0.25">
      <c r="A6648" s="31"/>
      <c r="D6648" s="30"/>
    </row>
    <row r="6649" spans="1:4" x14ac:dyDescent="0.25">
      <c r="A6649" s="31"/>
      <c r="D6649" s="30"/>
    </row>
    <row r="6650" spans="1:4" x14ac:dyDescent="0.25">
      <c r="A6650" s="31"/>
      <c r="D6650" s="30"/>
    </row>
    <row r="6651" spans="1:4" x14ac:dyDescent="0.25">
      <c r="A6651" s="31"/>
      <c r="D6651" s="30"/>
    </row>
    <row r="6652" spans="1:4" x14ac:dyDescent="0.25">
      <c r="A6652" s="31"/>
      <c r="D6652" s="30"/>
    </row>
    <row r="6653" spans="1:4" x14ac:dyDescent="0.25">
      <c r="A6653" s="31"/>
      <c r="D6653" s="30"/>
    </row>
    <row r="6654" spans="1:4" x14ac:dyDescent="0.25">
      <c r="A6654" s="31"/>
      <c r="D6654" s="30"/>
    </row>
    <row r="6655" spans="1:4" x14ac:dyDescent="0.25">
      <c r="A6655" s="31"/>
      <c r="D6655" s="30"/>
    </row>
    <row r="6656" spans="1:4" x14ac:dyDescent="0.25">
      <c r="A6656" s="31"/>
      <c r="D6656" s="30"/>
    </row>
    <row r="6657" spans="1:4" x14ac:dyDescent="0.25">
      <c r="A6657" s="31"/>
      <c r="D6657" s="30"/>
    </row>
    <row r="6658" spans="1:4" x14ac:dyDescent="0.25">
      <c r="A6658" s="31"/>
      <c r="D6658" s="30"/>
    </row>
    <row r="6659" spans="1:4" x14ac:dyDescent="0.25">
      <c r="A6659" s="31"/>
      <c r="D6659" s="30"/>
    </row>
    <row r="6660" spans="1:4" x14ac:dyDescent="0.25">
      <c r="A6660" s="31"/>
      <c r="D6660" s="30"/>
    </row>
    <row r="6661" spans="1:4" x14ac:dyDescent="0.25">
      <c r="A6661" s="31"/>
      <c r="D6661" s="30"/>
    </row>
    <row r="6662" spans="1:4" x14ac:dyDescent="0.25">
      <c r="A6662" s="31"/>
      <c r="D6662" s="30"/>
    </row>
    <row r="6663" spans="1:4" x14ac:dyDescent="0.25">
      <c r="A6663" s="31"/>
      <c r="D6663" s="30"/>
    </row>
    <row r="6664" spans="1:4" x14ac:dyDescent="0.25">
      <c r="A6664" s="31"/>
      <c r="D6664" s="30"/>
    </row>
    <row r="6665" spans="1:4" x14ac:dyDescent="0.25">
      <c r="A6665" s="31"/>
      <c r="D6665" s="30"/>
    </row>
    <row r="6666" spans="1:4" x14ac:dyDescent="0.25">
      <c r="A6666" s="31"/>
      <c r="D6666" s="30"/>
    </row>
    <row r="6667" spans="1:4" x14ac:dyDescent="0.25">
      <c r="A6667" s="31"/>
      <c r="D6667" s="30"/>
    </row>
    <row r="6668" spans="1:4" x14ac:dyDescent="0.25">
      <c r="A6668" s="31"/>
      <c r="D6668" s="30"/>
    </row>
    <row r="6669" spans="1:4" x14ac:dyDescent="0.25">
      <c r="A6669" s="31"/>
      <c r="D6669" s="30"/>
    </row>
    <row r="6670" spans="1:4" x14ac:dyDescent="0.25">
      <c r="A6670" s="31"/>
      <c r="D6670" s="30"/>
    </row>
    <row r="6671" spans="1:4" x14ac:dyDescent="0.25">
      <c r="A6671" s="31"/>
      <c r="D6671" s="30"/>
    </row>
    <row r="6672" spans="1:4" x14ac:dyDescent="0.25">
      <c r="A6672" s="31"/>
      <c r="D6672" s="30"/>
    </row>
    <row r="6673" spans="1:4" x14ac:dyDescent="0.25">
      <c r="A6673" s="31"/>
      <c r="D6673" s="30"/>
    </row>
    <row r="6674" spans="1:4" x14ac:dyDescent="0.25">
      <c r="A6674" s="31"/>
      <c r="D6674" s="30"/>
    </row>
    <row r="6675" spans="1:4" x14ac:dyDescent="0.25">
      <c r="A6675" s="31"/>
      <c r="D6675" s="30"/>
    </row>
    <row r="6676" spans="1:4" x14ac:dyDescent="0.25">
      <c r="A6676" s="31"/>
      <c r="D6676" s="30"/>
    </row>
    <row r="6677" spans="1:4" x14ac:dyDescent="0.25">
      <c r="A6677" s="31"/>
      <c r="D6677" s="30"/>
    </row>
    <row r="6678" spans="1:4" x14ac:dyDescent="0.25">
      <c r="A6678" s="31"/>
      <c r="D6678" s="30"/>
    </row>
    <row r="6679" spans="1:4" x14ac:dyDescent="0.25">
      <c r="A6679" s="31"/>
      <c r="D6679" s="30"/>
    </row>
    <row r="6680" spans="1:4" x14ac:dyDescent="0.25">
      <c r="A6680" s="31"/>
      <c r="D6680" s="30"/>
    </row>
    <row r="6681" spans="1:4" x14ac:dyDescent="0.25">
      <c r="A6681" s="31"/>
      <c r="D6681" s="30"/>
    </row>
    <row r="6682" spans="1:4" x14ac:dyDescent="0.25">
      <c r="A6682" s="31"/>
      <c r="D6682" s="30"/>
    </row>
    <row r="6683" spans="1:4" x14ac:dyDescent="0.25">
      <c r="A6683" s="31"/>
      <c r="D6683" s="30"/>
    </row>
    <row r="6684" spans="1:4" x14ac:dyDescent="0.25">
      <c r="A6684" s="31"/>
      <c r="D6684" s="30"/>
    </row>
    <row r="6685" spans="1:4" x14ac:dyDescent="0.25">
      <c r="A6685" s="31"/>
      <c r="D6685" s="30"/>
    </row>
    <row r="6686" spans="1:4" x14ac:dyDescent="0.25">
      <c r="A6686" s="31"/>
      <c r="D6686" s="30"/>
    </row>
    <row r="6687" spans="1:4" x14ac:dyDescent="0.25">
      <c r="A6687" s="31"/>
      <c r="D6687" s="30"/>
    </row>
    <row r="6688" spans="1:4" x14ac:dyDescent="0.25">
      <c r="A6688" s="31"/>
      <c r="D6688" s="30"/>
    </row>
    <row r="6689" spans="1:4" x14ac:dyDescent="0.25">
      <c r="A6689" s="31"/>
      <c r="D6689" s="30"/>
    </row>
    <row r="6690" spans="1:4" x14ac:dyDescent="0.25">
      <c r="A6690" s="31"/>
      <c r="D6690" s="30"/>
    </row>
    <row r="6691" spans="1:4" x14ac:dyDescent="0.25">
      <c r="A6691" s="31"/>
      <c r="D6691" s="30"/>
    </row>
    <row r="6692" spans="1:4" x14ac:dyDescent="0.25">
      <c r="A6692" s="31"/>
      <c r="D6692" s="30"/>
    </row>
    <row r="6693" spans="1:4" x14ac:dyDescent="0.25">
      <c r="A6693" s="31"/>
      <c r="D6693" s="30"/>
    </row>
    <row r="6694" spans="1:4" x14ac:dyDescent="0.25">
      <c r="A6694" s="31"/>
      <c r="D6694" s="30"/>
    </row>
    <row r="6695" spans="1:4" x14ac:dyDescent="0.25">
      <c r="A6695" s="31"/>
      <c r="D6695" s="30"/>
    </row>
    <row r="6696" spans="1:4" x14ac:dyDescent="0.25">
      <c r="A6696" s="31"/>
      <c r="D6696" s="30"/>
    </row>
    <row r="6697" spans="1:4" x14ac:dyDescent="0.25">
      <c r="A6697" s="31"/>
      <c r="D6697" s="30"/>
    </row>
    <row r="6698" spans="1:4" x14ac:dyDescent="0.25">
      <c r="A6698" s="31"/>
      <c r="D6698" s="30"/>
    </row>
    <row r="6699" spans="1:4" x14ac:dyDescent="0.25">
      <c r="A6699" s="31"/>
      <c r="D6699" s="30"/>
    </row>
    <row r="6700" spans="1:4" x14ac:dyDescent="0.25">
      <c r="A6700" s="31"/>
      <c r="D6700" s="30"/>
    </row>
    <row r="6701" spans="1:4" x14ac:dyDescent="0.25">
      <c r="A6701" s="31"/>
      <c r="D6701" s="30"/>
    </row>
    <row r="6702" spans="1:4" x14ac:dyDescent="0.25">
      <c r="A6702" s="31"/>
      <c r="D6702" s="30"/>
    </row>
    <row r="6703" spans="1:4" x14ac:dyDescent="0.25">
      <c r="A6703" s="31"/>
      <c r="D6703" s="30"/>
    </row>
    <row r="6704" spans="1:4" x14ac:dyDescent="0.25">
      <c r="A6704" s="31"/>
      <c r="D6704" s="30"/>
    </row>
    <row r="6705" spans="1:4" x14ac:dyDescent="0.25">
      <c r="A6705" s="31"/>
      <c r="D6705" s="30"/>
    </row>
    <row r="6706" spans="1:4" x14ac:dyDescent="0.25">
      <c r="A6706" s="31"/>
      <c r="D6706" s="30"/>
    </row>
    <row r="6707" spans="1:4" x14ac:dyDescent="0.25">
      <c r="A6707" s="31"/>
      <c r="D6707" s="30"/>
    </row>
    <row r="6708" spans="1:4" x14ac:dyDescent="0.25">
      <c r="A6708" s="31"/>
      <c r="D6708" s="30"/>
    </row>
    <row r="6709" spans="1:4" x14ac:dyDescent="0.25">
      <c r="A6709" s="31"/>
      <c r="D6709" s="30"/>
    </row>
    <row r="6710" spans="1:4" x14ac:dyDescent="0.25">
      <c r="A6710" s="31"/>
      <c r="D6710" s="30"/>
    </row>
    <row r="6711" spans="1:4" x14ac:dyDescent="0.25">
      <c r="A6711" s="31"/>
      <c r="D6711" s="30"/>
    </row>
    <row r="6712" spans="1:4" x14ac:dyDescent="0.25">
      <c r="A6712" s="31"/>
      <c r="D6712" s="30"/>
    </row>
    <row r="6713" spans="1:4" x14ac:dyDescent="0.25">
      <c r="A6713" s="31"/>
      <c r="D6713" s="30"/>
    </row>
    <row r="6714" spans="1:4" x14ac:dyDescent="0.25">
      <c r="A6714" s="31"/>
      <c r="D6714" s="30"/>
    </row>
    <row r="6715" spans="1:4" x14ac:dyDescent="0.25">
      <c r="A6715" s="31"/>
      <c r="D6715" s="30"/>
    </row>
    <row r="6716" spans="1:4" x14ac:dyDescent="0.25">
      <c r="A6716" s="31"/>
      <c r="D6716" s="30"/>
    </row>
    <row r="6717" spans="1:4" x14ac:dyDescent="0.25">
      <c r="A6717" s="31"/>
      <c r="D6717" s="30"/>
    </row>
    <row r="6718" spans="1:4" x14ac:dyDescent="0.25">
      <c r="A6718" s="31"/>
      <c r="D6718" s="30"/>
    </row>
    <row r="6719" spans="1:4" x14ac:dyDescent="0.25">
      <c r="A6719" s="31"/>
      <c r="D6719" s="30"/>
    </row>
    <row r="6720" spans="1:4" x14ac:dyDescent="0.25">
      <c r="A6720" s="31"/>
      <c r="D6720" s="30"/>
    </row>
    <row r="6721" spans="1:4" x14ac:dyDescent="0.25">
      <c r="A6721" s="31"/>
      <c r="D6721" s="30"/>
    </row>
    <row r="6722" spans="1:4" x14ac:dyDescent="0.25">
      <c r="A6722" s="31"/>
      <c r="D6722" s="30"/>
    </row>
    <row r="6723" spans="1:4" x14ac:dyDescent="0.25">
      <c r="A6723" s="31"/>
      <c r="D6723" s="30"/>
    </row>
    <row r="6724" spans="1:4" x14ac:dyDescent="0.25">
      <c r="A6724" s="31"/>
      <c r="D6724" s="30"/>
    </row>
    <row r="6725" spans="1:4" x14ac:dyDescent="0.25">
      <c r="A6725" s="31"/>
      <c r="D6725" s="30"/>
    </row>
    <row r="6726" spans="1:4" x14ac:dyDescent="0.25">
      <c r="A6726" s="31"/>
      <c r="D6726" s="30"/>
    </row>
    <row r="6727" spans="1:4" x14ac:dyDescent="0.25">
      <c r="A6727" s="31"/>
      <c r="D6727" s="30"/>
    </row>
    <row r="6728" spans="1:4" x14ac:dyDescent="0.25">
      <c r="A6728" s="31"/>
      <c r="D6728" s="30"/>
    </row>
    <row r="6729" spans="1:4" x14ac:dyDescent="0.25">
      <c r="A6729" s="31"/>
      <c r="D6729" s="30"/>
    </row>
    <row r="6730" spans="1:4" x14ac:dyDescent="0.25">
      <c r="A6730" s="31"/>
      <c r="D6730" s="30"/>
    </row>
    <row r="6731" spans="1:4" x14ac:dyDescent="0.25">
      <c r="A6731" s="31"/>
      <c r="D6731" s="30"/>
    </row>
    <row r="6732" spans="1:4" x14ac:dyDescent="0.25">
      <c r="A6732" s="31"/>
      <c r="D6732" s="30"/>
    </row>
    <row r="6733" spans="1:4" x14ac:dyDescent="0.25">
      <c r="A6733" s="31"/>
      <c r="D6733" s="30"/>
    </row>
    <row r="6734" spans="1:4" x14ac:dyDescent="0.25">
      <c r="A6734" s="31"/>
      <c r="D6734" s="30"/>
    </row>
    <row r="6735" spans="1:4" x14ac:dyDescent="0.25">
      <c r="A6735" s="31"/>
      <c r="D6735" s="30"/>
    </row>
    <row r="6736" spans="1:4" x14ac:dyDescent="0.25">
      <c r="A6736" s="31"/>
      <c r="D6736" s="30"/>
    </row>
    <row r="6737" spans="1:4" x14ac:dyDescent="0.25">
      <c r="A6737" s="31"/>
      <c r="D6737" s="30"/>
    </row>
    <row r="6738" spans="1:4" x14ac:dyDescent="0.25">
      <c r="A6738" s="31"/>
      <c r="D6738" s="30"/>
    </row>
    <row r="6739" spans="1:4" x14ac:dyDescent="0.25">
      <c r="A6739" s="31"/>
      <c r="D6739" s="30"/>
    </row>
    <row r="6740" spans="1:4" x14ac:dyDescent="0.25">
      <c r="A6740" s="31"/>
      <c r="D6740" s="30"/>
    </row>
    <row r="6741" spans="1:4" x14ac:dyDescent="0.25">
      <c r="A6741" s="31"/>
      <c r="D6741" s="30"/>
    </row>
    <row r="6742" spans="1:4" x14ac:dyDescent="0.25">
      <c r="A6742" s="31"/>
      <c r="D6742" s="30"/>
    </row>
    <row r="6743" spans="1:4" x14ac:dyDescent="0.25">
      <c r="A6743" s="31"/>
      <c r="D6743" s="30"/>
    </row>
    <row r="6744" spans="1:4" x14ac:dyDescent="0.25">
      <c r="A6744" s="31"/>
      <c r="D6744" s="30"/>
    </row>
    <row r="6745" spans="1:4" x14ac:dyDescent="0.25">
      <c r="A6745" s="31"/>
      <c r="D6745" s="30"/>
    </row>
    <row r="6746" spans="1:4" x14ac:dyDescent="0.25">
      <c r="A6746" s="31"/>
      <c r="D6746" s="30"/>
    </row>
    <row r="6747" spans="1:4" x14ac:dyDescent="0.25">
      <c r="A6747" s="31"/>
      <c r="D6747" s="30"/>
    </row>
    <row r="6748" spans="1:4" x14ac:dyDescent="0.25">
      <c r="A6748" s="31"/>
      <c r="D6748" s="30"/>
    </row>
    <row r="6749" spans="1:4" x14ac:dyDescent="0.25">
      <c r="A6749" s="31"/>
      <c r="D6749" s="30"/>
    </row>
    <row r="6750" spans="1:4" x14ac:dyDescent="0.25">
      <c r="A6750" s="31"/>
      <c r="D6750" s="30"/>
    </row>
    <row r="6751" spans="1:4" x14ac:dyDescent="0.25">
      <c r="A6751" s="31"/>
      <c r="D6751" s="30"/>
    </row>
    <row r="6752" spans="1:4" x14ac:dyDescent="0.25">
      <c r="A6752" s="31"/>
      <c r="D6752" s="30"/>
    </row>
    <row r="6753" spans="1:4" x14ac:dyDescent="0.25">
      <c r="A6753" s="31"/>
      <c r="D6753" s="30"/>
    </row>
    <row r="6754" spans="1:4" x14ac:dyDescent="0.25">
      <c r="A6754" s="31"/>
      <c r="D6754" s="30"/>
    </row>
    <row r="6755" spans="1:4" x14ac:dyDescent="0.25">
      <c r="A6755" s="31"/>
      <c r="D6755" s="30"/>
    </row>
    <row r="6756" spans="1:4" x14ac:dyDescent="0.25">
      <c r="A6756" s="31"/>
      <c r="D6756" s="30"/>
    </row>
    <row r="6757" spans="1:4" x14ac:dyDescent="0.25">
      <c r="A6757" s="31"/>
      <c r="D6757" s="30"/>
    </row>
    <row r="6758" spans="1:4" x14ac:dyDescent="0.25">
      <c r="A6758" s="31"/>
      <c r="D6758" s="30"/>
    </row>
    <row r="6759" spans="1:4" x14ac:dyDescent="0.25">
      <c r="A6759" s="31"/>
      <c r="D6759" s="30"/>
    </row>
    <row r="6760" spans="1:4" x14ac:dyDescent="0.25">
      <c r="A6760" s="31"/>
      <c r="D6760" s="30"/>
    </row>
    <row r="6761" spans="1:4" x14ac:dyDescent="0.25">
      <c r="A6761" s="31"/>
      <c r="D6761" s="30"/>
    </row>
    <row r="6762" spans="1:4" x14ac:dyDescent="0.25">
      <c r="A6762" s="31"/>
      <c r="D6762" s="30"/>
    </row>
    <row r="6763" spans="1:4" x14ac:dyDescent="0.25">
      <c r="A6763" s="31"/>
      <c r="D6763" s="30"/>
    </row>
    <row r="6764" spans="1:4" x14ac:dyDescent="0.25">
      <c r="A6764" s="31"/>
      <c r="D6764" s="30"/>
    </row>
    <row r="6765" spans="1:4" x14ac:dyDescent="0.25">
      <c r="A6765" s="31"/>
      <c r="D6765" s="30"/>
    </row>
    <row r="6766" spans="1:4" x14ac:dyDescent="0.25">
      <c r="A6766" s="31"/>
      <c r="D6766" s="30"/>
    </row>
    <row r="6767" spans="1:4" x14ac:dyDescent="0.25">
      <c r="A6767" s="31"/>
      <c r="D6767" s="30"/>
    </row>
    <row r="6768" spans="1:4" x14ac:dyDescent="0.25">
      <c r="A6768" s="31"/>
      <c r="D6768" s="30"/>
    </row>
    <row r="6769" spans="1:4" x14ac:dyDescent="0.25">
      <c r="A6769" s="31"/>
      <c r="D6769" s="30"/>
    </row>
    <row r="6770" spans="1:4" x14ac:dyDescent="0.25">
      <c r="A6770" s="31"/>
      <c r="D6770" s="30"/>
    </row>
    <row r="6771" spans="1:4" x14ac:dyDescent="0.25">
      <c r="A6771" s="31"/>
      <c r="D6771" s="30"/>
    </row>
    <row r="6772" spans="1:4" x14ac:dyDescent="0.25">
      <c r="A6772" s="31"/>
      <c r="D6772" s="30"/>
    </row>
    <row r="6773" spans="1:4" x14ac:dyDescent="0.25">
      <c r="A6773" s="31"/>
      <c r="D6773" s="30"/>
    </row>
    <row r="6774" spans="1:4" x14ac:dyDescent="0.25">
      <c r="A6774" s="31"/>
      <c r="D6774" s="30"/>
    </row>
    <row r="6775" spans="1:4" x14ac:dyDescent="0.25">
      <c r="A6775" s="31"/>
      <c r="D6775" s="30"/>
    </row>
    <row r="6776" spans="1:4" x14ac:dyDescent="0.25">
      <c r="A6776" s="31"/>
      <c r="D6776" s="30"/>
    </row>
    <row r="6777" spans="1:4" x14ac:dyDescent="0.25">
      <c r="A6777" s="31"/>
      <c r="D6777" s="30"/>
    </row>
    <row r="6778" spans="1:4" x14ac:dyDescent="0.25">
      <c r="A6778" s="31"/>
      <c r="D6778" s="30"/>
    </row>
    <row r="6779" spans="1:4" x14ac:dyDescent="0.25">
      <c r="A6779" s="31"/>
      <c r="D6779" s="30"/>
    </row>
    <row r="6780" spans="1:4" x14ac:dyDescent="0.25">
      <c r="A6780" s="31"/>
      <c r="D6780" s="30"/>
    </row>
    <row r="6781" spans="1:4" x14ac:dyDescent="0.25">
      <c r="A6781" s="31"/>
      <c r="D6781" s="30"/>
    </row>
    <row r="6782" spans="1:4" x14ac:dyDescent="0.25">
      <c r="A6782" s="31"/>
      <c r="D6782" s="30"/>
    </row>
    <row r="6783" spans="1:4" x14ac:dyDescent="0.25">
      <c r="A6783" s="31"/>
      <c r="D6783" s="30"/>
    </row>
    <row r="6784" spans="1:4" x14ac:dyDescent="0.25">
      <c r="A6784" s="31"/>
      <c r="D6784" s="30"/>
    </row>
    <row r="6785" spans="1:4" x14ac:dyDescent="0.25">
      <c r="A6785" s="31"/>
      <c r="D6785" s="30"/>
    </row>
    <row r="6786" spans="1:4" x14ac:dyDescent="0.25">
      <c r="A6786" s="31"/>
      <c r="D6786" s="30"/>
    </row>
    <row r="6787" spans="1:4" x14ac:dyDescent="0.25">
      <c r="A6787" s="31"/>
      <c r="D6787" s="30"/>
    </row>
    <row r="6788" spans="1:4" x14ac:dyDescent="0.25">
      <c r="A6788" s="31"/>
      <c r="D6788" s="30"/>
    </row>
    <row r="6789" spans="1:4" x14ac:dyDescent="0.25">
      <c r="A6789" s="31"/>
      <c r="D6789" s="30"/>
    </row>
    <row r="6790" spans="1:4" x14ac:dyDescent="0.25">
      <c r="A6790" s="31"/>
      <c r="D6790" s="30"/>
    </row>
    <row r="6791" spans="1:4" x14ac:dyDescent="0.25">
      <c r="A6791" s="31"/>
      <c r="D6791" s="30"/>
    </row>
    <row r="6792" spans="1:4" x14ac:dyDescent="0.25">
      <c r="A6792" s="31"/>
      <c r="D6792" s="30"/>
    </row>
    <row r="6793" spans="1:4" x14ac:dyDescent="0.25">
      <c r="A6793" s="31"/>
      <c r="D6793" s="30"/>
    </row>
    <row r="6794" spans="1:4" x14ac:dyDescent="0.25">
      <c r="A6794" s="31"/>
      <c r="D6794" s="30"/>
    </row>
    <row r="6795" spans="1:4" x14ac:dyDescent="0.25">
      <c r="A6795" s="31"/>
      <c r="D6795" s="30"/>
    </row>
    <row r="6796" spans="1:4" x14ac:dyDescent="0.25">
      <c r="A6796" s="31"/>
      <c r="D6796" s="30"/>
    </row>
    <row r="6797" spans="1:4" x14ac:dyDescent="0.25">
      <c r="A6797" s="31"/>
      <c r="D6797" s="30"/>
    </row>
    <row r="6798" spans="1:4" x14ac:dyDescent="0.25">
      <c r="A6798" s="31"/>
      <c r="D6798" s="30"/>
    </row>
    <row r="6799" spans="1:4" x14ac:dyDescent="0.25">
      <c r="A6799" s="31"/>
      <c r="D6799" s="30"/>
    </row>
    <row r="6800" spans="1:4" x14ac:dyDescent="0.25">
      <c r="A6800" s="31"/>
      <c r="D6800" s="30"/>
    </row>
    <row r="6801" spans="1:4" x14ac:dyDescent="0.25">
      <c r="A6801" s="31"/>
      <c r="D6801" s="30"/>
    </row>
    <row r="6802" spans="1:4" x14ac:dyDescent="0.25">
      <c r="A6802" s="31"/>
      <c r="D6802" s="30"/>
    </row>
    <row r="6803" spans="1:4" x14ac:dyDescent="0.25">
      <c r="A6803" s="31"/>
      <c r="D6803" s="30"/>
    </row>
    <row r="6804" spans="1:4" x14ac:dyDescent="0.25">
      <c r="A6804" s="31"/>
      <c r="D6804" s="30"/>
    </row>
    <row r="6805" spans="1:4" x14ac:dyDescent="0.25">
      <c r="A6805" s="31"/>
      <c r="D6805" s="30"/>
    </row>
    <row r="6806" spans="1:4" x14ac:dyDescent="0.25">
      <c r="A6806" s="31"/>
      <c r="D6806" s="30"/>
    </row>
    <row r="6807" spans="1:4" x14ac:dyDescent="0.25">
      <c r="A6807" s="31"/>
      <c r="D6807" s="30"/>
    </row>
    <row r="6808" spans="1:4" x14ac:dyDescent="0.25">
      <c r="A6808" s="31"/>
      <c r="D6808" s="30"/>
    </row>
    <row r="6809" spans="1:4" x14ac:dyDescent="0.25">
      <c r="A6809" s="31"/>
      <c r="D6809" s="30"/>
    </row>
    <row r="6810" spans="1:4" x14ac:dyDescent="0.25">
      <c r="A6810" s="31"/>
      <c r="D6810" s="30"/>
    </row>
    <row r="6811" spans="1:4" x14ac:dyDescent="0.25">
      <c r="A6811" s="31"/>
      <c r="D6811" s="30"/>
    </row>
    <row r="6812" spans="1:4" x14ac:dyDescent="0.25">
      <c r="A6812" s="31"/>
      <c r="D6812" s="30"/>
    </row>
    <row r="6813" spans="1:4" x14ac:dyDescent="0.25">
      <c r="A6813" s="31"/>
      <c r="D6813" s="30"/>
    </row>
    <row r="6814" spans="1:4" x14ac:dyDescent="0.25">
      <c r="A6814" s="31"/>
      <c r="D6814" s="30"/>
    </row>
    <row r="6815" spans="1:4" x14ac:dyDescent="0.25">
      <c r="A6815" s="31"/>
      <c r="D6815" s="30"/>
    </row>
    <row r="6816" spans="1:4" x14ac:dyDescent="0.25">
      <c r="A6816" s="31"/>
      <c r="D6816" s="30"/>
    </row>
    <row r="6817" spans="1:4" x14ac:dyDescent="0.25">
      <c r="A6817" s="31"/>
      <c r="D6817" s="30"/>
    </row>
    <row r="6818" spans="1:4" x14ac:dyDescent="0.25">
      <c r="A6818" s="31"/>
      <c r="D6818" s="30"/>
    </row>
    <row r="6819" spans="1:4" x14ac:dyDescent="0.25">
      <c r="A6819" s="31"/>
      <c r="D6819" s="30"/>
    </row>
    <row r="6820" spans="1:4" x14ac:dyDescent="0.25">
      <c r="A6820" s="31"/>
      <c r="D6820" s="30"/>
    </row>
    <row r="6821" spans="1:4" x14ac:dyDescent="0.25">
      <c r="A6821" s="31"/>
      <c r="D6821" s="30"/>
    </row>
    <row r="6822" spans="1:4" x14ac:dyDescent="0.25">
      <c r="A6822" s="31"/>
      <c r="D6822" s="30"/>
    </row>
    <row r="6823" spans="1:4" x14ac:dyDescent="0.25">
      <c r="A6823" s="31"/>
      <c r="D6823" s="30"/>
    </row>
    <row r="6824" spans="1:4" x14ac:dyDescent="0.25">
      <c r="A6824" s="31"/>
      <c r="D6824" s="30"/>
    </row>
    <row r="6825" spans="1:4" x14ac:dyDescent="0.25">
      <c r="A6825" s="31"/>
      <c r="D6825" s="30"/>
    </row>
    <row r="6826" spans="1:4" x14ac:dyDescent="0.25">
      <c r="A6826" s="31"/>
      <c r="D6826" s="30"/>
    </row>
    <row r="6827" spans="1:4" x14ac:dyDescent="0.25">
      <c r="A6827" s="31"/>
      <c r="D6827" s="30"/>
    </row>
    <row r="6828" spans="1:4" x14ac:dyDescent="0.25">
      <c r="A6828" s="31"/>
      <c r="D6828" s="30"/>
    </row>
    <row r="6829" spans="1:4" x14ac:dyDescent="0.25">
      <c r="A6829" s="31"/>
      <c r="D6829" s="30"/>
    </row>
    <row r="6830" spans="1:4" x14ac:dyDescent="0.25">
      <c r="A6830" s="31"/>
      <c r="D6830" s="30"/>
    </row>
    <row r="6831" spans="1:4" x14ac:dyDescent="0.25">
      <c r="A6831" s="31"/>
      <c r="D6831" s="30"/>
    </row>
    <row r="6832" spans="1:4" x14ac:dyDescent="0.25">
      <c r="A6832" s="31"/>
      <c r="D6832" s="30"/>
    </row>
    <row r="6833" spans="1:4" x14ac:dyDescent="0.25">
      <c r="A6833" s="31"/>
      <c r="D6833" s="30"/>
    </row>
    <row r="6834" spans="1:4" x14ac:dyDescent="0.25">
      <c r="A6834" s="31"/>
      <c r="D6834" s="30"/>
    </row>
    <row r="6835" spans="1:4" x14ac:dyDescent="0.25">
      <c r="A6835" s="31"/>
      <c r="D6835" s="30"/>
    </row>
    <row r="6836" spans="1:4" x14ac:dyDescent="0.25">
      <c r="A6836" s="31"/>
      <c r="D6836" s="30"/>
    </row>
    <row r="6837" spans="1:4" x14ac:dyDescent="0.25">
      <c r="A6837" s="31"/>
      <c r="D6837" s="30"/>
    </row>
    <row r="6838" spans="1:4" x14ac:dyDescent="0.25">
      <c r="A6838" s="31"/>
      <c r="D6838" s="30"/>
    </row>
    <row r="6839" spans="1:4" x14ac:dyDescent="0.25">
      <c r="A6839" s="31"/>
      <c r="D6839" s="30"/>
    </row>
    <row r="6840" spans="1:4" x14ac:dyDescent="0.25">
      <c r="A6840" s="31"/>
      <c r="D6840" s="30"/>
    </row>
    <row r="6841" spans="1:4" x14ac:dyDescent="0.25">
      <c r="A6841" s="31"/>
      <c r="D6841" s="30"/>
    </row>
    <row r="6842" spans="1:4" x14ac:dyDescent="0.25">
      <c r="A6842" s="31"/>
      <c r="D6842" s="30"/>
    </row>
    <row r="6843" spans="1:4" x14ac:dyDescent="0.25">
      <c r="A6843" s="31"/>
      <c r="D6843" s="30"/>
    </row>
    <row r="6844" spans="1:4" x14ac:dyDescent="0.25">
      <c r="A6844" s="31"/>
      <c r="D6844" s="30"/>
    </row>
    <row r="6845" spans="1:4" x14ac:dyDescent="0.25">
      <c r="A6845" s="31"/>
      <c r="D6845" s="30"/>
    </row>
    <row r="6846" spans="1:4" x14ac:dyDescent="0.25">
      <c r="A6846" s="31"/>
      <c r="D6846" s="30"/>
    </row>
    <row r="6847" spans="1:4" x14ac:dyDescent="0.25">
      <c r="A6847" s="31"/>
      <c r="D6847" s="30"/>
    </row>
    <row r="6848" spans="1:4" x14ac:dyDescent="0.25">
      <c r="A6848" s="31"/>
      <c r="D6848" s="30"/>
    </row>
    <row r="6849" spans="1:4" x14ac:dyDescent="0.25">
      <c r="A6849" s="31"/>
      <c r="D6849" s="30"/>
    </row>
    <row r="6850" spans="1:4" x14ac:dyDescent="0.25">
      <c r="A6850" s="31"/>
      <c r="D6850" s="30"/>
    </row>
    <row r="6851" spans="1:4" x14ac:dyDescent="0.25">
      <c r="A6851" s="31"/>
      <c r="D6851" s="30"/>
    </row>
    <row r="6852" spans="1:4" x14ac:dyDescent="0.25">
      <c r="A6852" s="31"/>
      <c r="D6852" s="30"/>
    </row>
    <row r="6853" spans="1:4" x14ac:dyDescent="0.25">
      <c r="A6853" s="31"/>
      <c r="D6853" s="30"/>
    </row>
    <row r="6854" spans="1:4" x14ac:dyDescent="0.25">
      <c r="A6854" s="31"/>
      <c r="D6854" s="30"/>
    </row>
    <row r="6855" spans="1:4" x14ac:dyDescent="0.25">
      <c r="A6855" s="31"/>
      <c r="D6855" s="30"/>
    </row>
    <row r="6856" spans="1:4" x14ac:dyDescent="0.25">
      <c r="A6856" s="31"/>
      <c r="D6856" s="30"/>
    </row>
    <row r="6857" spans="1:4" x14ac:dyDescent="0.25">
      <c r="A6857" s="31"/>
      <c r="D6857" s="30"/>
    </row>
    <row r="6858" spans="1:4" x14ac:dyDescent="0.25">
      <c r="A6858" s="31"/>
      <c r="D6858" s="30"/>
    </row>
    <row r="6859" spans="1:4" x14ac:dyDescent="0.25">
      <c r="A6859" s="31"/>
      <c r="D6859" s="30"/>
    </row>
    <row r="6860" spans="1:4" x14ac:dyDescent="0.25">
      <c r="A6860" s="31"/>
      <c r="D6860" s="30"/>
    </row>
    <row r="6861" spans="1:4" x14ac:dyDescent="0.25">
      <c r="A6861" s="31"/>
      <c r="D6861" s="30"/>
    </row>
    <row r="6862" spans="1:4" x14ac:dyDescent="0.25">
      <c r="A6862" s="31"/>
      <c r="D6862" s="30"/>
    </row>
    <row r="6863" spans="1:4" x14ac:dyDescent="0.25">
      <c r="A6863" s="31"/>
      <c r="D6863" s="30"/>
    </row>
    <row r="6864" spans="1:4" x14ac:dyDescent="0.25">
      <c r="A6864" s="31"/>
      <c r="D6864" s="30"/>
    </row>
    <row r="6865" spans="1:4" x14ac:dyDescent="0.25">
      <c r="A6865" s="31"/>
      <c r="D6865" s="30"/>
    </row>
    <row r="6866" spans="1:4" x14ac:dyDescent="0.25">
      <c r="A6866" s="31"/>
      <c r="D6866" s="30"/>
    </row>
    <row r="6867" spans="1:4" x14ac:dyDescent="0.25">
      <c r="A6867" s="31"/>
      <c r="D6867" s="30"/>
    </row>
    <row r="6868" spans="1:4" x14ac:dyDescent="0.25">
      <c r="A6868" s="31"/>
      <c r="D6868" s="30"/>
    </row>
    <row r="6869" spans="1:4" x14ac:dyDescent="0.25">
      <c r="A6869" s="31"/>
      <c r="D6869" s="30"/>
    </row>
    <row r="6870" spans="1:4" x14ac:dyDescent="0.25">
      <c r="A6870" s="31"/>
      <c r="D6870" s="30"/>
    </row>
    <row r="6871" spans="1:4" x14ac:dyDescent="0.25">
      <c r="A6871" s="31"/>
      <c r="D6871" s="30"/>
    </row>
    <row r="6872" spans="1:4" x14ac:dyDescent="0.25">
      <c r="A6872" s="31"/>
      <c r="D6872" s="30"/>
    </row>
    <row r="6873" spans="1:4" x14ac:dyDescent="0.25">
      <c r="A6873" s="31"/>
      <c r="D6873" s="30"/>
    </row>
    <row r="6874" spans="1:4" x14ac:dyDescent="0.25">
      <c r="A6874" s="31"/>
      <c r="D6874" s="30"/>
    </row>
    <row r="6875" spans="1:4" x14ac:dyDescent="0.25">
      <c r="A6875" s="31"/>
      <c r="D6875" s="30"/>
    </row>
    <row r="6876" spans="1:4" x14ac:dyDescent="0.25">
      <c r="A6876" s="31"/>
      <c r="D6876" s="30"/>
    </row>
    <row r="6877" spans="1:4" x14ac:dyDescent="0.25">
      <c r="A6877" s="31"/>
      <c r="D6877" s="30"/>
    </row>
    <row r="6878" spans="1:4" x14ac:dyDescent="0.25">
      <c r="A6878" s="31"/>
      <c r="D6878" s="30"/>
    </row>
    <row r="6879" spans="1:4" x14ac:dyDescent="0.25">
      <c r="A6879" s="31"/>
      <c r="D6879" s="30"/>
    </row>
    <row r="6880" spans="1:4" x14ac:dyDescent="0.25">
      <c r="A6880" s="31"/>
      <c r="D6880" s="30"/>
    </row>
    <row r="6881" spans="1:4" x14ac:dyDescent="0.25">
      <c r="A6881" s="31"/>
      <c r="D6881" s="30"/>
    </row>
    <row r="6882" spans="1:4" x14ac:dyDescent="0.25">
      <c r="A6882" s="31"/>
      <c r="D6882" s="30"/>
    </row>
    <row r="6883" spans="1:4" x14ac:dyDescent="0.25">
      <c r="A6883" s="31"/>
      <c r="D6883" s="30"/>
    </row>
    <row r="6884" spans="1:4" x14ac:dyDescent="0.25">
      <c r="A6884" s="31"/>
      <c r="D6884" s="30"/>
    </row>
    <row r="6885" spans="1:4" x14ac:dyDescent="0.25">
      <c r="A6885" s="31"/>
      <c r="D6885" s="30"/>
    </row>
    <row r="6886" spans="1:4" x14ac:dyDescent="0.25">
      <c r="A6886" s="31"/>
      <c r="D6886" s="30"/>
    </row>
    <row r="6887" spans="1:4" x14ac:dyDescent="0.25">
      <c r="A6887" s="31"/>
      <c r="D6887" s="30"/>
    </row>
    <row r="6888" spans="1:4" x14ac:dyDescent="0.25">
      <c r="A6888" s="31"/>
      <c r="D6888" s="30"/>
    </row>
    <row r="6889" spans="1:4" x14ac:dyDescent="0.25">
      <c r="A6889" s="31"/>
      <c r="D6889" s="30"/>
    </row>
    <row r="6890" spans="1:4" x14ac:dyDescent="0.25">
      <c r="A6890" s="31"/>
      <c r="D6890" s="30"/>
    </row>
    <row r="6891" spans="1:4" x14ac:dyDescent="0.25">
      <c r="A6891" s="31"/>
      <c r="D6891" s="30"/>
    </row>
    <row r="6892" spans="1:4" x14ac:dyDescent="0.25">
      <c r="A6892" s="31"/>
      <c r="D6892" s="30"/>
    </row>
    <row r="6893" spans="1:4" x14ac:dyDescent="0.25">
      <c r="A6893" s="31"/>
      <c r="D6893" s="30"/>
    </row>
    <row r="6894" spans="1:4" x14ac:dyDescent="0.25">
      <c r="A6894" s="31"/>
      <c r="D6894" s="30"/>
    </row>
    <row r="6895" spans="1:4" x14ac:dyDescent="0.25">
      <c r="A6895" s="31"/>
      <c r="D6895" s="30"/>
    </row>
    <row r="6896" spans="1:4" x14ac:dyDescent="0.25">
      <c r="A6896" s="31"/>
      <c r="D6896" s="30"/>
    </row>
    <row r="6897" spans="1:4" x14ac:dyDescent="0.25">
      <c r="A6897" s="31"/>
      <c r="D6897" s="30"/>
    </row>
    <row r="6898" spans="1:4" x14ac:dyDescent="0.25">
      <c r="A6898" s="31"/>
      <c r="D6898" s="30"/>
    </row>
    <row r="6899" spans="1:4" x14ac:dyDescent="0.25">
      <c r="A6899" s="31"/>
      <c r="D6899" s="30"/>
    </row>
    <row r="6900" spans="1:4" x14ac:dyDescent="0.25">
      <c r="A6900" s="31"/>
      <c r="D6900" s="30"/>
    </row>
    <row r="6901" spans="1:4" x14ac:dyDescent="0.25">
      <c r="A6901" s="31"/>
      <c r="D6901" s="30"/>
    </row>
    <row r="6902" spans="1:4" x14ac:dyDescent="0.25">
      <c r="A6902" s="31"/>
      <c r="D6902" s="30"/>
    </row>
    <row r="6903" spans="1:4" x14ac:dyDescent="0.25">
      <c r="A6903" s="31"/>
      <c r="D6903" s="30"/>
    </row>
    <row r="6904" spans="1:4" x14ac:dyDescent="0.25">
      <c r="A6904" s="31"/>
      <c r="D6904" s="30"/>
    </row>
    <row r="6905" spans="1:4" x14ac:dyDescent="0.25">
      <c r="A6905" s="31"/>
      <c r="D6905" s="30"/>
    </row>
    <row r="6906" spans="1:4" x14ac:dyDescent="0.25">
      <c r="A6906" s="31"/>
      <c r="D6906" s="30"/>
    </row>
    <row r="6907" spans="1:4" x14ac:dyDescent="0.25">
      <c r="A6907" s="31"/>
      <c r="D6907" s="30"/>
    </row>
    <row r="6908" spans="1:4" x14ac:dyDescent="0.25">
      <c r="A6908" s="31"/>
      <c r="D6908" s="30"/>
    </row>
    <row r="6909" spans="1:4" x14ac:dyDescent="0.25">
      <c r="A6909" s="31"/>
      <c r="D6909" s="30"/>
    </row>
    <row r="6910" spans="1:4" x14ac:dyDescent="0.25">
      <c r="A6910" s="31"/>
      <c r="D6910" s="30"/>
    </row>
    <row r="6911" spans="1:4" x14ac:dyDescent="0.25">
      <c r="A6911" s="31"/>
      <c r="D6911" s="30"/>
    </row>
    <row r="6912" spans="1:4" x14ac:dyDescent="0.25">
      <c r="A6912" s="31"/>
      <c r="D6912" s="30"/>
    </row>
    <row r="6913" spans="1:4" x14ac:dyDescent="0.25">
      <c r="A6913" s="31"/>
      <c r="D6913" s="30"/>
    </row>
    <row r="6914" spans="1:4" x14ac:dyDescent="0.25">
      <c r="A6914" s="31"/>
      <c r="D6914" s="30"/>
    </row>
    <row r="6915" spans="1:4" x14ac:dyDescent="0.25">
      <c r="A6915" s="31"/>
      <c r="D6915" s="30"/>
    </row>
    <row r="6916" spans="1:4" x14ac:dyDescent="0.25">
      <c r="A6916" s="31"/>
      <c r="D6916" s="30"/>
    </row>
    <row r="6917" spans="1:4" x14ac:dyDescent="0.25">
      <c r="A6917" s="31"/>
      <c r="D6917" s="30"/>
    </row>
    <row r="6918" spans="1:4" x14ac:dyDescent="0.25">
      <c r="A6918" s="31"/>
      <c r="D6918" s="30"/>
    </row>
    <row r="6919" spans="1:4" x14ac:dyDescent="0.25">
      <c r="A6919" s="31"/>
      <c r="D6919" s="30"/>
    </row>
    <row r="6920" spans="1:4" x14ac:dyDescent="0.25">
      <c r="A6920" s="31"/>
      <c r="D6920" s="30"/>
    </row>
    <row r="6921" spans="1:4" x14ac:dyDescent="0.25">
      <c r="A6921" s="31"/>
      <c r="D6921" s="30"/>
    </row>
    <row r="6922" spans="1:4" x14ac:dyDescent="0.25">
      <c r="A6922" s="31"/>
      <c r="D6922" s="30"/>
    </row>
    <row r="6923" spans="1:4" x14ac:dyDescent="0.25">
      <c r="A6923" s="31"/>
      <c r="D6923" s="30"/>
    </row>
    <row r="6924" spans="1:4" x14ac:dyDescent="0.25">
      <c r="A6924" s="31"/>
      <c r="D6924" s="30"/>
    </row>
    <row r="6925" spans="1:4" x14ac:dyDescent="0.25">
      <c r="A6925" s="31"/>
      <c r="D6925" s="30"/>
    </row>
    <row r="6926" spans="1:4" x14ac:dyDescent="0.25">
      <c r="A6926" s="31"/>
      <c r="D6926" s="30"/>
    </row>
    <row r="6927" spans="1:4" x14ac:dyDescent="0.25">
      <c r="A6927" s="31"/>
      <c r="D6927" s="30"/>
    </row>
    <row r="6928" spans="1:4" x14ac:dyDescent="0.25">
      <c r="A6928" s="31"/>
      <c r="D6928" s="30"/>
    </row>
    <row r="6929" spans="1:4" x14ac:dyDescent="0.25">
      <c r="A6929" s="31"/>
      <c r="D6929" s="30"/>
    </row>
    <row r="6930" spans="1:4" x14ac:dyDescent="0.25">
      <c r="A6930" s="31"/>
      <c r="D6930" s="30"/>
    </row>
    <row r="6931" spans="1:4" x14ac:dyDescent="0.25">
      <c r="A6931" s="31"/>
      <c r="D6931" s="30"/>
    </row>
    <row r="6932" spans="1:4" x14ac:dyDescent="0.25">
      <c r="A6932" s="31"/>
      <c r="D6932" s="30"/>
    </row>
    <row r="6933" spans="1:4" x14ac:dyDescent="0.25">
      <c r="A6933" s="31"/>
      <c r="D6933" s="30"/>
    </row>
    <row r="6934" spans="1:4" x14ac:dyDescent="0.25">
      <c r="A6934" s="31"/>
      <c r="D6934" s="30"/>
    </row>
    <row r="6935" spans="1:4" x14ac:dyDescent="0.25">
      <c r="A6935" s="31"/>
      <c r="D6935" s="30"/>
    </row>
    <row r="6936" spans="1:4" x14ac:dyDescent="0.25">
      <c r="A6936" s="31"/>
      <c r="D6936" s="30"/>
    </row>
    <row r="6937" spans="1:4" x14ac:dyDescent="0.25">
      <c r="A6937" s="31"/>
      <c r="D6937" s="30"/>
    </row>
    <row r="6938" spans="1:4" x14ac:dyDescent="0.25">
      <c r="A6938" s="31"/>
      <c r="D6938" s="30"/>
    </row>
    <row r="6939" spans="1:4" x14ac:dyDescent="0.25">
      <c r="A6939" s="31"/>
      <c r="D6939" s="30"/>
    </row>
    <row r="6940" spans="1:4" x14ac:dyDescent="0.25">
      <c r="A6940" s="31"/>
      <c r="D6940" s="30"/>
    </row>
    <row r="6941" spans="1:4" x14ac:dyDescent="0.25">
      <c r="A6941" s="31"/>
      <c r="D6941" s="30"/>
    </row>
    <row r="6942" spans="1:4" x14ac:dyDescent="0.25">
      <c r="A6942" s="31"/>
      <c r="D6942" s="30"/>
    </row>
    <row r="6943" spans="1:4" x14ac:dyDescent="0.25">
      <c r="A6943" s="31"/>
      <c r="D6943" s="30"/>
    </row>
    <row r="6944" spans="1:4" x14ac:dyDescent="0.25">
      <c r="A6944" s="31"/>
      <c r="D6944" s="30"/>
    </row>
    <row r="6945" spans="1:4" x14ac:dyDescent="0.25">
      <c r="A6945" s="31"/>
      <c r="D6945" s="30"/>
    </row>
    <row r="6946" spans="1:4" x14ac:dyDescent="0.25">
      <c r="A6946" s="31"/>
      <c r="D6946" s="30"/>
    </row>
    <row r="6947" spans="1:4" x14ac:dyDescent="0.25">
      <c r="A6947" s="31"/>
      <c r="D6947" s="30"/>
    </row>
    <row r="6948" spans="1:4" x14ac:dyDescent="0.25">
      <c r="A6948" s="31"/>
      <c r="D6948" s="30"/>
    </row>
    <row r="6949" spans="1:4" x14ac:dyDescent="0.25">
      <c r="A6949" s="31"/>
      <c r="D6949" s="30"/>
    </row>
    <row r="6950" spans="1:4" x14ac:dyDescent="0.25">
      <c r="A6950" s="31"/>
      <c r="D6950" s="30"/>
    </row>
    <row r="6951" spans="1:4" x14ac:dyDescent="0.25">
      <c r="A6951" s="31"/>
      <c r="D6951" s="30"/>
    </row>
    <row r="6952" spans="1:4" x14ac:dyDescent="0.25">
      <c r="A6952" s="31"/>
      <c r="D6952" s="30"/>
    </row>
    <row r="6953" spans="1:4" x14ac:dyDescent="0.25">
      <c r="A6953" s="31"/>
      <c r="D6953" s="30"/>
    </row>
    <row r="6954" spans="1:4" x14ac:dyDescent="0.25">
      <c r="A6954" s="31"/>
      <c r="D6954" s="30"/>
    </row>
    <row r="6955" spans="1:4" x14ac:dyDescent="0.25">
      <c r="A6955" s="31"/>
      <c r="D6955" s="30"/>
    </row>
    <row r="6956" spans="1:4" x14ac:dyDescent="0.25">
      <c r="A6956" s="31"/>
      <c r="D6956" s="30"/>
    </row>
    <row r="6957" spans="1:4" x14ac:dyDescent="0.25">
      <c r="A6957" s="31"/>
      <c r="D6957" s="30"/>
    </row>
    <row r="6958" spans="1:4" x14ac:dyDescent="0.25">
      <c r="A6958" s="31"/>
      <c r="D6958" s="30"/>
    </row>
    <row r="6959" spans="1:4" x14ac:dyDescent="0.25">
      <c r="A6959" s="31"/>
      <c r="D6959" s="30"/>
    </row>
    <row r="6960" spans="1:4" x14ac:dyDescent="0.25">
      <c r="A6960" s="31"/>
      <c r="D6960" s="30"/>
    </row>
    <row r="6961" spans="1:4" x14ac:dyDescent="0.25">
      <c r="A6961" s="31"/>
      <c r="D6961" s="30"/>
    </row>
    <row r="6962" spans="1:4" x14ac:dyDescent="0.25">
      <c r="A6962" s="31"/>
      <c r="D6962" s="30"/>
    </row>
    <row r="6963" spans="1:4" x14ac:dyDescent="0.25">
      <c r="A6963" s="31"/>
      <c r="D6963" s="30"/>
    </row>
    <row r="6964" spans="1:4" x14ac:dyDescent="0.25">
      <c r="A6964" s="31"/>
      <c r="D6964" s="30"/>
    </row>
    <row r="6965" spans="1:4" x14ac:dyDescent="0.25">
      <c r="A6965" s="31"/>
      <c r="D6965" s="30"/>
    </row>
    <row r="6966" spans="1:4" x14ac:dyDescent="0.25">
      <c r="A6966" s="31"/>
      <c r="D6966" s="30"/>
    </row>
    <row r="6967" spans="1:4" x14ac:dyDescent="0.25">
      <c r="A6967" s="31"/>
      <c r="D6967" s="30"/>
    </row>
    <row r="6968" spans="1:4" x14ac:dyDescent="0.25">
      <c r="A6968" s="31"/>
      <c r="D6968" s="30"/>
    </row>
    <row r="6969" spans="1:4" x14ac:dyDescent="0.25">
      <c r="A6969" s="31"/>
      <c r="D6969" s="30"/>
    </row>
    <row r="6970" spans="1:4" x14ac:dyDescent="0.25">
      <c r="A6970" s="31"/>
      <c r="D6970" s="30"/>
    </row>
    <row r="6971" spans="1:4" x14ac:dyDescent="0.25">
      <c r="A6971" s="31"/>
      <c r="D6971" s="30"/>
    </row>
    <row r="6972" spans="1:4" x14ac:dyDescent="0.25">
      <c r="A6972" s="31"/>
      <c r="D6972" s="30"/>
    </row>
    <row r="6973" spans="1:4" x14ac:dyDescent="0.25">
      <c r="A6973" s="31"/>
      <c r="D6973" s="30"/>
    </row>
    <row r="6974" spans="1:4" x14ac:dyDescent="0.25">
      <c r="A6974" s="31"/>
      <c r="D6974" s="30"/>
    </row>
    <row r="6975" spans="1:4" x14ac:dyDescent="0.25">
      <c r="A6975" s="31"/>
      <c r="D6975" s="30"/>
    </row>
    <row r="6976" spans="1:4" x14ac:dyDescent="0.25">
      <c r="A6976" s="31"/>
      <c r="D6976" s="30"/>
    </row>
    <row r="6977" spans="1:4" x14ac:dyDescent="0.25">
      <c r="A6977" s="31"/>
      <c r="D6977" s="30"/>
    </row>
    <row r="6978" spans="1:4" x14ac:dyDescent="0.25">
      <c r="A6978" s="31"/>
      <c r="D6978" s="30"/>
    </row>
    <row r="6979" spans="1:4" x14ac:dyDescent="0.25">
      <c r="A6979" s="31"/>
      <c r="D6979" s="30"/>
    </row>
    <row r="6980" spans="1:4" x14ac:dyDescent="0.25">
      <c r="A6980" s="31"/>
      <c r="D6980" s="30"/>
    </row>
    <row r="6981" spans="1:4" x14ac:dyDescent="0.25">
      <c r="A6981" s="31"/>
      <c r="D6981" s="30"/>
    </row>
    <row r="6982" spans="1:4" x14ac:dyDescent="0.25">
      <c r="A6982" s="31"/>
      <c r="D6982" s="30"/>
    </row>
    <row r="6983" spans="1:4" x14ac:dyDescent="0.25">
      <c r="A6983" s="31"/>
      <c r="D6983" s="30"/>
    </row>
    <row r="6984" spans="1:4" x14ac:dyDescent="0.25">
      <c r="A6984" s="31"/>
      <c r="D6984" s="30"/>
    </row>
    <row r="6985" spans="1:4" x14ac:dyDescent="0.25">
      <c r="A6985" s="31"/>
      <c r="D6985" s="30"/>
    </row>
    <row r="6986" spans="1:4" x14ac:dyDescent="0.25">
      <c r="A6986" s="31"/>
      <c r="D6986" s="30"/>
    </row>
    <row r="6987" spans="1:4" x14ac:dyDescent="0.25">
      <c r="A6987" s="31"/>
      <c r="D6987" s="30"/>
    </row>
    <row r="6988" spans="1:4" x14ac:dyDescent="0.25">
      <c r="A6988" s="31"/>
      <c r="D6988" s="30"/>
    </row>
    <row r="6989" spans="1:4" x14ac:dyDescent="0.25">
      <c r="A6989" s="31"/>
      <c r="D6989" s="30"/>
    </row>
    <row r="6990" spans="1:4" x14ac:dyDescent="0.25">
      <c r="A6990" s="31"/>
      <c r="D6990" s="30"/>
    </row>
    <row r="6991" spans="1:4" x14ac:dyDescent="0.25">
      <c r="A6991" s="31"/>
      <c r="D6991" s="30"/>
    </row>
    <row r="6992" spans="1:4" x14ac:dyDescent="0.25">
      <c r="A6992" s="31"/>
      <c r="D6992" s="30"/>
    </row>
    <row r="6993" spans="1:4" x14ac:dyDescent="0.25">
      <c r="A6993" s="31"/>
      <c r="D6993" s="30"/>
    </row>
    <row r="6994" spans="1:4" x14ac:dyDescent="0.25">
      <c r="A6994" s="31"/>
      <c r="D6994" s="30"/>
    </row>
    <row r="6995" spans="1:4" x14ac:dyDescent="0.25">
      <c r="A6995" s="31"/>
      <c r="D6995" s="30"/>
    </row>
    <row r="6996" spans="1:4" x14ac:dyDescent="0.25">
      <c r="A6996" s="31"/>
      <c r="D6996" s="30"/>
    </row>
    <row r="6997" spans="1:4" x14ac:dyDescent="0.25">
      <c r="A6997" s="31"/>
      <c r="D6997" s="30"/>
    </row>
    <row r="6998" spans="1:4" x14ac:dyDescent="0.25">
      <c r="A6998" s="31"/>
      <c r="D6998" s="30"/>
    </row>
    <row r="6999" spans="1:4" x14ac:dyDescent="0.25">
      <c r="A6999" s="31"/>
      <c r="D6999" s="30"/>
    </row>
    <row r="7000" spans="1:4" x14ac:dyDescent="0.25">
      <c r="A7000" s="31"/>
      <c r="D7000" s="30"/>
    </row>
    <row r="7001" spans="1:4" x14ac:dyDescent="0.25">
      <c r="A7001" s="31"/>
      <c r="D7001" s="30"/>
    </row>
    <row r="7002" spans="1:4" x14ac:dyDescent="0.25">
      <c r="A7002" s="31"/>
      <c r="D7002" s="30"/>
    </row>
    <row r="7003" spans="1:4" x14ac:dyDescent="0.25">
      <c r="A7003" s="31"/>
      <c r="D7003" s="30"/>
    </row>
    <row r="7004" spans="1:4" x14ac:dyDescent="0.25">
      <c r="A7004" s="31"/>
      <c r="D7004" s="30"/>
    </row>
    <row r="7005" spans="1:4" x14ac:dyDescent="0.25">
      <c r="A7005" s="31"/>
      <c r="D7005" s="30"/>
    </row>
    <row r="7006" spans="1:4" x14ac:dyDescent="0.25">
      <c r="A7006" s="31"/>
      <c r="D7006" s="30"/>
    </row>
    <row r="7007" spans="1:4" x14ac:dyDescent="0.25">
      <c r="A7007" s="31"/>
      <c r="D7007" s="30"/>
    </row>
    <row r="7008" spans="1:4" x14ac:dyDescent="0.25">
      <c r="A7008" s="31"/>
      <c r="D7008" s="30"/>
    </row>
    <row r="7009" spans="1:4" x14ac:dyDescent="0.25">
      <c r="A7009" s="31"/>
      <c r="D7009" s="30"/>
    </row>
    <row r="7010" spans="1:4" x14ac:dyDescent="0.25">
      <c r="A7010" s="31"/>
      <c r="D7010" s="30"/>
    </row>
    <row r="7011" spans="1:4" x14ac:dyDescent="0.25">
      <c r="A7011" s="31"/>
      <c r="D7011" s="30"/>
    </row>
    <row r="7012" spans="1:4" x14ac:dyDescent="0.25">
      <c r="A7012" s="31"/>
      <c r="D7012" s="30"/>
    </row>
    <row r="7013" spans="1:4" x14ac:dyDescent="0.25">
      <c r="A7013" s="31"/>
      <c r="D7013" s="30"/>
    </row>
    <row r="7014" spans="1:4" x14ac:dyDescent="0.25">
      <c r="A7014" s="31"/>
      <c r="D7014" s="30"/>
    </row>
    <row r="7015" spans="1:4" x14ac:dyDescent="0.25">
      <c r="A7015" s="31"/>
      <c r="D7015" s="30"/>
    </row>
    <row r="7016" spans="1:4" x14ac:dyDescent="0.25">
      <c r="A7016" s="31"/>
      <c r="D7016" s="30"/>
    </row>
    <row r="7017" spans="1:4" x14ac:dyDescent="0.25">
      <c r="A7017" s="31"/>
      <c r="D7017" s="30"/>
    </row>
    <row r="7018" spans="1:4" x14ac:dyDescent="0.25">
      <c r="A7018" s="31"/>
      <c r="D7018" s="30"/>
    </row>
    <row r="7019" spans="1:4" x14ac:dyDescent="0.25">
      <c r="A7019" s="31"/>
      <c r="D7019" s="30"/>
    </row>
    <row r="7020" spans="1:4" x14ac:dyDescent="0.25">
      <c r="A7020" s="31"/>
      <c r="D7020" s="30"/>
    </row>
    <row r="7021" spans="1:4" x14ac:dyDescent="0.25">
      <c r="A7021" s="31"/>
      <c r="D7021" s="30"/>
    </row>
    <row r="7022" spans="1:4" x14ac:dyDescent="0.25">
      <c r="A7022" s="31"/>
      <c r="D7022" s="30"/>
    </row>
    <row r="7023" spans="1:4" x14ac:dyDescent="0.25">
      <c r="A7023" s="31"/>
      <c r="D7023" s="30"/>
    </row>
    <row r="7024" spans="1:4" x14ac:dyDescent="0.25">
      <c r="A7024" s="31"/>
      <c r="D7024" s="30"/>
    </row>
    <row r="7025" spans="1:4" x14ac:dyDescent="0.25">
      <c r="A7025" s="31"/>
      <c r="D7025" s="30"/>
    </row>
    <row r="7026" spans="1:4" x14ac:dyDescent="0.25">
      <c r="A7026" s="31"/>
      <c r="D7026" s="30"/>
    </row>
    <row r="7027" spans="1:4" x14ac:dyDescent="0.25">
      <c r="A7027" s="31"/>
      <c r="D7027" s="30"/>
    </row>
    <row r="7028" spans="1:4" x14ac:dyDescent="0.25">
      <c r="A7028" s="31"/>
      <c r="D7028" s="30"/>
    </row>
    <row r="7029" spans="1:4" x14ac:dyDescent="0.25">
      <c r="A7029" s="31"/>
      <c r="D7029" s="30"/>
    </row>
    <row r="7030" spans="1:4" x14ac:dyDescent="0.25">
      <c r="A7030" s="31"/>
      <c r="D7030" s="30"/>
    </row>
    <row r="7031" spans="1:4" x14ac:dyDescent="0.25">
      <c r="A7031" s="31"/>
      <c r="D7031" s="30"/>
    </row>
    <row r="7032" spans="1:4" x14ac:dyDescent="0.25">
      <c r="A7032" s="31"/>
      <c r="D7032" s="30"/>
    </row>
    <row r="7033" spans="1:4" x14ac:dyDescent="0.25">
      <c r="A7033" s="31"/>
      <c r="D7033" s="30"/>
    </row>
    <row r="7034" spans="1:4" x14ac:dyDescent="0.25">
      <c r="A7034" s="31"/>
      <c r="D7034" s="30"/>
    </row>
    <row r="7035" spans="1:4" x14ac:dyDescent="0.25">
      <c r="A7035" s="31"/>
      <c r="D7035" s="30"/>
    </row>
    <row r="7036" spans="1:4" x14ac:dyDescent="0.25">
      <c r="A7036" s="31"/>
      <c r="D7036" s="30"/>
    </row>
    <row r="7037" spans="1:4" x14ac:dyDescent="0.25">
      <c r="A7037" s="31"/>
      <c r="D7037" s="30"/>
    </row>
    <row r="7038" spans="1:4" x14ac:dyDescent="0.25">
      <c r="A7038" s="31"/>
      <c r="D7038" s="30"/>
    </row>
    <row r="7039" spans="1:4" x14ac:dyDescent="0.25">
      <c r="A7039" s="31"/>
      <c r="D7039" s="30"/>
    </row>
    <row r="7040" spans="1:4" x14ac:dyDescent="0.25">
      <c r="A7040" s="31"/>
      <c r="D7040" s="30"/>
    </row>
    <row r="7041" spans="1:4" x14ac:dyDescent="0.25">
      <c r="A7041" s="31"/>
      <c r="D7041" s="30"/>
    </row>
    <row r="7042" spans="1:4" x14ac:dyDescent="0.25">
      <c r="A7042" s="31"/>
      <c r="D7042" s="30"/>
    </row>
    <row r="7043" spans="1:4" x14ac:dyDescent="0.25">
      <c r="A7043" s="31"/>
      <c r="D7043" s="30"/>
    </row>
    <row r="7044" spans="1:4" x14ac:dyDescent="0.25">
      <c r="A7044" s="31"/>
      <c r="D7044" s="30"/>
    </row>
    <row r="7045" spans="1:4" x14ac:dyDescent="0.25">
      <c r="A7045" s="31"/>
      <c r="D7045" s="30"/>
    </row>
    <row r="7046" spans="1:4" x14ac:dyDescent="0.25">
      <c r="A7046" s="31"/>
      <c r="D7046" s="30"/>
    </row>
    <row r="7047" spans="1:4" x14ac:dyDescent="0.25">
      <c r="A7047" s="31"/>
      <c r="D7047" s="30"/>
    </row>
    <row r="7048" spans="1:4" x14ac:dyDescent="0.25">
      <c r="A7048" s="31"/>
      <c r="D7048" s="30"/>
    </row>
    <row r="7049" spans="1:4" x14ac:dyDescent="0.25">
      <c r="A7049" s="31"/>
      <c r="D7049" s="30"/>
    </row>
    <row r="7050" spans="1:4" x14ac:dyDescent="0.25">
      <c r="A7050" s="31"/>
      <c r="D7050" s="30"/>
    </row>
    <row r="7051" spans="1:4" x14ac:dyDescent="0.25">
      <c r="A7051" s="31"/>
      <c r="D7051" s="30"/>
    </row>
    <row r="7052" spans="1:4" x14ac:dyDescent="0.25">
      <c r="A7052" s="31"/>
      <c r="D7052" s="30"/>
    </row>
    <row r="7053" spans="1:4" x14ac:dyDescent="0.25">
      <c r="A7053" s="31"/>
      <c r="D7053" s="30"/>
    </row>
    <row r="7054" spans="1:4" x14ac:dyDescent="0.25">
      <c r="A7054" s="31"/>
      <c r="D7054" s="30"/>
    </row>
    <row r="7055" spans="1:4" x14ac:dyDescent="0.25">
      <c r="A7055" s="31"/>
      <c r="D7055" s="30"/>
    </row>
    <row r="7056" spans="1:4" x14ac:dyDescent="0.25">
      <c r="A7056" s="31"/>
      <c r="D7056" s="30"/>
    </row>
    <row r="7057" spans="1:4" x14ac:dyDescent="0.25">
      <c r="A7057" s="31"/>
      <c r="D7057" s="30"/>
    </row>
    <row r="7058" spans="1:4" x14ac:dyDescent="0.25">
      <c r="A7058" s="31"/>
      <c r="D7058" s="30"/>
    </row>
    <row r="7059" spans="1:4" x14ac:dyDescent="0.25">
      <c r="A7059" s="31"/>
      <c r="D7059" s="30"/>
    </row>
    <row r="7060" spans="1:4" x14ac:dyDescent="0.25">
      <c r="A7060" s="31"/>
      <c r="D7060" s="30"/>
    </row>
    <row r="7061" spans="1:4" x14ac:dyDescent="0.25">
      <c r="A7061" s="31"/>
      <c r="D7061" s="30"/>
    </row>
    <row r="7062" spans="1:4" x14ac:dyDescent="0.25">
      <c r="A7062" s="31"/>
      <c r="D7062" s="30"/>
    </row>
    <row r="7063" spans="1:4" x14ac:dyDescent="0.25">
      <c r="A7063" s="31"/>
      <c r="D7063" s="30"/>
    </row>
    <row r="7064" spans="1:4" x14ac:dyDescent="0.25">
      <c r="A7064" s="31"/>
      <c r="D7064" s="30"/>
    </row>
    <row r="7065" spans="1:4" x14ac:dyDescent="0.25">
      <c r="A7065" s="31"/>
      <c r="D7065" s="30"/>
    </row>
    <row r="7066" spans="1:4" x14ac:dyDescent="0.25">
      <c r="A7066" s="31"/>
      <c r="D7066" s="30"/>
    </row>
    <row r="7067" spans="1:4" x14ac:dyDescent="0.25">
      <c r="A7067" s="31"/>
      <c r="D7067" s="30"/>
    </row>
    <row r="7068" spans="1:4" x14ac:dyDescent="0.25">
      <c r="A7068" s="31"/>
      <c r="D7068" s="30"/>
    </row>
    <row r="7069" spans="1:4" x14ac:dyDescent="0.25">
      <c r="A7069" s="31"/>
      <c r="D7069" s="30"/>
    </row>
    <row r="7070" spans="1:4" x14ac:dyDescent="0.25">
      <c r="A7070" s="31"/>
      <c r="D7070" s="30"/>
    </row>
    <row r="7071" spans="1:4" x14ac:dyDescent="0.25">
      <c r="A7071" s="31"/>
      <c r="D7071" s="30"/>
    </row>
    <row r="7072" spans="1:4" x14ac:dyDescent="0.25">
      <c r="A7072" s="31"/>
      <c r="D7072" s="30"/>
    </row>
    <row r="7073" spans="1:4" x14ac:dyDescent="0.25">
      <c r="A7073" s="31"/>
      <c r="D7073" s="30"/>
    </row>
    <row r="7074" spans="1:4" x14ac:dyDescent="0.25">
      <c r="A7074" s="31"/>
      <c r="D7074" s="30"/>
    </row>
    <row r="7075" spans="1:4" x14ac:dyDescent="0.25">
      <c r="A7075" s="31"/>
      <c r="D7075" s="30"/>
    </row>
    <row r="7076" spans="1:4" x14ac:dyDescent="0.25">
      <c r="A7076" s="31"/>
      <c r="D7076" s="30"/>
    </row>
    <row r="7077" spans="1:4" x14ac:dyDescent="0.25">
      <c r="A7077" s="31"/>
      <c r="D7077" s="30"/>
    </row>
    <row r="7078" spans="1:4" x14ac:dyDescent="0.25">
      <c r="A7078" s="31"/>
      <c r="D7078" s="30"/>
    </row>
    <row r="7079" spans="1:4" x14ac:dyDescent="0.25">
      <c r="A7079" s="31"/>
      <c r="D7079" s="30"/>
    </row>
    <row r="7080" spans="1:4" x14ac:dyDescent="0.25">
      <c r="A7080" s="31"/>
      <c r="D7080" s="30"/>
    </row>
    <row r="7081" spans="1:4" x14ac:dyDescent="0.25">
      <c r="A7081" s="31"/>
      <c r="D7081" s="30"/>
    </row>
    <row r="7082" spans="1:4" x14ac:dyDescent="0.25">
      <c r="A7082" s="31"/>
      <c r="D7082" s="30"/>
    </row>
    <row r="7083" spans="1:4" x14ac:dyDescent="0.25">
      <c r="A7083" s="31"/>
      <c r="D7083" s="30"/>
    </row>
    <row r="7084" spans="1:4" x14ac:dyDescent="0.25">
      <c r="A7084" s="31"/>
      <c r="D7084" s="30"/>
    </row>
    <row r="7085" spans="1:4" x14ac:dyDescent="0.25">
      <c r="A7085" s="31"/>
      <c r="D7085" s="30"/>
    </row>
    <row r="7086" spans="1:4" x14ac:dyDescent="0.25">
      <c r="A7086" s="31"/>
      <c r="D7086" s="30"/>
    </row>
    <row r="7087" spans="1:4" x14ac:dyDescent="0.25">
      <c r="A7087" s="31"/>
      <c r="D7087" s="30"/>
    </row>
    <row r="7088" spans="1:4" x14ac:dyDescent="0.25">
      <c r="A7088" s="31"/>
      <c r="D7088" s="30"/>
    </row>
    <row r="7089" spans="1:4" x14ac:dyDescent="0.25">
      <c r="A7089" s="31"/>
      <c r="D7089" s="30"/>
    </row>
    <row r="7090" spans="1:4" x14ac:dyDescent="0.25">
      <c r="A7090" s="31"/>
      <c r="D7090" s="30"/>
    </row>
    <row r="7091" spans="1:4" x14ac:dyDescent="0.25">
      <c r="A7091" s="31"/>
      <c r="D7091" s="30"/>
    </row>
    <row r="7092" spans="1:4" x14ac:dyDescent="0.25">
      <c r="A7092" s="31"/>
      <c r="D7092" s="30"/>
    </row>
    <row r="7093" spans="1:4" x14ac:dyDescent="0.25">
      <c r="A7093" s="31"/>
      <c r="D7093" s="30"/>
    </row>
    <row r="7094" spans="1:4" x14ac:dyDescent="0.25">
      <c r="A7094" s="31"/>
      <c r="D7094" s="30"/>
    </row>
    <row r="7095" spans="1:4" x14ac:dyDescent="0.25">
      <c r="A7095" s="31"/>
      <c r="D7095" s="30"/>
    </row>
    <row r="7096" spans="1:4" x14ac:dyDescent="0.25">
      <c r="A7096" s="31"/>
      <c r="D7096" s="30"/>
    </row>
    <row r="7097" spans="1:4" x14ac:dyDescent="0.25">
      <c r="A7097" s="31"/>
      <c r="D7097" s="30"/>
    </row>
    <row r="7098" spans="1:4" x14ac:dyDescent="0.25">
      <c r="A7098" s="31"/>
      <c r="D7098" s="30"/>
    </row>
    <row r="7099" spans="1:4" x14ac:dyDescent="0.25">
      <c r="A7099" s="31"/>
      <c r="D7099" s="30"/>
    </row>
    <row r="7100" spans="1:4" x14ac:dyDescent="0.25">
      <c r="A7100" s="31"/>
      <c r="D7100" s="30"/>
    </row>
    <row r="7101" spans="1:4" x14ac:dyDescent="0.25">
      <c r="A7101" s="31"/>
      <c r="D7101" s="30"/>
    </row>
    <row r="7102" spans="1:4" x14ac:dyDescent="0.25">
      <c r="A7102" s="31"/>
      <c r="D7102" s="30"/>
    </row>
    <row r="7103" spans="1:4" x14ac:dyDescent="0.25">
      <c r="A7103" s="31"/>
      <c r="D7103" s="30"/>
    </row>
    <row r="7104" spans="1:4" x14ac:dyDescent="0.25">
      <c r="A7104" s="31"/>
      <c r="D7104" s="30"/>
    </row>
    <row r="7105" spans="1:4" x14ac:dyDescent="0.25">
      <c r="A7105" s="31"/>
      <c r="D7105" s="30"/>
    </row>
    <row r="7106" spans="1:4" x14ac:dyDescent="0.25">
      <c r="A7106" s="31"/>
      <c r="D7106" s="30"/>
    </row>
    <row r="7107" spans="1:4" x14ac:dyDescent="0.25">
      <c r="A7107" s="31"/>
      <c r="D7107" s="30"/>
    </row>
    <row r="7108" spans="1:4" x14ac:dyDescent="0.25">
      <c r="A7108" s="31"/>
      <c r="D7108" s="30"/>
    </row>
    <row r="7109" spans="1:4" x14ac:dyDescent="0.25">
      <c r="A7109" s="31"/>
      <c r="D7109" s="30"/>
    </row>
    <row r="7110" spans="1:4" x14ac:dyDescent="0.25">
      <c r="A7110" s="31"/>
      <c r="D7110" s="30"/>
    </row>
    <row r="7111" spans="1:4" x14ac:dyDescent="0.25">
      <c r="A7111" s="31"/>
      <c r="D7111" s="30"/>
    </row>
    <row r="7112" spans="1:4" x14ac:dyDescent="0.25">
      <c r="A7112" s="31"/>
      <c r="D7112" s="30"/>
    </row>
    <row r="7113" spans="1:4" x14ac:dyDescent="0.25">
      <c r="A7113" s="31"/>
      <c r="D7113" s="30"/>
    </row>
    <row r="7114" spans="1:4" x14ac:dyDescent="0.25">
      <c r="A7114" s="31"/>
      <c r="D7114" s="30"/>
    </row>
    <row r="7115" spans="1:4" x14ac:dyDescent="0.25">
      <c r="A7115" s="31"/>
      <c r="D7115" s="30"/>
    </row>
    <row r="7116" spans="1:4" x14ac:dyDescent="0.25">
      <c r="A7116" s="31"/>
      <c r="D7116" s="30"/>
    </row>
    <row r="7117" spans="1:4" x14ac:dyDescent="0.25">
      <c r="A7117" s="31"/>
      <c r="D7117" s="30"/>
    </row>
    <row r="7118" spans="1:4" x14ac:dyDescent="0.25">
      <c r="A7118" s="31"/>
      <c r="D7118" s="30"/>
    </row>
    <row r="7119" spans="1:4" x14ac:dyDescent="0.25">
      <c r="A7119" s="31"/>
      <c r="D7119" s="30"/>
    </row>
    <row r="7120" spans="1:4" x14ac:dyDescent="0.25">
      <c r="A7120" s="31"/>
      <c r="D7120" s="30"/>
    </row>
    <row r="7121" spans="1:4" x14ac:dyDescent="0.25">
      <c r="A7121" s="31"/>
      <c r="D7121" s="30"/>
    </row>
    <row r="7122" spans="1:4" x14ac:dyDescent="0.25">
      <c r="A7122" s="31"/>
      <c r="D7122" s="30"/>
    </row>
    <row r="7123" spans="1:4" x14ac:dyDescent="0.25">
      <c r="A7123" s="31"/>
      <c r="D7123" s="30"/>
    </row>
    <row r="7124" spans="1:4" x14ac:dyDescent="0.25">
      <c r="A7124" s="31"/>
      <c r="D7124" s="30"/>
    </row>
    <row r="7125" spans="1:4" x14ac:dyDescent="0.25">
      <c r="A7125" s="31"/>
      <c r="D7125" s="30"/>
    </row>
    <row r="7126" spans="1:4" x14ac:dyDescent="0.25">
      <c r="A7126" s="31"/>
      <c r="D7126" s="30"/>
    </row>
    <row r="7127" spans="1:4" x14ac:dyDescent="0.25">
      <c r="A7127" s="31"/>
      <c r="D7127" s="30"/>
    </row>
    <row r="7128" spans="1:4" x14ac:dyDescent="0.25">
      <c r="A7128" s="31"/>
      <c r="D7128" s="30"/>
    </row>
    <row r="7129" spans="1:4" x14ac:dyDescent="0.25">
      <c r="A7129" s="31"/>
      <c r="D7129" s="30"/>
    </row>
    <row r="7130" spans="1:4" x14ac:dyDescent="0.25">
      <c r="A7130" s="31"/>
      <c r="D7130" s="30"/>
    </row>
    <row r="7131" spans="1:4" x14ac:dyDescent="0.25">
      <c r="A7131" s="31"/>
      <c r="D7131" s="30"/>
    </row>
    <row r="7132" spans="1:4" x14ac:dyDescent="0.25">
      <c r="A7132" s="31"/>
      <c r="D7132" s="30"/>
    </row>
    <row r="7133" spans="1:4" x14ac:dyDescent="0.25">
      <c r="A7133" s="31"/>
      <c r="D7133" s="30"/>
    </row>
    <row r="7134" spans="1:4" x14ac:dyDescent="0.25">
      <c r="A7134" s="31"/>
      <c r="D7134" s="30"/>
    </row>
    <row r="7135" spans="1:4" x14ac:dyDescent="0.25">
      <c r="A7135" s="31"/>
      <c r="D7135" s="30"/>
    </row>
    <row r="7136" spans="1:4" x14ac:dyDescent="0.25">
      <c r="A7136" s="31"/>
      <c r="D7136" s="30"/>
    </row>
    <row r="7137" spans="1:4" x14ac:dyDescent="0.25">
      <c r="A7137" s="31"/>
      <c r="D7137" s="30"/>
    </row>
    <row r="7138" spans="1:4" x14ac:dyDescent="0.25">
      <c r="A7138" s="31"/>
      <c r="D7138" s="30"/>
    </row>
    <row r="7139" spans="1:4" x14ac:dyDescent="0.25">
      <c r="A7139" s="31"/>
      <c r="D7139" s="30"/>
    </row>
    <row r="7140" spans="1:4" x14ac:dyDescent="0.25">
      <c r="A7140" s="31"/>
      <c r="D7140" s="30"/>
    </row>
    <row r="7141" spans="1:4" x14ac:dyDescent="0.25">
      <c r="A7141" s="31"/>
      <c r="D7141" s="30"/>
    </row>
    <row r="7142" spans="1:4" x14ac:dyDescent="0.25">
      <c r="A7142" s="31"/>
      <c r="D7142" s="30"/>
    </row>
    <row r="7143" spans="1:4" x14ac:dyDescent="0.25">
      <c r="A7143" s="31"/>
      <c r="D7143" s="30"/>
    </row>
    <row r="7144" spans="1:4" x14ac:dyDescent="0.25">
      <c r="A7144" s="31"/>
      <c r="D7144" s="30"/>
    </row>
    <row r="7145" spans="1:4" x14ac:dyDescent="0.25">
      <c r="A7145" s="31"/>
      <c r="D7145" s="30"/>
    </row>
    <row r="7146" spans="1:4" x14ac:dyDescent="0.25">
      <c r="A7146" s="31"/>
      <c r="D7146" s="30"/>
    </row>
    <row r="7147" spans="1:4" x14ac:dyDescent="0.25">
      <c r="A7147" s="31"/>
      <c r="D7147" s="30"/>
    </row>
    <row r="7148" spans="1:4" x14ac:dyDescent="0.25">
      <c r="A7148" s="31"/>
      <c r="D7148" s="30"/>
    </row>
    <row r="7149" spans="1:4" x14ac:dyDescent="0.25">
      <c r="A7149" s="31"/>
      <c r="D7149" s="30"/>
    </row>
    <row r="7150" spans="1:4" x14ac:dyDescent="0.25">
      <c r="A7150" s="31"/>
      <c r="D7150" s="30"/>
    </row>
    <row r="7151" spans="1:4" x14ac:dyDescent="0.25">
      <c r="A7151" s="31"/>
      <c r="D7151" s="30"/>
    </row>
    <row r="7152" spans="1:4" x14ac:dyDescent="0.25">
      <c r="A7152" s="31"/>
      <c r="D7152" s="30"/>
    </row>
    <row r="7153" spans="1:4" x14ac:dyDescent="0.25">
      <c r="A7153" s="31"/>
      <c r="D7153" s="30"/>
    </row>
    <row r="7154" spans="1:4" x14ac:dyDescent="0.25">
      <c r="A7154" s="31"/>
      <c r="D7154" s="30"/>
    </row>
    <row r="7155" spans="1:4" x14ac:dyDescent="0.25">
      <c r="A7155" s="31"/>
      <c r="D7155" s="30"/>
    </row>
    <row r="7156" spans="1:4" x14ac:dyDescent="0.25">
      <c r="A7156" s="31"/>
      <c r="D7156" s="30"/>
    </row>
    <row r="7157" spans="1:4" x14ac:dyDescent="0.25">
      <c r="A7157" s="31"/>
      <c r="D7157" s="30"/>
    </row>
    <row r="7158" spans="1:4" x14ac:dyDescent="0.25">
      <c r="A7158" s="31"/>
      <c r="D7158" s="30"/>
    </row>
    <row r="7159" spans="1:4" x14ac:dyDescent="0.25">
      <c r="A7159" s="31"/>
      <c r="D7159" s="30"/>
    </row>
    <row r="7160" spans="1:4" x14ac:dyDescent="0.25">
      <c r="A7160" s="31"/>
      <c r="D7160" s="30"/>
    </row>
    <row r="7161" spans="1:4" x14ac:dyDescent="0.25">
      <c r="A7161" s="31"/>
      <c r="D7161" s="30"/>
    </row>
    <row r="7162" spans="1:4" x14ac:dyDescent="0.25">
      <c r="A7162" s="31"/>
      <c r="D7162" s="30"/>
    </row>
    <row r="7163" spans="1:4" x14ac:dyDescent="0.25">
      <c r="A7163" s="31"/>
      <c r="D7163" s="30"/>
    </row>
    <row r="7164" spans="1:4" x14ac:dyDescent="0.25">
      <c r="A7164" s="31"/>
      <c r="D7164" s="30"/>
    </row>
    <row r="7165" spans="1:4" x14ac:dyDescent="0.25">
      <c r="A7165" s="31"/>
      <c r="D7165" s="30"/>
    </row>
    <row r="7166" spans="1:4" x14ac:dyDescent="0.25">
      <c r="A7166" s="31"/>
      <c r="D7166" s="30"/>
    </row>
    <row r="7167" spans="1:4" x14ac:dyDescent="0.25">
      <c r="A7167" s="31"/>
      <c r="D7167" s="30"/>
    </row>
    <row r="7168" spans="1:4" x14ac:dyDescent="0.25">
      <c r="A7168" s="31"/>
      <c r="D7168" s="30"/>
    </row>
    <row r="7169" spans="1:4" x14ac:dyDescent="0.25">
      <c r="A7169" s="31"/>
      <c r="D7169" s="30"/>
    </row>
    <row r="7170" spans="1:4" x14ac:dyDescent="0.25">
      <c r="A7170" s="31"/>
      <c r="D7170" s="30"/>
    </row>
    <row r="7171" spans="1:4" x14ac:dyDescent="0.25">
      <c r="A7171" s="31"/>
      <c r="D7171" s="30"/>
    </row>
    <row r="7172" spans="1:4" x14ac:dyDescent="0.25">
      <c r="A7172" s="31"/>
      <c r="D7172" s="30"/>
    </row>
    <row r="7173" spans="1:4" x14ac:dyDescent="0.25">
      <c r="A7173" s="31"/>
      <c r="D7173" s="30"/>
    </row>
    <row r="7174" spans="1:4" x14ac:dyDescent="0.25">
      <c r="A7174" s="31"/>
      <c r="D7174" s="30"/>
    </row>
    <row r="7175" spans="1:4" x14ac:dyDescent="0.25">
      <c r="A7175" s="31"/>
      <c r="D7175" s="30"/>
    </row>
    <row r="7176" spans="1:4" x14ac:dyDescent="0.25">
      <c r="A7176" s="31"/>
      <c r="D7176" s="30"/>
    </row>
    <row r="7177" spans="1:4" x14ac:dyDescent="0.25">
      <c r="A7177" s="31"/>
      <c r="D7177" s="30"/>
    </row>
    <row r="7178" spans="1:4" x14ac:dyDescent="0.25">
      <c r="A7178" s="31"/>
      <c r="D7178" s="30"/>
    </row>
    <row r="7179" spans="1:4" x14ac:dyDescent="0.25">
      <c r="A7179" s="31"/>
      <c r="D7179" s="30"/>
    </row>
    <row r="7180" spans="1:4" x14ac:dyDescent="0.25">
      <c r="A7180" s="31"/>
      <c r="D7180" s="30"/>
    </row>
    <row r="7181" spans="1:4" x14ac:dyDescent="0.25">
      <c r="A7181" s="31"/>
      <c r="D7181" s="30"/>
    </row>
    <row r="7182" spans="1:4" x14ac:dyDescent="0.25">
      <c r="A7182" s="31"/>
      <c r="D7182" s="30"/>
    </row>
    <row r="7183" spans="1:4" x14ac:dyDescent="0.25">
      <c r="A7183" s="31"/>
      <c r="D7183" s="30"/>
    </row>
    <row r="7184" spans="1:4" x14ac:dyDescent="0.25">
      <c r="A7184" s="31"/>
      <c r="D7184" s="30"/>
    </row>
    <row r="7185" spans="1:4" x14ac:dyDescent="0.25">
      <c r="A7185" s="31"/>
      <c r="D7185" s="30"/>
    </row>
    <row r="7186" spans="1:4" x14ac:dyDescent="0.25">
      <c r="A7186" s="31"/>
      <c r="D7186" s="30"/>
    </row>
    <row r="7187" spans="1:4" x14ac:dyDescent="0.25">
      <c r="A7187" s="31"/>
      <c r="D7187" s="30"/>
    </row>
    <row r="7188" spans="1:4" x14ac:dyDescent="0.25">
      <c r="A7188" s="31"/>
      <c r="D7188" s="30"/>
    </row>
    <row r="7189" spans="1:4" x14ac:dyDescent="0.25">
      <c r="A7189" s="31"/>
      <c r="D7189" s="30"/>
    </row>
    <row r="7190" spans="1:4" x14ac:dyDescent="0.25">
      <c r="A7190" s="31"/>
      <c r="D7190" s="30"/>
    </row>
    <row r="7191" spans="1:4" x14ac:dyDescent="0.25">
      <c r="A7191" s="31"/>
      <c r="D7191" s="30"/>
    </row>
    <row r="7192" spans="1:4" x14ac:dyDescent="0.25">
      <c r="A7192" s="31"/>
      <c r="D7192" s="30"/>
    </row>
    <row r="7193" spans="1:4" x14ac:dyDescent="0.25">
      <c r="A7193" s="31"/>
      <c r="D7193" s="30"/>
    </row>
    <row r="7194" spans="1:4" x14ac:dyDescent="0.25">
      <c r="A7194" s="31"/>
      <c r="D7194" s="30"/>
    </row>
    <row r="7195" spans="1:4" x14ac:dyDescent="0.25">
      <c r="A7195" s="31"/>
      <c r="D7195" s="30"/>
    </row>
    <row r="7196" spans="1:4" x14ac:dyDescent="0.25">
      <c r="A7196" s="31"/>
      <c r="D7196" s="30"/>
    </row>
    <row r="7197" spans="1:4" x14ac:dyDescent="0.25">
      <c r="A7197" s="31"/>
      <c r="D7197" s="30"/>
    </row>
    <row r="7198" spans="1:4" x14ac:dyDescent="0.25">
      <c r="A7198" s="31"/>
      <c r="D7198" s="30"/>
    </row>
    <row r="7199" spans="1:4" x14ac:dyDescent="0.25">
      <c r="A7199" s="31"/>
      <c r="D7199" s="30"/>
    </row>
    <row r="7200" spans="1:4" x14ac:dyDescent="0.25">
      <c r="A7200" s="31"/>
      <c r="D7200" s="30"/>
    </row>
    <row r="7201" spans="1:4" x14ac:dyDescent="0.25">
      <c r="A7201" s="31"/>
      <c r="D7201" s="30"/>
    </row>
    <row r="7202" spans="1:4" x14ac:dyDescent="0.25">
      <c r="A7202" s="31"/>
      <c r="D7202" s="30"/>
    </row>
    <row r="7203" spans="1:4" x14ac:dyDescent="0.25">
      <c r="A7203" s="31"/>
      <c r="D7203" s="30"/>
    </row>
    <row r="7204" spans="1:4" x14ac:dyDescent="0.25">
      <c r="A7204" s="31"/>
      <c r="D7204" s="30"/>
    </row>
    <row r="7205" spans="1:4" x14ac:dyDescent="0.25">
      <c r="A7205" s="31"/>
      <c r="D7205" s="30"/>
    </row>
    <row r="7206" spans="1:4" x14ac:dyDescent="0.25">
      <c r="A7206" s="31"/>
      <c r="D7206" s="30"/>
    </row>
    <row r="7207" spans="1:4" x14ac:dyDescent="0.25">
      <c r="A7207" s="31"/>
      <c r="D7207" s="30"/>
    </row>
    <row r="7208" spans="1:4" x14ac:dyDescent="0.25">
      <c r="A7208" s="31"/>
      <c r="D7208" s="30"/>
    </row>
    <row r="7209" spans="1:4" x14ac:dyDescent="0.25">
      <c r="A7209" s="31"/>
      <c r="D7209" s="30"/>
    </row>
    <row r="7210" spans="1:4" x14ac:dyDescent="0.25">
      <c r="A7210" s="31"/>
      <c r="D7210" s="30"/>
    </row>
    <row r="7211" spans="1:4" x14ac:dyDescent="0.25">
      <c r="A7211" s="31"/>
      <c r="D7211" s="30"/>
    </row>
    <row r="7212" spans="1:4" x14ac:dyDescent="0.25">
      <c r="A7212" s="31"/>
      <c r="D7212" s="30"/>
    </row>
    <row r="7213" spans="1:4" x14ac:dyDescent="0.25">
      <c r="A7213" s="31"/>
      <c r="D7213" s="30"/>
    </row>
    <row r="7214" spans="1:4" x14ac:dyDescent="0.25">
      <c r="A7214" s="31"/>
      <c r="D7214" s="30"/>
    </row>
    <row r="7215" spans="1:4" x14ac:dyDescent="0.25">
      <c r="A7215" s="31"/>
      <c r="D7215" s="30"/>
    </row>
    <row r="7216" spans="1:4" x14ac:dyDescent="0.25">
      <c r="A7216" s="31"/>
      <c r="D7216" s="30"/>
    </row>
    <row r="7217" spans="1:4" x14ac:dyDescent="0.25">
      <c r="A7217" s="31"/>
      <c r="D7217" s="30"/>
    </row>
    <row r="7218" spans="1:4" x14ac:dyDescent="0.25">
      <c r="A7218" s="31"/>
      <c r="D7218" s="30"/>
    </row>
    <row r="7219" spans="1:4" x14ac:dyDescent="0.25">
      <c r="A7219" s="31"/>
      <c r="D7219" s="30"/>
    </row>
    <row r="7220" spans="1:4" x14ac:dyDescent="0.25">
      <c r="A7220" s="31"/>
      <c r="D7220" s="30"/>
    </row>
    <row r="7221" spans="1:4" x14ac:dyDescent="0.25">
      <c r="A7221" s="31"/>
      <c r="D7221" s="30"/>
    </row>
    <row r="7222" spans="1:4" x14ac:dyDescent="0.25">
      <c r="A7222" s="31"/>
      <c r="D7222" s="30"/>
    </row>
    <row r="7223" spans="1:4" x14ac:dyDescent="0.25">
      <c r="A7223" s="31"/>
      <c r="D7223" s="30"/>
    </row>
    <row r="7224" spans="1:4" x14ac:dyDescent="0.25">
      <c r="A7224" s="31"/>
      <c r="D7224" s="30"/>
    </row>
    <row r="7225" spans="1:4" x14ac:dyDescent="0.25">
      <c r="A7225" s="31"/>
      <c r="D7225" s="30"/>
    </row>
    <row r="7226" spans="1:4" x14ac:dyDescent="0.25">
      <c r="A7226" s="31"/>
      <c r="D7226" s="30"/>
    </row>
    <row r="7227" spans="1:4" x14ac:dyDescent="0.25">
      <c r="A7227" s="31"/>
      <c r="D7227" s="30"/>
    </row>
    <row r="7228" spans="1:4" x14ac:dyDescent="0.25">
      <c r="A7228" s="31"/>
      <c r="D7228" s="30"/>
    </row>
    <row r="7229" spans="1:4" x14ac:dyDescent="0.25">
      <c r="A7229" s="31"/>
      <c r="D7229" s="30"/>
    </row>
    <row r="7230" spans="1:4" x14ac:dyDescent="0.25">
      <c r="A7230" s="31"/>
      <c r="D7230" s="30"/>
    </row>
    <row r="7231" spans="1:4" x14ac:dyDescent="0.25">
      <c r="A7231" s="31"/>
      <c r="D7231" s="30"/>
    </row>
    <row r="7232" spans="1:4" x14ac:dyDescent="0.25">
      <c r="A7232" s="31"/>
      <c r="D7232" s="30"/>
    </row>
    <row r="7233" spans="1:4" x14ac:dyDescent="0.25">
      <c r="A7233" s="31"/>
      <c r="D7233" s="30"/>
    </row>
    <row r="7234" spans="1:4" x14ac:dyDescent="0.25">
      <c r="A7234" s="31"/>
      <c r="D7234" s="30"/>
    </row>
    <row r="7235" spans="1:4" x14ac:dyDescent="0.25">
      <c r="A7235" s="31"/>
      <c r="D7235" s="30"/>
    </row>
    <row r="7236" spans="1:4" x14ac:dyDescent="0.25">
      <c r="A7236" s="31"/>
      <c r="D7236" s="30"/>
    </row>
    <row r="7237" spans="1:4" x14ac:dyDescent="0.25">
      <c r="A7237" s="31"/>
      <c r="D7237" s="30"/>
    </row>
    <row r="7238" spans="1:4" x14ac:dyDescent="0.25">
      <c r="A7238" s="31"/>
      <c r="D7238" s="30"/>
    </row>
    <row r="7239" spans="1:4" x14ac:dyDescent="0.25">
      <c r="A7239" s="31"/>
      <c r="D7239" s="30"/>
    </row>
    <row r="7240" spans="1:4" x14ac:dyDescent="0.25">
      <c r="A7240" s="31"/>
      <c r="D7240" s="30"/>
    </row>
    <row r="7241" spans="1:4" x14ac:dyDescent="0.25">
      <c r="A7241" s="31"/>
      <c r="D7241" s="30"/>
    </row>
    <row r="7242" spans="1:4" x14ac:dyDescent="0.25">
      <c r="A7242" s="31"/>
      <c r="D7242" s="30"/>
    </row>
    <row r="7243" spans="1:4" x14ac:dyDescent="0.25">
      <c r="A7243" s="31"/>
      <c r="D7243" s="30"/>
    </row>
    <row r="7244" spans="1:4" x14ac:dyDescent="0.25">
      <c r="A7244" s="31"/>
      <c r="D7244" s="30"/>
    </row>
    <row r="7245" spans="1:4" x14ac:dyDescent="0.25">
      <c r="A7245" s="31"/>
      <c r="D7245" s="30"/>
    </row>
    <row r="7246" spans="1:4" x14ac:dyDescent="0.25">
      <c r="A7246" s="31"/>
      <c r="D7246" s="30"/>
    </row>
    <row r="7247" spans="1:4" x14ac:dyDescent="0.25">
      <c r="A7247" s="31"/>
      <c r="D7247" s="30"/>
    </row>
    <row r="7248" spans="1:4" x14ac:dyDescent="0.25">
      <c r="A7248" s="31"/>
      <c r="D7248" s="30"/>
    </row>
    <row r="7249" spans="1:4" x14ac:dyDescent="0.25">
      <c r="A7249" s="31"/>
      <c r="D7249" s="30"/>
    </row>
    <row r="7250" spans="1:4" x14ac:dyDescent="0.25">
      <c r="A7250" s="31"/>
      <c r="D7250" s="30"/>
    </row>
    <row r="7251" spans="1:4" x14ac:dyDescent="0.25">
      <c r="A7251" s="31"/>
      <c r="D7251" s="30"/>
    </row>
    <row r="7252" spans="1:4" x14ac:dyDescent="0.25">
      <c r="A7252" s="31"/>
      <c r="D7252" s="30"/>
    </row>
    <row r="7253" spans="1:4" x14ac:dyDescent="0.25">
      <c r="A7253" s="31"/>
      <c r="D7253" s="30"/>
    </row>
    <row r="7254" spans="1:4" x14ac:dyDescent="0.25">
      <c r="A7254" s="31"/>
      <c r="D7254" s="30"/>
    </row>
    <row r="7255" spans="1:4" x14ac:dyDescent="0.25">
      <c r="A7255" s="31"/>
      <c r="D7255" s="30"/>
    </row>
    <row r="7256" spans="1:4" x14ac:dyDescent="0.25">
      <c r="A7256" s="31"/>
      <c r="D7256" s="30"/>
    </row>
    <row r="7257" spans="1:4" x14ac:dyDescent="0.25">
      <c r="A7257" s="31"/>
      <c r="D7257" s="30"/>
    </row>
    <row r="7258" spans="1:4" x14ac:dyDescent="0.25">
      <c r="A7258" s="31"/>
      <c r="D7258" s="30"/>
    </row>
    <row r="7259" spans="1:4" x14ac:dyDescent="0.25">
      <c r="A7259" s="31"/>
      <c r="D7259" s="30"/>
    </row>
    <row r="7260" spans="1:4" x14ac:dyDescent="0.25">
      <c r="A7260" s="31"/>
      <c r="D7260" s="30"/>
    </row>
    <row r="7261" spans="1:4" x14ac:dyDescent="0.25">
      <c r="A7261" s="31"/>
      <c r="D7261" s="30"/>
    </row>
    <row r="7262" spans="1:4" x14ac:dyDescent="0.25">
      <c r="A7262" s="31"/>
      <c r="D7262" s="30"/>
    </row>
    <row r="7263" spans="1:4" x14ac:dyDescent="0.25">
      <c r="A7263" s="31"/>
      <c r="D7263" s="30"/>
    </row>
    <row r="7264" spans="1:4" x14ac:dyDescent="0.25">
      <c r="A7264" s="31"/>
      <c r="D7264" s="30"/>
    </row>
    <row r="7265" spans="1:4" x14ac:dyDescent="0.25">
      <c r="A7265" s="31"/>
      <c r="D7265" s="30"/>
    </row>
    <row r="7266" spans="1:4" x14ac:dyDescent="0.25">
      <c r="A7266" s="31"/>
      <c r="D7266" s="30"/>
    </row>
    <row r="7267" spans="1:4" x14ac:dyDescent="0.25">
      <c r="A7267" s="31"/>
      <c r="D7267" s="30"/>
    </row>
    <row r="7268" spans="1:4" x14ac:dyDescent="0.25">
      <c r="A7268" s="31"/>
      <c r="D7268" s="30"/>
    </row>
    <row r="7269" spans="1:4" x14ac:dyDescent="0.25">
      <c r="A7269" s="31"/>
      <c r="D7269" s="30"/>
    </row>
    <row r="7270" spans="1:4" x14ac:dyDescent="0.25">
      <c r="A7270" s="31"/>
      <c r="D7270" s="30"/>
    </row>
    <row r="7271" spans="1:4" x14ac:dyDescent="0.25">
      <c r="A7271" s="31"/>
      <c r="D7271" s="30"/>
    </row>
    <row r="7272" spans="1:4" x14ac:dyDescent="0.25">
      <c r="A7272" s="31"/>
      <c r="D7272" s="30"/>
    </row>
    <row r="7273" spans="1:4" x14ac:dyDescent="0.25">
      <c r="A7273" s="31"/>
      <c r="D7273" s="30"/>
    </row>
    <row r="7274" spans="1:4" x14ac:dyDescent="0.25">
      <c r="A7274" s="31"/>
      <c r="D7274" s="30"/>
    </row>
    <row r="7275" spans="1:4" x14ac:dyDescent="0.25">
      <c r="A7275" s="31"/>
      <c r="D7275" s="30"/>
    </row>
    <row r="7276" spans="1:4" x14ac:dyDescent="0.25">
      <c r="A7276" s="31"/>
      <c r="D7276" s="30"/>
    </row>
    <row r="7277" spans="1:4" x14ac:dyDescent="0.25">
      <c r="A7277" s="31"/>
      <c r="D7277" s="30"/>
    </row>
    <row r="7278" spans="1:4" x14ac:dyDescent="0.25">
      <c r="A7278" s="31"/>
      <c r="D7278" s="30"/>
    </row>
    <row r="7279" spans="1:4" x14ac:dyDescent="0.25">
      <c r="A7279" s="31"/>
      <c r="D7279" s="30"/>
    </row>
    <row r="7280" spans="1:4" x14ac:dyDescent="0.25">
      <c r="A7280" s="31"/>
      <c r="D7280" s="30"/>
    </row>
    <row r="7281" spans="1:4" x14ac:dyDescent="0.25">
      <c r="A7281" s="31"/>
      <c r="D7281" s="30"/>
    </row>
    <row r="7282" spans="1:4" x14ac:dyDescent="0.25">
      <c r="A7282" s="31"/>
      <c r="D7282" s="30"/>
    </row>
    <row r="7283" spans="1:4" x14ac:dyDescent="0.25">
      <c r="A7283" s="31"/>
      <c r="D7283" s="30"/>
    </row>
    <row r="7284" spans="1:4" x14ac:dyDescent="0.25">
      <c r="A7284" s="31"/>
      <c r="D7284" s="30"/>
    </row>
    <row r="7285" spans="1:4" x14ac:dyDescent="0.25">
      <c r="A7285" s="31"/>
      <c r="D7285" s="30"/>
    </row>
    <row r="7286" spans="1:4" x14ac:dyDescent="0.25">
      <c r="A7286" s="31"/>
      <c r="D7286" s="30"/>
    </row>
    <row r="7287" spans="1:4" x14ac:dyDescent="0.25">
      <c r="A7287" s="31"/>
      <c r="D7287" s="30"/>
    </row>
    <row r="7288" spans="1:4" x14ac:dyDescent="0.25">
      <c r="A7288" s="31"/>
      <c r="D7288" s="30"/>
    </row>
    <row r="7289" spans="1:4" x14ac:dyDescent="0.25">
      <c r="A7289" s="31"/>
      <c r="D7289" s="30"/>
    </row>
    <row r="7290" spans="1:4" x14ac:dyDescent="0.25">
      <c r="A7290" s="31"/>
      <c r="D7290" s="30"/>
    </row>
    <row r="7291" spans="1:4" x14ac:dyDescent="0.25">
      <c r="A7291" s="31"/>
      <c r="D7291" s="30"/>
    </row>
    <row r="7292" spans="1:4" x14ac:dyDescent="0.25">
      <c r="A7292" s="31"/>
      <c r="D7292" s="30"/>
    </row>
    <row r="7293" spans="1:4" x14ac:dyDescent="0.25">
      <c r="A7293" s="31"/>
      <c r="D7293" s="30"/>
    </row>
    <row r="7294" spans="1:4" x14ac:dyDescent="0.25">
      <c r="A7294" s="31"/>
      <c r="D7294" s="30"/>
    </row>
    <row r="7295" spans="1:4" x14ac:dyDescent="0.25">
      <c r="A7295" s="31"/>
      <c r="D7295" s="30"/>
    </row>
    <row r="7296" spans="1:4" x14ac:dyDescent="0.25">
      <c r="A7296" s="31"/>
      <c r="D7296" s="30"/>
    </row>
    <row r="7297" spans="1:4" x14ac:dyDescent="0.25">
      <c r="A7297" s="31"/>
      <c r="D7297" s="30"/>
    </row>
    <row r="7298" spans="1:4" x14ac:dyDescent="0.25">
      <c r="A7298" s="31"/>
      <c r="D7298" s="30"/>
    </row>
    <row r="7299" spans="1:4" x14ac:dyDescent="0.25">
      <c r="A7299" s="31"/>
      <c r="D7299" s="30"/>
    </row>
    <row r="7300" spans="1:4" x14ac:dyDescent="0.25">
      <c r="A7300" s="31"/>
      <c r="D7300" s="30"/>
    </row>
    <row r="7301" spans="1:4" x14ac:dyDescent="0.25">
      <c r="A7301" s="31"/>
      <c r="D7301" s="30"/>
    </row>
    <row r="7302" spans="1:4" x14ac:dyDescent="0.25">
      <c r="A7302" s="31"/>
      <c r="D7302" s="30"/>
    </row>
    <row r="7303" spans="1:4" x14ac:dyDescent="0.25">
      <c r="A7303" s="31"/>
      <c r="D7303" s="30"/>
    </row>
    <row r="7304" spans="1:4" x14ac:dyDescent="0.25">
      <c r="A7304" s="31"/>
      <c r="D7304" s="30"/>
    </row>
    <row r="7305" spans="1:4" x14ac:dyDescent="0.25">
      <c r="A7305" s="31"/>
      <c r="D7305" s="30"/>
    </row>
    <row r="7306" spans="1:4" x14ac:dyDescent="0.25">
      <c r="A7306" s="31"/>
      <c r="D7306" s="30"/>
    </row>
    <row r="7307" spans="1:4" x14ac:dyDescent="0.25">
      <c r="A7307" s="31"/>
      <c r="D7307" s="30"/>
    </row>
    <row r="7308" spans="1:4" x14ac:dyDescent="0.25">
      <c r="A7308" s="31"/>
      <c r="D7308" s="30"/>
    </row>
    <row r="7309" spans="1:4" x14ac:dyDescent="0.25">
      <c r="A7309" s="31"/>
      <c r="D7309" s="30"/>
    </row>
    <row r="7310" spans="1:4" x14ac:dyDescent="0.25">
      <c r="A7310" s="31"/>
      <c r="D7310" s="30"/>
    </row>
    <row r="7311" spans="1:4" x14ac:dyDescent="0.25">
      <c r="A7311" s="31"/>
      <c r="D7311" s="30"/>
    </row>
    <row r="7312" spans="1:4" x14ac:dyDescent="0.25">
      <c r="A7312" s="31"/>
      <c r="D7312" s="30"/>
    </row>
    <row r="7313" spans="1:4" x14ac:dyDescent="0.25">
      <c r="A7313" s="31"/>
      <c r="D7313" s="30"/>
    </row>
    <row r="7314" spans="1:4" x14ac:dyDescent="0.25">
      <c r="A7314" s="31"/>
      <c r="D7314" s="30"/>
    </row>
    <row r="7315" spans="1:4" x14ac:dyDescent="0.25">
      <c r="A7315" s="31"/>
      <c r="D7315" s="30"/>
    </row>
    <row r="7316" spans="1:4" x14ac:dyDescent="0.25">
      <c r="A7316" s="31"/>
      <c r="D7316" s="30"/>
    </row>
    <row r="7317" spans="1:4" x14ac:dyDescent="0.25">
      <c r="A7317" s="31"/>
      <c r="D7317" s="30"/>
    </row>
    <row r="7318" spans="1:4" x14ac:dyDescent="0.25">
      <c r="A7318" s="31"/>
      <c r="D7318" s="30"/>
    </row>
    <row r="7319" spans="1:4" x14ac:dyDescent="0.25">
      <c r="A7319" s="31"/>
      <c r="D7319" s="30"/>
    </row>
    <row r="7320" spans="1:4" x14ac:dyDescent="0.25">
      <c r="A7320" s="31"/>
      <c r="D7320" s="30"/>
    </row>
    <row r="7321" spans="1:4" x14ac:dyDescent="0.25">
      <c r="A7321" s="31"/>
      <c r="D7321" s="30"/>
    </row>
    <row r="7322" spans="1:4" x14ac:dyDescent="0.25">
      <c r="A7322" s="31"/>
      <c r="D7322" s="30"/>
    </row>
    <row r="7323" spans="1:4" x14ac:dyDescent="0.25">
      <c r="A7323" s="31"/>
      <c r="D7323" s="30"/>
    </row>
    <row r="7324" spans="1:4" x14ac:dyDescent="0.25">
      <c r="A7324" s="31"/>
      <c r="D7324" s="30"/>
    </row>
    <row r="7325" spans="1:4" x14ac:dyDescent="0.25">
      <c r="A7325" s="31"/>
      <c r="D7325" s="30"/>
    </row>
    <row r="7326" spans="1:4" x14ac:dyDescent="0.25">
      <c r="A7326" s="31"/>
      <c r="D7326" s="30"/>
    </row>
    <row r="7327" spans="1:4" x14ac:dyDescent="0.25">
      <c r="A7327" s="31"/>
      <c r="D7327" s="30"/>
    </row>
    <row r="7328" spans="1:4" x14ac:dyDescent="0.25">
      <c r="A7328" s="31"/>
      <c r="D7328" s="30"/>
    </row>
    <row r="7329" spans="1:4" x14ac:dyDescent="0.25">
      <c r="A7329" s="31"/>
      <c r="D7329" s="30"/>
    </row>
    <row r="7330" spans="1:4" x14ac:dyDescent="0.25">
      <c r="A7330" s="31"/>
      <c r="D7330" s="30"/>
    </row>
    <row r="7331" spans="1:4" x14ac:dyDescent="0.25">
      <c r="A7331" s="31"/>
      <c r="D7331" s="30"/>
    </row>
    <row r="7332" spans="1:4" x14ac:dyDescent="0.25">
      <c r="A7332" s="31"/>
      <c r="D7332" s="30"/>
    </row>
    <row r="7333" spans="1:4" x14ac:dyDescent="0.25">
      <c r="A7333" s="31"/>
      <c r="D7333" s="30"/>
    </row>
    <row r="7334" spans="1:4" x14ac:dyDescent="0.25">
      <c r="A7334" s="31"/>
      <c r="D7334" s="30"/>
    </row>
    <row r="7335" spans="1:4" x14ac:dyDescent="0.25">
      <c r="A7335" s="31"/>
      <c r="D7335" s="30"/>
    </row>
    <row r="7336" spans="1:4" x14ac:dyDescent="0.25">
      <c r="A7336" s="31"/>
      <c r="D7336" s="30"/>
    </row>
    <row r="7337" spans="1:4" x14ac:dyDescent="0.25">
      <c r="A7337" s="31"/>
      <c r="D7337" s="30"/>
    </row>
    <row r="7338" spans="1:4" x14ac:dyDescent="0.25">
      <c r="A7338" s="31"/>
      <c r="D7338" s="30"/>
    </row>
    <row r="7339" spans="1:4" x14ac:dyDescent="0.25">
      <c r="A7339" s="31"/>
      <c r="D7339" s="30"/>
    </row>
    <row r="7340" spans="1:4" x14ac:dyDescent="0.25">
      <c r="A7340" s="31"/>
      <c r="D7340" s="30"/>
    </row>
    <row r="7341" spans="1:4" x14ac:dyDescent="0.25">
      <c r="A7341" s="31"/>
      <c r="D7341" s="30"/>
    </row>
    <row r="7342" spans="1:4" x14ac:dyDescent="0.25">
      <c r="A7342" s="31"/>
      <c r="D7342" s="30"/>
    </row>
    <row r="7343" spans="1:4" x14ac:dyDescent="0.25">
      <c r="A7343" s="31"/>
      <c r="D7343" s="30"/>
    </row>
    <row r="7344" spans="1:4" x14ac:dyDescent="0.25">
      <c r="A7344" s="31"/>
      <c r="D7344" s="30"/>
    </row>
    <row r="7345" spans="1:4" x14ac:dyDescent="0.25">
      <c r="A7345" s="31"/>
      <c r="D7345" s="30"/>
    </row>
    <row r="7346" spans="1:4" x14ac:dyDescent="0.25">
      <c r="A7346" s="31"/>
      <c r="D7346" s="30"/>
    </row>
    <row r="7347" spans="1:4" x14ac:dyDescent="0.25">
      <c r="A7347" s="31"/>
      <c r="D7347" s="30"/>
    </row>
    <row r="7348" spans="1:4" x14ac:dyDescent="0.25">
      <c r="A7348" s="31"/>
      <c r="D7348" s="30"/>
    </row>
    <row r="7349" spans="1:4" x14ac:dyDescent="0.25">
      <c r="A7349" s="31"/>
      <c r="D7349" s="30"/>
    </row>
    <row r="7350" spans="1:4" x14ac:dyDescent="0.25">
      <c r="A7350" s="31"/>
      <c r="D7350" s="30"/>
    </row>
    <row r="7351" spans="1:4" x14ac:dyDescent="0.25">
      <c r="A7351" s="31"/>
      <c r="D7351" s="30"/>
    </row>
    <row r="7352" spans="1:4" x14ac:dyDescent="0.25">
      <c r="A7352" s="31"/>
      <c r="D7352" s="30"/>
    </row>
    <row r="7353" spans="1:4" x14ac:dyDescent="0.25">
      <c r="A7353" s="31"/>
      <c r="D7353" s="30"/>
    </row>
    <row r="7354" spans="1:4" x14ac:dyDescent="0.25">
      <c r="A7354" s="31"/>
      <c r="D7354" s="30"/>
    </row>
    <row r="7355" spans="1:4" x14ac:dyDescent="0.25">
      <c r="A7355" s="31"/>
      <c r="D7355" s="30"/>
    </row>
    <row r="7356" spans="1:4" x14ac:dyDescent="0.25">
      <c r="A7356" s="31"/>
      <c r="D7356" s="30"/>
    </row>
    <row r="7357" spans="1:4" x14ac:dyDescent="0.25">
      <c r="A7357" s="31"/>
      <c r="D7357" s="30"/>
    </row>
    <row r="7358" spans="1:4" x14ac:dyDescent="0.25">
      <c r="A7358" s="31"/>
      <c r="D7358" s="30"/>
    </row>
    <row r="7359" spans="1:4" x14ac:dyDescent="0.25">
      <c r="A7359" s="31"/>
      <c r="D7359" s="30"/>
    </row>
    <row r="7360" spans="1:4" x14ac:dyDescent="0.25">
      <c r="A7360" s="31"/>
      <c r="D7360" s="30"/>
    </row>
    <row r="7361" spans="1:4" x14ac:dyDescent="0.25">
      <c r="A7361" s="31"/>
      <c r="D7361" s="30"/>
    </row>
    <row r="7362" spans="1:4" x14ac:dyDescent="0.25">
      <c r="A7362" s="31"/>
      <c r="D7362" s="30"/>
    </row>
    <row r="7363" spans="1:4" x14ac:dyDescent="0.25">
      <c r="A7363" s="31"/>
      <c r="D7363" s="30"/>
    </row>
    <row r="7364" spans="1:4" x14ac:dyDescent="0.25">
      <c r="A7364" s="31"/>
      <c r="D7364" s="30"/>
    </row>
    <row r="7365" spans="1:4" x14ac:dyDescent="0.25">
      <c r="A7365" s="31"/>
      <c r="D7365" s="30"/>
    </row>
    <row r="7366" spans="1:4" x14ac:dyDescent="0.25">
      <c r="A7366" s="31"/>
      <c r="D7366" s="30"/>
    </row>
    <row r="7367" spans="1:4" x14ac:dyDescent="0.25">
      <c r="A7367" s="31"/>
      <c r="D7367" s="30"/>
    </row>
    <row r="7368" spans="1:4" x14ac:dyDescent="0.25">
      <c r="A7368" s="31"/>
      <c r="D7368" s="30"/>
    </row>
    <row r="7369" spans="1:4" x14ac:dyDescent="0.25">
      <c r="A7369" s="31"/>
      <c r="D7369" s="30"/>
    </row>
    <row r="7370" spans="1:4" x14ac:dyDescent="0.25">
      <c r="A7370" s="31"/>
      <c r="D7370" s="30"/>
    </row>
    <row r="7371" spans="1:4" x14ac:dyDescent="0.25">
      <c r="A7371" s="31"/>
      <c r="D7371" s="30"/>
    </row>
    <row r="7372" spans="1:4" x14ac:dyDescent="0.25">
      <c r="A7372" s="31"/>
      <c r="D7372" s="30"/>
    </row>
    <row r="7373" spans="1:4" x14ac:dyDescent="0.25">
      <c r="A7373" s="31"/>
      <c r="D7373" s="30"/>
    </row>
    <row r="7374" spans="1:4" x14ac:dyDescent="0.25">
      <c r="A7374" s="31"/>
      <c r="D7374" s="30"/>
    </row>
    <row r="7375" spans="1:4" x14ac:dyDescent="0.25">
      <c r="A7375" s="31"/>
      <c r="D7375" s="30"/>
    </row>
    <row r="7376" spans="1:4" x14ac:dyDescent="0.25">
      <c r="A7376" s="31"/>
      <c r="D7376" s="30"/>
    </row>
    <row r="7377" spans="1:4" x14ac:dyDescent="0.25">
      <c r="A7377" s="31"/>
      <c r="D7377" s="30"/>
    </row>
    <row r="7378" spans="1:4" x14ac:dyDescent="0.25">
      <c r="A7378" s="31"/>
      <c r="D7378" s="30"/>
    </row>
    <row r="7379" spans="1:4" x14ac:dyDescent="0.25">
      <c r="A7379" s="31"/>
      <c r="D7379" s="30"/>
    </row>
    <row r="7380" spans="1:4" x14ac:dyDescent="0.25">
      <c r="A7380" s="31"/>
      <c r="D7380" s="30"/>
    </row>
    <row r="7381" spans="1:4" x14ac:dyDescent="0.25">
      <c r="A7381" s="31"/>
      <c r="D7381" s="30"/>
    </row>
    <row r="7382" spans="1:4" x14ac:dyDescent="0.25">
      <c r="A7382" s="31"/>
      <c r="D7382" s="30"/>
    </row>
    <row r="7383" spans="1:4" x14ac:dyDescent="0.25">
      <c r="A7383" s="31"/>
      <c r="D7383" s="30"/>
    </row>
    <row r="7384" spans="1:4" x14ac:dyDescent="0.25">
      <c r="A7384" s="31"/>
      <c r="D7384" s="30"/>
    </row>
    <row r="7385" spans="1:4" x14ac:dyDescent="0.25">
      <c r="A7385" s="31"/>
      <c r="D7385" s="30"/>
    </row>
    <row r="7386" spans="1:4" x14ac:dyDescent="0.25">
      <c r="A7386" s="31"/>
      <c r="D7386" s="30"/>
    </row>
    <row r="7387" spans="1:4" x14ac:dyDescent="0.25">
      <c r="A7387" s="31"/>
      <c r="D7387" s="30"/>
    </row>
    <row r="7388" spans="1:4" x14ac:dyDescent="0.25">
      <c r="A7388" s="31"/>
      <c r="D7388" s="30"/>
    </row>
    <row r="7389" spans="1:4" x14ac:dyDescent="0.25">
      <c r="A7389" s="31"/>
      <c r="D7389" s="30"/>
    </row>
    <row r="7390" spans="1:4" x14ac:dyDescent="0.25">
      <c r="A7390" s="31"/>
      <c r="D7390" s="30"/>
    </row>
    <row r="7391" spans="1:4" x14ac:dyDescent="0.25">
      <c r="A7391" s="31"/>
      <c r="D7391" s="30"/>
    </row>
    <row r="7392" spans="1:4" x14ac:dyDescent="0.25">
      <c r="A7392" s="31"/>
      <c r="D7392" s="30"/>
    </row>
    <row r="7393" spans="1:4" x14ac:dyDescent="0.25">
      <c r="A7393" s="31"/>
      <c r="D7393" s="30"/>
    </row>
    <row r="7394" spans="1:4" x14ac:dyDescent="0.25">
      <c r="A7394" s="31"/>
      <c r="D7394" s="30"/>
    </row>
    <row r="7395" spans="1:4" x14ac:dyDescent="0.25">
      <c r="A7395" s="31"/>
      <c r="D7395" s="30"/>
    </row>
    <row r="7396" spans="1:4" x14ac:dyDescent="0.25">
      <c r="A7396" s="31"/>
      <c r="D7396" s="30"/>
    </row>
    <row r="7397" spans="1:4" x14ac:dyDescent="0.25">
      <c r="A7397" s="31"/>
      <c r="D7397" s="30"/>
    </row>
    <row r="7398" spans="1:4" x14ac:dyDescent="0.25">
      <c r="A7398" s="31"/>
      <c r="D7398" s="30"/>
    </row>
    <row r="7399" spans="1:4" x14ac:dyDescent="0.25">
      <c r="A7399" s="31"/>
      <c r="D7399" s="30"/>
    </row>
    <row r="7400" spans="1:4" x14ac:dyDescent="0.25">
      <c r="A7400" s="31"/>
      <c r="D7400" s="30"/>
    </row>
    <row r="7401" spans="1:4" x14ac:dyDescent="0.25">
      <c r="A7401" s="31"/>
      <c r="D7401" s="30"/>
    </row>
    <row r="7402" spans="1:4" x14ac:dyDescent="0.25">
      <c r="A7402" s="31"/>
      <c r="D7402" s="30"/>
    </row>
    <row r="7403" spans="1:4" x14ac:dyDescent="0.25">
      <c r="A7403" s="31"/>
      <c r="D7403" s="30"/>
    </row>
    <row r="7404" spans="1:4" x14ac:dyDescent="0.25">
      <c r="A7404" s="31"/>
      <c r="D7404" s="30"/>
    </row>
    <row r="7405" spans="1:4" x14ac:dyDescent="0.25">
      <c r="A7405" s="31"/>
      <c r="D7405" s="30"/>
    </row>
    <row r="7406" spans="1:4" x14ac:dyDescent="0.25">
      <c r="A7406" s="31"/>
      <c r="D7406" s="30"/>
    </row>
    <row r="7407" spans="1:4" x14ac:dyDescent="0.25">
      <c r="A7407" s="31"/>
      <c r="D7407" s="30"/>
    </row>
    <row r="7408" spans="1:4" x14ac:dyDescent="0.25">
      <c r="A7408" s="31"/>
      <c r="D7408" s="30"/>
    </row>
    <row r="7409" spans="1:4" x14ac:dyDescent="0.25">
      <c r="A7409" s="31"/>
      <c r="D7409" s="30"/>
    </row>
    <row r="7410" spans="1:4" x14ac:dyDescent="0.25">
      <c r="A7410" s="31"/>
      <c r="D7410" s="30"/>
    </row>
    <row r="7411" spans="1:4" x14ac:dyDescent="0.25">
      <c r="A7411" s="31"/>
      <c r="D7411" s="30"/>
    </row>
    <row r="7412" spans="1:4" x14ac:dyDescent="0.25">
      <c r="A7412" s="31"/>
      <c r="D7412" s="30"/>
    </row>
    <row r="7413" spans="1:4" x14ac:dyDescent="0.25">
      <c r="A7413" s="31"/>
      <c r="D7413" s="30"/>
    </row>
    <row r="7414" spans="1:4" x14ac:dyDescent="0.25">
      <c r="A7414" s="31"/>
      <c r="D7414" s="30"/>
    </row>
    <row r="7415" spans="1:4" x14ac:dyDescent="0.25">
      <c r="A7415" s="31"/>
      <c r="D7415" s="30"/>
    </row>
    <row r="7416" spans="1:4" x14ac:dyDescent="0.25">
      <c r="A7416" s="31"/>
      <c r="D7416" s="30"/>
    </row>
    <row r="7417" spans="1:4" x14ac:dyDescent="0.25">
      <c r="A7417" s="31"/>
      <c r="D7417" s="30"/>
    </row>
    <row r="7418" spans="1:4" x14ac:dyDescent="0.25">
      <c r="A7418" s="31"/>
      <c r="D7418" s="30"/>
    </row>
    <row r="7419" spans="1:4" x14ac:dyDescent="0.25">
      <c r="A7419" s="31"/>
      <c r="D7419" s="30"/>
    </row>
    <row r="7420" spans="1:4" x14ac:dyDescent="0.25">
      <c r="A7420" s="31"/>
      <c r="D7420" s="30"/>
    </row>
    <row r="7421" spans="1:4" x14ac:dyDescent="0.25">
      <c r="A7421" s="31"/>
      <c r="D7421" s="30"/>
    </row>
    <row r="7422" spans="1:4" x14ac:dyDescent="0.25">
      <c r="A7422" s="31"/>
      <c r="D7422" s="30"/>
    </row>
    <row r="7423" spans="1:4" x14ac:dyDescent="0.25">
      <c r="A7423" s="31"/>
      <c r="D7423" s="30"/>
    </row>
    <row r="7424" spans="1:4" x14ac:dyDescent="0.25">
      <c r="A7424" s="31"/>
      <c r="D7424" s="30"/>
    </row>
    <row r="7425" spans="1:4" x14ac:dyDescent="0.25">
      <c r="A7425" s="31"/>
      <c r="D7425" s="30"/>
    </row>
    <row r="7426" spans="1:4" x14ac:dyDescent="0.25">
      <c r="A7426" s="31"/>
      <c r="D7426" s="30"/>
    </row>
    <row r="7427" spans="1:4" x14ac:dyDescent="0.25">
      <c r="A7427" s="31"/>
      <c r="D7427" s="30"/>
    </row>
    <row r="7428" spans="1:4" x14ac:dyDescent="0.25">
      <c r="A7428" s="31"/>
      <c r="D7428" s="30"/>
    </row>
    <row r="7429" spans="1:4" x14ac:dyDescent="0.25">
      <c r="A7429" s="31"/>
      <c r="D7429" s="30"/>
    </row>
    <row r="7430" spans="1:4" x14ac:dyDescent="0.25">
      <c r="A7430" s="31"/>
      <c r="D7430" s="30"/>
    </row>
    <row r="7431" spans="1:4" x14ac:dyDescent="0.25">
      <c r="A7431" s="31"/>
      <c r="D7431" s="30"/>
    </row>
    <row r="7432" spans="1:4" x14ac:dyDescent="0.25">
      <c r="A7432" s="31"/>
      <c r="D7432" s="30"/>
    </row>
    <row r="7433" spans="1:4" x14ac:dyDescent="0.25">
      <c r="A7433" s="31"/>
      <c r="D7433" s="30"/>
    </row>
    <row r="7434" spans="1:4" x14ac:dyDescent="0.25">
      <c r="A7434" s="31"/>
      <c r="D7434" s="30"/>
    </row>
    <row r="7435" spans="1:4" x14ac:dyDescent="0.25">
      <c r="A7435" s="31"/>
      <c r="D7435" s="30"/>
    </row>
    <row r="7436" spans="1:4" x14ac:dyDescent="0.25">
      <c r="A7436" s="31"/>
      <c r="D7436" s="30"/>
    </row>
    <row r="7437" spans="1:4" x14ac:dyDescent="0.25">
      <c r="A7437" s="31"/>
      <c r="D7437" s="30"/>
    </row>
    <row r="7438" spans="1:4" x14ac:dyDescent="0.25">
      <c r="A7438" s="31"/>
      <c r="D7438" s="30"/>
    </row>
    <row r="7439" spans="1:4" x14ac:dyDescent="0.25">
      <c r="A7439" s="31"/>
      <c r="D7439" s="30"/>
    </row>
    <row r="7440" spans="1:4" x14ac:dyDescent="0.25">
      <c r="A7440" s="31"/>
      <c r="D7440" s="30"/>
    </row>
    <row r="7441" spans="1:4" x14ac:dyDescent="0.25">
      <c r="A7441" s="31"/>
      <c r="D7441" s="30"/>
    </row>
    <row r="7442" spans="1:4" x14ac:dyDescent="0.25">
      <c r="A7442" s="31"/>
      <c r="D7442" s="30"/>
    </row>
    <row r="7443" spans="1:4" x14ac:dyDescent="0.25">
      <c r="A7443" s="31"/>
      <c r="D7443" s="30"/>
    </row>
    <row r="7444" spans="1:4" x14ac:dyDescent="0.25">
      <c r="A7444" s="31"/>
      <c r="D7444" s="30"/>
    </row>
    <row r="7445" spans="1:4" x14ac:dyDescent="0.25">
      <c r="A7445" s="31"/>
      <c r="D7445" s="30"/>
    </row>
    <row r="7446" spans="1:4" x14ac:dyDescent="0.25">
      <c r="A7446" s="31"/>
      <c r="D7446" s="30"/>
    </row>
    <row r="7447" spans="1:4" x14ac:dyDescent="0.25">
      <c r="A7447" s="31"/>
      <c r="D7447" s="30"/>
    </row>
    <row r="7448" spans="1:4" x14ac:dyDescent="0.25">
      <c r="A7448" s="31"/>
      <c r="D7448" s="30"/>
    </row>
    <row r="7449" spans="1:4" x14ac:dyDescent="0.25">
      <c r="A7449" s="31"/>
      <c r="D7449" s="30"/>
    </row>
    <row r="7450" spans="1:4" x14ac:dyDescent="0.25">
      <c r="A7450" s="31"/>
      <c r="D7450" s="30"/>
    </row>
    <row r="7451" spans="1:4" x14ac:dyDescent="0.25">
      <c r="A7451" s="31"/>
      <c r="D7451" s="30"/>
    </row>
    <row r="7452" spans="1:4" x14ac:dyDescent="0.25">
      <c r="A7452" s="31"/>
      <c r="D7452" s="30"/>
    </row>
    <row r="7453" spans="1:4" x14ac:dyDescent="0.25">
      <c r="A7453" s="31"/>
      <c r="D7453" s="30"/>
    </row>
    <row r="7454" spans="1:4" x14ac:dyDescent="0.25">
      <c r="A7454" s="31"/>
      <c r="D7454" s="30"/>
    </row>
    <row r="7455" spans="1:4" x14ac:dyDescent="0.25">
      <c r="A7455" s="31"/>
      <c r="D7455" s="30"/>
    </row>
    <row r="7456" spans="1:4" x14ac:dyDescent="0.25">
      <c r="A7456" s="31"/>
      <c r="D7456" s="30"/>
    </row>
    <row r="7457" spans="1:4" x14ac:dyDescent="0.25">
      <c r="A7457" s="31"/>
      <c r="D7457" s="30"/>
    </row>
    <row r="7458" spans="1:4" x14ac:dyDescent="0.25">
      <c r="A7458" s="31"/>
      <c r="D7458" s="30"/>
    </row>
    <row r="7459" spans="1:4" x14ac:dyDescent="0.25">
      <c r="A7459" s="31"/>
      <c r="D7459" s="30"/>
    </row>
    <row r="7460" spans="1:4" x14ac:dyDescent="0.25">
      <c r="A7460" s="31"/>
      <c r="D7460" s="30"/>
    </row>
    <row r="7461" spans="1:4" x14ac:dyDescent="0.25">
      <c r="A7461" s="31"/>
      <c r="D7461" s="30"/>
    </row>
    <row r="7462" spans="1:4" x14ac:dyDescent="0.25">
      <c r="A7462" s="31"/>
      <c r="D7462" s="30"/>
    </row>
    <row r="7463" spans="1:4" x14ac:dyDescent="0.25">
      <c r="A7463" s="31"/>
      <c r="D7463" s="30"/>
    </row>
    <row r="7464" spans="1:4" x14ac:dyDescent="0.25">
      <c r="A7464" s="31"/>
      <c r="D7464" s="30"/>
    </row>
    <row r="7465" spans="1:4" x14ac:dyDescent="0.25">
      <c r="A7465" s="31"/>
      <c r="D7465" s="30"/>
    </row>
    <row r="7466" spans="1:4" x14ac:dyDescent="0.25">
      <c r="A7466" s="31"/>
      <c r="D7466" s="30"/>
    </row>
    <row r="7467" spans="1:4" x14ac:dyDescent="0.25">
      <c r="A7467" s="31"/>
      <c r="D7467" s="30"/>
    </row>
    <row r="7468" spans="1:4" x14ac:dyDescent="0.25">
      <c r="A7468" s="31"/>
      <c r="D7468" s="30"/>
    </row>
    <row r="7469" spans="1:4" x14ac:dyDescent="0.25">
      <c r="A7469" s="31"/>
      <c r="D7469" s="30"/>
    </row>
    <row r="7470" spans="1:4" x14ac:dyDescent="0.25">
      <c r="A7470" s="31"/>
      <c r="D7470" s="30"/>
    </row>
    <row r="7471" spans="1:4" x14ac:dyDescent="0.25">
      <c r="A7471" s="31"/>
      <c r="D7471" s="30"/>
    </row>
    <row r="7472" spans="1:4" x14ac:dyDescent="0.25">
      <c r="A7472" s="31"/>
      <c r="D7472" s="30"/>
    </row>
    <row r="7473" spans="1:4" x14ac:dyDescent="0.25">
      <c r="A7473" s="31"/>
      <c r="D7473" s="30"/>
    </row>
    <row r="7474" spans="1:4" x14ac:dyDescent="0.25">
      <c r="A7474" s="31"/>
      <c r="D7474" s="30"/>
    </row>
    <row r="7475" spans="1:4" x14ac:dyDescent="0.25">
      <c r="A7475" s="31"/>
      <c r="D7475" s="30"/>
    </row>
    <row r="7476" spans="1:4" x14ac:dyDescent="0.25">
      <c r="A7476" s="31"/>
      <c r="D7476" s="30"/>
    </row>
    <row r="7477" spans="1:4" x14ac:dyDescent="0.25">
      <c r="A7477" s="31"/>
      <c r="D7477" s="30"/>
    </row>
    <row r="7478" spans="1:4" x14ac:dyDescent="0.25">
      <c r="A7478" s="31"/>
      <c r="D7478" s="30"/>
    </row>
    <row r="7479" spans="1:4" x14ac:dyDescent="0.25">
      <c r="A7479" s="31"/>
      <c r="D7479" s="30"/>
    </row>
    <row r="7480" spans="1:4" x14ac:dyDescent="0.25">
      <c r="A7480" s="31"/>
      <c r="D7480" s="30"/>
    </row>
    <row r="7481" spans="1:4" x14ac:dyDescent="0.25">
      <c r="A7481" s="31"/>
      <c r="D7481" s="30"/>
    </row>
    <row r="7482" spans="1:4" x14ac:dyDescent="0.25">
      <c r="A7482" s="31"/>
      <c r="D7482" s="30"/>
    </row>
    <row r="7483" spans="1:4" x14ac:dyDescent="0.25">
      <c r="A7483" s="31"/>
      <c r="D7483" s="30"/>
    </row>
    <row r="7484" spans="1:4" x14ac:dyDescent="0.25">
      <c r="A7484" s="31"/>
      <c r="D7484" s="30"/>
    </row>
    <row r="7485" spans="1:4" x14ac:dyDescent="0.25">
      <c r="A7485" s="31"/>
      <c r="D7485" s="30"/>
    </row>
    <row r="7486" spans="1:4" x14ac:dyDescent="0.25">
      <c r="A7486" s="31"/>
      <c r="D7486" s="30"/>
    </row>
    <row r="7487" spans="1:4" x14ac:dyDescent="0.25">
      <c r="A7487" s="31"/>
      <c r="D7487" s="30"/>
    </row>
    <row r="7488" spans="1:4" x14ac:dyDescent="0.25">
      <c r="A7488" s="31"/>
      <c r="D7488" s="30"/>
    </row>
    <row r="7489" spans="1:4" x14ac:dyDescent="0.25">
      <c r="A7489" s="31"/>
      <c r="D7489" s="30"/>
    </row>
    <row r="7490" spans="1:4" x14ac:dyDescent="0.25">
      <c r="A7490" s="31"/>
      <c r="D7490" s="30"/>
    </row>
    <row r="7491" spans="1:4" x14ac:dyDescent="0.25">
      <c r="A7491" s="31"/>
      <c r="D7491" s="30"/>
    </row>
    <row r="7492" spans="1:4" x14ac:dyDescent="0.25">
      <c r="A7492" s="31"/>
      <c r="D7492" s="30"/>
    </row>
    <row r="7493" spans="1:4" x14ac:dyDescent="0.25">
      <c r="A7493" s="31"/>
      <c r="D7493" s="30"/>
    </row>
    <row r="7494" spans="1:4" x14ac:dyDescent="0.25">
      <c r="A7494" s="31"/>
      <c r="D7494" s="30"/>
    </row>
    <row r="7495" spans="1:4" x14ac:dyDescent="0.25">
      <c r="A7495" s="31"/>
      <c r="D7495" s="30"/>
    </row>
    <row r="7496" spans="1:4" x14ac:dyDescent="0.25">
      <c r="A7496" s="31"/>
      <c r="D7496" s="30"/>
    </row>
    <row r="7497" spans="1:4" x14ac:dyDescent="0.25">
      <c r="A7497" s="31"/>
      <c r="D7497" s="30"/>
    </row>
    <row r="7498" spans="1:4" x14ac:dyDescent="0.25">
      <c r="A7498" s="31"/>
      <c r="D7498" s="30"/>
    </row>
    <row r="7499" spans="1:4" x14ac:dyDescent="0.25">
      <c r="A7499" s="31"/>
      <c r="D7499" s="30"/>
    </row>
    <row r="7500" spans="1:4" x14ac:dyDescent="0.25">
      <c r="A7500" s="31"/>
      <c r="D7500" s="30"/>
    </row>
    <row r="7501" spans="1:4" x14ac:dyDescent="0.25">
      <c r="A7501" s="31"/>
      <c r="D7501" s="30"/>
    </row>
    <row r="7502" spans="1:4" x14ac:dyDescent="0.25">
      <c r="A7502" s="31"/>
      <c r="D7502" s="30"/>
    </row>
    <row r="7503" spans="1:4" x14ac:dyDescent="0.25">
      <c r="A7503" s="31"/>
      <c r="D7503" s="30"/>
    </row>
    <row r="7504" spans="1:4" x14ac:dyDescent="0.25">
      <c r="A7504" s="31"/>
      <c r="D7504" s="30"/>
    </row>
    <row r="7505" spans="1:4" x14ac:dyDescent="0.25">
      <c r="A7505" s="31"/>
      <c r="D7505" s="30"/>
    </row>
    <row r="7506" spans="1:4" x14ac:dyDescent="0.25">
      <c r="A7506" s="31"/>
      <c r="D7506" s="30"/>
    </row>
    <row r="7507" spans="1:4" x14ac:dyDescent="0.25">
      <c r="A7507" s="31"/>
      <c r="D7507" s="30"/>
    </row>
    <row r="7508" spans="1:4" x14ac:dyDescent="0.25">
      <c r="A7508" s="31"/>
      <c r="D7508" s="30"/>
    </row>
    <row r="7509" spans="1:4" x14ac:dyDescent="0.25">
      <c r="A7509" s="31"/>
      <c r="D7509" s="30"/>
    </row>
    <row r="7510" spans="1:4" x14ac:dyDescent="0.25">
      <c r="A7510" s="31"/>
      <c r="D7510" s="30"/>
    </row>
    <row r="7511" spans="1:4" x14ac:dyDescent="0.25">
      <c r="A7511" s="31"/>
      <c r="D7511" s="30"/>
    </row>
    <row r="7512" spans="1:4" x14ac:dyDescent="0.25">
      <c r="A7512" s="31"/>
      <c r="D7512" s="30"/>
    </row>
    <row r="7513" spans="1:4" x14ac:dyDescent="0.25">
      <c r="A7513" s="31"/>
      <c r="D7513" s="30"/>
    </row>
    <row r="7514" spans="1:4" x14ac:dyDescent="0.25">
      <c r="A7514" s="31"/>
      <c r="D7514" s="30"/>
    </row>
    <row r="7515" spans="1:4" x14ac:dyDescent="0.25">
      <c r="A7515" s="31"/>
      <c r="D7515" s="30"/>
    </row>
    <row r="7516" spans="1:4" x14ac:dyDescent="0.25">
      <c r="A7516" s="31"/>
      <c r="D7516" s="30"/>
    </row>
    <row r="7517" spans="1:4" x14ac:dyDescent="0.25">
      <c r="A7517" s="31"/>
      <c r="D7517" s="30"/>
    </row>
    <row r="7518" spans="1:4" x14ac:dyDescent="0.25">
      <c r="A7518" s="31"/>
      <c r="D7518" s="30"/>
    </row>
    <row r="7519" spans="1:4" x14ac:dyDescent="0.25">
      <c r="A7519" s="31"/>
      <c r="D7519" s="30"/>
    </row>
    <row r="7520" spans="1:4" x14ac:dyDescent="0.25">
      <c r="A7520" s="31"/>
      <c r="D7520" s="30"/>
    </row>
    <row r="7521" spans="1:4" x14ac:dyDescent="0.25">
      <c r="A7521" s="31"/>
      <c r="D7521" s="30"/>
    </row>
    <row r="7522" spans="1:4" x14ac:dyDescent="0.25">
      <c r="A7522" s="31"/>
      <c r="D7522" s="30"/>
    </row>
    <row r="7523" spans="1:4" x14ac:dyDescent="0.25">
      <c r="A7523" s="31"/>
      <c r="D7523" s="30"/>
    </row>
    <row r="7524" spans="1:4" x14ac:dyDescent="0.25">
      <c r="A7524" s="31"/>
      <c r="D7524" s="30"/>
    </row>
    <row r="7525" spans="1:4" x14ac:dyDescent="0.25">
      <c r="A7525" s="31"/>
      <c r="D7525" s="30"/>
    </row>
    <row r="7526" spans="1:4" x14ac:dyDescent="0.25">
      <c r="A7526" s="31"/>
      <c r="D7526" s="30"/>
    </row>
    <row r="7527" spans="1:4" x14ac:dyDescent="0.25">
      <c r="A7527" s="31"/>
      <c r="D7527" s="30"/>
    </row>
    <row r="7528" spans="1:4" x14ac:dyDescent="0.25">
      <c r="A7528" s="31"/>
      <c r="D7528" s="30"/>
    </row>
    <row r="7529" spans="1:4" x14ac:dyDescent="0.25">
      <c r="A7529" s="31"/>
      <c r="D7529" s="30"/>
    </row>
    <row r="7530" spans="1:4" x14ac:dyDescent="0.25">
      <c r="A7530" s="31"/>
      <c r="D7530" s="30"/>
    </row>
    <row r="7531" spans="1:4" x14ac:dyDescent="0.25">
      <c r="A7531" s="31"/>
      <c r="D7531" s="30"/>
    </row>
    <row r="7532" spans="1:4" x14ac:dyDescent="0.25">
      <c r="A7532" s="31"/>
      <c r="D7532" s="30"/>
    </row>
    <row r="7533" spans="1:4" x14ac:dyDescent="0.25">
      <c r="A7533" s="31"/>
      <c r="D7533" s="30"/>
    </row>
    <row r="7534" spans="1:4" x14ac:dyDescent="0.25">
      <c r="A7534" s="31"/>
      <c r="D7534" s="30"/>
    </row>
    <row r="7535" spans="1:4" x14ac:dyDescent="0.25">
      <c r="A7535" s="31"/>
      <c r="D7535" s="30"/>
    </row>
    <row r="7536" spans="1:4" x14ac:dyDescent="0.25">
      <c r="A7536" s="31"/>
      <c r="D7536" s="30"/>
    </row>
    <row r="7537" spans="1:4" x14ac:dyDescent="0.25">
      <c r="A7537" s="31"/>
      <c r="D7537" s="30"/>
    </row>
    <row r="7538" spans="1:4" x14ac:dyDescent="0.25">
      <c r="A7538" s="31"/>
      <c r="D7538" s="30"/>
    </row>
    <row r="7539" spans="1:4" x14ac:dyDescent="0.25">
      <c r="A7539" s="31"/>
      <c r="D7539" s="30"/>
    </row>
    <row r="7540" spans="1:4" x14ac:dyDescent="0.25">
      <c r="A7540" s="31"/>
      <c r="D7540" s="30"/>
    </row>
    <row r="7541" spans="1:4" x14ac:dyDescent="0.25">
      <c r="A7541" s="31"/>
      <c r="D7541" s="30"/>
    </row>
    <row r="7542" spans="1:4" x14ac:dyDescent="0.25">
      <c r="A7542" s="31"/>
      <c r="D7542" s="30"/>
    </row>
    <row r="7543" spans="1:4" x14ac:dyDescent="0.25">
      <c r="A7543" s="31"/>
      <c r="D7543" s="30"/>
    </row>
    <row r="7544" spans="1:4" x14ac:dyDescent="0.25">
      <c r="A7544" s="31"/>
      <c r="D7544" s="30"/>
    </row>
    <row r="7545" spans="1:4" x14ac:dyDescent="0.25">
      <c r="A7545" s="31"/>
      <c r="D7545" s="30"/>
    </row>
    <row r="7546" spans="1:4" x14ac:dyDescent="0.25">
      <c r="A7546" s="31"/>
      <c r="D7546" s="30"/>
    </row>
    <row r="7547" spans="1:4" x14ac:dyDescent="0.25">
      <c r="A7547" s="31"/>
      <c r="D7547" s="30"/>
    </row>
    <row r="7548" spans="1:4" x14ac:dyDescent="0.25">
      <c r="A7548" s="31"/>
      <c r="D7548" s="30"/>
    </row>
    <row r="7549" spans="1:4" x14ac:dyDescent="0.25">
      <c r="A7549" s="31"/>
      <c r="D7549" s="30"/>
    </row>
    <row r="7550" spans="1:4" x14ac:dyDescent="0.25">
      <c r="A7550" s="31"/>
      <c r="D7550" s="30"/>
    </row>
    <row r="7551" spans="1:4" x14ac:dyDescent="0.25">
      <c r="A7551" s="31"/>
      <c r="D7551" s="30"/>
    </row>
    <row r="7552" spans="1:4" x14ac:dyDescent="0.25">
      <c r="A7552" s="31"/>
      <c r="D7552" s="30"/>
    </row>
    <row r="7553" spans="1:4" x14ac:dyDescent="0.25">
      <c r="A7553" s="31"/>
      <c r="D7553" s="30"/>
    </row>
    <row r="7554" spans="1:4" x14ac:dyDescent="0.25">
      <c r="A7554" s="31"/>
      <c r="D7554" s="30"/>
    </row>
    <row r="7555" spans="1:4" x14ac:dyDescent="0.25">
      <c r="A7555" s="31"/>
      <c r="D7555" s="30"/>
    </row>
    <row r="7556" spans="1:4" x14ac:dyDescent="0.25">
      <c r="A7556" s="31"/>
      <c r="D7556" s="30"/>
    </row>
    <row r="7557" spans="1:4" x14ac:dyDescent="0.25">
      <c r="A7557" s="31"/>
      <c r="D7557" s="30"/>
    </row>
    <row r="7558" spans="1:4" x14ac:dyDescent="0.25">
      <c r="A7558" s="31"/>
      <c r="D7558" s="30"/>
    </row>
    <row r="7559" spans="1:4" x14ac:dyDescent="0.25">
      <c r="A7559" s="31"/>
      <c r="D7559" s="30"/>
    </row>
    <row r="7560" spans="1:4" x14ac:dyDescent="0.25">
      <c r="A7560" s="31"/>
      <c r="D7560" s="30"/>
    </row>
    <row r="7561" spans="1:4" x14ac:dyDescent="0.25">
      <c r="A7561" s="31"/>
      <c r="D7561" s="30"/>
    </row>
    <row r="7562" spans="1:4" x14ac:dyDescent="0.25">
      <c r="A7562" s="31"/>
      <c r="D7562" s="30"/>
    </row>
    <row r="7563" spans="1:4" x14ac:dyDescent="0.25">
      <c r="A7563" s="31"/>
      <c r="D7563" s="30"/>
    </row>
    <row r="7564" spans="1:4" x14ac:dyDescent="0.25">
      <c r="A7564" s="31"/>
      <c r="D7564" s="30"/>
    </row>
    <row r="7565" spans="1:4" x14ac:dyDescent="0.25">
      <c r="A7565" s="31"/>
      <c r="D7565" s="30"/>
    </row>
    <row r="7566" spans="1:4" x14ac:dyDescent="0.25">
      <c r="A7566" s="31"/>
      <c r="D7566" s="30"/>
    </row>
    <row r="7567" spans="1:4" x14ac:dyDescent="0.25">
      <c r="A7567" s="31"/>
      <c r="D7567" s="30"/>
    </row>
    <row r="7568" spans="1:4" x14ac:dyDescent="0.25">
      <c r="A7568" s="31"/>
      <c r="D7568" s="30"/>
    </row>
    <row r="7569" spans="1:4" x14ac:dyDescent="0.25">
      <c r="A7569" s="31"/>
      <c r="D7569" s="30"/>
    </row>
    <row r="7570" spans="1:4" x14ac:dyDescent="0.25">
      <c r="A7570" s="31"/>
      <c r="D7570" s="30"/>
    </row>
    <row r="7571" spans="1:4" x14ac:dyDescent="0.25">
      <c r="A7571" s="31"/>
      <c r="D7571" s="30"/>
    </row>
    <row r="7572" spans="1:4" x14ac:dyDescent="0.25">
      <c r="A7572" s="31"/>
      <c r="D7572" s="30"/>
    </row>
    <row r="7573" spans="1:4" x14ac:dyDescent="0.25">
      <c r="A7573" s="31"/>
      <c r="D7573" s="30"/>
    </row>
    <row r="7574" spans="1:4" x14ac:dyDescent="0.25">
      <c r="A7574" s="31"/>
      <c r="D7574" s="30"/>
    </row>
    <row r="7575" spans="1:4" x14ac:dyDescent="0.25">
      <c r="A7575" s="31"/>
      <c r="D7575" s="30"/>
    </row>
    <row r="7576" spans="1:4" x14ac:dyDescent="0.25">
      <c r="A7576" s="31"/>
      <c r="D7576" s="30"/>
    </row>
    <row r="7577" spans="1:4" x14ac:dyDescent="0.25">
      <c r="A7577" s="31"/>
      <c r="D7577" s="30"/>
    </row>
    <row r="7578" spans="1:4" x14ac:dyDescent="0.25">
      <c r="A7578" s="31"/>
      <c r="D7578" s="30"/>
    </row>
    <row r="7579" spans="1:4" x14ac:dyDescent="0.25">
      <c r="A7579" s="31"/>
      <c r="D7579" s="30"/>
    </row>
    <row r="7580" spans="1:4" x14ac:dyDescent="0.25">
      <c r="A7580" s="31"/>
      <c r="D7580" s="30"/>
    </row>
    <row r="7581" spans="1:4" x14ac:dyDescent="0.25">
      <c r="A7581" s="31"/>
      <c r="D7581" s="30"/>
    </row>
    <row r="7582" spans="1:4" x14ac:dyDescent="0.25">
      <c r="A7582" s="31"/>
      <c r="D7582" s="30"/>
    </row>
    <row r="7583" spans="1:4" x14ac:dyDescent="0.25">
      <c r="A7583" s="31"/>
      <c r="D7583" s="30"/>
    </row>
    <row r="7584" spans="1:4" x14ac:dyDescent="0.25">
      <c r="A7584" s="31"/>
      <c r="D7584" s="30"/>
    </row>
    <row r="7585" spans="1:4" x14ac:dyDescent="0.25">
      <c r="A7585" s="31"/>
      <c r="D7585" s="30"/>
    </row>
    <row r="7586" spans="1:4" x14ac:dyDescent="0.25">
      <c r="A7586" s="31"/>
      <c r="D7586" s="30"/>
    </row>
    <row r="7587" spans="1:4" x14ac:dyDescent="0.25">
      <c r="A7587" s="31"/>
      <c r="D7587" s="30"/>
    </row>
    <row r="7588" spans="1:4" x14ac:dyDescent="0.25">
      <c r="A7588" s="31"/>
      <c r="D7588" s="30"/>
    </row>
    <row r="7589" spans="1:4" x14ac:dyDescent="0.25">
      <c r="A7589" s="31"/>
      <c r="D7589" s="30"/>
    </row>
    <row r="7590" spans="1:4" x14ac:dyDescent="0.25">
      <c r="A7590" s="31"/>
      <c r="D7590" s="30"/>
    </row>
    <row r="7591" spans="1:4" x14ac:dyDescent="0.25">
      <c r="A7591" s="31"/>
      <c r="D7591" s="30"/>
    </row>
    <row r="7592" spans="1:4" x14ac:dyDescent="0.25">
      <c r="A7592" s="31"/>
      <c r="D7592" s="30"/>
    </row>
    <row r="7593" spans="1:4" x14ac:dyDescent="0.25">
      <c r="A7593" s="31"/>
      <c r="D7593" s="30"/>
    </row>
    <row r="7594" spans="1:4" x14ac:dyDescent="0.25">
      <c r="A7594" s="31"/>
      <c r="D7594" s="30"/>
    </row>
    <row r="7595" spans="1:4" x14ac:dyDescent="0.25">
      <c r="A7595" s="31"/>
      <c r="D7595" s="30"/>
    </row>
    <row r="7596" spans="1:4" x14ac:dyDescent="0.25">
      <c r="A7596" s="31"/>
      <c r="D7596" s="30"/>
    </row>
    <row r="7597" spans="1:4" x14ac:dyDescent="0.25">
      <c r="A7597" s="31"/>
      <c r="D7597" s="30"/>
    </row>
    <row r="7598" spans="1:4" x14ac:dyDescent="0.25">
      <c r="A7598" s="31"/>
      <c r="D7598" s="30"/>
    </row>
    <row r="7599" spans="1:4" x14ac:dyDescent="0.25">
      <c r="A7599" s="31"/>
      <c r="D7599" s="30"/>
    </row>
    <row r="7600" spans="1:4" x14ac:dyDescent="0.25">
      <c r="A7600" s="31"/>
      <c r="D7600" s="30"/>
    </row>
    <row r="7601" spans="1:4" x14ac:dyDescent="0.25">
      <c r="A7601" s="31"/>
      <c r="D7601" s="30"/>
    </row>
    <row r="7602" spans="1:4" x14ac:dyDescent="0.25">
      <c r="A7602" s="31"/>
      <c r="D7602" s="30"/>
    </row>
    <row r="7603" spans="1:4" x14ac:dyDescent="0.25">
      <c r="A7603" s="31"/>
      <c r="D7603" s="30"/>
    </row>
    <row r="7604" spans="1:4" x14ac:dyDescent="0.25">
      <c r="A7604" s="31"/>
      <c r="D7604" s="30"/>
    </row>
    <row r="7605" spans="1:4" x14ac:dyDescent="0.25">
      <c r="A7605" s="31"/>
      <c r="D7605" s="30"/>
    </row>
    <row r="7606" spans="1:4" x14ac:dyDescent="0.25">
      <c r="A7606" s="31"/>
      <c r="D7606" s="30"/>
    </row>
    <row r="7607" spans="1:4" x14ac:dyDescent="0.25">
      <c r="A7607" s="31"/>
      <c r="D7607" s="30"/>
    </row>
    <row r="7608" spans="1:4" x14ac:dyDescent="0.25">
      <c r="A7608" s="31"/>
      <c r="D7608" s="30"/>
    </row>
    <row r="7609" spans="1:4" x14ac:dyDescent="0.25">
      <c r="A7609" s="31"/>
      <c r="D7609" s="30"/>
    </row>
    <row r="7610" spans="1:4" x14ac:dyDescent="0.25">
      <c r="A7610" s="31"/>
      <c r="D7610" s="30"/>
    </row>
    <row r="7611" spans="1:4" x14ac:dyDescent="0.25">
      <c r="A7611" s="31"/>
      <c r="D7611" s="30"/>
    </row>
    <row r="7612" spans="1:4" x14ac:dyDescent="0.25">
      <c r="A7612" s="31"/>
      <c r="D7612" s="30"/>
    </row>
    <row r="7613" spans="1:4" x14ac:dyDescent="0.25">
      <c r="A7613" s="31"/>
      <c r="D7613" s="30"/>
    </row>
    <row r="7614" spans="1:4" x14ac:dyDescent="0.25">
      <c r="A7614" s="31"/>
      <c r="D7614" s="30"/>
    </row>
    <row r="7615" spans="1:4" x14ac:dyDescent="0.25">
      <c r="A7615" s="31"/>
      <c r="D7615" s="30"/>
    </row>
    <row r="7616" spans="1:4" x14ac:dyDescent="0.25">
      <c r="A7616" s="31"/>
      <c r="D7616" s="30"/>
    </row>
    <row r="7617" spans="1:4" x14ac:dyDescent="0.25">
      <c r="A7617" s="31"/>
      <c r="D7617" s="30"/>
    </row>
    <row r="7618" spans="1:4" x14ac:dyDescent="0.25">
      <c r="A7618" s="31"/>
      <c r="D7618" s="30"/>
    </row>
    <row r="7619" spans="1:4" x14ac:dyDescent="0.25">
      <c r="A7619" s="31"/>
      <c r="D7619" s="30"/>
    </row>
    <row r="7620" spans="1:4" x14ac:dyDescent="0.25">
      <c r="A7620" s="31"/>
      <c r="D7620" s="30"/>
    </row>
    <row r="7621" spans="1:4" x14ac:dyDescent="0.25">
      <c r="A7621" s="31"/>
      <c r="D7621" s="30"/>
    </row>
    <row r="7622" spans="1:4" x14ac:dyDescent="0.25">
      <c r="A7622" s="31"/>
      <c r="D7622" s="30"/>
    </row>
    <row r="7623" spans="1:4" x14ac:dyDescent="0.25">
      <c r="A7623" s="31"/>
      <c r="D7623" s="30"/>
    </row>
    <row r="7624" spans="1:4" x14ac:dyDescent="0.25">
      <c r="A7624" s="31"/>
      <c r="D7624" s="30"/>
    </row>
    <row r="7625" spans="1:4" x14ac:dyDescent="0.25">
      <c r="A7625" s="31"/>
      <c r="D7625" s="30"/>
    </row>
    <row r="7626" spans="1:4" x14ac:dyDescent="0.25">
      <c r="A7626" s="31"/>
      <c r="D7626" s="30"/>
    </row>
    <row r="7627" spans="1:4" x14ac:dyDescent="0.25">
      <c r="A7627" s="31"/>
      <c r="D7627" s="30"/>
    </row>
    <row r="7628" spans="1:4" x14ac:dyDescent="0.25">
      <c r="A7628" s="31"/>
      <c r="D7628" s="30"/>
    </row>
    <row r="7629" spans="1:4" x14ac:dyDescent="0.25">
      <c r="A7629" s="31"/>
      <c r="D7629" s="30"/>
    </row>
    <row r="7630" spans="1:4" x14ac:dyDescent="0.25">
      <c r="A7630" s="31"/>
      <c r="D7630" s="30"/>
    </row>
    <row r="7631" spans="1:4" x14ac:dyDescent="0.25">
      <c r="A7631" s="31"/>
      <c r="D7631" s="30"/>
    </row>
    <row r="7632" spans="1:4" x14ac:dyDescent="0.25">
      <c r="A7632" s="31"/>
      <c r="D7632" s="30"/>
    </row>
    <row r="7633" spans="1:4" x14ac:dyDescent="0.25">
      <c r="A7633" s="31"/>
      <c r="D7633" s="30"/>
    </row>
    <row r="7634" spans="1:4" x14ac:dyDescent="0.25">
      <c r="A7634" s="31"/>
      <c r="D7634" s="30"/>
    </row>
    <row r="7635" spans="1:4" x14ac:dyDescent="0.25">
      <c r="A7635" s="31"/>
      <c r="D7635" s="30"/>
    </row>
    <row r="7636" spans="1:4" x14ac:dyDescent="0.25">
      <c r="A7636" s="31"/>
      <c r="D7636" s="30"/>
    </row>
    <row r="7637" spans="1:4" x14ac:dyDescent="0.25">
      <c r="A7637" s="31"/>
      <c r="D7637" s="30"/>
    </row>
    <row r="7638" spans="1:4" x14ac:dyDescent="0.25">
      <c r="A7638" s="31"/>
      <c r="D7638" s="30"/>
    </row>
    <row r="7639" spans="1:4" x14ac:dyDescent="0.25">
      <c r="A7639" s="31"/>
      <c r="D7639" s="30"/>
    </row>
    <row r="7640" spans="1:4" x14ac:dyDescent="0.25">
      <c r="A7640" s="31"/>
      <c r="D7640" s="30"/>
    </row>
    <row r="7641" spans="1:4" x14ac:dyDescent="0.25">
      <c r="A7641" s="31"/>
      <c r="D7641" s="30"/>
    </row>
    <row r="7642" spans="1:4" x14ac:dyDescent="0.25">
      <c r="A7642" s="31"/>
      <c r="D7642" s="30"/>
    </row>
    <row r="7643" spans="1:4" x14ac:dyDescent="0.25">
      <c r="A7643" s="31"/>
      <c r="D7643" s="30"/>
    </row>
    <row r="7644" spans="1:4" x14ac:dyDescent="0.25">
      <c r="A7644" s="31"/>
      <c r="D7644" s="30"/>
    </row>
    <row r="7645" spans="1:4" x14ac:dyDescent="0.25">
      <c r="A7645" s="31"/>
      <c r="D7645" s="30"/>
    </row>
    <row r="7646" spans="1:4" x14ac:dyDescent="0.25">
      <c r="A7646" s="31"/>
      <c r="D7646" s="30"/>
    </row>
    <row r="7647" spans="1:4" x14ac:dyDescent="0.25">
      <c r="A7647" s="31"/>
      <c r="D7647" s="30"/>
    </row>
    <row r="7648" spans="1:4" x14ac:dyDescent="0.25">
      <c r="A7648" s="31"/>
      <c r="D7648" s="30"/>
    </row>
    <row r="7649" spans="1:4" x14ac:dyDescent="0.25">
      <c r="A7649" s="31"/>
      <c r="D7649" s="30"/>
    </row>
    <row r="7650" spans="1:4" x14ac:dyDescent="0.25">
      <c r="A7650" s="31"/>
      <c r="D7650" s="30"/>
    </row>
    <row r="7651" spans="1:4" x14ac:dyDescent="0.25">
      <c r="A7651" s="31"/>
      <c r="D7651" s="30"/>
    </row>
    <row r="7652" spans="1:4" x14ac:dyDescent="0.25">
      <c r="A7652" s="31"/>
      <c r="D7652" s="30"/>
    </row>
    <row r="7653" spans="1:4" x14ac:dyDescent="0.25">
      <c r="A7653" s="31"/>
      <c r="D7653" s="30"/>
    </row>
    <row r="7654" spans="1:4" x14ac:dyDescent="0.25">
      <c r="A7654" s="31"/>
      <c r="D7654" s="30"/>
    </row>
    <row r="7655" spans="1:4" x14ac:dyDescent="0.25">
      <c r="A7655" s="31"/>
      <c r="D7655" s="30"/>
    </row>
    <row r="7656" spans="1:4" x14ac:dyDescent="0.25">
      <c r="A7656" s="31"/>
      <c r="D7656" s="30"/>
    </row>
    <row r="7657" spans="1:4" x14ac:dyDescent="0.25">
      <c r="A7657" s="31"/>
      <c r="D7657" s="30"/>
    </row>
    <row r="7658" spans="1:4" x14ac:dyDescent="0.25">
      <c r="A7658" s="31"/>
      <c r="D7658" s="30"/>
    </row>
    <row r="7659" spans="1:4" x14ac:dyDescent="0.25">
      <c r="A7659" s="31"/>
      <c r="D7659" s="30"/>
    </row>
    <row r="7660" spans="1:4" x14ac:dyDescent="0.25">
      <c r="A7660" s="31"/>
      <c r="D7660" s="30"/>
    </row>
    <row r="7661" spans="1:4" x14ac:dyDescent="0.25">
      <c r="A7661" s="31"/>
      <c r="D7661" s="30"/>
    </row>
    <row r="7662" spans="1:4" x14ac:dyDescent="0.25">
      <c r="A7662" s="31"/>
      <c r="D7662" s="30"/>
    </row>
    <row r="7663" spans="1:4" x14ac:dyDescent="0.25">
      <c r="A7663" s="31"/>
      <c r="D7663" s="30"/>
    </row>
    <row r="7664" spans="1:4" x14ac:dyDescent="0.25">
      <c r="A7664" s="31"/>
      <c r="D7664" s="30"/>
    </row>
    <row r="7665" spans="1:4" x14ac:dyDescent="0.25">
      <c r="A7665" s="31"/>
      <c r="D7665" s="30"/>
    </row>
    <row r="7666" spans="1:4" x14ac:dyDescent="0.25">
      <c r="A7666" s="31"/>
      <c r="D7666" s="30"/>
    </row>
    <row r="7667" spans="1:4" x14ac:dyDescent="0.25">
      <c r="A7667" s="31"/>
      <c r="D7667" s="30"/>
    </row>
    <row r="7668" spans="1:4" x14ac:dyDescent="0.25">
      <c r="A7668" s="31"/>
      <c r="D7668" s="30"/>
    </row>
    <row r="7669" spans="1:4" x14ac:dyDescent="0.25">
      <c r="A7669" s="31"/>
      <c r="D7669" s="30"/>
    </row>
    <row r="7670" spans="1:4" x14ac:dyDescent="0.25">
      <c r="A7670" s="31"/>
      <c r="D7670" s="30"/>
    </row>
    <row r="7671" spans="1:4" x14ac:dyDescent="0.25">
      <c r="A7671" s="31"/>
      <c r="D7671" s="30"/>
    </row>
    <row r="7672" spans="1:4" x14ac:dyDescent="0.25">
      <c r="A7672" s="31"/>
      <c r="D7672" s="30"/>
    </row>
    <row r="7673" spans="1:4" x14ac:dyDescent="0.25">
      <c r="A7673" s="31"/>
      <c r="D7673" s="30"/>
    </row>
    <row r="7674" spans="1:4" x14ac:dyDescent="0.25">
      <c r="A7674" s="31"/>
      <c r="D7674" s="30"/>
    </row>
    <row r="7675" spans="1:4" x14ac:dyDescent="0.25">
      <c r="A7675" s="31"/>
      <c r="D7675" s="30"/>
    </row>
    <row r="7676" spans="1:4" x14ac:dyDescent="0.25">
      <c r="A7676" s="31"/>
      <c r="D7676" s="30"/>
    </row>
    <row r="7677" spans="1:4" x14ac:dyDescent="0.25">
      <c r="A7677" s="31"/>
      <c r="D7677" s="30"/>
    </row>
    <row r="7678" spans="1:4" x14ac:dyDescent="0.25">
      <c r="A7678" s="31"/>
      <c r="D7678" s="30"/>
    </row>
    <row r="7679" spans="1:4" x14ac:dyDescent="0.25">
      <c r="A7679" s="31"/>
      <c r="D7679" s="30"/>
    </row>
    <row r="7680" spans="1:4" x14ac:dyDescent="0.25">
      <c r="A7680" s="31"/>
      <c r="D7680" s="30"/>
    </row>
    <row r="7681" spans="1:4" x14ac:dyDescent="0.25">
      <c r="A7681" s="31"/>
      <c r="D7681" s="30"/>
    </row>
    <row r="7682" spans="1:4" x14ac:dyDescent="0.25">
      <c r="A7682" s="31"/>
      <c r="D7682" s="30"/>
    </row>
    <row r="7683" spans="1:4" x14ac:dyDescent="0.25">
      <c r="A7683" s="31"/>
      <c r="D7683" s="30"/>
    </row>
    <row r="7684" spans="1:4" x14ac:dyDescent="0.25">
      <c r="A7684" s="31"/>
      <c r="D7684" s="30"/>
    </row>
    <row r="7685" spans="1:4" x14ac:dyDescent="0.25">
      <c r="A7685" s="31"/>
      <c r="D7685" s="30"/>
    </row>
    <row r="7686" spans="1:4" x14ac:dyDescent="0.25">
      <c r="A7686" s="31"/>
      <c r="D7686" s="30"/>
    </row>
    <row r="7687" spans="1:4" x14ac:dyDescent="0.25">
      <c r="A7687" s="31"/>
      <c r="D7687" s="30"/>
    </row>
    <row r="7688" spans="1:4" x14ac:dyDescent="0.25">
      <c r="A7688" s="31"/>
      <c r="D7688" s="30"/>
    </row>
    <row r="7689" spans="1:4" x14ac:dyDescent="0.25">
      <c r="A7689" s="31"/>
      <c r="D7689" s="30"/>
    </row>
    <row r="7690" spans="1:4" x14ac:dyDescent="0.25">
      <c r="A7690" s="31"/>
      <c r="D7690" s="30"/>
    </row>
    <row r="7691" spans="1:4" x14ac:dyDescent="0.25">
      <c r="A7691" s="31"/>
      <c r="D7691" s="30"/>
    </row>
    <row r="7692" spans="1:4" x14ac:dyDescent="0.25">
      <c r="A7692" s="31"/>
      <c r="D7692" s="30"/>
    </row>
    <row r="7693" spans="1:4" x14ac:dyDescent="0.25">
      <c r="A7693" s="31"/>
      <c r="D7693" s="30"/>
    </row>
    <row r="7694" spans="1:4" x14ac:dyDescent="0.25">
      <c r="A7694" s="31"/>
      <c r="D7694" s="30"/>
    </row>
    <row r="7695" spans="1:4" x14ac:dyDescent="0.25">
      <c r="A7695" s="31"/>
      <c r="D7695" s="30"/>
    </row>
    <row r="7696" spans="1:4" x14ac:dyDescent="0.25">
      <c r="A7696" s="31"/>
      <c r="D7696" s="30"/>
    </row>
    <row r="7697" spans="1:4" x14ac:dyDescent="0.25">
      <c r="A7697" s="31"/>
      <c r="D7697" s="30"/>
    </row>
    <row r="7698" spans="1:4" x14ac:dyDescent="0.25">
      <c r="A7698" s="31"/>
      <c r="D7698" s="30"/>
    </row>
    <row r="7699" spans="1:4" x14ac:dyDescent="0.25">
      <c r="A7699" s="31"/>
      <c r="D7699" s="30"/>
    </row>
    <row r="7700" spans="1:4" x14ac:dyDescent="0.25">
      <c r="A7700" s="31"/>
      <c r="D7700" s="30"/>
    </row>
    <row r="7701" spans="1:4" x14ac:dyDescent="0.25">
      <c r="A7701" s="31"/>
      <c r="D7701" s="30"/>
    </row>
    <row r="7702" spans="1:4" x14ac:dyDescent="0.25">
      <c r="A7702" s="31"/>
      <c r="D7702" s="30"/>
    </row>
    <row r="7703" spans="1:4" x14ac:dyDescent="0.25">
      <c r="A7703" s="31"/>
      <c r="D7703" s="30"/>
    </row>
    <row r="7704" spans="1:4" x14ac:dyDescent="0.25">
      <c r="A7704" s="31"/>
      <c r="D7704" s="30"/>
    </row>
    <row r="7705" spans="1:4" x14ac:dyDescent="0.25">
      <c r="A7705" s="31"/>
      <c r="D7705" s="30"/>
    </row>
    <row r="7706" spans="1:4" x14ac:dyDescent="0.25">
      <c r="A7706" s="31"/>
      <c r="D7706" s="30"/>
    </row>
    <row r="7707" spans="1:4" x14ac:dyDescent="0.25">
      <c r="A7707" s="31"/>
      <c r="D7707" s="30"/>
    </row>
    <row r="7708" spans="1:4" x14ac:dyDescent="0.25">
      <c r="A7708" s="31"/>
      <c r="D7708" s="30"/>
    </row>
    <row r="7709" spans="1:4" x14ac:dyDescent="0.25">
      <c r="A7709" s="31"/>
      <c r="D7709" s="30"/>
    </row>
    <row r="7710" spans="1:4" x14ac:dyDescent="0.25">
      <c r="A7710" s="31"/>
      <c r="D7710" s="30"/>
    </row>
    <row r="7711" spans="1:4" x14ac:dyDescent="0.25">
      <c r="A7711" s="31"/>
      <c r="D7711" s="30"/>
    </row>
    <row r="7712" spans="1:4" x14ac:dyDescent="0.25">
      <c r="A7712" s="31"/>
      <c r="D7712" s="30"/>
    </row>
    <row r="7713" spans="1:4" x14ac:dyDescent="0.25">
      <c r="A7713" s="31"/>
      <c r="D7713" s="30"/>
    </row>
    <row r="7714" spans="1:4" x14ac:dyDescent="0.25">
      <c r="A7714" s="31"/>
      <c r="D7714" s="30"/>
    </row>
    <row r="7715" spans="1:4" x14ac:dyDescent="0.25">
      <c r="A7715" s="31"/>
      <c r="D7715" s="30"/>
    </row>
    <row r="7716" spans="1:4" x14ac:dyDescent="0.25">
      <c r="A7716" s="31"/>
      <c r="D7716" s="30"/>
    </row>
    <row r="7717" spans="1:4" x14ac:dyDescent="0.25">
      <c r="A7717" s="31"/>
      <c r="D7717" s="30"/>
    </row>
    <row r="7718" spans="1:4" x14ac:dyDescent="0.25">
      <c r="A7718" s="31"/>
      <c r="D7718" s="30"/>
    </row>
    <row r="7719" spans="1:4" x14ac:dyDescent="0.25">
      <c r="A7719" s="31"/>
      <c r="D7719" s="30"/>
    </row>
    <row r="7720" spans="1:4" x14ac:dyDescent="0.25">
      <c r="A7720" s="31"/>
      <c r="D7720" s="30"/>
    </row>
    <row r="7721" spans="1:4" x14ac:dyDescent="0.25">
      <c r="A7721" s="31"/>
      <c r="D7721" s="30"/>
    </row>
    <row r="7722" spans="1:4" x14ac:dyDescent="0.25">
      <c r="A7722" s="31"/>
      <c r="D7722" s="30"/>
    </row>
    <row r="7723" spans="1:4" x14ac:dyDescent="0.25">
      <c r="A7723" s="31"/>
      <c r="D7723" s="30"/>
    </row>
    <row r="7724" spans="1:4" x14ac:dyDescent="0.25">
      <c r="A7724" s="31"/>
      <c r="D7724" s="30"/>
    </row>
    <row r="7725" spans="1:4" x14ac:dyDescent="0.25">
      <c r="A7725" s="31"/>
      <c r="D7725" s="30"/>
    </row>
    <row r="7726" spans="1:4" x14ac:dyDescent="0.25">
      <c r="A7726" s="31"/>
      <c r="D7726" s="30"/>
    </row>
    <row r="7727" spans="1:4" x14ac:dyDescent="0.25">
      <c r="A7727" s="31"/>
      <c r="D7727" s="30"/>
    </row>
    <row r="7728" spans="1:4" x14ac:dyDescent="0.25">
      <c r="A7728" s="31"/>
      <c r="D7728" s="30"/>
    </row>
    <row r="7729" spans="1:4" x14ac:dyDescent="0.25">
      <c r="A7729" s="31"/>
      <c r="D7729" s="30"/>
    </row>
    <row r="7730" spans="1:4" x14ac:dyDescent="0.25">
      <c r="A7730" s="31"/>
      <c r="D7730" s="30"/>
    </row>
    <row r="7731" spans="1:4" x14ac:dyDescent="0.25">
      <c r="A7731" s="31"/>
      <c r="D7731" s="30"/>
    </row>
    <row r="7732" spans="1:4" x14ac:dyDescent="0.25">
      <c r="A7732" s="31"/>
      <c r="D7732" s="30"/>
    </row>
    <row r="7733" spans="1:4" x14ac:dyDescent="0.25">
      <c r="A7733" s="31"/>
      <c r="D7733" s="30"/>
    </row>
    <row r="7734" spans="1:4" x14ac:dyDescent="0.25">
      <c r="A7734" s="31"/>
      <c r="D7734" s="30"/>
    </row>
    <row r="7735" spans="1:4" x14ac:dyDescent="0.25">
      <c r="A7735" s="31"/>
      <c r="D7735" s="30"/>
    </row>
    <row r="7736" spans="1:4" x14ac:dyDescent="0.25">
      <c r="A7736" s="31"/>
      <c r="D7736" s="30"/>
    </row>
    <row r="7737" spans="1:4" x14ac:dyDescent="0.25">
      <c r="A7737" s="31"/>
      <c r="D7737" s="30"/>
    </row>
    <row r="7738" spans="1:4" x14ac:dyDescent="0.25">
      <c r="A7738" s="31"/>
      <c r="D7738" s="30"/>
    </row>
    <row r="7739" spans="1:4" x14ac:dyDescent="0.25">
      <c r="A7739" s="31"/>
      <c r="D7739" s="30"/>
    </row>
    <row r="7740" spans="1:4" x14ac:dyDescent="0.25">
      <c r="A7740" s="31"/>
      <c r="D7740" s="30"/>
    </row>
    <row r="7741" spans="1:4" x14ac:dyDescent="0.25">
      <c r="A7741" s="31"/>
      <c r="D7741" s="30"/>
    </row>
    <row r="7742" spans="1:4" x14ac:dyDescent="0.25">
      <c r="A7742" s="31"/>
      <c r="D7742" s="30"/>
    </row>
    <row r="7743" spans="1:4" x14ac:dyDescent="0.25">
      <c r="A7743" s="31"/>
      <c r="D7743" s="30"/>
    </row>
    <row r="7744" spans="1:4" x14ac:dyDescent="0.25">
      <c r="A7744" s="31"/>
      <c r="D7744" s="30"/>
    </row>
    <row r="7745" spans="1:4" x14ac:dyDescent="0.25">
      <c r="A7745" s="31"/>
      <c r="D7745" s="30"/>
    </row>
    <row r="7746" spans="1:4" x14ac:dyDescent="0.25">
      <c r="A7746" s="31"/>
      <c r="D7746" s="30"/>
    </row>
    <row r="7747" spans="1:4" x14ac:dyDescent="0.25">
      <c r="A7747" s="31"/>
      <c r="D7747" s="30"/>
    </row>
    <row r="7748" spans="1:4" x14ac:dyDescent="0.25">
      <c r="A7748" s="31"/>
      <c r="D7748" s="30"/>
    </row>
    <row r="7749" spans="1:4" x14ac:dyDescent="0.25">
      <c r="A7749" s="31"/>
      <c r="D7749" s="30"/>
    </row>
    <row r="7750" spans="1:4" x14ac:dyDescent="0.25">
      <c r="A7750" s="31"/>
      <c r="D7750" s="30"/>
    </row>
    <row r="7751" spans="1:4" x14ac:dyDescent="0.25">
      <c r="A7751" s="31"/>
      <c r="D7751" s="30"/>
    </row>
    <row r="7752" spans="1:4" x14ac:dyDescent="0.25">
      <c r="A7752" s="31"/>
      <c r="D7752" s="30"/>
    </row>
    <row r="7753" spans="1:4" x14ac:dyDescent="0.25">
      <c r="A7753" s="31"/>
      <c r="D7753" s="30"/>
    </row>
    <row r="7754" spans="1:4" x14ac:dyDescent="0.25">
      <c r="A7754" s="31"/>
      <c r="D7754" s="30"/>
    </row>
    <row r="7755" spans="1:4" x14ac:dyDescent="0.25">
      <c r="A7755" s="31"/>
      <c r="D7755" s="30"/>
    </row>
    <row r="7756" spans="1:4" x14ac:dyDescent="0.25">
      <c r="A7756" s="31"/>
      <c r="D7756" s="30"/>
    </row>
    <row r="7757" spans="1:4" x14ac:dyDescent="0.25">
      <c r="A7757" s="31"/>
      <c r="D7757" s="30"/>
    </row>
    <row r="7758" spans="1:4" x14ac:dyDescent="0.25">
      <c r="A7758" s="31"/>
      <c r="D7758" s="30"/>
    </row>
    <row r="7759" spans="1:4" x14ac:dyDescent="0.25">
      <c r="A7759" s="31"/>
      <c r="D7759" s="30"/>
    </row>
    <row r="7760" spans="1:4" x14ac:dyDescent="0.25">
      <c r="A7760" s="31"/>
      <c r="D7760" s="30"/>
    </row>
    <row r="7761" spans="1:4" x14ac:dyDescent="0.25">
      <c r="A7761" s="31"/>
      <c r="D7761" s="30"/>
    </row>
    <row r="7762" spans="1:4" x14ac:dyDescent="0.25">
      <c r="A7762" s="31"/>
      <c r="D7762" s="30"/>
    </row>
    <row r="7763" spans="1:4" x14ac:dyDescent="0.25">
      <c r="A7763" s="31"/>
      <c r="D7763" s="30"/>
    </row>
    <row r="7764" spans="1:4" x14ac:dyDescent="0.25">
      <c r="A7764" s="31"/>
      <c r="D7764" s="30"/>
    </row>
    <row r="7765" spans="1:4" x14ac:dyDescent="0.25">
      <c r="A7765" s="31"/>
      <c r="D7765" s="30"/>
    </row>
    <row r="7766" spans="1:4" x14ac:dyDescent="0.25">
      <c r="A7766" s="31"/>
      <c r="D7766" s="30"/>
    </row>
    <row r="7767" spans="1:4" x14ac:dyDescent="0.25">
      <c r="A7767" s="31"/>
      <c r="D7767" s="30"/>
    </row>
    <row r="7768" spans="1:4" x14ac:dyDescent="0.25">
      <c r="A7768" s="31"/>
      <c r="D7768" s="30"/>
    </row>
    <row r="7769" spans="1:4" x14ac:dyDescent="0.25">
      <c r="A7769" s="31"/>
      <c r="D7769" s="30"/>
    </row>
    <row r="7770" spans="1:4" x14ac:dyDescent="0.25">
      <c r="A7770" s="31"/>
      <c r="D7770" s="30"/>
    </row>
    <row r="7771" spans="1:4" x14ac:dyDescent="0.25">
      <c r="A7771" s="31"/>
      <c r="D7771" s="30"/>
    </row>
    <row r="7772" spans="1:4" x14ac:dyDescent="0.25">
      <c r="A7772" s="31"/>
      <c r="D7772" s="30"/>
    </row>
    <row r="7773" spans="1:4" x14ac:dyDescent="0.25">
      <c r="A7773" s="31"/>
      <c r="D7773" s="30"/>
    </row>
    <row r="7774" spans="1:4" x14ac:dyDescent="0.25">
      <c r="A7774" s="31"/>
      <c r="D7774" s="30"/>
    </row>
    <row r="7775" spans="1:4" x14ac:dyDescent="0.25">
      <c r="A7775" s="31"/>
      <c r="D7775" s="30"/>
    </row>
    <row r="7776" spans="1:4" x14ac:dyDescent="0.25">
      <c r="A7776" s="31"/>
      <c r="D7776" s="30"/>
    </row>
    <row r="7777" spans="1:4" x14ac:dyDescent="0.25">
      <c r="A7777" s="31"/>
      <c r="D7777" s="30"/>
    </row>
    <row r="7778" spans="1:4" x14ac:dyDescent="0.25">
      <c r="A7778" s="31"/>
      <c r="D7778" s="30"/>
    </row>
    <row r="7779" spans="1:4" x14ac:dyDescent="0.25">
      <c r="A7779" s="31"/>
      <c r="D7779" s="30"/>
    </row>
    <row r="7780" spans="1:4" x14ac:dyDescent="0.25">
      <c r="A7780" s="31"/>
      <c r="D7780" s="30"/>
    </row>
    <row r="7781" spans="1:4" x14ac:dyDescent="0.25">
      <c r="A7781" s="31"/>
      <c r="D7781" s="30"/>
    </row>
    <row r="7782" spans="1:4" x14ac:dyDescent="0.25">
      <c r="A7782" s="31"/>
      <c r="D7782" s="30"/>
    </row>
    <row r="7783" spans="1:4" x14ac:dyDescent="0.25">
      <c r="A7783" s="31"/>
      <c r="D7783" s="30"/>
    </row>
    <row r="7784" spans="1:4" x14ac:dyDescent="0.25">
      <c r="A7784" s="31"/>
      <c r="D7784" s="30"/>
    </row>
    <row r="7785" spans="1:4" x14ac:dyDescent="0.25">
      <c r="A7785" s="31"/>
      <c r="D7785" s="30"/>
    </row>
    <row r="7786" spans="1:4" x14ac:dyDescent="0.25">
      <c r="A7786" s="31"/>
      <c r="D7786" s="30"/>
    </row>
    <row r="7787" spans="1:4" x14ac:dyDescent="0.25">
      <c r="A7787" s="31"/>
      <c r="D7787" s="30"/>
    </row>
    <row r="7788" spans="1:4" x14ac:dyDescent="0.25">
      <c r="A7788" s="31"/>
      <c r="D7788" s="30"/>
    </row>
    <row r="7789" spans="1:4" x14ac:dyDescent="0.25">
      <c r="A7789" s="31"/>
      <c r="D7789" s="30"/>
    </row>
    <row r="7790" spans="1:4" x14ac:dyDescent="0.25">
      <c r="A7790" s="31"/>
      <c r="D7790" s="30"/>
    </row>
    <row r="7791" spans="1:4" x14ac:dyDescent="0.25">
      <c r="A7791" s="31"/>
      <c r="D7791" s="30"/>
    </row>
    <row r="7792" spans="1:4" x14ac:dyDescent="0.25">
      <c r="A7792" s="31"/>
      <c r="D7792" s="30"/>
    </row>
    <row r="7793" spans="1:4" x14ac:dyDescent="0.25">
      <c r="A7793" s="31"/>
      <c r="D7793" s="30"/>
    </row>
    <row r="7794" spans="1:4" x14ac:dyDescent="0.25">
      <c r="A7794" s="31"/>
      <c r="D7794" s="30"/>
    </row>
    <row r="7795" spans="1:4" x14ac:dyDescent="0.25">
      <c r="A7795" s="31"/>
      <c r="D7795" s="30"/>
    </row>
    <row r="7796" spans="1:4" x14ac:dyDescent="0.25">
      <c r="A7796" s="31"/>
      <c r="D7796" s="30"/>
    </row>
    <row r="7797" spans="1:4" x14ac:dyDescent="0.25">
      <c r="A7797" s="31"/>
      <c r="D7797" s="30"/>
    </row>
    <row r="7798" spans="1:4" x14ac:dyDescent="0.25">
      <c r="A7798" s="31"/>
      <c r="D7798" s="30"/>
    </row>
    <row r="7799" spans="1:4" x14ac:dyDescent="0.25">
      <c r="A7799" s="31"/>
      <c r="D7799" s="30"/>
    </row>
    <row r="7800" spans="1:4" x14ac:dyDescent="0.25">
      <c r="A7800" s="31"/>
      <c r="D7800" s="30"/>
    </row>
    <row r="7801" spans="1:4" x14ac:dyDescent="0.25">
      <c r="A7801" s="31"/>
      <c r="D7801" s="30"/>
    </row>
    <row r="7802" spans="1:4" x14ac:dyDescent="0.25">
      <c r="A7802" s="31"/>
      <c r="D7802" s="30"/>
    </row>
    <row r="7803" spans="1:4" x14ac:dyDescent="0.25">
      <c r="A7803" s="31"/>
      <c r="D7803" s="30"/>
    </row>
    <row r="7804" spans="1:4" x14ac:dyDescent="0.25">
      <c r="A7804" s="31"/>
      <c r="D7804" s="30"/>
    </row>
    <row r="7805" spans="1:4" x14ac:dyDescent="0.25">
      <c r="A7805" s="31"/>
      <c r="D7805" s="30"/>
    </row>
    <row r="7806" spans="1:4" x14ac:dyDescent="0.25">
      <c r="A7806" s="31"/>
      <c r="D7806" s="30"/>
    </row>
    <row r="7807" spans="1:4" x14ac:dyDescent="0.25">
      <c r="A7807" s="31"/>
      <c r="D7807" s="30"/>
    </row>
    <row r="7808" spans="1:4" x14ac:dyDescent="0.25">
      <c r="A7808" s="31"/>
      <c r="D7808" s="30"/>
    </row>
    <row r="7809" spans="1:4" x14ac:dyDescent="0.25">
      <c r="A7809" s="31"/>
      <c r="D7809" s="30"/>
    </row>
    <row r="7810" spans="1:4" x14ac:dyDescent="0.25">
      <c r="A7810" s="31"/>
      <c r="D7810" s="30"/>
    </row>
    <row r="7811" spans="1:4" x14ac:dyDescent="0.25">
      <c r="A7811" s="31"/>
      <c r="D7811" s="30"/>
    </row>
    <row r="7812" spans="1:4" x14ac:dyDescent="0.25">
      <c r="A7812" s="31"/>
      <c r="D7812" s="30"/>
    </row>
    <row r="7813" spans="1:4" x14ac:dyDescent="0.25">
      <c r="A7813" s="31"/>
      <c r="D7813" s="30"/>
    </row>
    <row r="7814" spans="1:4" x14ac:dyDescent="0.25">
      <c r="A7814" s="31"/>
      <c r="D7814" s="30"/>
    </row>
    <row r="7815" spans="1:4" x14ac:dyDescent="0.25">
      <c r="A7815" s="31"/>
      <c r="D7815" s="30"/>
    </row>
    <row r="7816" spans="1:4" x14ac:dyDescent="0.25">
      <c r="A7816" s="31"/>
      <c r="D7816" s="30"/>
    </row>
    <row r="7817" spans="1:4" x14ac:dyDescent="0.25">
      <c r="A7817" s="31"/>
      <c r="D7817" s="30"/>
    </row>
    <row r="7818" spans="1:4" x14ac:dyDescent="0.25">
      <c r="A7818" s="31"/>
      <c r="D7818" s="30"/>
    </row>
    <row r="7819" spans="1:4" x14ac:dyDescent="0.25">
      <c r="A7819" s="31"/>
      <c r="D7819" s="30"/>
    </row>
    <row r="7820" spans="1:4" x14ac:dyDescent="0.25">
      <c r="A7820" s="31"/>
      <c r="D7820" s="30"/>
    </row>
    <row r="7821" spans="1:4" x14ac:dyDescent="0.25">
      <c r="A7821" s="31"/>
      <c r="D7821" s="30"/>
    </row>
    <row r="7822" spans="1:4" x14ac:dyDescent="0.25">
      <c r="A7822" s="31"/>
      <c r="D7822" s="30"/>
    </row>
    <row r="7823" spans="1:4" x14ac:dyDescent="0.25">
      <c r="A7823" s="31"/>
      <c r="D7823" s="30"/>
    </row>
    <row r="7824" spans="1:4" x14ac:dyDescent="0.25">
      <c r="A7824" s="31"/>
      <c r="D7824" s="30"/>
    </row>
    <row r="7825" spans="1:4" x14ac:dyDescent="0.25">
      <c r="A7825" s="31"/>
      <c r="D7825" s="30"/>
    </row>
    <row r="7826" spans="1:4" x14ac:dyDescent="0.25">
      <c r="A7826" s="31"/>
      <c r="D7826" s="30"/>
    </row>
    <row r="7827" spans="1:4" x14ac:dyDescent="0.25">
      <c r="A7827" s="31"/>
      <c r="D7827" s="30"/>
    </row>
    <row r="7828" spans="1:4" x14ac:dyDescent="0.25">
      <c r="A7828" s="31"/>
      <c r="D7828" s="30"/>
    </row>
    <row r="7829" spans="1:4" x14ac:dyDescent="0.25">
      <c r="A7829" s="31"/>
      <c r="D7829" s="30"/>
    </row>
    <row r="7830" spans="1:4" x14ac:dyDescent="0.25">
      <c r="A7830" s="31"/>
      <c r="D7830" s="30"/>
    </row>
    <row r="7831" spans="1:4" x14ac:dyDescent="0.25">
      <c r="A7831" s="31"/>
      <c r="D7831" s="30"/>
    </row>
    <row r="7832" spans="1:4" x14ac:dyDescent="0.25">
      <c r="A7832" s="31"/>
      <c r="D7832" s="30"/>
    </row>
    <row r="7833" spans="1:4" x14ac:dyDescent="0.25">
      <c r="A7833" s="31"/>
      <c r="D7833" s="30"/>
    </row>
    <row r="7834" spans="1:4" x14ac:dyDescent="0.25">
      <c r="A7834" s="31"/>
      <c r="D7834" s="30"/>
    </row>
    <row r="7835" spans="1:4" x14ac:dyDescent="0.25">
      <c r="A7835" s="31"/>
      <c r="D7835" s="30"/>
    </row>
    <row r="7836" spans="1:4" x14ac:dyDescent="0.25">
      <c r="A7836" s="31"/>
      <c r="D7836" s="30"/>
    </row>
    <row r="7837" spans="1:4" x14ac:dyDescent="0.25">
      <c r="A7837" s="31"/>
      <c r="D7837" s="30"/>
    </row>
    <row r="7838" spans="1:4" x14ac:dyDescent="0.25">
      <c r="A7838" s="31"/>
      <c r="D7838" s="30"/>
    </row>
    <row r="7839" spans="1:4" x14ac:dyDescent="0.25">
      <c r="A7839" s="31"/>
      <c r="D7839" s="30"/>
    </row>
    <row r="7840" spans="1:4" x14ac:dyDescent="0.25">
      <c r="A7840" s="31"/>
      <c r="D7840" s="30"/>
    </row>
    <row r="7841" spans="1:4" x14ac:dyDescent="0.25">
      <c r="A7841" s="31"/>
      <c r="D7841" s="30"/>
    </row>
    <row r="7842" spans="1:4" x14ac:dyDescent="0.25">
      <c r="A7842" s="31"/>
      <c r="D7842" s="30"/>
    </row>
    <row r="7843" spans="1:4" x14ac:dyDescent="0.25">
      <c r="A7843" s="31"/>
      <c r="D7843" s="30"/>
    </row>
    <row r="7844" spans="1:4" x14ac:dyDescent="0.25">
      <c r="A7844" s="31"/>
      <c r="D7844" s="30"/>
    </row>
    <row r="7845" spans="1:4" x14ac:dyDescent="0.25">
      <c r="A7845" s="31"/>
      <c r="D7845" s="30"/>
    </row>
    <row r="7846" spans="1:4" x14ac:dyDescent="0.25">
      <c r="A7846" s="31"/>
      <c r="D7846" s="30"/>
    </row>
    <row r="7847" spans="1:4" x14ac:dyDescent="0.25">
      <c r="A7847" s="31"/>
      <c r="D7847" s="30"/>
    </row>
    <row r="7848" spans="1:4" x14ac:dyDescent="0.25">
      <c r="A7848" s="31"/>
      <c r="D7848" s="30"/>
    </row>
    <row r="7849" spans="1:4" x14ac:dyDescent="0.25">
      <c r="A7849" s="31"/>
      <c r="D7849" s="30"/>
    </row>
    <row r="7850" spans="1:4" x14ac:dyDescent="0.25">
      <c r="A7850" s="31"/>
      <c r="D7850" s="30"/>
    </row>
    <row r="7851" spans="1:4" x14ac:dyDescent="0.25">
      <c r="A7851" s="31"/>
      <c r="D7851" s="30"/>
    </row>
    <row r="7852" spans="1:4" x14ac:dyDescent="0.25">
      <c r="A7852" s="31"/>
      <c r="D7852" s="30"/>
    </row>
    <row r="7853" spans="1:4" x14ac:dyDescent="0.25">
      <c r="A7853" s="31"/>
      <c r="D7853" s="30"/>
    </row>
    <row r="7854" spans="1:4" x14ac:dyDescent="0.25">
      <c r="A7854" s="31"/>
      <c r="D7854" s="30"/>
    </row>
    <row r="7855" spans="1:4" x14ac:dyDescent="0.25">
      <c r="A7855" s="31"/>
      <c r="D7855" s="30"/>
    </row>
    <row r="7856" spans="1:4" x14ac:dyDescent="0.25">
      <c r="A7856" s="31"/>
      <c r="D7856" s="30"/>
    </row>
    <row r="7857" spans="1:4" x14ac:dyDescent="0.25">
      <c r="A7857" s="31"/>
      <c r="D7857" s="30"/>
    </row>
    <row r="7858" spans="1:4" x14ac:dyDescent="0.25">
      <c r="A7858" s="31"/>
      <c r="D7858" s="30"/>
    </row>
    <row r="7859" spans="1:4" x14ac:dyDescent="0.25">
      <c r="A7859" s="31"/>
      <c r="D7859" s="30"/>
    </row>
    <row r="7860" spans="1:4" x14ac:dyDescent="0.25">
      <c r="A7860" s="31"/>
      <c r="D7860" s="30"/>
    </row>
    <row r="7861" spans="1:4" x14ac:dyDescent="0.25">
      <c r="A7861" s="31"/>
      <c r="D7861" s="30"/>
    </row>
    <row r="7862" spans="1:4" x14ac:dyDescent="0.25">
      <c r="A7862" s="31"/>
      <c r="D7862" s="30"/>
    </row>
    <row r="7863" spans="1:4" x14ac:dyDescent="0.25">
      <c r="A7863" s="31"/>
      <c r="D7863" s="30"/>
    </row>
    <row r="7864" spans="1:4" x14ac:dyDescent="0.25">
      <c r="A7864" s="31"/>
      <c r="D7864" s="30"/>
    </row>
    <row r="7865" spans="1:4" x14ac:dyDescent="0.25">
      <c r="A7865" s="31"/>
      <c r="D7865" s="30"/>
    </row>
    <row r="7866" spans="1:4" x14ac:dyDescent="0.25">
      <c r="A7866" s="31"/>
      <c r="D7866" s="30"/>
    </row>
    <row r="7867" spans="1:4" x14ac:dyDescent="0.25">
      <c r="A7867" s="31"/>
      <c r="D7867" s="30"/>
    </row>
    <row r="7868" spans="1:4" x14ac:dyDescent="0.25">
      <c r="A7868" s="31"/>
      <c r="D7868" s="30"/>
    </row>
    <row r="7869" spans="1:4" x14ac:dyDescent="0.25">
      <c r="A7869" s="31"/>
      <c r="D7869" s="30"/>
    </row>
    <row r="7870" spans="1:4" x14ac:dyDescent="0.25">
      <c r="A7870" s="31"/>
      <c r="D7870" s="30"/>
    </row>
    <row r="7871" spans="1:4" x14ac:dyDescent="0.25">
      <c r="A7871" s="31"/>
      <c r="D7871" s="30"/>
    </row>
    <row r="7872" spans="1:4" x14ac:dyDescent="0.25">
      <c r="A7872" s="31"/>
      <c r="D7872" s="30"/>
    </row>
    <row r="7873" spans="1:4" x14ac:dyDescent="0.25">
      <c r="A7873" s="31"/>
      <c r="D7873" s="30"/>
    </row>
    <row r="7874" spans="1:4" x14ac:dyDescent="0.25">
      <c r="A7874" s="31"/>
      <c r="D7874" s="30"/>
    </row>
    <row r="7875" spans="1:4" x14ac:dyDescent="0.25">
      <c r="A7875" s="31"/>
      <c r="D7875" s="30"/>
    </row>
    <row r="7876" spans="1:4" x14ac:dyDescent="0.25">
      <c r="A7876" s="31"/>
      <c r="D7876" s="30"/>
    </row>
    <row r="7877" spans="1:4" x14ac:dyDescent="0.25">
      <c r="A7877" s="31"/>
      <c r="D7877" s="30"/>
    </row>
    <row r="7878" spans="1:4" x14ac:dyDescent="0.25">
      <c r="A7878" s="31"/>
      <c r="D7878" s="30"/>
    </row>
    <row r="7879" spans="1:4" x14ac:dyDescent="0.25">
      <c r="A7879" s="31"/>
      <c r="D7879" s="30"/>
    </row>
    <row r="7880" spans="1:4" x14ac:dyDescent="0.25">
      <c r="A7880" s="31"/>
      <c r="D7880" s="30"/>
    </row>
    <row r="7881" spans="1:4" x14ac:dyDescent="0.25">
      <c r="A7881" s="31"/>
      <c r="D7881" s="30"/>
    </row>
    <row r="7882" spans="1:4" x14ac:dyDescent="0.25">
      <c r="A7882" s="31"/>
      <c r="D7882" s="30"/>
    </row>
    <row r="7883" spans="1:4" x14ac:dyDescent="0.25">
      <c r="A7883" s="31"/>
      <c r="D7883" s="30"/>
    </row>
    <row r="7884" spans="1:4" x14ac:dyDescent="0.25">
      <c r="A7884" s="31"/>
      <c r="D7884" s="30"/>
    </row>
    <row r="7885" spans="1:4" x14ac:dyDescent="0.25">
      <c r="A7885" s="31"/>
      <c r="D7885" s="30"/>
    </row>
    <row r="7886" spans="1:4" x14ac:dyDescent="0.25">
      <c r="A7886" s="31"/>
      <c r="D7886" s="30"/>
    </row>
    <row r="7887" spans="1:4" x14ac:dyDescent="0.25">
      <c r="A7887" s="31"/>
      <c r="D7887" s="30"/>
    </row>
    <row r="7888" spans="1:4" x14ac:dyDescent="0.25">
      <c r="A7888" s="31"/>
      <c r="D7888" s="30"/>
    </row>
    <row r="7889" spans="1:4" x14ac:dyDescent="0.25">
      <c r="A7889" s="31"/>
      <c r="D7889" s="30"/>
    </row>
    <row r="7890" spans="1:4" x14ac:dyDescent="0.25">
      <c r="A7890" s="31"/>
      <c r="D7890" s="30"/>
    </row>
    <row r="7891" spans="1:4" x14ac:dyDescent="0.25">
      <c r="A7891" s="31"/>
      <c r="D7891" s="30"/>
    </row>
    <row r="7892" spans="1:4" x14ac:dyDescent="0.25">
      <c r="A7892" s="31"/>
      <c r="D7892" s="30"/>
    </row>
    <row r="7893" spans="1:4" x14ac:dyDescent="0.25">
      <c r="A7893" s="31"/>
      <c r="D7893" s="30"/>
    </row>
    <row r="7894" spans="1:4" x14ac:dyDescent="0.25">
      <c r="A7894" s="31"/>
      <c r="D7894" s="30"/>
    </row>
    <row r="7895" spans="1:4" x14ac:dyDescent="0.25">
      <c r="A7895" s="31"/>
      <c r="D7895" s="30"/>
    </row>
    <row r="7896" spans="1:4" x14ac:dyDescent="0.25">
      <c r="A7896" s="31"/>
      <c r="D7896" s="30"/>
    </row>
    <row r="7897" spans="1:4" x14ac:dyDescent="0.25">
      <c r="A7897" s="31"/>
      <c r="D7897" s="30"/>
    </row>
    <row r="7898" spans="1:4" x14ac:dyDescent="0.25">
      <c r="A7898" s="31"/>
      <c r="D7898" s="30"/>
    </row>
    <row r="7899" spans="1:4" x14ac:dyDescent="0.25">
      <c r="A7899" s="31"/>
      <c r="D7899" s="30"/>
    </row>
    <row r="7900" spans="1:4" x14ac:dyDescent="0.25">
      <c r="A7900" s="31"/>
      <c r="D7900" s="30"/>
    </row>
    <row r="7901" spans="1:4" x14ac:dyDescent="0.25">
      <c r="A7901" s="31"/>
      <c r="D7901" s="30"/>
    </row>
    <row r="7902" spans="1:4" x14ac:dyDescent="0.25">
      <c r="A7902" s="31"/>
      <c r="D7902" s="30"/>
    </row>
    <row r="7903" spans="1:4" x14ac:dyDescent="0.25">
      <c r="A7903" s="31"/>
      <c r="D7903" s="30"/>
    </row>
    <row r="7904" spans="1:4" x14ac:dyDescent="0.25">
      <c r="A7904" s="31"/>
      <c r="D7904" s="30"/>
    </row>
    <row r="7905" spans="1:4" x14ac:dyDescent="0.25">
      <c r="A7905" s="31"/>
      <c r="D7905" s="30"/>
    </row>
    <row r="7906" spans="1:4" x14ac:dyDescent="0.25">
      <c r="A7906" s="31"/>
      <c r="D7906" s="30"/>
    </row>
    <row r="7907" spans="1:4" x14ac:dyDescent="0.25">
      <c r="A7907" s="31"/>
      <c r="D7907" s="30"/>
    </row>
    <row r="7908" spans="1:4" x14ac:dyDescent="0.25">
      <c r="A7908" s="31"/>
      <c r="D7908" s="30"/>
    </row>
    <row r="7909" spans="1:4" x14ac:dyDescent="0.25">
      <c r="A7909" s="31"/>
      <c r="D7909" s="30"/>
    </row>
    <row r="7910" spans="1:4" x14ac:dyDescent="0.25">
      <c r="A7910" s="31"/>
      <c r="D7910" s="30"/>
    </row>
    <row r="7911" spans="1:4" x14ac:dyDescent="0.25">
      <c r="A7911" s="31"/>
      <c r="D7911" s="30"/>
    </row>
    <row r="7912" spans="1:4" x14ac:dyDescent="0.25">
      <c r="A7912" s="31"/>
      <c r="D7912" s="30"/>
    </row>
    <row r="7913" spans="1:4" x14ac:dyDescent="0.25">
      <c r="A7913" s="31"/>
      <c r="D7913" s="30"/>
    </row>
    <row r="7914" spans="1:4" x14ac:dyDescent="0.25">
      <c r="A7914" s="31"/>
      <c r="D7914" s="30"/>
    </row>
    <row r="7915" spans="1:4" x14ac:dyDescent="0.25">
      <c r="A7915" s="31"/>
      <c r="D7915" s="30"/>
    </row>
    <row r="7916" spans="1:4" x14ac:dyDescent="0.25">
      <c r="A7916" s="31"/>
      <c r="D7916" s="30"/>
    </row>
    <row r="7917" spans="1:4" x14ac:dyDescent="0.25">
      <c r="A7917" s="31"/>
      <c r="D7917" s="30"/>
    </row>
    <row r="7918" spans="1:4" x14ac:dyDescent="0.25">
      <c r="A7918" s="31"/>
      <c r="D7918" s="30"/>
    </row>
    <row r="7919" spans="1:4" x14ac:dyDescent="0.25">
      <c r="A7919" s="31"/>
      <c r="D7919" s="30"/>
    </row>
    <row r="7920" spans="1:4" x14ac:dyDescent="0.25">
      <c r="A7920" s="31"/>
      <c r="D7920" s="30"/>
    </row>
    <row r="7921" spans="1:4" x14ac:dyDescent="0.25">
      <c r="A7921" s="31"/>
      <c r="D7921" s="30"/>
    </row>
    <row r="7922" spans="1:4" x14ac:dyDescent="0.25">
      <c r="A7922" s="31"/>
      <c r="D7922" s="30"/>
    </row>
    <row r="7923" spans="1:4" x14ac:dyDescent="0.25">
      <c r="A7923" s="31"/>
      <c r="D7923" s="30"/>
    </row>
    <row r="7924" spans="1:4" x14ac:dyDescent="0.25">
      <c r="A7924" s="31"/>
      <c r="D7924" s="30"/>
    </row>
    <row r="7925" spans="1:4" x14ac:dyDescent="0.25">
      <c r="A7925" s="31"/>
      <c r="D7925" s="30"/>
    </row>
    <row r="7926" spans="1:4" x14ac:dyDescent="0.25">
      <c r="A7926" s="31"/>
      <c r="D7926" s="30"/>
    </row>
    <row r="7927" spans="1:4" x14ac:dyDescent="0.25">
      <c r="A7927" s="31"/>
      <c r="D7927" s="30"/>
    </row>
    <row r="7928" spans="1:4" x14ac:dyDescent="0.25">
      <c r="A7928" s="31"/>
      <c r="D7928" s="30"/>
    </row>
    <row r="7929" spans="1:4" x14ac:dyDescent="0.25">
      <c r="A7929" s="31"/>
      <c r="D7929" s="30"/>
    </row>
    <row r="7930" spans="1:4" x14ac:dyDescent="0.25">
      <c r="A7930" s="31"/>
      <c r="D7930" s="30"/>
    </row>
    <row r="7931" spans="1:4" x14ac:dyDescent="0.25">
      <c r="A7931" s="31"/>
      <c r="D7931" s="30"/>
    </row>
    <row r="7932" spans="1:4" x14ac:dyDescent="0.25">
      <c r="A7932" s="31"/>
      <c r="D7932" s="30"/>
    </row>
    <row r="7933" spans="1:4" x14ac:dyDescent="0.25">
      <c r="A7933" s="31"/>
      <c r="D7933" s="30"/>
    </row>
    <row r="7934" spans="1:4" x14ac:dyDescent="0.25">
      <c r="A7934" s="31"/>
      <c r="D7934" s="30"/>
    </row>
    <row r="7935" spans="1:4" x14ac:dyDescent="0.25">
      <c r="A7935" s="31"/>
      <c r="D7935" s="30"/>
    </row>
    <row r="7936" spans="1:4" x14ac:dyDescent="0.25">
      <c r="A7936" s="31"/>
      <c r="D7936" s="30"/>
    </row>
    <row r="7937" spans="1:4" x14ac:dyDescent="0.25">
      <c r="A7937" s="31"/>
      <c r="D7937" s="30"/>
    </row>
    <row r="7938" spans="1:4" x14ac:dyDescent="0.25">
      <c r="A7938" s="31"/>
      <c r="D7938" s="30"/>
    </row>
    <row r="7939" spans="1:4" x14ac:dyDescent="0.25">
      <c r="A7939" s="31"/>
      <c r="D7939" s="30"/>
    </row>
    <row r="7940" spans="1:4" x14ac:dyDescent="0.25">
      <c r="A7940" s="31"/>
      <c r="D7940" s="30"/>
    </row>
    <row r="7941" spans="1:4" x14ac:dyDescent="0.25">
      <c r="A7941" s="31"/>
      <c r="D7941" s="30"/>
    </row>
    <row r="7942" spans="1:4" x14ac:dyDescent="0.25">
      <c r="A7942" s="31"/>
      <c r="D7942" s="30"/>
    </row>
    <row r="7943" spans="1:4" x14ac:dyDescent="0.25">
      <c r="A7943" s="31"/>
      <c r="D7943" s="30"/>
    </row>
    <row r="7944" spans="1:4" x14ac:dyDescent="0.25">
      <c r="A7944" s="31"/>
      <c r="D7944" s="30"/>
    </row>
    <row r="7945" spans="1:4" x14ac:dyDescent="0.25">
      <c r="A7945" s="31"/>
      <c r="D7945" s="30"/>
    </row>
    <row r="7946" spans="1:4" x14ac:dyDescent="0.25">
      <c r="A7946" s="31"/>
      <c r="D7946" s="30"/>
    </row>
    <row r="7947" spans="1:4" x14ac:dyDescent="0.25">
      <c r="A7947" s="31"/>
      <c r="D7947" s="30"/>
    </row>
    <row r="7948" spans="1:4" x14ac:dyDescent="0.25">
      <c r="A7948" s="31"/>
      <c r="D7948" s="30"/>
    </row>
    <row r="7949" spans="1:4" x14ac:dyDescent="0.25">
      <c r="A7949" s="31"/>
      <c r="D7949" s="30"/>
    </row>
    <row r="7950" spans="1:4" x14ac:dyDescent="0.25">
      <c r="A7950" s="31"/>
      <c r="D7950" s="30"/>
    </row>
    <row r="7951" spans="1:4" x14ac:dyDescent="0.25">
      <c r="A7951" s="31"/>
      <c r="D7951" s="30"/>
    </row>
    <row r="7952" spans="1:4" x14ac:dyDescent="0.25">
      <c r="A7952" s="31"/>
      <c r="D7952" s="30"/>
    </row>
    <row r="7953" spans="1:4" x14ac:dyDescent="0.25">
      <c r="A7953" s="31"/>
      <c r="D7953" s="30"/>
    </row>
    <row r="7954" spans="1:4" x14ac:dyDescent="0.25">
      <c r="A7954" s="31"/>
      <c r="D7954" s="30"/>
    </row>
    <row r="7955" spans="1:4" x14ac:dyDescent="0.25">
      <c r="A7955" s="31"/>
      <c r="D7955" s="30"/>
    </row>
    <row r="7956" spans="1:4" x14ac:dyDescent="0.25">
      <c r="A7956" s="31"/>
      <c r="D7956" s="30"/>
    </row>
    <row r="7957" spans="1:4" x14ac:dyDescent="0.25">
      <c r="A7957" s="31"/>
      <c r="D7957" s="30"/>
    </row>
    <row r="7958" spans="1:4" x14ac:dyDescent="0.25">
      <c r="A7958" s="31"/>
      <c r="D7958" s="30"/>
    </row>
    <row r="7959" spans="1:4" x14ac:dyDescent="0.25">
      <c r="A7959" s="31"/>
      <c r="D7959" s="30"/>
    </row>
    <row r="7960" spans="1:4" x14ac:dyDescent="0.25">
      <c r="A7960" s="31"/>
      <c r="D7960" s="30"/>
    </row>
    <row r="7961" spans="1:4" x14ac:dyDescent="0.25">
      <c r="A7961" s="31"/>
      <c r="D7961" s="30"/>
    </row>
    <row r="7962" spans="1:4" x14ac:dyDescent="0.25">
      <c r="A7962" s="31"/>
      <c r="D7962" s="30"/>
    </row>
    <row r="7963" spans="1:4" x14ac:dyDescent="0.25">
      <c r="A7963" s="31"/>
      <c r="D7963" s="30"/>
    </row>
    <row r="7964" spans="1:4" x14ac:dyDescent="0.25">
      <c r="A7964" s="31"/>
      <c r="D7964" s="30"/>
    </row>
    <row r="7965" spans="1:4" x14ac:dyDescent="0.25">
      <c r="A7965" s="31"/>
      <c r="D7965" s="30"/>
    </row>
    <row r="7966" spans="1:4" x14ac:dyDescent="0.25">
      <c r="A7966" s="31"/>
      <c r="D7966" s="30"/>
    </row>
    <row r="7967" spans="1:4" x14ac:dyDescent="0.25">
      <c r="A7967" s="31"/>
      <c r="D7967" s="30"/>
    </row>
    <row r="7968" spans="1:4" x14ac:dyDescent="0.25">
      <c r="A7968" s="31"/>
      <c r="D7968" s="30"/>
    </row>
    <row r="7969" spans="1:4" x14ac:dyDescent="0.25">
      <c r="A7969" s="31"/>
      <c r="D7969" s="30"/>
    </row>
    <row r="7970" spans="1:4" x14ac:dyDescent="0.25">
      <c r="A7970" s="31"/>
      <c r="D7970" s="30"/>
    </row>
    <row r="7971" spans="1:4" x14ac:dyDescent="0.25">
      <c r="A7971" s="31"/>
      <c r="D7971" s="30"/>
    </row>
    <row r="7972" spans="1:4" x14ac:dyDescent="0.25">
      <c r="A7972" s="31"/>
      <c r="D7972" s="30"/>
    </row>
    <row r="7973" spans="1:4" x14ac:dyDescent="0.25">
      <c r="A7973" s="31"/>
      <c r="D7973" s="30"/>
    </row>
    <row r="7974" spans="1:4" x14ac:dyDescent="0.25">
      <c r="A7974" s="31"/>
      <c r="D7974" s="30"/>
    </row>
    <row r="7975" spans="1:4" x14ac:dyDescent="0.25">
      <c r="A7975" s="31"/>
      <c r="D7975" s="30"/>
    </row>
    <row r="7976" spans="1:4" x14ac:dyDescent="0.25">
      <c r="A7976" s="31"/>
      <c r="D7976" s="30"/>
    </row>
    <row r="7977" spans="1:4" x14ac:dyDescent="0.25">
      <c r="A7977" s="31"/>
      <c r="D7977" s="30"/>
    </row>
    <row r="7978" spans="1:4" x14ac:dyDescent="0.25">
      <c r="A7978" s="31"/>
      <c r="D7978" s="30"/>
    </row>
    <row r="7979" spans="1:4" x14ac:dyDescent="0.25">
      <c r="A7979" s="31"/>
      <c r="D7979" s="30"/>
    </row>
    <row r="7980" spans="1:4" x14ac:dyDescent="0.25">
      <c r="A7980" s="31"/>
      <c r="D7980" s="30"/>
    </row>
    <row r="7981" spans="1:4" x14ac:dyDescent="0.25">
      <c r="A7981" s="31"/>
      <c r="D7981" s="30"/>
    </row>
    <row r="7982" spans="1:4" x14ac:dyDescent="0.25">
      <c r="A7982" s="31"/>
      <c r="D7982" s="30"/>
    </row>
    <row r="7983" spans="1:4" x14ac:dyDescent="0.25">
      <c r="A7983" s="31"/>
      <c r="D7983" s="30"/>
    </row>
    <row r="7984" spans="1:4" x14ac:dyDescent="0.25">
      <c r="A7984" s="31"/>
      <c r="D7984" s="30"/>
    </row>
    <row r="7985" spans="1:4" x14ac:dyDescent="0.25">
      <c r="A7985" s="31"/>
      <c r="D7985" s="30"/>
    </row>
    <row r="7986" spans="1:4" x14ac:dyDescent="0.25">
      <c r="A7986" s="31"/>
      <c r="D7986" s="30"/>
    </row>
    <row r="7987" spans="1:4" x14ac:dyDescent="0.25">
      <c r="A7987" s="31"/>
      <c r="D7987" s="30"/>
    </row>
    <row r="7988" spans="1:4" x14ac:dyDescent="0.25">
      <c r="A7988" s="31"/>
      <c r="D7988" s="30"/>
    </row>
    <row r="7989" spans="1:4" x14ac:dyDescent="0.25">
      <c r="A7989" s="31"/>
      <c r="D7989" s="30"/>
    </row>
    <row r="7990" spans="1:4" x14ac:dyDescent="0.25">
      <c r="A7990" s="31"/>
      <c r="D7990" s="30"/>
    </row>
    <row r="7991" spans="1:4" x14ac:dyDescent="0.25">
      <c r="A7991" s="31"/>
      <c r="D7991" s="30"/>
    </row>
    <row r="7992" spans="1:4" x14ac:dyDescent="0.25">
      <c r="A7992" s="31"/>
      <c r="D7992" s="30"/>
    </row>
    <row r="7993" spans="1:4" x14ac:dyDescent="0.25">
      <c r="A7993" s="31"/>
      <c r="D7993" s="30"/>
    </row>
    <row r="7994" spans="1:4" x14ac:dyDescent="0.25">
      <c r="A7994" s="31"/>
      <c r="D7994" s="30"/>
    </row>
    <row r="7995" spans="1:4" x14ac:dyDescent="0.25">
      <c r="A7995" s="31"/>
      <c r="D7995" s="30"/>
    </row>
    <row r="7996" spans="1:4" x14ac:dyDescent="0.25">
      <c r="A7996" s="31"/>
      <c r="D7996" s="30"/>
    </row>
    <row r="7997" spans="1:4" x14ac:dyDescent="0.25">
      <c r="A7997" s="31"/>
      <c r="D7997" s="30"/>
    </row>
    <row r="7998" spans="1:4" x14ac:dyDescent="0.25">
      <c r="A7998" s="31"/>
      <c r="D7998" s="30"/>
    </row>
    <row r="7999" spans="1:4" x14ac:dyDescent="0.25">
      <c r="A7999" s="31"/>
      <c r="D7999" s="30"/>
    </row>
    <row r="8000" spans="1:4" x14ac:dyDescent="0.25">
      <c r="A8000" s="31"/>
      <c r="D8000" s="30"/>
    </row>
    <row r="8001" spans="1:4" x14ac:dyDescent="0.25">
      <c r="A8001" s="31"/>
      <c r="D8001" s="30"/>
    </row>
    <row r="8002" spans="1:4" x14ac:dyDescent="0.25">
      <c r="A8002" s="31"/>
      <c r="D8002" s="30"/>
    </row>
    <row r="8003" spans="1:4" x14ac:dyDescent="0.25">
      <c r="A8003" s="31"/>
      <c r="D8003" s="30"/>
    </row>
    <row r="8004" spans="1:4" x14ac:dyDescent="0.25">
      <c r="A8004" s="31"/>
      <c r="D8004" s="30"/>
    </row>
    <row r="8005" spans="1:4" x14ac:dyDescent="0.25">
      <c r="A8005" s="31"/>
      <c r="D8005" s="30"/>
    </row>
    <row r="8006" spans="1:4" x14ac:dyDescent="0.25">
      <c r="A8006" s="31"/>
      <c r="D8006" s="30"/>
    </row>
    <row r="8007" spans="1:4" x14ac:dyDescent="0.25">
      <c r="A8007" s="31"/>
      <c r="D8007" s="30"/>
    </row>
    <row r="8008" spans="1:4" x14ac:dyDescent="0.25">
      <c r="A8008" s="31"/>
      <c r="D8008" s="30"/>
    </row>
    <row r="8009" spans="1:4" x14ac:dyDescent="0.25">
      <c r="A8009" s="31"/>
      <c r="D8009" s="30"/>
    </row>
    <row r="8010" spans="1:4" x14ac:dyDescent="0.25">
      <c r="A8010" s="31"/>
      <c r="D8010" s="30"/>
    </row>
    <row r="8011" spans="1:4" x14ac:dyDescent="0.25">
      <c r="A8011" s="31"/>
      <c r="D8011" s="30"/>
    </row>
    <row r="8012" spans="1:4" x14ac:dyDescent="0.25">
      <c r="A8012" s="31"/>
      <c r="D8012" s="30"/>
    </row>
    <row r="8013" spans="1:4" x14ac:dyDescent="0.25">
      <c r="A8013" s="31"/>
      <c r="D8013" s="30"/>
    </row>
    <row r="8014" spans="1:4" x14ac:dyDescent="0.25">
      <c r="A8014" s="31"/>
      <c r="D8014" s="30"/>
    </row>
    <row r="8015" spans="1:4" x14ac:dyDescent="0.25">
      <c r="A8015" s="31"/>
      <c r="D8015" s="30"/>
    </row>
    <row r="8016" spans="1:4" x14ac:dyDescent="0.25">
      <c r="A8016" s="31"/>
      <c r="D8016" s="30"/>
    </row>
    <row r="8017" spans="1:4" x14ac:dyDescent="0.25">
      <c r="A8017" s="31"/>
      <c r="D8017" s="30"/>
    </row>
    <row r="8018" spans="1:4" x14ac:dyDescent="0.25">
      <c r="A8018" s="31"/>
      <c r="D8018" s="30"/>
    </row>
    <row r="8019" spans="1:4" x14ac:dyDescent="0.25">
      <c r="A8019" s="31"/>
      <c r="D8019" s="30"/>
    </row>
    <row r="8020" spans="1:4" x14ac:dyDescent="0.25">
      <c r="A8020" s="31"/>
      <c r="D8020" s="30"/>
    </row>
    <row r="8021" spans="1:4" x14ac:dyDescent="0.25">
      <c r="A8021" s="31"/>
      <c r="D8021" s="30"/>
    </row>
    <row r="8022" spans="1:4" x14ac:dyDescent="0.25">
      <c r="A8022" s="31"/>
      <c r="D8022" s="30"/>
    </row>
    <row r="8023" spans="1:4" x14ac:dyDescent="0.25">
      <c r="A8023" s="31"/>
      <c r="D8023" s="30"/>
    </row>
    <row r="8024" spans="1:4" x14ac:dyDescent="0.25">
      <c r="A8024" s="31"/>
      <c r="D8024" s="30"/>
    </row>
    <row r="8025" spans="1:4" x14ac:dyDescent="0.25">
      <c r="A8025" s="31"/>
      <c r="D8025" s="30"/>
    </row>
    <row r="8026" spans="1:4" x14ac:dyDescent="0.25">
      <c r="A8026" s="31"/>
      <c r="D8026" s="30"/>
    </row>
    <row r="8027" spans="1:4" x14ac:dyDescent="0.25">
      <c r="A8027" s="31"/>
      <c r="D8027" s="30"/>
    </row>
    <row r="8028" spans="1:4" x14ac:dyDescent="0.25">
      <c r="A8028" s="31"/>
      <c r="D8028" s="30"/>
    </row>
    <row r="8029" spans="1:4" x14ac:dyDescent="0.25">
      <c r="A8029" s="31"/>
      <c r="D8029" s="30"/>
    </row>
    <row r="8030" spans="1:4" x14ac:dyDescent="0.25">
      <c r="A8030" s="31"/>
      <c r="D8030" s="30"/>
    </row>
    <row r="8031" spans="1:4" x14ac:dyDescent="0.25">
      <c r="A8031" s="31"/>
      <c r="D8031" s="30"/>
    </row>
    <row r="8032" spans="1:4" x14ac:dyDescent="0.25">
      <c r="A8032" s="31"/>
      <c r="D8032" s="30"/>
    </row>
    <row r="8033" spans="1:4" x14ac:dyDescent="0.25">
      <c r="A8033" s="31"/>
      <c r="D8033" s="30"/>
    </row>
    <row r="8034" spans="1:4" x14ac:dyDescent="0.25">
      <c r="A8034" s="31"/>
      <c r="D8034" s="30"/>
    </row>
    <row r="8035" spans="1:4" x14ac:dyDescent="0.25">
      <c r="A8035" s="31"/>
      <c r="D8035" s="30"/>
    </row>
    <row r="8036" spans="1:4" x14ac:dyDescent="0.25">
      <c r="A8036" s="31"/>
      <c r="D8036" s="30"/>
    </row>
    <row r="8037" spans="1:4" x14ac:dyDescent="0.25">
      <c r="A8037" s="31"/>
      <c r="D8037" s="30"/>
    </row>
    <row r="8038" spans="1:4" x14ac:dyDescent="0.25">
      <c r="A8038" s="31"/>
      <c r="D8038" s="30"/>
    </row>
    <row r="8039" spans="1:4" x14ac:dyDescent="0.25">
      <c r="A8039" s="31"/>
      <c r="D8039" s="30"/>
    </row>
    <row r="8040" spans="1:4" x14ac:dyDescent="0.25">
      <c r="A8040" s="31"/>
      <c r="D8040" s="30"/>
    </row>
    <row r="8041" spans="1:4" x14ac:dyDescent="0.25">
      <c r="A8041" s="31"/>
      <c r="D8041" s="30"/>
    </row>
    <row r="8042" spans="1:4" x14ac:dyDescent="0.25">
      <c r="A8042" s="31"/>
      <c r="D8042" s="30"/>
    </row>
    <row r="8043" spans="1:4" x14ac:dyDescent="0.25">
      <c r="A8043" s="31"/>
      <c r="D8043" s="30"/>
    </row>
    <row r="8044" spans="1:4" x14ac:dyDescent="0.25">
      <c r="A8044" s="31"/>
      <c r="D8044" s="30"/>
    </row>
    <row r="8045" spans="1:4" x14ac:dyDescent="0.25">
      <c r="A8045" s="31"/>
      <c r="D8045" s="30"/>
    </row>
    <row r="8046" spans="1:4" x14ac:dyDescent="0.25">
      <c r="A8046" s="31"/>
      <c r="D8046" s="30"/>
    </row>
    <row r="8047" spans="1:4" x14ac:dyDescent="0.25">
      <c r="A8047" s="31"/>
      <c r="D8047" s="30"/>
    </row>
    <row r="8048" spans="1:4" x14ac:dyDescent="0.25">
      <c r="A8048" s="31"/>
      <c r="D8048" s="30"/>
    </row>
    <row r="8049" spans="1:4" x14ac:dyDescent="0.25">
      <c r="A8049" s="31"/>
      <c r="D8049" s="30"/>
    </row>
    <row r="8050" spans="1:4" x14ac:dyDescent="0.25">
      <c r="A8050" s="31"/>
      <c r="D8050" s="30"/>
    </row>
    <row r="8051" spans="1:4" x14ac:dyDescent="0.25">
      <c r="A8051" s="31"/>
      <c r="D8051" s="30"/>
    </row>
    <row r="8052" spans="1:4" x14ac:dyDescent="0.25">
      <c r="A8052" s="31"/>
      <c r="D8052" s="30"/>
    </row>
    <row r="8053" spans="1:4" x14ac:dyDescent="0.25">
      <c r="A8053" s="31"/>
      <c r="D8053" s="30"/>
    </row>
    <row r="8054" spans="1:4" x14ac:dyDescent="0.25">
      <c r="A8054" s="31"/>
      <c r="D8054" s="30"/>
    </row>
    <row r="8055" spans="1:4" x14ac:dyDescent="0.25">
      <c r="A8055" s="31"/>
      <c r="D8055" s="30"/>
    </row>
    <row r="8056" spans="1:4" x14ac:dyDescent="0.25">
      <c r="A8056" s="31"/>
      <c r="D8056" s="30"/>
    </row>
    <row r="8057" spans="1:4" x14ac:dyDescent="0.25">
      <c r="A8057" s="31"/>
      <c r="D8057" s="30"/>
    </row>
    <row r="8058" spans="1:4" x14ac:dyDescent="0.25">
      <c r="A8058" s="31"/>
      <c r="D8058" s="30"/>
    </row>
    <row r="8059" spans="1:4" x14ac:dyDescent="0.25">
      <c r="A8059" s="31"/>
      <c r="D8059" s="30"/>
    </row>
    <row r="8060" spans="1:4" x14ac:dyDescent="0.25">
      <c r="A8060" s="31"/>
      <c r="D8060" s="30"/>
    </row>
    <row r="8061" spans="1:4" x14ac:dyDescent="0.25">
      <c r="A8061" s="31"/>
      <c r="D8061" s="30"/>
    </row>
    <row r="8062" spans="1:4" x14ac:dyDescent="0.25">
      <c r="A8062" s="31"/>
      <c r="D8062" s="30"/>
    </row>
    <row r="8063" spans="1:4" x14ac:dyDescent="0.25">
      <c r="A8063" s="31"/>
      <c r="D8063" s="30"/>
    </row>
    <row r="8064" spans="1:4" x14ac:dyDescent="0.25">
      <c r="A8064" s="31"/>
      <c r="D8064" s="30"/>
    </row>
    <row r="8065" spans="1:4" x14ac:dyDescent="0.25">
      <c r="A8065" s="31"/>
      <c r="D8065" s="30"/>
    </row>
    <row r="8066" spans="1:4" x14ac:dyDescent="0.25">
      <c r="A8066" s="31"/>
      <c r="D8066" s="30"/>
    </row>
    <row r="8067" spans="1:4" x14ac:dyDescent="0.25">
      <c r="A8067" s="31"/>
      <c r="D8067" s="30"/>
    </row>
    <row r="8068" spans="1:4" x14ac:dyDescent="0.25">
      <c r="A8068" s="31"/>
      <c r="D8068" s="30"/>
    </row>
    <row r="8069" spans="1:4" x14ac:dyDescent="0.25">
      <c r="A8069" s="31"/>
      <c r="D8069" s="30"/>
    </row>
    <row r="8070" spans="1:4" x14ac:dyDescent="0.25">
      <c r="A8070" s="31"/>
      <c r="D8070" s="30"/>
    </row>
    <row r="8071" spans="1:4" x14ac:dyDescent="0.25">
      <c r="A8071" s="31"/>
      <c r="D8071" s="30"/>
    </row>
    <row r="8072" spans="1:4" x14ac:dyDescent="0.25">
      <c r="A8072" s="31"/>
      <c r="D8072" s="30"/>
    </row>
    <row r="8073" spans="1:4" x14ac:dyDescent="0.25">
      <c r="A8073" s="31"/>
      <c r="D8073" s="30"/>
    </row>
    <row r="8074" spans="1:4" x14ac:dyDescent="0.25">
      <c r="A8074" s="31"/>
      <c r="D8074" s="30"/>
    </row>
    <row r="8075" spans="1:4" x14ac:dyDescent="0.25">
      <c r="A8075" s="31"/>
      <c r="D8075" s="30"/>
    </row>
    <row r="8076" spans="1:4" x14ac:dyDescent="0.25">
      <c r="A8076" s="31"/>
      <c r="D8076" s="30"/>
    </row>
    <row r="8077" spans="1:4" x14ac:dyDescent="0.25">
      <c r="A8077" s="31"/>
      <c r="D8077" s="30"/>
    </row>
    <row r="8078" spans="1:4" x14ac:dyDescent="0.25">
      <c r="A8078" s="31"/>
      <c r="D8078" s="30"/>
    </row>
    <row r="8079" spans="1:4" x14ac:dyDescent="0.25">
      <c r="A8079" s="31"/>
      <c r="D8079" s="30"/>
    </row>
    <row r="8080" spans="1:4" x14ac:dyDescent="0.25">
      <c r="A8080" s="31"/>
      <c r="D8080" s="30"/>
    </row>
    <row r="8081" spans="1:4" x14ac:dyDescent="0.25">
      <c r="A8081" s="31"/>
      <c r="D8081" s="30"/>
    </row>
    <row r="8082" spans="1:4" x14ac:dyDescent="0.25">
      <c r="A8082" s="31"/>
      <c r="D8082" s="30"/>
    </row>
    <row r="8083" spans="1:4" x14ac:dyDescent="0.25">
      <c r="A8083" s="31"/>
      <c r="D8083" s="30"/>
    </row>
    <row r="8084" spans="1:4" x14ac:dyDescent="0.25">
      <c r="A8084" s="31"/>
      <c r="D8084" s="30"/>
    </row>
    <row r="8085" spans="1:4" x14ac:dyDescent="0.25">
      <c r="A8085" s="31"/>
      <c r="D8085" s="30"/>
    </row>
    <row r="8086" spans="1:4" x14ac:dyDescent="0.25">
      <c r="A8086" s="31"/>
      <c r="D8086" s="30"/>
    </row>
    <row r="8087" spans="1:4" x14ac:dyDescent="0.25">
      <c r="A8087" s="31"/>
      <c r="D8087" s="30"/>
    </row>
    <row r="8088" spans="1:4" x14ac:dyDescent="0.25">
      <c r="A8088" s="31"/>
      <c r="D8088" s="30"/>
    </row>
    <row r="8089" spans="1:4" x14ac:dyDescent="0.25">
      <c r="A8089" s="31"/>
      <c r="D8089" s="30"/>
    </row>
    <row r="8090" spans="1:4" x14ac:dyDescent="0.25">
      <c r="A8090" s="31"/>
      <c r="D8090" s="30"/>
    </row>
    <row r="8091" spans="1:4" x14ac:dyDescent="0.25">
      <c r="A8091" s="31"/>
      <c r="D8091" s="30"/>
    </row>
    <row r="8092" spans="1:4" x14ac:dyDescent="0.25">
      <c r="A8092" s="31"/>
      <c r="D8092" s="30"/>
    </row>
    <row r="8093" spans="1:4" x14ac:dyDescent="0.25">
      <c r="A8093" s="31"/>
      <c r="D8093" s="30"/>
    </row>
    <row r="8094" spans="1:4" x14ac:dyDescent="0.25">
      <c r="A8094" s="31"/>
      <c r="D8094" s="30"/>
    </row>
    <row r="8095" spans="1:4" x14ac:dyDescent="0.25">
      <c r="A8095" s="31"/>
      <c r="D8095" s="30"/>
    </row>
    <row r="8096" spans="1:4" x14ac:dyDescent="0.25">
      <c r="A8096" s="31"/>
      <c r="D8096" s="30"/>
    </row>
    <row r="8097" spans="1:4" x14ac:dyDescent="0.25">
      <c r="A8097" s="31"/>
      <c r="D8097" s="30"/>
    </row>
    <row r="8098" spans="1:4" x14ac:dyDescent="0.25">
      <c r="A8098" s="31"/>
      <c r="D8098" s="30"/>
    </row>
    <row r="8099" spans="1:4" x14ac:dyDescent="0.25">
      <c r="A8099" s="31"/>
      <c r="D8099" s="30"/>
    </row>
    <row r="8100" spans="1:4" x14ac:dyDescent="0.25">
      <c r="A8100" s="31"/>
      <c r="D8100" s="30"/>
    </row>
    <row r="8101" spans="1:4" x14ac:dyDescent="0.25">
      <c r="A8101" s="31"/>
      <c r="D8101" s="30"/>
    </row>
    <row r="8102" spans="1:4" x14ac:dyDescent="0.25">
      <c r="A8102" s="31"/>
      <c r="D8102" s="30"/>
    </row>
    <row r="8103" spans="1:4" x14ac:dyDescent="0.25">
      <c r="A8103" s="31"/>
      <c r="D8103" s="30"/>
    </row>
    <row r="8104" spans="1:4" x14ac:dyDescent="0.25">
      <c r="A8104" s="31"/>
      <c r="D8104" s="30"/>
    </row>
    <row r="8105" spans="1:4" x14ac:dyDescent="0.25">
      <c r="A8105" s="31"/>
      <c r="D8105" s="30"/>
    </row>
    <row r="8106" spans="1:4" x14ac:dyDescent="0.25">
      <c r="A8106" s="31"/>
      <c r="D8106" s="30"/>
    </row>
    <row r="8107" spans="1:4" x14ac:dyDescent="0.25">
      <c r="A8107" s="31"/>
      <c r="D8107" s="30"/>
    </row>
    <row r="8108" spans="1:4" x14ac:dyDescent="0.25">
      <c r="A8108" s="31"/>
      <c r="D8108" s="30"/>
    </row>
    <row r="8109" spans="1:4" x14ac:dyDescent="0.25">
      <c r="A8109" s="31"/>
      <c r="D8109" s="30"/>
    </row>
    <row r="8110" spans="1:4" x14ac:dyDescent="0.25">
      <c r="A8110" s="31"/>
      <c r="D8110" s="30"/>
    </row>
    <row r="8111" spans="1:4" x14ac:dyDescent="0.25">
      <c r="A8111" s="31"/>
      <c r="D8111" s="30"/>
    </row>
    <row r="8112" spans="1:4" x14ac:dyDescent="0.25">
      <c r="A8112" s="31"/>
      <c r="D8112" s="30"/>
    </row>
    <row r="8113" spans="1:4" x14ac:dyDescent="0.25">
      <c r="A8113" s="31"/>
      <c r="D8113" s="30"/>
    </row>
    <row r="8114" spans="1:4" x14ac:dyDescent="0.25">
      <c r="A8114" s="31"/>
      <c r="D8114" s="30"/>
    </row>
    <row r="8115" spans="1:4" x14ac:dyDescent="0.25">
      <c r="A8115" s="31"/>
      <c r="D8115" s="30"/>
    </row>
    <row r="8116" spans="1:4" x14ac:dyDescent="0.25">
      <c r="A8116" s="31"/>
      <c r="D8116" s="30"/>
    </row>
    <row r="8117" spans="1:4" x14ac:dyDescent="0.25">
      <c r="A8117" s="31"/>
      <c r="D8117" s="30"/>
    </row>
    <row r="8118" spans="1:4" x14ac:dyDescent="0.25">
      <c r="A8118" s="31"/>
      <c r="D8118" s="30"/>
    </row>
    <row r="8119" spans="1:4" x14ac:dyDescent="0.25">
      <c r="A8119" s="31"/>
      <c r="D8119" s="30"/>
    </row>
    <row r="8120" spans="1:4" x14ac:dyDescent="0.25">
      <c r="A8120" s="31"/>
      <c r="D8120" s="30"/>
    </row>
    <row r="8121" spans="1:4" x14ac:dyDescent="0.25">
      <c r="A8121" s="31"/>
      <c r="D8121" s="30"/>
    </row>
    <row r="8122" spans="1:4" x14ac:dyDescent="0.25">
      <c r="A8122" s="31"/>
      <c r="D8122" s="30"/>
    </row>
    <row r="8123" spans="1:4" x14ac:dyDescent="0.25">
      <c r="A8123" s="31"/>
      <c r="D8123" s="30"/>
    </row>
    <row r="8124" spans="1:4" x14ac:dyDescent="0.25">
      <c r="A8124" s="31"/>
      <c r="D8124" s="30"/>
    </row>
    <row r="8125" spans="1:4" x14ac:dyDescent="0.25">
      <c r="A8125" s="31"/>
      <c r="D8125" s="30"/>
    </row>
    <row r="8126" spans="1:4" x14ac:dyDescent="0.25">
      <c r="A8126" s="31"/>
      <c r="D8126" s="30"/>
    </row>
    <row r="8127" spans="1:4" x14ac:dyDescent="0.25">
      <c r="A8127" s="31"/>
      <c r="D8127" s="30"/>
    </row>
    <row r="8128" spans="1:4" x14ac:dyDescent="0.25">
      <c r="A8128" s="31"/>
      <c r="D8128" s="30"/>
    </row>
    <row r="8129" spans="1:4" x14ac:dyDescent="0.25">
      <c r="A8129" s="31"/>
      <c r="D8129" s="30"/>
    </row>
    <row r="8130" spans="1:4" x14ac:dyDescent="0.25">
      <c r="A8130" s="31"/>
      <c r="D8130" s="30"/>
    </row>
    <row r="8131" spans="1:4" x14ac:dyDescent="0.25">
      <c r="A8131" s="31"/>
      <c r="D8131" s="30"/>
    </row>
    <row r="8132" spans="1:4" x14ac:dyDescent="0.25">
      <c r="A8132" s="31"/>
      <c r="D8132" s="30"/>
    </row>
    <row r="8133" spans="1:4" x14ac:dyDescent="0.25">
      <c r="A8133" s="31"/>
      <c r="D8133" s="30"/>
    </row>
    <row r="8134" spans="1:4" x14ac:dyDescent="0.25">
      <c r="A8134" s="31"/>
      <c r="D8134" s="30"/>
    </row>
    <row r="8135" spans="1:4" x14ac:dyDescent="0.25">
      <c r="A8135" s="31"/>
      <c r="D8135" s="30"/>
    </row>
    <row r="8136" spans="1:4" x14ac:dyDescent="0.25">
      <c r="A8136" s="31"/>
      <c r="D8136" s="30"/>
    </row>
    <row r="8137" spans="1:4" x14ac:dyDescent="0.25">
      <c r="A8137" s="31"/>
      <c r="D8137" s="30"/>
    </row>
    <row r="8138" spans="1:4" x14ac:dyDescent="0.25">
      <c r="A8138" s="31"/>
      <c r="D8138" s="30"/>
    </row>
    <row r="8139" spans="1:4" x14ac:dyDescent="0.25">
      <c r="A8139" s="31"/>
      <c r="D8139" s="30"/>
    </row>
    <row r="8140" spans="1:4" x14ac:dyDescent="0.25">
      <c r="A8140" s="31"/>
      <c r="D8140" s="30"/>
    </row>
    <row r="8141" spans="1:4" x14ac:dyDescent="0.25">
      <c r="A8141" s="31"/>
      <c r="D8141" s="30"/>
    </row>
    <row r="8142" spans="1:4" x14ac:dyDescent="0.25">
      <c r="A8142" s="31"/>
      <c r="D8142" s="30"/>
    </row>
    <row r="8143" spans="1:4" x14ac:dyDescent="0.25">
      <c r="A8143" s="31"/>
      <c r="D8143" s="30"/>
    </row>
    <row r="8144" spans="1:4" x14ac:dyDescent="0.25">
      <c r="A8144" s="31"/>
      <c r="D8144" s="30"/>
    </row>
    <row r="8145" spans="1:4" x14ac:dyDescent="0.25">
      <c r="A8145" s="31"/>
      <c r="D8145" s="30"/>
    </row>
    <row r="8146" spans="1:4" x14ac:dyDescent="0.25">
      <c r="A8146" s="31"/>
      <c r="D8146" s="30"/>
    </row>
    <row r="8147" spans="1:4" x14ac:dyDescent="0.25">
      <c r="A8147" s="31"/>
      <c r="D8147" s="30"/>
    </row>
    <row r="8148" spans="1:4" x14ac:dyDescent="0.25">
      <c r="A8148" s="31"/>
      <c r="D8148" s="30"/>
    </row>
    <row r="8149" spans="1:4" x14ac:dyDescent="0.25">
      <c r="A8149" s="31"/>
      <c r="D8149" s="30"/>
    </row>
    <row r="8150" spans="1:4" x14ac:dyDescent="0.25">
      <c r="A8150" s="31"/>
      <c r="D8150" s="30"/>
    </row>
    <row r="8151" spans="1:4" x14ac:dyDescent="0.25">
      <c r="A8151" s="31"/>
      <c r="D8151" s="30"/>
    </row>
    <row r="8152" spans="1:4" x14ac:dyDescent="0.25">
      <c r="A8152" s="31"/>
      <c r="D8152" s="30"/>
    </row>
    <row r="8153" spans="1:4" x14ac:dyDescent="0.25">
      <c r="A8153" s="31"/>
      <c r="D8153" s="30"/>
    </row>
    <row r="8154" spans="1:4" x14ac:dyDescent="0.25">
      <c r="A8154" s="31"/>
      <c r="D8154" s="30"/>
    </row>
    <row r="8155" spans="1:4" x14ac:dyDescent="0.25">
      <c r="A8155" s="31"/>
      <c r="D8155" s="30"/>
    </row>
    <row r="8156" spans="1:4" x14ac:dyDescent="0.25">
      <c r="A8156" s="31"/>
      <c r="D8156" s="30"/>
    </row>
    <row r="8157" spans="1:4" x14ac:dyDescent="0.25">
      <c r="A8157" s="31"/>
      <c r="D8157" s="30"/>
    </row>
    <row r="8158" spans="1:4" x14ac:dyDescent="0.25">
      <c r="A8158" s="31"/>
      <c r="D8158" s="30"/>
    </row>
    <row r="8159" spans="1:4" x14ac:dyDescent="0.25">
      <c r="A8159" s="31"/>
      <c r="D8159" s="30"/>
    </row>
    <row r="8160" spans="1:4" x14ac:dyDescent="0.25">
      <c r="A8160" s="31"/>
      <c r="D8160" s="30"/>
    </row>
    <row r="8161" spans="1:4" x14ac:dyDescent="0.25">
      <c r="A8161" s="31"/>
      <c r="D8161" s="30"/>
    </row>
    <row r="8162" spans="1:4" x14ac:dyDescent="0.25">
      <c r="A8162" s="31"/>
      <c r="D8162" s="30"/>
    </row>
    <row r="8163" spans="1:4" x14ac:dyDescent="0.25">
      <c r="A8163" s="31"/>
      <c r="D8163" s="30"/>
    </row>
    <row r="8164" spans="1:4" x14ac:dyDescent="0.25">
      <c r="A8164" s="31"/>
      <c r="D8164" s="30"/>
    </row>
    <row r="8165" spans="1:4" x14ac:dyDescent="0.25">
      <c r="A8165" s="31"/>
      <c r="D8165" s="30"/>
    </row>
    <row r="8166" spans="1:4" x14ac:dyDescent="0.25">
      <c r="A8166" s="31"/>
      <c r="D8166" s="30"/>
    </row>
    <row r="8167" spans="1:4" x14ac:dyDescent="0.25">
      <c r="A8167" s="31"/>
      <c r="D8167" s="30"/>
    </row>
    <row r="8168" spans="1:4" x14ac:dyDescent="0.25">
      <c r="A8168" s="31"/>
      <c r="D8168" s="30"/>
    </row>
    <row r="8169" spans="1:4" x14ac:dyDescent="0.25">
      <c r="A8169" s="31"/>
      <c r="D8169" s="30"/>
    </row>
    <row r="8170" spans="1:4" x14ac:dyDescent="0.25">
      <c r="A8170" s="31"/>
      <c r="D8170" s="30"/>
    </row>
    <row r="8171" spans="1:4" x14ac:dyDescent="0.25">
      <c r="A8171" s="31"/>
      <c r="D8171" s="30"/>
    </row>
    <row r="8172" spans="1:4" x14ac:dyDescent="0.25">
      <c r="A8172" s="31"/>
      <c r="D8172" s="30"/>
    </row>
    <row r="8173" spans="1:4" x14ac:dyDescent="0.25">
      <c r="A8173" s="31"/>
      <c r="D8173" s="30"/>
    </row>
    <row r="8174" spans="1:4" x14ac:dyDescent="0.25">
      <c r="A8174" s="31"/>
      <c r="D8174" s="30"/>
    </row>
    <row r="8175" spans="1:4" x14ac:dyDescent="0.25">
      <c r="A8175" s="31"/>
      <c r="D8175" s="30"/>
    </row>
    <row r="8176" spans="1:4" x14ac:dyDescent="0.25">
      <c r="A8176" s="31"/>
      <c r="D8176" s="30"/>
    </row>
    <row r="8177" spans="1:4" x14ac:dyDescent="0.25">
      <c r="A8177" s="31"/>
      <c r="D8177" s="30"/>
    </row>
    <row r="8178" spans="1:4" x14ac:dyDescent="0.25">
      <c r="A8178" s="31"/>
      <c r="D8178" s="30"/>
    </row>
    <row r="8179" spans="1:4" x14ac:dyDescent="0.25">
      <c r="A8179" s="31"/>
      <c r="D8179" s="30"/>
    </row>
    <row r="8180" spans="1:4" x14ac:dyDescent="0.25">
      <c r="A8180" s="31"/>
      <c r="D8180" s="30"/>
    </row>
    <row r="8181" spans="1:4" x14ac:dyDescent="0.25">
      <c r="A8181" s="31"/>
      <c r="D8181" s="30"/>
    </row>
    <row r="8182" spans="1:4" x14ac:dyDescent="0.25">
      <c r="A8182" s="31"/>
      <c r="D8182" s="30"/>
    </row>
    <row r="8183" spans="1:4" x14ac:dyDescent="0.25">
      <c r="A8183" s="31"/>
      <c r="D8183" s="30"/>
    </row>
    <row r="8184" spans="1:4" x14ac:dyDescent="0.25">
      <c r="A8184" s="31"/>
      <c r="D8184" s="30"/>
    </row>
    <row r="8185" spans="1:4" x14ac:dyDescent="0.25">
      <c r="A8185" s="31"/>
      <c r="D8185" s="30"/>
    </row>
    <row r="8186" spans="1:4" x14ac:dyDescent="0.25">
      <c r="A8186" s="31"/>
      <c r="D8186" s="30"/>
    </row>
    <row r="8187" spans="1:4" x14ac:dyDescent="0.25">
      <c r="A8187" s="31"/>
      <c r="D8187" s="30"/>
    </row>
    <row r="8188" spans="1:4" x14ac:dyDescent="0.25">
      <c r="A8188" s="31"/>
      <c r="D8188" s="30"/>
    </row>
    <row r="8189" spans="1:4" x14ac:dyDescent="0.25">
      <c r="A8189" s="31"/>
      <c r="D8189" s="30"/>
    </row>
    <row r="8190" spans="1:4" x14ac:dyDescent="0.25">
      <c r="A8190" s="31"/>
      <c r="D8190" s="30"/>
    </row>
    <row r="8191" spans="1:4" x14ac:dyDescent="0.25">
      <c r="A8191" s="31"/>
      <c r="D8191" s="30"/>
    </row>
    <row r="8192" spans="1:4" x14ac:dyDescent="0.25">
      <c r="A8192" s="31"/>
      <c r="D8192" s="30"/>
    </row>
    <row r="8193" spans="1:4" x14ac:dyDescent="0.25">
      <c r="A8193" s="31"/>
      <c r="D8193" s="30"/>
    </row>
    <row r="8194" spans="1:4" x14ac:dyDescent="0.25">
      <c r="A8194" s="31"/>
      <c r="D8194" s="30"/>
    </row>
    <row r="8195" spans="1:4" x14ac:dyDescent="0.25">
      <c r="A8195" s="31"/>
      <c r="D8195" s="30"/>
    </row>
    <row r="8196" spans="1:4" x14ac:dyDescent="0.25">
      <c r="A8196" s="31"/>
      <c r="D8196" s="30"/>
    </row>
    <row r="8197" spans="1:4" x14ac:dyDescent="0.25">
      <c r="A8197" s="31"/>
      <c r="D8197" s="30"/>
    </row>
    <row r="8198" spans="1:4" x14ac:dyDescent="0.25">
      <c r="A8198" s="31"/>
      <c r="D8198" s="30"/>
    </row>
    <row r="8199" spans="1:4" x14ac:dyDescent="0.25">
      <c r="A8199" s="31"/>
      <c r="D8199" s="30"/>
    </row>
    <row r="8200" spans="1:4" x14ac:dyDescent="0.25">
      <c r="A8200" s="31"/>
      <c r="D8200" s="30"/>
    </row>
    <row r="8201" spans="1:4" x14ac:dyDescent="0.25">
      <c r="A8201" s="31"/>
      <c r="D8201" s="30"/>
    </row>
    <row r="8202" spans="1:4" x14ac:dyDescent="0.25">
      <c r="A8202" s="31"/>
      <c r="D8202" s="30"/>
    </row>
    <row r="8203" spans="1:4" x14ac:dyDescent="0.25">
      <c r="A8203" s="31"/>
      <c r="D8203" s="30"/>
    </row>
    <row r="8204" spans="1:4" x14ac:dyDescent="0.25">
      <c r="A8204" s="31"/>
      <c r="D8204" s="30"/>
    </row>
    <row r="8205" spans="1:4" x14ac:dyDescent="0.25">
      <c r="A8205" s="31"/>
      <c r="D8205" s="30"/>
    </row>
    <row r="8206" spans="1:4" x14ac:dyDescent="0.25">
      <c r="A8206" s="31"/>
      <c r="D8206" s="30"/>
    </row>
    <row r="8207" spans="1:4" x14ac:dyDescent="0.25">
      <c r="A8207" s="31"/>
      <c r="D8207" s="30"/>
    </row>
    <row r="8208" spans="1:4" x14ac:dyDescent="0.25">
      <c r="A8208" s="31"/>
      <c r="D8208" s="30"/>
    </row>
    <row r="8209" spans="1:4" x14ac:dyDescent="0.25">
      <c r="A8209" s="31"/>
      <c r="D8209" s="30"/>
    </row>
    <row r="8210" spans="1:4" x14ac:dyDescent="0.25">
      <c r="A8210" s="31"/>
      <c r="D8210" s="30"/>
    </row>
    <row r="8211" spans="1:4" x14ac:dyDescent="0.25">
      <c r="A8211" s="31"/>
      <c r="D8211" s="30"/>
    </row>
    <row r="8212" spans="1:4" x14ac:dyDescent="0.25">
      <c r="A8212" s="31"/>
      <c r="D8212" s="30"/>
    </row>
    <row r="8213" spans="1:4" x14ac:dyDescent="0.25">
      <c r="A8213" s="31"/>
      <c r="D8213" s="30"/>
    </row>
    <row r="8214" spans="1:4" x14ac:dyDescent="0.25">
      <c r="A8214" s="31"/>
      <c r="D8214" s="30"/>
    </row>
    <row r="8215" spans="1:4" x14ac:dyDescent="0.25">
      <c r="A8215" s="31"/>
      <c r="D8215" s="30"/>
    </row>
    <row r="8216" spans="1:4" x14ac:dyDescent="0.25">
      <c r="A8216" s="31"/>
      <c r="D8216" s="30"/>
    </row>
    <row r="8217" spans="1:4" x14ac:dyDescent="0.25">
      <c r="A8217" s="31"/>
      <c r="D8217" s="30"/>
    </row>
    <row r="8218" spans="1:4" x14ac:dyDescent="0.25">
      <c r="A8218" s="31"/>
      <c r="D8218" s="30"/>
    </row>
    <row r="8219" spans="1:4" x14ac:dyDescent="0.25">
      <c r="A8219" s="31"/>
      <c r="D8219" s="30"/>
    </row>
    <row r="8220" spans="1:4" x14ac:dyDescent="0.25">
      <c r="A8220" s="31"/>
      <c r="D8220" s="30"/>
    </row>
    <row r="8221" spans="1:4" x14ac:dyDescent="0.25">
      <c r="A8221" s="31"/>
      <c r="D8221" s="30"/>
    </row>
    <row r="8222" spans="1:4" x14ac:dyDescent="0.25">
      <c r="A8222" s="31"/>
      <c r="D8222" s="30"/>
    </row>
    <row r="8223" spans="1:4" x14ac:dyDescent="0.25">
      <c r="A8223" s="31"/>
      <c r="D8223" s="30"/>
    </row>
    <row r="8224" spans="1:4" x14ac:dyDescent="0.25">
      <c r="A8224" s="31"/>
      <c r="D8224" s="30"/>
    </row>
    <row r="8225" spans="1:4" x14ac:dyDescent="0.25">
      <c r="A8225" s="31"/>
      <c r="D8225" s="30"/>
    </row>
    <row r="8226" spans="1:4" x14ac:dyDescent="0.25">
      <c r="A8226" s="31"/>
      <c r="D8226" s="30"/>
    </row>
    <row r="8227" spans="1:4" x14ac:dyDescent="0.25">
      <c r="A8227" s="31"/>
      <c r="D8227" s="30"/>
    </row>
    <row r="8228" spans="1:4" x14ac:dyDescent="0.25">
      <c r="A8228" s="31"/>
      <c r="D8228" s="30"/>
    </row>
    <row r="8229" spans="1:4" x14ac:dyDescent="0.25">
      <c r="A8229" s="31"/>
      <c r="D8229" s="30"/>
    </row>
    <row r="8230" spans="1:4" x14ac:dyDescent="0.25">
      <c r="A8230" s="31"/>
      <c r="D8230" s="30"/>
    </row>
    <row r="8231" spans="1:4" x14ac:dyDescent="0.25">
      <c r="A8231" s="31"/>
      <c r="D8231" s="30"/>
    </row>
    <row r="8232" spans="1:4" x14ac:dyDescent="0.25">
      <c r="A8232" s="31"/>
      <c r="D8232" s="30"/>
    </row>
    <row r="8233" spans="1:4" x14ac:dyDescent="0.25">
      <c r="A8233" s="31"/>
      <c r="D8233" s="30"/>
    </row>
    <row r="8234" spans="1:4" x14ac:dyDescent="0.25">
      <c r="A8234" s="31"/>
      <c r="D8234" s="30"/>
    </row>
    <row r="8235" spans="1:4" x14ac:dyDescent="0.25">
      <c r="A8235" s="31"/>
      <c r="D8235" s="30"/>
    </row>
    <row r="8236" spans="1:4" x14ac:dyDescent="0.25">
      <c r="A8236" s="31"/>
      <c r="D8236" s="30"/>
    </row>
    <row r="8237" spans="1:4" x14ac:dyDescent="0.25">
      <c r="A8237" s="31"/>
      <c r="D8237" s="30"/>
    </row>
    <row r="8238" spans="1:4" x14ac:dyDescent="0.25">
      <c r="A8238" s="31"/>
      <c r="D8238" s="30"/>
    </row>
    <row r="8239" spans="1:4" x14ac:dyDescent="0.25">
      <c r="A8239" s="31"/>
      <c r="D8239" s="30"/>
    </row>
    <row r="8240" spans="1:4" x14ac:dyDescent="0.25">
      <c r="A8240" s="31"/>
      <c r="D8240" s="30"/>
    </row>
    <row r="8241" spans="1:4" x14ac:dyDescent="0.25">
      <c r="A8241" s="31"/>
      <c r="D8241" s="30"/>
    </row>
    <row r="8242" spans="1:4" x14ac:dyDescent="0.25">
      <c r="A8242" s="31"/>
      <c r="D8242" s="30"/>
    </row>
    <row r="8243" spans="1:4" x14ac:dyDescent="0.25">
      <c r="A8243" s="31"/>
      <c r="D8243" s="30"/>
    </row>
    <row r="8244" spans="1:4" x14ac:dyDescent="0.25">
      <c r="A8244" s="31"/>
      <c r="D8244" s="30"/>
    </row>
    <row r="8245" spans="1:4" x14ac:dyDescent="0.25">
      <c r="A8245" s="31"/>
      <c r="D8245" s="30"/>
    </row>
    <row r="8246" spans="1:4" x14ac:dyDescent="0.25">
      <c r="A8246" s="31"/>
      <c r="D8246" s="30"/>
    </row>
    <row r="8247" spans="1:4" x14ac:dyDescent="0.25">
      <c r="A8247" s="31"/>
      <c r="D8247" s="30"/>
    </row>
    <row r="8248" spans="1:4" x14ac:dyDescent="0.25">
      <c r="A8248" s="31"/>
      <c r="D8248" s="30"/>
    </row>
    <row r="8249" spans="1:4" x14ac:dyDescent="0.25">
      <c r="A8249" s="31"/>
      <c r="D8249" s="30"/>
    </row>
    <row r="8250" spans="1:4" x14ac:dyDescent="0.25">
      <c r="A8250" s="31"/>
      <c r="D8250" s="30"/>
    </row>
    <row r="8251" spans="1:4" x14ac:dyDescent="0.25">
      <c r="A8251" s="31"/>
      <c r="D8251" s="30"/>
    </row>
    <row r="8252" spans="1:4" x14ac:dyDescent="0.25">
      <c r="A8252" s="31"/>
      <c r="D8252" s="30"/>
    </row>
    <row r="8253" spans="1:4" x14ac:dyDescent="0.25">
      <c r="A8253" s="31"/>
      <c r="D8253" s="30"/>
    </row>
    <row r="8254" spans="1:4" x14ac:dyDescent="0.25">
      <c r="A8254" s="31"/>
      <c r="D8254" s="30"/>
    </row>
    <row r="8255" spans="1:4" x14ac:dyDescent="0.25">
      <c r="A8255" s="31"/>
      <c r="D8255" s="30"/>
    </row>
    <row r="8256" spans="1:4" x14ac:dyDescent="0.25">
      <c r="A8256" s="31"/>
      <c r="D8256" s="30"/>
    </row>
    <row r="8257" spans="1:4" x14ac:dyDescent="0.25">
      <c r="A8257" s="31"/>
      <c r="D8257" s="30"/>
    </row>
    <row r="8258" spans="1:4" x14ac:dyDescent="0.25">
      <c r="A8258" s="31"/>
      <c r="D8258" s="30"/>
    </row>
    <row r="8259" spans="1:4" x14ac:dyDescent="0.25">
      <c r="A8259" s="31"/>
      <c r="D8259" s="30"/>
    </row>
    <row r="8260" spans="1:4" x14ac:dyDescent="0.25">
      <c r="A8260" s="31"/>
      <c r="D8260" s="30"/>
    </row>
    <row r="8261" spans="1:4" x14ac:dyDescent="0.25">
      <c r="A8261" s="31"/>
      <c r="D8261" s="30"/>
    </row>
    <row r="8262" spans="1:4" x14ac:dyDescent="0.25">
      <c r="A8262" s="31"/>
      <c r="D8262" s="30"/>
    </row>
    <row r="8263" spans="1:4" x14ac:dyDescent="0.25">
      <c r="A8263" s="31"/>
      <c r="D8263" s="30"/>
    </row>
    <row r="8264" spans="1:4" x14ac:dyDescent="0.25">
      <c r="A8264" s="31"/>
      <c r="D8264" s="30"/>
    </row>
    <row r="8265" spans="1:4" x14ac:dyDescent="0.25">
      <c r="A8265" s="31"/>
      <c r="D8265" s="30"/>
    </row>
    <row r="8266" spans="1:4" x14ac:dyDescent="0.25">
      <c r="A8266" s="31"/>
      <c r="D8266" s="30"/>
    </row>
    <row r="8267" spans="1:4" x14ac:dyDescent="0.25">
      <c r="A8267" s="31"/>
      <c r="D8267" s="30"/>
    </row>
    <row r="8268" spans="1:4" x14ac:dyDescent="0.25">
      <c r="A8268" s="31"/>
      <c r="D8268" s="30"/>
    </row>
    <row r="8269" spans="1:4" x14ac:dyDescent="0.25">
      <c r="A8269" s="31"/>
      <c r="D8269" s="30"/>
    </row>
    <row r="8270" spans="1:4" x14ac:dyDescent="0.25">
      <c r="A8270" s="31"/>
      <c r="D8270" s="30"/>
    </row>
    <row r="8271" spans="1:4" x14ac:dyDescent="0.25">
      <c r="A8271" s="31"/>
      <c r="D8271" s="30"/>
    </row>
    <row r="8272" spans="1:4" x14ac:dyDescent="0.25">
      <c r="A8272" s="31"/>
      <c r="D8272" s="30"/>
    </row>
    <row r="8273" spans="1:4" x14ac:dyDescent="0.25">
      <c r="A8273" s="31"/>
      <c r="D8273" s="30"/>
    </row>
    <row r="8274" spans="1:4" x14ac:dyDescent="0.25">
      <c r="A8274" s="31"/>
      <c r="D8274" s="30"/>
    </row>
    <row r="8275" spans="1:4" x14ac:dyDescent="0.25">
      <c r="A8275" s="31"/>
      <c r="D8275" s="30"/>
    </row>
    <row r="8276" spans="1:4" x14ac:dyDescent="0.25">
      <c r="A8276" s="31"/>
      <c r="D8276" s="30"/>
    </row>
    <row r="8277" spans="1:4" x14ac:dyDescent="0.25">
      <c r="A8277" s="31"/>
      <c r="D8277" s="30"/>
    </row>
    <row r="8278" spans="1:4" x14ac:dyDescent="0.25">
      <c r="A8278" s="31"/>
      <c r="D8278" s="30"/>
    </row>
    <row r="8279" spans="1:4" x14ac:dyDescent="0.25">
      <c r="A8279" s="31"/>
      <c r="D8279" s="30"/>
    </row>
    <row r="8280" spans="1:4" x14ac:dyDescent="0.25">
      <c r="A8280" s="31"/>
      <c r="D8280" s="30"/>
    </row>
    <row r="8281" spans="1:4" x14ac:dyDescent="0.25">
      <c r="A8281" s="31"/>
      <c r="D8281" s="30"/>
    </row>
    <row r="8282" spans="1:4" x14ac:dyDescent="0.25">
      <c r="A8282" s="31"/>
      <c r="D8282" s="30"/>
    </row>
    <row r="8283" spans="1:4" x14ac:dyDescent="0.25">
      <c r="A8283" s="31"/>
      <c r="D8283" s="30"/>
    </row>
    <row r="8284" spans="1:4" x14ac:dyDescent="0.25">
      <c r="A8284" s="31"/>
      <c r="D8284" s="30"/>
    </row>
    <row r="8285" spans="1:4" x14ac:dyDescent="0.25">
      <c r="A8285" s="31"/>
      <c r="D8285" s="30"/>
    </row>
    <row r="8286" spans="1:4" x14ac:dyDescent="0.25">
      <c r="A8286" s="31"/>
      <c r="D8286" s="30"/>
    </row>
    <row r="8287" spans="1:4" x14ac:dyDescent="0.25">
      <c r="A8287" s="31"/>
      <c r="D8287" s="30"/>
    </row>
    <row r="8288" spans="1:4" x14ac:dyDescent="0.25">
      <c r="A8288" s="31"/>
      <c r="D8288" s="30"/>
    </row>
    <row r="8289" spans="1:4" x14ac:dyDescent="0.25">
      <c r="A8289" s="31"/>
      <c r="D8289" s="30"/>
    </row>
    <row r="8290" spans="1:4" x14ac:dyDescent="0.25">
      <c r="A8290" s="31"/>
      <c r="D8290" s="30"/>
    </row>
    <row r="8291" spans="1:4" x14ac:dyDescent="0.25">
      <c r="A8291" s="31"/>
      <c r="D8291" s="30"/>
    </row>
    <row r="8292" spans="1:4" x14ac:dyDescent="0.25">
      <c r="A8292" s="31"/>
      <c r="D8292" s="30"/>
    </row>
    <row r="8293" spans="1:4" x14ac:dyDescent="0.25">
      <c r="A8293" s="31"/>
      <c r="D8293" s="30"/>
    </row>
    <row r="8294" spans="1:4" x14ac:dyDescent="0.25">
      <c r="A8294" s="31"/>
      <c r="D8294" s="30"/>
    </row>
    <row r="8295" spans="1:4" x14ac:dyDescent="0.25">
      <c r="A8295" s="31"/>
      <c r="D8295" s="30"/>
    </row>
    <row r="8296" spans="1:4" x14ac:dyDescent="0.25">
      <c r="A8296" s="31"/>
      <c r="D8296" s="30"/>
    </row>
    <row r="8297" spans="1:4" x14ac:dyDescent="0.25">
      <c r="A8297" s="31"/>
      <c r="D8297" s="30"/>
    </row>
    <row r="8298" spans="1:4" x14ac:dyDescent="0.25">
      <c r="A8298" s="31"/>
      <c r="D8298" s="30"/>
    </row>
    <row r="8299" spans="1:4" x14ac:dyDescent="0.25">
      <c r="A8299" s="31"/>
      <c r="D8299" s="30"/>
    </row>
    <row r="8300" spans="1:4" x14ac:dyDescent="0.25">
      <c r="A8300" s="31"/>
      <c r="D8300" s="30"/>
    </row>
    <row r="8301" spans="1:4" x14ac:dyDescent="0.25">
      <c r="A8301" s="31"/>
      <c r="D8301" s="30"/>
    </row>
    <row r="8302" spans="1:4" x14ac:dyDescent="0.25">
      <c r="A8302" s="31"/>
      <c r="D8302" s="30"/>
    </row>
    <row r="8303" spans="1:4" x14ac:dyDescent="0.25">
      <c r="A8303" s="31"/>
      <c r="D8303" s="30"/>
    </row>
    <row r="8304" spans="1:4" x14ac:dyDescent="0.25">
      <c r="A8304" s="31"/>
      <c r="D8304" s="30"/>
    </row>
    <row r="8305" spans="1:4" x14ac:dyDescent="0.25">
      <c r="A8305" s="31"/>
      <c r="D8305" s="30"/>
    </row>
    <row r="8306" spans="1:4" x14ac:dyDescent="0.25">
      <c r="A8306" s="31"/>
      <c r="D8306" s="30"/>
    </row>
    <row r="8307" spans="1:4" x14ac:dyDescent="0.25">
      <c r="A8307" s="31"/>
      <c r="D8307" s="30"/>
    </row>
    <row r="8308" spans="1:4" x14ac:dyDescent="0.25">
      <c r="A8308" s="31"/>
      <c r="D8308" s="30"/>
    </row>
    <row r="8309" spans="1:4" x14ac:dyDescent="0.25">
      <c r="A8309" s="31"/>
      <c r="D8309" s="30"/>
    </row>
    <row r="8310" spans="1:4" x14ac:dyDescent="0.25">
      <c r="A8310" s="31"/>
      <c r="D8310" s="30"/>
    </row>
    <row r="8311" spans="1:4" x14ac:dyDescent="0.25">
      <c r="A8311" s="31"/>
      <c r="D8311" s="30"/>
    </row>
    <row r="8312" spans="1:4" x14ac:dyDescent="0.25">
      <c r="A8312" s="31"/>
      <c r="D8312" s="30"/>
    </row>
    <row r="8313" spans="1:4" x14ac:dyDescent="0.25">
      <c r="A8313" s="31"/>
      <c r="D8313" s="30"/>
    </row>
    <row r="8314" spans="1:4" x14ac:dyDescent="0.25">
      <c r="A8314" s="31"/>
      <c r="D8314" s="30"/>
    </row>
    <row r="8315" spans="1:4" x14ac:dyDescent="0.25">
      <c r="A8315" s="31"/>
      <c r="D8315" s="30"/>
    </row>
    <row r="8316" spans="1:4" x14ac:dyDescent="0.25">
      <c r="A8316" s="31"/>
      <c r="D8316" s="30"/>
    </row>
    <row r="8317" spans="1:4" x14ac:dyDescent="0.25">
      <c r="A8317" s="31"/>
      <c r="D8317" s="30"/>
    </row>
    <row r="8318" spans="1:4" x14ac:dyDescent="0.25">
      <c r="A8318" s="31"/>
      <c r="D8318" s="30"/>
    </row>
    <row r="8319" spans="1:4" x14ac:dyDescent="0.25">
      <c r="A8319" s="31"/>
      <c r="D8319" s="30"/>
    </row>
    <row r="8320" spans="1:4" x14ac:dyDescent="0.25">
      <c r="A8320" s="31"/>
      <c r="D8320" s="30"/>
    </row>
    <row r="8321" spans="1:4" x14ac:dyDescent="0.25">
      <c r="A8321" s="31"/>
      <c r="D8321" s="30"/>
    </row>
    <row r="8322" spans="1:4" x14ac:dyDescent="0.25">
      <c r="A8322" s="31"/>
      <c r="D8322" s="30"/>
    </row>
    <row r="8323" spans="1:4" x14ac:dyDescent="0.25">
      <c r="A8323" s="31"/>
      <c r="D8323" s="30"/>
    </row>
    <row r="8324" spans="1:4" x14ac:dyDescent="0.25">
      <c r="A8324" s="31"/>
      <c r="D8324" s="30"/>
    </row>
    <row r="8325" spans="1:4" x14ac:dyDescent="0.25">
      <c r="A8325" s="31"/>
      <c r="D8325" s="30"/>
    </row>
    <row r="8326" spans="1:4" x14ac:dyDescent="0.25">
      <c r="A8326" s="31"/>
      <c r="D8326" s="30"/>
    </row>
    <row r="8327" spans="1:4" x14ac:dyDescent="0.25">
      <c r="A8327" s="31"/>
      <c r="D8327" s="30"/>
    </row>
    <row r="8328" spans="1:4" x14ac:dyDescent="0.25">
      <c r="A8328" s="31"/>
      <c r="D8328" s="30"/>
    </row>
    <row r="8329" spans="1:4" x14ac:dyDescent="0.25">
      <c r="A8329" s="31"/>
      <c r="D8329" s="30"/>
    </row>
    <row r="8330" spans="1:4" x14ac:dyDescent="0.25">
      <c r="A8330" s="31"/>
      <c r="D8330" s="30"/>
    </row>
    <row r="8331" spans="1:4" x14ac:dyDescent="0.25">
      <c r="A8331" s="31"/>
      <c r="D8331" s="30"/>
    </row>
    <row r="8332" spans="1:4" x14ac:dyDescent="0.25">
      <c r="A8332" s="31"/>
      <c r="D8332" s="30"/>
    </row>
    <row r="8333" spans="1:4" x14ac:dyDescent="0.25">
      <c r="A8333" s="31"/>
      <c r="D8333" s="30"/>
    </row>
    <row r="8334" spans="1:4" x14ac:dyDescent="0.25">
      <c r="A8334" s="31"/>
      <c r="D8334" s="30"/>
    </row>
    <row r="8335" spans="1:4" x14ac:dyDescent="0.25">
      <c r="A8335" s="31"/>
      <c r="D8335" s="30"/>
    </row>
    <row r="8336" spans="1:4" x14ac:dyDescent="0.25">
      <c r="A8336" s="31"/>
      <c r="D8336" s="30"/>
    </row>
    <row r="8337" spans="1:4" x14ac:dyDescent="0.25">
      <c r="A8337" s="31"/>
      <c r="D8337" s="30"/>
    </row>
    <row r="8338" spans="1:4" x14ac:dyDescent="0.25">
      <c r="A8338" s="31"/>
      <c r="D8338" s="30"/>
    </row>
    <row r="8339" spans="1:4" x14ac:dyDescent="0.25">
      <c r="A8339" s="31"/>
      <c r="D8339" s="30"/>
    </row>
    <row r="8340" spans="1:4" x14ac:dyDescent="0.25">
      <c r="A8340" s="31"/>
      <c r="D8340" s="30"/>
    </row>
    <row r="8341" spans="1:4" x14ac:dyDescent="0.25">
      <c r="A8341" s="31"/>
      <c r="D8341" s="30"/>
    </row>
    <row r="8342" spans="1:4" x14ac:dyDescent="0.25">
      <c r="A8342" s="31"/>
      <c r="D8342" s="30"/>
    </row>
    <row r="8343" spans="1:4" x14ac:dyDescent="0.25">
      <c r="A8343" s="31"/>
      <c r="D8343" s="30"/>
    </row>
    <row r="8344" spans="1:4" x14ac:dyDescent="0.25">
      <c r="A8344" s="31"/>
      <c r="D8344" s="30"/>
    </row>
    <row r="8345" spans="1:4" x14ac:dyDescent="0.25">
      <c r="A8345" s="31"/>
      <c r="D8345" s="30"/>
    </row>
    <row r="8346" spans="1:4" x14ac:dyDescent="0.25">
      <c r="A8346" s="31"/>
      <c r="D8346" s="30"/>
    </row>
    <row r="8347" spans="1:4" x14ac:dyDescent="0.25">
      <c r="A8347" s="31"/>
      <c r="D8347" s="30"/>
    </row>
    <row r="8348" spans="1:4" x14ac:dyDescent="0.25">
      <c r="A8348" s="31"/>
      <c r="D8348" s="30"/>
    </row>
    <row r="8349" spans="1:4" x14ac:dyDescent="0.25">
      <c r="A8349" s="31"/>
      <c r="D8349" s="30"/>
    </row>
    <row r="8350" spans="1:4" x14ac:dyDescent="0.25">
      <c r="A8350" s="31"/>
      <c r="D8350" s="30"/>
    </row>
    <row r="8351" spans="1:4" x14ac:dyDescent="0.25">
      <c r="A8351" s="31"/>
      <c r="D8351" s="30"/>
    </row>
    <row r="8352" spans="1:4" x14ac:dyDescent="0.25">
      <c r="A8352" s="31"/>
      <c r="D8352" s="30"/>
    </row>
    <row r="8353" spans="1:4" x14ac:dyDescent="0.25">
      <c r="A8353" s="31"/>
      <c r="D8353" s="30"/>
    </row>
    <row r="8354" spans="1:4" x14ac:dyDescent="0.25">
      <c r="A8354" s="31"/>
      <c r="D8354" s="30"/>
    </row>
    <row r="8355" spans="1:4" x14ac:dyDescent="0.25">
      <c r="A8355" s="31"/>
      <c r="D8355" s="30"/>
    </row>
    <row r="8356" spans="1:4" x14ac:dyDescent="0.25">
      <c r="A8356" s="31"/>
      <c r="D8356" s="30"/>
    </row>
    <row r="8357" spans="1:4" x14ac:dyDescent="0.25">
      <c r="A8357" s="31"/>
      <c r="D8357" s="30"/>
    </row>
    <row r="8358" spans="1:4" x14ac:dyDescent="0.25">
      <c r="A8358" s="31"/>
      <c r="D8358" s="30"/>
    </row>
    <row r="8359" spans="1:4" x14ac:dyDescent="0.25">
      <c r="A8359" s="31"/>
      <c r="D8359" s="30"/>
    </row>
    <row r="8360" spans="1:4" x14ac:dyDescent="0.25">
      <c r="A8360" s="31"/>
      <c r="D8360" s="30"/>
    </row>
    <row r="8361" spans="1:4" x14ac:dyDescent="0.25">
      <c r="A8361" s="31"/>
      <c r="D8361" s="30"/>
    </row>
    <row r="8362" spans="1:4" x14ac:dyDescent="0.25">
      <c r="A8362" s="31"/>
      <c r="D8362" s="30"/>
    </row>
    <row r="8363" spans="1:4" x14ac:dyDescent="0.25">
      <c r="A8363" s="31"/>
      <c r="D8363" s="30"/>
    </row>
    <row r="8364" spans="1:4" x14ac:dyDescent="0.25">
      <c r="A8364" s="31"/>
      <c r="D8364" s="30"/>
    </row>
    <row r="8365" spans="1:4" x14ac:dyDescent="0.25">
      <c r="A8365" s="31"/>
      <c r="D8365" s="30"/>
    </row>
    <row r="8366" spans="1:4" x14ac:dyDescent="0.25">
      <c r="A8366" s="31"/>
      <c r="D8366" s="30"/>
    </row>
    <row r="8367" spans="1:4" x14ac:dyDescent="0.25">
      <c r="A8367" s="31"/>
      <c r="D8367" s="30"/>
    </row>
    <row r="8368" spans="1:4" x14ac:dyDescent="0.25">
      <c r="A8368" s="31"/>
      <c r="D8368" s="30"/>
    </row>
    <row r="8369" spans="1:4" x14ac:dyDescent="0.25">
      <c r="A8369" s="31"/>
      <c r="D8369" s="30"/>
    </row>
    <row r="8370" spans="1:4" x14ac:dyDescent="0.25">
      <c r="A8370" s="31"/>
      <c r="D8370" s="30"/>
    </row>
    <row r="8371" spans="1:4" x14ac:dyDescent="0.25">
      <c r="A8371" s="31"/>
      <c r="D8371" s="30"/>
    </row>
    <row r="8372" spans="1:4" x14ac:dyDescent="0.25">
      <c r="A8372" s="31"/>
      <c r="D8372" s="30"/>
    </row>
    <row r="8373" spans="1:4" x14ac:dyDescent="0.25">
      <c r="A8373" s="31"/>
      <c r="D8373" s="30"/>
    </row>
    <row r="8374" spans="1:4" x14ac:dyDescent="0.25">
      <c r="A8374" s="31"/>
      <c r="D8374" s="30"/>
    </row>
    <row r="8375" spans="1:4" x14ac:dyDescent="0.25">
      <c r="A8375" s="31"/>
      <c r="D8375" s="30"/>
    </row>
    <row r="8376" spans="1:4" x14ac:dyDescent="0.25">
      <c r="A8376" s="31"/>
      <c r="D8376" s="30"/>
    </row>
    <row r="8377" spans="1:4" x14ac:dyDescent="0.25">
      <c r="A8377" s="31"/>
      <c r="D8377" s="30"/>
    </row>
    <row r="8378" spans="1:4" x14ac:dyDescent="0.25">
      <c r="A8378" s="31"/>
      <c r="D8378" s="30"/>
    </row>
    <row r="8379" spans="1:4" x14ac:dyDescent="0.25">
      <c r="A8379" s="31"/>
      <c r="D8379" s="30"/>
    </row>
    <row r="8380" spans="1:4" x14ac:dyDescent="0.25">
      <c r="A8380" s="31"/>
      <c r="D8380" s="30"/>
    </row>
    <row r="8381" spans="1:4" x14ac:dyDescent="0.25">
      <c r="A8381" s="31"/>
      <c r="D8381" s="30"/>
    </row>
    <row r="8382" spans="1:4" x14ac:dyDescent="0.25">
      <c r="A8382" s="31"/>
      <c r="D8382" s="30"/>
    </row>
    <row r="8383" spans="1:4" x14ac:dyDescent="0.25">
      <c r="A8383" s="31"/>
      <c r="D8383" s="30"/>
    </row>
    <row r="8384" spans="1:4" x14ac:dyDescent="0.25">
      <c r="A8384" s="31"/>
      <c r="D8384" s="30"/>
    </row>
    <row r="8385" spans="1:4" x14ac:dyDescent="0.25">
      <c r="A8385" s="31"/>
      <c r="D8385" s="30"/>
    </row>
    <row r="8386" spans="1:4" x14ac:dyDescent="0.25">
      <c r="A8386" s="31"/>
      <c r="D8386" s="30"/>
    </row>
    <row r="8387" spans="1:4" x14ac:dyDescent="0.25">
      <c r="A8387" s="31"/>
      <c r="D8387" s="30"/>
    </row>
    <row r="8388" spans="1:4" x14ac:dyDescent="0.25">
      <c r="A8388" s="31"/>
      <c r="D8388" s="30"/>
    </row>
    <row r="8389" spans="1:4" x14ac:dyDescent="0.25">
      <c r="A8389" s="31"/>
      <c r="D8389" s="30"/>
    </row>
    <row r="8390" spans="1:4" x14ac:dyDescent="0.25">
      <c r="A8390" s="31"/>
      <c r="D8390" s="30"/>
    </row>
    <row r="8391" spans="1:4" x14ac:dyDescent="0.25">
      <c r="A8391" s="31"/>
      <c r="D8391" s="30"/>
    </row>
    <row r="8392" spans="1:4" x14ac:dyDescent="0.25">
      <c r="A8392" s="31"/>
      <c r="D8392" s="30"/>
    </row>
    <row r="8393" spans="1:4" x14ac:dyDescent="0.25">
      <c r="A8393" s="31"/>
      <c r="D8393" s="30"/>
    </row>
    <row r="8394" spans="1:4" x14ac:dyDescent="0.25">
      <c r="A8394" s="31"/>
      <c r="D8394" s="30"/>
    </row>
    <row r="8395" spans="1:4" x14ac:dyDescent="0.25">
      <c r="A8395" s="31"/>
      <c r="D8395" s="30"/>
    </row>
    <row r="8396" spans="1:4" x14ac:dyDescent="0.25">
      <c r="A8396" s="31"/>
      <c r="D8396" s="30"/>
    </row>
    <row r="8397" spans="1:4" x14ac:dyDescent="0.25">
      <c r="A8397" s="31"/>
      <c r="D8397" s="30"/>
    </row>
    <row r="8398" spans="1:4" x14ac:dyDescent="0.25">
      <c r="A8398" s="31"/>
      <c r="D8398" s="30"/>
    </row>
    <row r="8399" spans="1:4" x14ac:dyDescent="0.25">
      <c r="A8399" s="31"/>
      <c r="D8399" s="30"/>
    </row>
    <row r="8400" spans="1:4" x14ac:dyDescent="0.25">
      <c r="A8400" s="31"/>
      <c r="D8400" s="30"/>
    </row>
    <row r="8401" spans="1:4" x14ac:dyDescent="0.25">
      <c r="A8401" s="31"/>
      <c r="D8401" s="30"/>
    </row>
    <row r="8402" spans="1:4" x14ac:dyDescent="0.25">
      <c r="A8402" s="31"/>
      <c r="D8402" s="30"/>
    </row>
    <row r="8403" spans="1:4" x14ac:dyDescent="0.25">
      <c r="A8403" s="31"/>
      <c r="D8403" s="30"/>
    </row>
    <row r="8404" spans="1:4" x14ac:dyDescent="0.25">
      <c r="A8404" s="31"/>
      <c r="D8404" s="30"/>
    </row>
    <row r="8405" spans="1:4" x14ac:dyDescent="0.25">
      <c r="A8405" s="31"/>
      <c r="D8405" s="30"/>
    </row>
    <row r="8406" spans="1:4" x14ac:dyDescent="0.25">
      <c r="A8406" s="31"/>
      <c r="D8406" s="30"/>
    </row>
    <row r="8407" spans="1:4" x14ac:dyDescent="0.25">
      <c r="A8407" s="31"/>
      <c r="D8407" s="30"/>
    </row>
    <row r="8408" spans="1:4" x14ac:dyDescent="0.25">
      <c r="A8408" s="31"/>
      <c r="D8408" s="30"/>
    </row>
    <row r="8409" spans="1:4" x14ac:dyDescent="0.25">
      <c r="A8409" s="31"/>
      <c r="D8409" s="30"/>
    </row>
    <row r="8410" spans="1:4" x14ac:dyDescent="0.25">
      <c r="A8410" s="31"/>
      <c r="D8410" s="30"/>
    </row>
    <row r="8411" spans="1:4" x14ac:dyDescent="0.25">
      <c r="A8411" s="31"/>
      <c r="D8411" s="30"/>
    </row>
    <row r="8412" spans="1:4" x14ac:dyDescent="0.25">
      <c r="A8412" s="31"/>
      <c r="D8412" s="30"/>
    </row>
    <row r="8413" spans="1:4" x14ac:dyDescent="0.25">
      <c r="A8413" s="31"/>
      <c r="D8413" s="30"/>
    </row>
    <row r="8414" spans="1:4" x14ac:dyDescent="0.25">
      <c r="A8414" s="31"/>
      <c r="D8414" s="30"/>
    </row>
    <row r="8415" spans="1:4" x14ac:dyDescent="0.25">
      <c r="A8415" s="31"/>
      <c r="D8415" s="30"/>
    </row>
    <row r="8416" spans="1:4" x14ac:dyDescent="0.25">
      <c r="A8416" s="31"/>
      <c r="D8416" s="30"/>
    </row>
    <row r="8417" spans="1:4" x14ac:dyDescent="0.25">
      <c r="A8417" s="31"/>
      <c r="D8417" s="30"/>
    </row>
    <row r="8418" spans="1:4" x14ac:dyDescent="0.25">
      <c r="A8418" s="31"/>
      <c r="D8418" s="30"/>
    </row>
    <row r="8419" spans="1:4" x14ac:dyDescent="0.25">
      <c r="A8419" s="31"/>
      <c r="D8419" s="30"/>
    </row>
    <row r="8420" spans="1:4" x14ac:dyDescent="0.25">
      <c r="A8420" s="31"/>
      <c r="D8420" s="30"/>
    </row>
    <row r="8421" spans="1:4" x14ac:dyDescent="0.25">
      <c r="A8421" s="31"/>
      <c r="D8421" s="30"/>
    </row>
    <row r="8422" spans="1:4" x14ac:dyDescent="0.25">
      <c r="A8422" s="31"/>
      <c r="D8422" s="30"/>
    </row>
    <row r="8423" spans="1:4" x14ac:dyDescent="0.25">
      <c r="A8423" s="31"/>
      <c r="D8423" s="30"/>
    </row>
    <row r="8424" spans="1:4" x14ac:dyDescent="0.25">
      <c r="A8424" s="31"/>
      <c r="D8424" s="30"/>
    </row>
    <row r="8425" spans="1:4" x14ac:dyDescent="0.25">
      <c r="A8425" s="31"/>
      <c r="D8425" s="30"/>
    </row>
    <row r="8426" spans="1:4" x14ac:dyDescent="0.25">
      <c r="A8426" s="31"/>
      <c r="D8426" s="30"/>
    </row>
    <row r="8427" spans="1:4" x14ac:dyDescent="0.25">
      <c r="A8427" s="31"/>
      <c r="D8427" s="30"/>
    </row>
    <row r="8428" spans="1:4" x14ac:dyDescent="0.25">
      <c r="A8428" s="31"/>
      <c r="D8428" s="30"/>
    </row>
    <row r="8429" spans="1:4" x14ac:dyDescent="0.25">
      <c r="A8429" s="31"/>
      <c r="D8429" s="30"/>
    </row>
    <row r="8430" spans="1:4" x14ac:dyDescent="0.25">
      <c r="A8430" s="31"/>
      <c r="D8430" s="30"/>
    </row>
    <row r="8431" spans="1:4" x14ac:dyDescent="0.25">
      <c r="A8431" s="31"/>
      <c r="D8431" s="30"/>
    </row>
    <row r="8432" spans="1:4" x14ac:dyDescent="0.25">
      <c r="A8432" s="31"/>
      <c r="D8432" s="30"/>
    </row>
    <row r="8433" spans="1:4" x14ac:dyDescent="0.25">
      <c r="A8433" s="31"/>
      <c r="D8433" s="30"/>
    </row>
    <row r="8434" spans="1:4" x14ac:dyDescent="0.25">
      <c r="A8434" s="31"/>
      <c r="D8434" s="30"/>
    </row>
    <row r="8435" spans="1:4" x14ac:dyDescent="0.25">
      <c r="A8435" s="31"/>
      <c r="D8435" s="30"/>
    </row>
    <row r="8436" spans="1:4" x14ac:dyDescent="0.25">
      <c r="A8436" s="31"/>
      <c r="D8436" s="30"/>
    </row>
    <row r="8437" spans="1:4" x14ac:dyDescent="0.25">
      <c r="A8437" s="31"/>
      <c r="D8437" s="30"/>
    </row>
    <row r="8438" spans="1:4" x14ac:dyDescent="0.25">
      <c r="A8438" s="31"/>
      <c r="D8438" s="30"/>
    </row>
    <row r="8439" spans="1:4" x14ac:dyDescent="0.25">
      <c r="A8439" s="31"/>
      <c r="D8439" s="30"/>
    </row>
    <row r="8440" spans="1:4" x14ac:dyDescent="0.25">
      <c r="A8440" s="31"/>
      <c r="D8440" s="30"/>
    </row>
    <row r="8441" spans="1:4" x14ac:dyDescent="0.25">
      <c r="A8441" s="31"/>
      <c r="D8441" s="30"/>
    </row>
    <row r="8442" spans="1:4" x14ac:dyDescent="0.25">
      <c r="A8442" s="31"/>
      <c r="D8442" s="30"/>
    </row>
    <row r="8443" spans="1:4" x14ac:dyDescent="0.25">
      <c r="A8443" s="31"/>
      <c r="D8443" s="30"/>
    </row>
    <row r="8444" spans="1:4" x14ac:dyDescent="0.25">
      <c r="A8444" s="31"/>
      <c r="D8444" s="30"/>
    </row>
    <row r="8445" spans="1:4" x14ac:dyDescent="0.25">
      <c r="A8445" s="31"/>
      <c r="D8445" s="30"/>
    </row>
    <row r="8446" spans="1:4" x14ac:dyDescent="0.25">
      <c r="A8446" s="31"/>
      <c r="D8446" s="30"/>
    </row>
    <row r="8447" spans="1:4" x14ac:dyDescent="0.25">
      <c r="A8447" s="31"/>
      <c r="D8447" s="30"/>
    </row>
    <row r="8448" spans="1:4" x14ac:dyDescent="0.25">
      <c r="A8448" s="31"/>
      <c r="D8448" s="30"/>
    </row>
    <row r="8449" spans="1:4" x14ac:dyDescent="0.25">
      <c r="A8449" s="31"/>
      <c r="D8449" s="30"/>
    </row>
    <row r="8450" spans="1:4" x14ac:dyDescent="0.25">
      <c r="A8450" s="31"/>
      <c r="D8450" s="30"/>
    </row>
    <row r="8451" spans="1:4" x14ac:dyDescent="0.25">
      <c r="A8451" s="31"/>
      <c r="D8451" s="30"/>
    </row>
    <row r="8452" spans="1:4" x14ac:dyDescent="0.25">
      <c r="A8452" s="31"/>
      <c r="D8452" s="30"/>
    </row>
    <row r="8453" spans="1:4" x14ac:dyDescent="0.25">
      <c r="A8453" s="31"/>
      <c r="D8453" s="30"/>
    </row>
    <row r="8454" spans="1:4" x14ac:dyDescent="0.25">
      <c r="A8454" s="31"/>
      <c r="D8454" s="30"/>
    </row>
    <row r="8455" spans="1:4" x14ac:dyDescent="0.25">
      <c r="A8455" s="31"/>
      <c r="D8455" s="30"/>
    </row>
    <row r="8456" spans="1:4" x14ac:dyDescent="0.25">
      <c r="A8456" s="31"/>
      <c r="D8456" s="30"/>
    </row>
    <row r="8457" spans="1:4" x14ac:dyDescent="0.25">
      <c r="A8457" s="31"/>
      <c r="D8457" s="30"/>
    </row>
    <row r="8458" spans="1:4" x14ac:dyDescent="0.25">
      <c r="A8458" s="31"/>
      <c r="D8458" s="30"/>
    </row>
    <row r="8459" spans="1:4" x14ac:dyDescent="0.25">
      <c r="A8459" s="31"/>
      <c r="D8459" s="30"/>
    </row>
    <row r="8460" spans="1:4" x14ac:dyDescent="0.25">
      <c r="A8460" s="31"/>
      <c r="D8460" s="30"/>
    </row>
    <row r="8461" spans="1:4" x14ac:dyDescent="0.25">
      <c r="A8461" s="31"/>
      <c r="D8461" s="30"/>
    </row>
    <row r="8462" spans="1:4" x14ac:dyDescent="0.25">
      <c r="A8462" s="31"/>
      <c r="D8462" s="30"/>
    </row>
    <row r="8463" spans="1:4" x14ac:dyDescent="0.25">
      <c r="A8463" s="31"/>
      <c r="D8463" s="30"/>
    </row>
    <row r="8464" spans="1:4" x14ac:dyDescent="0.25">
      <c r="A8464" s="31"/>
      <c r="D8464" s="30"/>
    </row>
    <row r="8465" spans="1:4" x14ac:dyDescent="0.25">
      <c r="A8465" s="31"/>
      <c r="D8465" s="30"/>
    </row>
    <row r="8466" spans="1:4" x14ac:dyDescent="0.25">
      <c r="A8466" s="31"/>
      <c r="D8466" s="30"/>
    </row>
    <row r="8467" spans="1:4" x14ac:dyDescent="0.25">
      <c r="A8467" s="31"/>
      <c r="D8467" s="30"/>
    </row>
    <row r="8468" spans="1:4" x14ac:dyDescent="0.25">
      <c r="A8468" s="31"/>
      <c r="D8468" s="30"/>
    </row>
    <row r="8469" spans="1:4" x14ac:dyDescent="0.25">
      <c r="A8469" s="31"/>
      <c r="D8469" s="30"/>
    </row>
    <row r="8470" spans="1:4" x14ac:dyDescent="0.25">
      <c r="A8470" s="31"/>
      <c r="D8470" s="30"/>
    </row>
    <row r="8471" spans="1:4" x14ac:dyDescent="0.25">
      <c r="A8471" s="31"/>
      <c r="D8471" s="30"/>
    </row>
    <row r="8472" spans="1:4" x14ac:dyDescent="0.25">
      <c r="A8472" s="31"/>
      <c r="D8472" s="30"/>
    </row>
    <row r="8473" spans="1:4" x14ac:dyDescent="0.25">
      <c r="A8473" s="31"/>
      <c r="D8473" s="30"/>
    </row>
    <row r="8474" spans="1:4" x14ac:dyDescent="0.25">
      <c r="A8474" s="31"/>
      <c r="D8474" s="30"/>
    </row>
    <row r="8475" spans="1:4" x14ac:dyDescent="0.25">
      <c r="A8475" s="31"/>
      <c r="D8475" s="30"/>
    </row>
    <row r="8476" spans="1:4" x14ac:dyDescent="0.25">
      <c r="A8476" s="31"/>
      <c r="D8476" s="30"/>
    </row>
    <row r="8477" spans="1:4" x14ac:dyDescent="0.25">
      <c r="A8477" s="31"/>
      <c r="D8477" s="30"/>
    </row>
    <row r="8478" spans="1:4" x14ac:dyDescent="0.25">
      <c r="A8478" s="31"/>
      <c r="D8478" s="30"/>
    </row>
    <row r="8479" spans="1:4" x14ac:dyDescent="0.25">
      <c r="A8479" s="31"/>
      <c r="D8479" s="30"/>
    </row>
    <row r="8480" spans="1:4" x14ac:dyDescent="0.25">
      <c r="A8480" s="31"/>
      <c r="D8480" s="30"/>
    </row>
    <row r="8481" spans="1:4" x14ac:dyDescent="0.25">
      <c r="A8481" s="31"/>
      <c r="D8481" s="30"/>
    </row>
    <row r="8482" spans="1:4" x14ac:dyDescent="0.25">
      <c r="A8482" s="31"/>
      <c r="D8482" s="30"/>
    </row>
    <row r="8483" spans="1:4" x14ac:dyDescent="0.25">
      <c r="A8483" s="31"/>
      <c r="D8483" s="30"/>
    </row>
    <row r="8484" spans="1:4" x14ac:dyDescent="0.25">
      <c r="A8484" s="31"/>
      <c r="D8484" s="30"/>
    </row>
    <row r="8485" spans="1:4" x14ac:dyDescent="0.25">
      <c r="A8485" s="31"/>
      <c r="D8485" s="30"/>
    </row>
    <row r="8486" spans="1:4" x14ac:dyDescent="0.25">
      <c r="A8486" s="31"/>
      <c r="D8486" s="30"/>
    </row>
    <row r="8487" spans="1:4" x14ac:dyDescent="0.25">
      <c r="A8487" s="31"/>
      <c r="D8487" s="30"/>
    </row>
    <row r="8488" spans="1:4" x14ac:dyDescent="0.25">
      <c r="A8488" s="31"/>
      <c r="D8488" s="30"/>
    </row>
    <row r="8489" spans="1:4" x14ac:dyDescent="0.25">
      <c r="A8489" s="31"/>
      <c r="D8489" s="30"/>
    </row>
    <row r="8490" spans="1:4" x14ac:dyDescent="0.25">
      <c r="A8490" s="31"/>
      <c r="D8490" s="30"/>
    </row>
    <row r="8491" spans="1:4" x14ac:dyDescent="0.25">
      <c r="A8491" s="31"/>
      <c r="D8491" s="30"/>
    </row>
    <row r="8492" spans="1:4" x14ac:dyDescent="0.25">
      <c r="A8492" s="31"/>
      <c r="D8492" s="30"/>
    </row>
    <row r="8493" spans="1:4" x14ac:dyDescent="0.25">
      <c r="A8493" s="31"/>
      <c r="D8493" s="30"/>
    </row>
    <row r="8494" spans="1:4" x14ac:dyDescent="0.25">
      <c r="A8494" s="31"/>
      <c r="D8494" s="30"/>
    </row>
    <row r="8495" spans="1:4" x14ac:dyDescent="0.25">
      <c r="A8495" s="31"/>
      <c r="D8495" s="30"/>
    </row>
    <row r="8496" spans="1:4" x14ac:dyDescent="0.25">
      <c r="A8496" s="31"/>
      <c r="D8496" s="30"/>
    </row>
    <row r="8497" spans="1:4" x14ac:dyDescent="0.25">
      <c r="A8497" s="31"/>
      <c r="D8497" s="30"/>
    </row>
    <row r="8498" spans="1:4" x14ac:dyDescent="0.25">
      <c r="A8498" s="31"/>
      <c r="D8498" s="30"/>
    </row>
    <row r="8499" spans="1:4" x14ac:dyDescent="0.25">
      <c r="A8499" s="31"/>
      <c r="D8499" s="30"/>
    </row>
    <row r="8500" spans="1:4" x14ac:dyDescent="0.25">
      <c r="A8500" s="31"/>
      <c r="D8500" s="30"/>
    </row>
    <row r="8501" spans="1:4" x14ac:dyDescent="0.25">
      <c r="A8501" s="31"/>
      <c r="D8501" s="30"/>
    </row>
    <row r="8502" spans="1:4" x14ac:dyDescent="0.25">
      <c r="A8502" s="31"/>
      <c r="D8502" s="30"/>
    </row>
    <row r="8503" spans="1:4" x14ac:dyDescent="0.25">
      <c r="A8503" s="31"/>
      <c r="D8503" s="30"/>
    </row>
    <row r="8504" spans="1:4" x14ac:dyDescent="0.25">
      <c r="A8504" s="31"/>
      <c r="D8504" s="30"/>
    </row>
    <row r="8505" spans="1:4" x14ac:dyDescent="0.25">
      <c r="A8505" s="31"/>
      <c r="D8505" s="30"/>
    </row>
    <row r="8506" spans="1:4" x14ac:dyDescent="0.25">
      <c r="A8506" s="31"/>
      <c r="D8506" s="30"/>
    </row>
    <row r="8507" spans="1:4" x14ac:dyDescent="0.25">
      <c r="A8507" s="31"/>
      <c r="D8507" s="30"/>
    </row>
    <row r="8508" spans="1:4" x14ac:dyDescent="0.25">
      <c r="A8508" s="31"/>
      <c r="D8508" s="30"/>
    </row>
    <row r="8509" spans="1:4" x14ac:dyDescent="0.25">
      <c r="A8509" s="31"/>
      <c r="D8509" s="30"/>
    </row>
    <row r="8510" spans="1:4" x14ac:dyDescent="0.25">
      <c r="A8510" s="31"/>
      <c r="D8510" s="30"/>
    </row>
    <row r="8511" spans="1:4" x14ac:dyDescent="0.25">
      <c r="A8511" s="31"/>
      <c r="D8511" s="30"/>
    </row>
    <row r="8512" spans="1:4" x14ac:dyDescent="0.25">
      <c r="A8512" s="31"/>
      <c r="D8512" s="30"/>
    </row>
    <row r="8513" spans="1:4" x14ac:dyDescent="0.25">
      <c r="A8513" s="31"/>
      <c r="D8513" s="30"/>
    </row>
    <row r="8514" spans="1:4" x14ac:dyDescent="0.25">
      <c r="A8514" s="31"/>
      <c r="D8514" s="30"/>
    </row>
    <row r="8515" spans="1:4" x14ac:dyDescent="0.25">
      <c r="A8515" s="31"/>
      <c r="D8515" s="30"/>
    </row>
    <row r="8516" spans="1:4" x14ac:dyDescent="0.25">
      <c r="A8516" s="31"/>
      <c r="D8516" s="30"/>
    </row>
    <row r="8517" spans="1:4" x14ac:dyDescent="0.25">
      <c r="A8517" s="31"/>
      <c r="D8517" s="30"/>
    </row>
    <row r="8518" spans="1:4" x14ac:dyDescent="0.25">
      <c r="A8518" s="31"/>
      <c r="D8518" s="30"/>
    </row>
    <row r="8519" spans="1:4" x14ac:dyDescent="0.25">
      <c r="A8519" s="31"/>
      <c r="D8519" s="30"/>
    </row>
    <row r="8520" spans="1:4" x14ac:dyDescent="0.25">
      <c r="A8520" s="31"/>
      <c r="D8520" s="30"/>
    </row>
    <row r="8521" spans="1:4" x14ac:dyDescent="0.25">
      <c r="A8521" s="31"/>
      <c r="D8521" s="30"/>
    </row>
    <row r="8522" spans="1:4" x14ac:dyDescent="0.25">
      <c r="A8522" s="31"/>
      <c r="D8522" s="30"/>
    </row>
    <row r="8523" spans="1:4" x14ac:dyDescent="0.25">
      <c r="A8523" s="31"/>
      <c r="D8523" s="30"/>
    </row>
    <row r="8524" spans="1:4" x14ac:dyDescent="0.25">
      <c r="A8524" s="31"/>
      <c r="D8524" s="30"/>
    </row>
    <row r="8525" spans="1:4" x14ac:dyDescent="0.25">
      <c r="A8525" s="31"/>
      <c r="D8525" s="30"/>
    </row>
    <row r="8526" spans="1:4" x14ac:dyDescent="0.25">
      <c r="A8526" s="31"/>
      <c r="D8526" s="30"/>
    </row>
    <row r="8527" spans="1:4" x14ac:dyDescent="0.25">
      <c r="A8527" s="31"/>
      <c r="D8527" s="30"/>
    </row>
    <row r="8528" spans="1:4" x14ac:dyDescent="0.25">
      <c r="A8528" s="31"/>
      <c r="D8528" s="30"/>
    </row>
    <row r="8529" spans="1:4" x14ac:dyDescent="0.25">
      <c r="A8529" s="31"/>
      <c r="D8529" s="30"/>
    </row>
    <row r="8530" spans="1:4" x14ac:dyDescent="0.25">
      <c r="A8530" s="31"/>
      <c r="D8530" s="30"/>
    </row>
    <row r="8531" spans="1:4" x14ac:dyDescent="0.25">
      <c r="A8531" s="31"/>
      <c r="D8531" s="30"/>
    </row>
    <row r="8532" spans="1:4" x14ac:dyDescent="0.25">
      <c r="A8532" s="31"/>
      <c r="D8532" s="30"/>
    </row>
    <row r="8533" spans="1:4" x14ac:dyDescent="0.25">
      <c r="A8533" s="31"/>
      <c r="D8533" s="30"/>
    </row>
    <row r="8534" spans="1:4" x14ac:dyDescent="0.25">
      <c r="A8534" s="31"/>
      <c r="D8534" s="30"/>
    </row>
    <row r="8535" spans="1:4" x14ac:dyDescent="0.25">
      <c r="A8535" s="31"/>
      <c r="D8535" s="30"/>
    </row>
    <row r="8536" spans="1:4" x14ac:dyDescent="0.25">
      <c r="A8536" s="31"/>
      <c r="D8536" s="30"/>
    </row>
    <row r="8537" spans="1:4" x14ac:dyDescent="0.25">
      <c r="A8537" s="31"/>
      <c r="D8537" s="30"/>
    </row>
    <row r="8538" spans="1:4" x14ac:dyDescent="0.25">
      <c r="A8538" s="31"/>
      <c r="D8538" s="30"/>
    </row>
    <row r="8539" spans="1:4" x14ac:dyDescent="0.25">
      <c r="A8539" s="31"/>
      <c r="D8539" s="30"/>
    </row>
    <row r="8540" spans="1:4" x14ac:dyDescent="0.25">
      <c r="A8540" s="31"/>
      <c r="D8540" s="30"/>
    </row>
    <row r="8541" spans="1:4" x14ac:dyDescent="0.25">
      <c r="A8541" s="31"/>
      <c r="D8541" s="30"/>
    </row>
    <row r="8542" spans="1:4" x14ac:dyDescent="0.25">
      <c r="A8542" s="31"/>
      <c r="D8542" s="30"/>
    </row>
    <row r="8543" spans="1:4" x14ac:dyDescent="0.25">
      <c r="A8543" s="31"/>
      <c r="D8543" s="30"/>
    </row>
    <row r="8544" spans="1:4" x14ac:dyDescent="0.25">
      <c r="A8544" s="31"/>
      <c r="D8544" s="30"/>
    </row>
    <row r="8545" spans="1:4" x14ac:dyDescent="0.25">
      <c r="A8545" s="31"/>
      <c r="D8545" s="30"/>
    </row>
    <row r="8546" spans="1:4" x14ac:dyDescent="0.25">
      <c r="A8546" s="31"/>
      <c r="D8546" s="30"/>
    </row>
    <row r="8547" spans="1:4" x14ac:dyDescent="0.25">
      <c r="A8547" s="31"/>
      <c r="D8547" s="30"/>
    </row>
    <row r="8548" spans="1:4" x14ac:dyDescent="0.25">
      <c r="A8548" s="31"/>
      <c r="D8548" s="30"/>
    </row>
    <row r="8549" spans="1:4" x14ac:dyDescent="0.25">
      <c r="A8549" s="31"/>
      <c r="D8549" s="30"/>
    </row>
    <row r="8550" spans="1:4" x14ac:dyDescent="0.25">
      <c r="A8550" s="31"/>
      <c r="D8550" s="30"/>
    </row>
    <row r="8551" spans="1:4" x14ac:dyDescent="0.25">
      <c r="A8551" s="31"/>
      <c r="D8551" s="30"/>
    </row>
    <row r="8552" spans="1:4" x14ac:dyDescent="0.25">
      <c r="A8552" s="31"/>
      <c r="D8552" s="30"/>
    </row>
    <row r="8553" spans="1:4" x14ac:dyDescent="0.25">
      <c r="A8553" s="31"/>
      <c r="D8553" s="30"/>
    </row>
    <row r="8554" spans="1:4" x14ac:dyDescent="0.25">
      <c r="A8554" s="31"/>
      <c r="D8554" s="30"/>
    </row>
    <row r="8555" spans="1:4" x14ac:dyDescent="0.25">
      <c r="A8555" s="31"/>
      <c r="D8555" s="30"/>
    </row>
    <row r="8556" spans="1:4" x14ac:dyDescent="0.25">
      <c r="A8556" s="31"/>
      <c r="D8556" s="30"/>
    </row>
    <row r="8557" spans="1:4" x14ac:dyDescent="0.25">
      <c r="A8557" s="31"/>
      <c r="D8557" s="30"/>
    </row>
    <row r="8558" spans="1:4" x14ac:dyDescent="0.25">
      <c r="A8558" s="31"/>
      <c r="D8558" s="30"/>
    </row>
    <row r="8559" spans="1:4" x14ac:dyDescent="0.25">
      <c r="A8559" s="31"/>
      <c r="D8559" s="30"/>
    </row>
    <row r="8560" spans="1:4" x14ac:dyDescent="0.25">
      <c r="A8560" s="31"/>
      <c r="D8560" s="30"/>
    </row>
    <row r="8561" spans="1:4" x14ac:dyDescent="0.25">
      <c r="A8561" s="31"/>
      <c r="D8561" s="30"/>
    </row>
    <row r="8562" spans="1:4" x14ac:dyDescent="0.25">
      <c r="A8562" s="31"/>
      <c r="D8562" s="30"/>
    </row>
    <row r="8563" spans="1:4" x14ac:dyDescent="0.25">
      <c r="A8563" s="31"/>
      <c r="D8563" s="30"/>
    </row>
    <row r="8564" spans="1:4" x14ac:dyDescent="0.25">
      <c r="A8564" s="31"/>
      <c r="D8564" s="30"/>
    </row>
    <row r="8565" spans="1:4" x14ac:dyDescent="0.25">
      <c r="A8565" s="31"/>
      <c r="D8565" s="30"/>
    </row>
    <row r="8566" spans="1:4" x14ac:dyDescent="0.25">
      <c r="A8566" s="31"/>
      <c r="D8566" s="30"/>
    </row>
    <row r="8567" spans="1:4" x14ac:dyDescent="0.25">
      <c r="A8567" s="31"/>
      <c r="D8567" s="30"/>
    </row>
    <row r="8568" spans="1:4" x14ac:dyDescent="0.25">
      <c r="A8568" s="31"/>
      <c r="D8568" s="30"/>
    </row>
    <row r="8569" spans="1:4" x14ac:dyDescent="0.25">
      <c r="A8569" s="31"/>
      <c r="D8569" s="30"/>
    </row>
    <row r="8570" spans="1:4" x14ac:dyDescent="0.25">
      <c r="A8570" s="31"/>
      <c r="D8570" s="30"/>
    </row>
    <row r="8571" spans="1:4" x14ac:dyDescent="0.25">
      <c r="A8571" s="31"/>
      <c r="D8571" s="30"/>
    </row>
    <row r="8572" spans="1:4" x14ac:dyDescent="0.25">
      <c r="A8572" s="31"/>
      <c r="D8572" s="30"/>
    </row>
    <row r="8573" spans="1:4" x14ac:dyDescent="0.25">
      <c r="A8573" s="31"/>
      <c r="D8573" s="30"/>
    </row>
    <row r="8574" spans="1:4" x14ac:dyDescent="0.25">
      <c r="A8574" s="31"/>
      <c r="D8574" s="30"/>
    </row>
    <row r="8575" spans="1:4" x14ac:dyDescent="0.25">
      <c r="A8575" s="31"/>
      <c r="D8575" s="30"/>
    </row>
    <row r="8576" spans="1:4" x14ac:dyDescent="0.25">
      <c r="A8576" s="31"/>
      <c r="D8576" s="30"/>
    </row>
    <row r="8577" spans="1:4" x14ac:dyDescent="0.25">
      <c r="A8577" s="31"/>
      <c r="D8577" s="30"/>
    </row>
    <row r="8578" spans="1:4" x14ac:dyDescent="0.25">
      <c r="A8578" s="31"/>
      <c r="D8578" s="30"/>
    </row>
    <row r="8579" spans="1:4" x14ac:dyDescent="0.25">
      <c r="A8579" s="31"/>
      <c r="D8579" s="30"/>
    </row>
    <row r="8580" spans="1:4" x14ac:dyDescent="0.25">
      <c r="A8580" s="31"/>
      <c r="D8580" s="30"/>
    </row>
    <row r="8581" spans="1:4" x14ac:dyDescent="0.25">
      <c r="A8581" s="31"/>
      <c r="D8581" s="30"/>
    </row>
    <row r="8582" spans="1:4" x14ac:dyDescent="0.25">
      <c r="A8582" s="31"/>
      <c r="D8582" s="30"/>
    </row>
    <row r="8583" spans="1:4" x14ac:dyDescent="0.25">
      <c r="A8583" s="31"/>
      <c r="D8583" s="30"/>
    </row>
    <row r="8584" spans="1:4" x14ac:dyDescent="0.25">
      <c r="A8584" s="31"/>
      <c r="D8584" s="30"/>
    </row>
    <row r="8585" spans="1:4" x14ac:dyDescent="0.25">
      <c r="A8585" s="31"/>
      <c r="D8585" s="30"/>
    </row>
    <row r="8586" spans="1:4" x14ac:dyDescent="0.25">
      <c r="A8586" s="31"/>
      <c r="D8586" s="30"/>
    </row>
    <row r="8587" spans="1:4" x14ac:dyDescent="0.25">
      <c r="A8587" s="31"/>
      <c r="D8587" s="30"/>
    </row>
    <row r="8588" spans="1:4" x14ac:dyDescent="0.25">
      <c r="A8588" s="31"/>
      <c r="D8588" s="30"/>
    </row>
    <row r="8589" spans="1:4" x14ac:dyDescent="0.25">
      <c r="A8589" s="31"/>
      <c r="D8589" s="30"/>
    </row>
    <row r="8590" spans="1:4" x14ac:dyDescent="0.25">
      <c r="A8590" s="31"/>
      <c r="D8590" s="30"/>
    </row>
    <row r="8591" spans="1:4" x14ac:dyDescent="0.25">
      <c r="A8591" s="31"/>
      <c r="D8591" s="30"/>
    </row>
    <row r="8592" spans="1:4" x14ac:dyDescent="0.25">
      <c r="A8592" s="31"/>
      <c r="D8592" s="30"/>
    </row>
    <row r="8593" spans="1:4" x14ac:dyDescent="0.25">
      <c r="A8593" s="31"/>
      <c r="D8593" s="30"/>
    </row>
    <row r="8594" spans="1:4" x14ac:dyDescent="0.25">
      <c r="A8594" s="31"/>
      <c r="D8594" s="30"/>
    </row>
    <row r="8595" spans="1:4" x14ac:dyDescent="0.25">
      <c r="A8595" s="31"/>
      <c r="D8595" s="30"/>
    </row>
    <row r="8596" spans="1:4" x14ac:dyDescent="0.25">
      <c r="A8596" s="31"/>
      <c r="D8596" s="30"/>
    </row>
    <row r="8597" spans="1:4" x14ac:dyDescent="0.25">
      <c r="A8597" s="31"/>
      <c r="D8597" s="30"/>
    </row>
    <row r="8598" spans="1:4" x14ac:dyDescent="0.25">
      <c r="A8598" s="31"/>
      <c r="D8598" s="30"/>
    </row>
    <row r="8599" spans="1:4" x14ac:dyDescent="0.25">
      <c r="A8599" s="31"/>
      <c r="D8599" s="30"/>
    </row>
    <row r="8600" spans="1:4" x14ac:dyDescent="0.25">
      <c r="A8600" s="31"/>
      <c r="D8600" s="30"/>
    </row>
    <row r="8601" spans="1:4" x14ac:dyDescent="0.25">
      <c r="A8601" s="31"/>
      <c r="D8601" s="30"/>
    </row>
    <row r="8602" spans="1:4" x14ac:dyDescent="0.25">
      <c r="A8602" s="31"/>
      <c r="D8602" s="30"/>
    </row>
    <row r="8603" spans="1:4" x14ac:dyDescent="0.25">
      <c r="A8603" s="31"/>
      <c r="D8603" s="30"/>
    </row>
    <row r="8604" spans="1:4" x14ac:dyDescent="0.25">
      <c r="A8604" s="31"/>
      <c r="D8604" s="30"/>
    </row>
    <row r="8605" spans="1:4" x14ac:dyDescent="0.25">
      <c r="A8605" s="31"/>
      <c r="D8605" s="30"/>
    </row>
    <row r="8606" spans="1:4" x14ac:dyDescent="0.25">
      <c r="A8606" s="31"/>
      <c r="D8606" s="30"/>
    </row>
    <row r="8607" spans="1:4" x14ac:dyDescent="0.25">
      <c r="A8607" s="31"/>
      <c r="D8607" s="30"/>
    </row>
    <row r="8608" spans="1:4" x14ac:dyDescent="0.25">
      <c r="A8608" s="31"/>
      <c r="D8608" s="30"/>
    </row>
    <row r="8609" spans="1:4" x14ac:dyDescent="0.25">
      <c r="A8609" s="31"/>
      <c r="D8609" s="30"/>
    </row>
    <row r="8610" spans="1:4" x14ac:dyDescent="0.25">
      <c r="A8610" s="31"/>
      <c r="D8610" s="30"/>
    </row>
    <row r="8611" spans="1:4" x14ac:dyDescent="0.25">
      <c r="A8611" s="31"/>
      <c r="D8611" s="30"/>
    </row>
    <row r="8612" spans="1:4" x14ac:dyDescent="0.25">
      <c r="A8612" s="31"/>
      <c r="D8612" s="30"/>
    </row>
    <row r="8613" spans="1:4" x14ac:dyDescent="0.25">
      <c r="A8613" s="31"/>
      <c r="D8613" s="30"/>
    </row>
    <row r="8614" spans="1:4" x14ac:dyDescent="0.25">
      <c r="A8614" s="31"/>
      <c r="D8614" s="30"/>
    </row>
    <row r="8615" spans="1:4" x14ac:dyDescent="0.25">
      <c r="A8615" s="31"/>
      <c r="D8615" s="30"/>
    </row>
    <row r="8616" spans="1:4" x14ac:dyDescent="0.25">
      <c r="A8616" s="31"/>
      <c r="D8616" s="30"/>
    </row>
    <row r="8617" spans="1:4" x14ac:dyDescent="0.25">
      <c r="A8617" s="31"/>
      <c r="D8617" s="30"/>
    </row>
    <row r="8618" spans="1:4" x14ac:dyDescent="0.25">
      <c r="A8618" s="31"/>
      <c r="D8618" s="30"/>
    </row>
    <row r="8619" spans="1:4" x14ac:dyDescent="0.25">
      <c r="A8619" s="31"/>
      <c r="D8619" s="30"/>
    </row>
    <row r="8620" spans="1:4" x14ac:dyDescent="0.25">
      <c r="A8620" s="31"/>
      <c r="D8620" s="30"/>
    </row>
    <row r="8621" spans="1:4" x14ac:dyDescent="0.25">
      <c r="A8621" s="31"/>
      <c r="D8621" s="30"/>
    </row>
    <row r="8622" spans="1:4" x14ac:dyDescent="0.25">
      <c r="A8622" s="31"/>
      <c r="D8622" s="30"/>
    </row>
    <row r="8623" spans="1:4" x14ac:dyDescent="0.25">
      <c r="A8623" s="31"/>
      <c r="D8623" s="30"/>
    </row>
    <row r="8624" spans="1:4" x14ac:dyDescent="0.25">
      <c r="A8624" s="31"/>
      <c r="D8624" s="30"/>
    </row>
    <row r="8625" spans="1:4" x14ac:dyDescent="0.25">
      <c r="A8625" s="31"/>
      <c r="D8625" s="30"/>
    </row>
    <row r="8626" spans="1:4" x14ac:dyDescent="0.25">
      <c r="A8626" s="31"/>
      <c r="D8626" s="30"/>
    </row>
    <row r="8627" spans="1:4" x14ac:dyDescent="0.25">
      <c r="A8627" s="31"/>
      <c r="D8627" s="30"/>
    </row>
    <row r="8628" spans="1:4" x14ac:dyDescent="0.25">
      <c r="A8628" s="31"/>
      <c r="D8628" s="30"/>
    </row>
    <row r="8629" spans="1:4" x14ac:dyDescent="0.25">
      <c r="A8629" s="31"/>
      <c r="D8629" s="30"/>
    </row>
    <row r="8630" spans="1:4" x14ac:dyDescent="0.25">
      <c r="A8630" s="31"/>
      <c r="D8630" s="30"/>
    </row>
    <row r="8631" spans="1:4" x14ac:dyDescent="0.25">
      <c r="A8631" s="31"/>
      <c r="D8631" s="30"/>
    </row>
    <row r="8632" spans="1:4" x14ac:dyDescent="0.25">
      <c r="A8632" s="31"/>
      <c r="D8632" s="30"/>
    </row>
    <row r="8633" spans="1:4" x14ac:dyDescent="0.25">
      <c r="A8633" s="31"/>
      <c r="D8633" s="30"/>
    </row>
    <row r="8634" spans="1:4" x14ac:dyDescent="0.25">
      <c r="A8634" s="31"/>
      <c r="D8634" s="30"/>
    </row>
    <row r="8635" spans="1:4" x14ac:dyDescent="0.25">
      <c r="A8635" s="31"/>
      <c r="D8635" s="30"/>
    </row>
    <row r="8636" spans="1:4" x14ac:dyDescent="0.25">
      <c r="A8636" s="31"/>
      <c r="D8636" s="30"/>
    </row>
    <row r="8637" spans="1:4" x14ac:dyDescent="0.25">
      <c r="A8637" s="31"/>
      <c r="D8637" s="30"/>
    </row>
    <row r="8638" spans="1:4" x14ac:dyDescent="0.25">
      <c r="A8638" s="31"/>
      <c r="D8638" s="30"/>
    </row>
    <row r="8639" spans="1:4" x14ac:dyDescent="0.25">
      <c r="A8639" s="31"/>
      <c r="D8639" s="30"/>
    </row>
    <row r="8640" spans="1:4" x14ac:dyDescent="0.25">
      <c r="A8640" s="31"/>
      <c r="D8640" s="30"/>
    </row>
    <row r="8641" spans="1:4" x14ac:dyDescent="0.25">
      <c r="A8641" s="31"/>
      <c r="D8641" s="30"/>
    </row>
    <row r="8642" spans="1:4" x14ac:dyDescent="0.25">
      <c r="A8642" s="31"/>
      <c r="D8642" s="30"/>
    </row>
    <row r="8643" spans="1:4" x14ac:dyDescent="0.25">
      <c r="A8643" s="31"/>
      <c r="D8643" s="30"/>
    </row>
    <row r="8644" spans="1:4" x14ac:dyDescent="0.25">
      <c r="A8644" s="31"/>
      <c r="D8644" s="30"/>
    </row>
    <row r="8645" spans="1:4" x14ac:dyDescent="0.25">
      <c r="A8645" s="31"/>
      <c r="D8645" s="30"/>
    </row>
    <row r="8646" spans="1:4" x14ac:dyDescent="0.25">
      <c r="A8646" s="31"/>
      <c r="D8646" s="30"/>
    </row>
    <row r="8647" spans="1:4" x14ac:dyDescent="0.25">
      <c r="A8647" s="31"/>
      <c r="D8647" s="30"/>
    </row>
    <row r="8648" spans="1:4" x14ac:dyDescent="0.25">
      <c r="A8648" s="31"/>
      <c r="D8648" s="30"/>
    </row>
    <row r="8649" spans="1:4" x14ac:dyDescent="0.25">
      <c r="A8649" s="31"/>
      <c r="D8649" s="30"/>
    </row>
    <row r="8650" spans="1:4" x14ac:dyDescent="0.25">
      <c r="A8650" s="31"/>
      <c r="D8650" s="30"/>
    </row>
    <row r="8651" spans="1:4" x14ac:dyDescent="0.25">
      <c r="A8651" s="31"/>
      <c r="D8651" s="30"/>
    </row>
    <row r="8652" spans="1:4" x14ac:dyDescent="0.25">
      <c r="A8652" s="31"/>
      <c r="D8652" s="30"/>
    </row>
    <row r="8653" spans="1:4" x14ac:dyDescent="0.25">
      <c r="A8653" s="31"/>
      <c r="D8653" s="30"/>
    </row>
    <row r="8654" spans="1:4" x14ac:dyDescent="0.25">
      <c r="A8654" s="31"/>
      <c r="D8654" s="30"/>
    </row>
    <row r="8655" spans="1:4" x14ac:dyDescent="0.25">
      <c r="A8655" s="31"/>
      <c r="D8655" s="30"/>
    </row>
    <row r="8656" spans="1:4" x14ac:dyDescent="0.25">
      <c r="A8656" s="31"/>
      <c r="D8656" s="30"/>
    </row>
    <row r="8657" spans="1:4" x14ac:dyDescent="0.25">
      <c r="A8657" s="31"/>
      <c r="D8657" s="30"/>
    </row>
    <row r="8658" spans="1:4" x14ac:dyDescent="0.25">
      <c r="A8658" s="31"/>
      <c r="D8658" s="30"/>
    </row>
    <row r="8659" spans="1:4" x14ac:dyDescent="0.25">
      <c r="A8659" s="31"/>
      <c r="D8659" s="30"/>
    </row>
    <row r="8660" spans="1:4" x14ac:dyDescent="0.25">
      <c r="A8660" s="31"/>
      <c r="D8660" s="30"/>
    </row>
    <row r="8661" spans="1:4" x14ac:dyDescent="0.25">
      <c r="A8661" s="31"/>
      <c r="D8661" s="30"/>
    </row>
    <row r="8662" spans="1:4" x14ac:dyDescent="0.25">
      <c r="A8662" s="31"/>
      <c r="D8662" s="30"/>
    </row>
    <row r="8663" spans="1:4" x14ac:dyDescent="0.25">
      <c r="A8663" s="31"/>
      <c r="D8663" s="30"/>
    </row>
    <row r="8664" spans="1:4" x14ac:dyDescent="0.25">
      <c r="A8664" s="31"/>
      <c r="D8664" s="30"/>
    </row>
    <row r="8665" spans="1:4" x14ac:dyDescent="0.25">
      <c r="A8665" s="31"/>
      <c r="D8665" s="30"/>
    </row>
    <row r="8666" spans="1:4" x14ac:dyDescent="0.25">
      <c r="A8666" s="31"/>
      <c r="D8666" s="30"/>
    </row>
    <row r="8667" spans="1:4" x14ac:dyDescent="0.25">
      <c r="A8667" s="31"/>
      <c r="D8667" s="30"/>
    </row>
    <row r="8668" spans="1:4" x14ac:dyDescent="0.25">
      <c r="A8668" s="31"/>
      <c r="D8668" s="30"/>
    </row>
    <row r="8669" spans="1:4" x14ac:dyDescent="0.25">
      <c r="A8669" s="31"/>
      <c r="D8669" s="30"/>
    </row>
    <row r="8670" spans="1:4" x14ac:dyDescent="0.25">
      <c r="A8670" s="31"/>
      <c r="D8670" s="30"/>
    </row>
    <row r="8671" spans="1:4" x14ac:dyDescent="0.25">
      <c r="A8671" s="31"/>
      <c r="D8671" s="30"/>
    </row>
    <row r="8672" spans="1:4" x14ac:dyDescent="0.25">
      <c r="A8672" s="31"/>
      <c r="D8672" s="30"/>
    </row>
    <row r="8673" spans="1:4" x14ac:dyDescent="0.25">
      <c r="A8673" s="31"/>
      <c r="D8673" s="30"/>
    </row>
    <row r="8674" spans="1:4" x14ac:dyDescent="0.25">
      <c r="A8674" s="31"/>
      <c r="D8674" s="30"/>
    </row>
    <row r="8675" spans="1:4" x14ac:dyDescent="0.25">
      <c r="A8675" s="31"/>
      <c r="D8675" s="30"/>
    </row>
    <row r="8676" spans="1:4" x14ac:dyDescent="0.25">
      <c r="A8676" s="31"/>
      <c r="D8676" s="30"/>
    </row>
    <row r="8677" spans="1:4" x14ac:dyDescent="0.25">
      <c r="A8677" s="31"/>
      <c r="D8677" s="30"/>
    </row>
    <row r="8678" spans="1:4" x14ac:dyDescent="0.25">
      <c r="A8678" s="31"/>
      <c r="D8678" s="30"/>
    </row>
    <row r="8679" spans="1:4" x14ac:dyDescent="0.25">
      <c r="A8679" s="31"/>
      <c r="D8679" s="30"/>
    </row>
    <row r="8680" spans="1:4" x14ac:dyDescent="0.25">
      <c r="A8680" s="31"/>
      <c r="D8680" s="30"/>
    </row>
    <row r="8681" spans="1:4" x14ac:dyDescent="0.25">
      <c r="A8681" s="31"/>
      <c r="D8681" s="30"/>
    </row>
    <row r="8682" spans="1:4" x14ac:dyDescent="0.25">
      <c r="A8682" s="31"/>
      <c r="D8682" s="30"/>
    </row>
    <row r="8683" spans="1:4" x14ac:dyDescent="0.25">
      <c r="A8683" s="31"/>
      <c r="D8683" s="30"/>
    </row>
    <row r="8684" spans="1:4" x14ac:dyDescent="0.25">
      <c r="A8684" s="31"/>
      <c r="D8684" s="30"/>
    </row>
    <row r="8685" spans="1:4" x14ac:dyDescent="0.25">
      <c r="A8685" s="31"/>
      <c r="D8685" s="30"/>
    </row>
    <row r="8686" spans="1:4" x14ac:dyDescent="0.25">
      <c r="A8686" s="31"/>
      <c r="D8686" s="30"/>
    </row>
    <row r="8687" spans="1:4" x14ac:dyDescent="0.25">
      <c r="A8687" s="31"/>
      <c r="D8687" s="30"/>
    </row>
    <row r="8688" spans="1:4" x14ac:dyDescent="0.25">
      <c r="A8688" s="31"/>
      <c r="D8688" s="30"/>
    </row>
    <row r="8689" spans="1:4" x14ac:dyDescent="0.25">
      <c r="A8689" s="31"/>
      <c r="D8689" s="30"/>
    </row>
    <row r="8690" spans="1:4" x14ac:dyDescent="0.25">
      <c r="A8690" s="31"/>
      <c r="D8690" s="30"/>
    </row>
    <row r="8691" spans="1:4" x14ac:dyDescent="0.25">
      <c r="A8691" s="31"/>
      <c r="D8691" s="30"/>
    </row>
    <row r="8692" spans="1:4" x14ac:dyDescent="0.25">
      <c r="A8692" s="31"/>
      <c r="D8692" s="30"/>
    </row>
    <row r="8693" spans="1:4" x14ac:dyDescent="0.25">
      <c r="A8693" s="31"/>
      <c r="D8693" s="30"/>
    </row>
    <row r="8694" spans="1:4" x14ac:dyDescent="0.25">
      <c r="A8694" s="31"/>
      <c r="D8694" s="30"/>
    </row>
    <row r="8695" spans="1:4" x14ac:dyDescent="0.25">
      <c r="A8695" s="31"/>
      <c r="D8695" s="30"/>
    </row>
    <row r="8696" spans="1:4" x14ac:dyDescent="0.25">
      <c r="A8696" s="31"/>
      <c r="D8696" s="30"/>
    </row>
    <row r="8697" spans="1:4" x14ac:dyDescent="0.25">
      <c r="A8697" s="31"/>
      <c r="D8697" s="30"/>
    </row>
    <row r="8698" spans="1:4" x14ac:dyDescent="0.25">
      <c r="A8698" s="31"/>
      <c r="D8698" s="30"/>
    </row>
    <row r="8699" spans="1:4" x14ac:dyDescent="0.25">
      <c r="A8699" s="31"/>
      <c r="D8699" s="30"/>
    </row>
    <row r="8700" spans="1:4" x14ac:dyDescent="0.25">
      <c r="A8700" s="31"/>
      <c r="D8700" s="30"/>
    </row>
    <row r="8701" spans="1:4" x14ac:dyDescent="0.25">
      <c r="A8701" s="31"/>
      <c r="D8701" s="30"/>
    </row>
    <row r="8702" spans="1:4" x14ac:dyDescent="0.25">
      <c r="A8702" s="31"/>
      <c r="D8702" s="30"/>
    </row>
    <row r="8703" spans="1:4" x14ac:dyDescent="0.25">
      <c r="A8703" s="31"/>
      <c r="D8703" s="30"/>
    </row>
    <row r="8704" spans="1:4" x14ac:dyDescent="0.25">
      <c r="A8704" s="31"/>
      <c r="D8704" s="30"/>
    </row>
    <row r="8705" spans="1:4" x14ac:dyDescent="0.25">
      <c r="A8705" s="31"/>
      <c r="D8705" s="30"/>
    </row>
    <row r="8706" spans="1:4" x14ac:dyDescent="0.25">
      <c r="A8706" s="31"/>
      <c r="D8706" s="30"/>
    </row>
    <row r="8707" spans="1:4" x14ac:dyDescent="0.25">
      <c r="A8707" s="31"/>
      <c r="D8707" s="30"/>
    </row>
    <row r="8708" spans="1:4" x14ac:dyDescent="0.25">
      <c r="A8708" s="31"/>
      <c r="D8708" s="30"/>
    </row>
    <row r="8709" spans="1:4" x14ac:dyDescent="0.25">
      <c r="A8709" s="31"/>
      <c r="D8709" s="30"/>
    </row>
    <row r="8710" spans="1:4" x14ac:dyDescent="0.25">
      <c r="A8710" s="31"/>
      <c r="D8710" s="30"/>
    </row>
    <row r="8711" spans="1:4" x14ac:dyDescent="0.25">
      <c r="A8711" s="31"/>
      <c r="D8711" s="30"/>
    </row>
    <row r="8712" spans="1:4" x14ac:dyDescent="0.25">
      <c r="A8712" s="31"/>
      <c r="D8712" s="30"/>
    </row>
    <row r="8713" spans="1:4" x14ac:dyDescent="0.25">
      <c r="A8713" s="31"/>
      <c r="D8713" s="30"/>
    </row>
    <row r="8714" spans="1:4" x14ac:dyDescent="0.25">
      <c r="A8714" s="31"/>
      <c r="D8714" s="30"/>
    </row>
    <row r="8715" spans="1:4" x14ac:dyDescent="0.25">
      <c r="A8715" s="31"/>
      <c r="D8715" s="30"/>
    </row>
    <row r="8716" spans="1:4" x14ac:dyDescent="0.25">
      <c r="A8716" s="31"/>
      <c r="D8716" s="30"/>
    </row>
    <row r="8717" spans="1:4" x14ac:dyDescent="0.25">
      <c r="A8717" s="31"/>
      <c r="D8717" s="30"/>
    </row>
    <row r="8718" spans="1:4" x14ac:dyDescent="0.25">
      <c r="A8718" s="31"/>
      <c r="D8718" s="30"/>
    </row>
    <row r="8719" spans="1:4" x14ac:dyDescent="0.25">
      <c r="A8719" s="31"/>
      <c r="D8719" s="30"/>
    </row>
    <row r="8720" spans="1:4" x14ac:dyDescent="0.25">
      <c r="A8720" s="31"/>
      <c r="D8720" s="30"/>
    </row>
    <row r="8721" spans="1:4" x14ac:dyDescent="0.25">
      <c r="A8721" s="31"/>
      <c r="D8721" s="30"/>
    </row>
    <row r="8722" spans="1:4" x14ac:dyDescent="0.25">
      <c r="A8722" s="31"/>
      <c r="D8722" s="30"/>
    </row>
    <row r="8723" spans="1:4" x14ac:dyDescent="0.25">
      <c r="A8723" s="31"/>
      <c r="D8723" s="30"/>
    </row>
    <row r="8724" spans="1:4" x14ac:dyDescent="0.25">
      <c r="A8724" s="31"/>
      <c r="D8724" s="30"/>
    </row>
    <row r="8725" spans="1:4" x14ac:dyDescent="0.25">
      <c r="A8725" s="31"/>
      <c r="D8725" s="30"/>
    </row>
    <row r="8726" spans="1:4" x14ac:dyDescent="0.25">
      <c r="A8726" s="31"/>
      <c r="D8726" s="30"/>
    </row>
    <row r="8727" spans="1:4" x14ac:dyDescent="0.25">
      <c r="A8727" s="31"/>
      <c r="D8727" s="30"/>
    </row>
    <row r="8728" spans="1:4" x14ac:dyDescent="0.25">
      <c r="A8728" s="31"/>
      <c r="D8728" s="30"/>
    </row>
    <row r="8729" spans="1:4" x14ac:dyDescent="0.25">
      <c r="A8729" s="31"/>
      <c r="D8729" s="30"/>
    </row>
    <row r="8730" spans="1:4" x14ac:dyDescent="0.25">
      <c r="A8730" s="31"/>
      <c r="D8730" s="30"/>
    </row>
    <row r="8731" spans="1:4" x14ac:dyDescent="0.25">
      <c r="A8731" s="31"/>
      <c r="D8731" s="30"/>
    </row>
    <row r="8732" spans="1:4" x14ac:dyDescent="0.25">
      <c r="A8732" s="31"/>
      <c r="D8732" s="30"/>
    </row>
    <row r="8733" spans="1:4" x14ac:dyDescent="0.25">
      <c r="A8733" s="31"/>
      <c r="D8733" s="30"/>
    </row>
    <row r="8734" spans="1:4" x14ac:dyDescent="0.25">
      <c r="A8734" s="31"/>
      <c r="D8734" s="30"/>
    </row>
    <row r="8735" spans="1:4" x14ac:dyDescent="0.25">
      <c r="A8735" s="31"/>
      <c r="D8735" s="30"/>
    </row>
    <row r="8736" spans="1:4" x14ac:dyDescent="0.25">
      <c r="A8736" s="31"/>
      <c r="D8736" s="30"/>
    </row>
    <row r="8737" spans="1:4" x14ac:dyDescent="0.25">
      <c r="A8737" s="31"/>
      <c r="D8737" s="30"/>
    </row>
    <row r="8738" spans="1:4" x14ac:dyDescent="0.25">
      <c r="A8738" s="31"/>
      <c r="D8738" s="30"/>
    </row>
    <row r="8739" spans="1:4" x14ac:dyDescent="0.25">
      <c r="A8739" s="31"/>
      <c r="D8739" s="30"/>
    </row>
    <row r="8740" spans="1:4" x14ac:dyDescent="0.25">
      <c r="A8740" s="31"/>
      <c r="D8740" s="30"/>
    </row>
    <row r="8741" spans="1:4" x14ac:dyDescent="0.25">
      <c r="A8741" s="31"/>
      <c r="D8741" s="30"/>
    </row>
    <row r="8742" spans="1:4" x14ac:dyDescent="0.25">
      <c r="A8742" s="31"/>
      <c r="D8742" s="30"/>
    </row>
    <row r="8743" spans="1:4" x14ac:dyDescent="0.25">
      <c r="A8743" s="31"/>
      <c r="D8743" s="30"/>
    </row>
    <row r="8744" spans="1:4" x14ac:dyDescent="0.25">
      <c r="A8744" s="31"/>
      <c r="D8744" s="30"/>
    </row>
    <row r="8745" spans="1:4" x14ac:dyDescent="0.25">
      <c r="A8745" s="31"/>
      <c r="D8745" s="30"/>
    </row>
    <row r="8746" spans="1:4" x14ac:dyDescent="0.25">
      <c r="A8746" s="31"/>
      <c r="D8746" s="30"/>
    </row>
    <row r="8747" spans="1:4" x14ac:dyDescent="0.25">
      <c r="A8747" s="31"/>
      <c r="D8747" s="30"/>
    </row>
    <row r="8748" spans="1:4" x14ac:dyDescent="0.25">
      <c r="A8748" s="31"/>
      <c r="D8748" s="30"/>
    </row>
    <row r="8749" spans="1:4" x14ac:dyDescent="0.25">
      <c r="A8749" s="31"/>
      <c r="D8749" s="30"/>
    </row>
    <row r="8750" spans="1:4" x14ac:dyDescent="0.25">
      <c r="A8750" s="31"/>
      <c r="D8750" s="30"/>
    </row>
    <row r="8751" spans="1:4" x14ac:dyDescent="0.25">
      <c r="A8751" s="31"/>
      <c r="D8751" s="30"/>
    </row>
    <row r="8752" spans="1:4" x14ac:dyDescent="0.25">
      <c r="A8752" s="31"/>
      <c r="D8752" s="30"/>
    </row>
    <row r="8753" spans="1:4" x14ac:dyDescent="0.25">
      <c r="A8753" s="31"/>
      <c r="D8753" s="30"/>
    </row>
    <row r="8754" spans="1:4" x14ac:dyDescent="0.25">
      <c r="A8754" s="31"/>
      <c r="D8754" s="30"/>
    </row>
    <row r="8755" spans="1:4" x14ac:dyDescent="0.25">
      <c r="A8755" s="31"/>
      <c r="D8755" s="30"/>
    </row>
    <row r="8756" spans="1:4" x14ac:dyDescent="0.25">
      <c r="A8756" s="31"/>
      <c r="D8756" s="30"/>
    </row>
    <row r="8757" spans="1:4" x14ac:dyDescent="0.25">
      <c r="A8757" s="31"/>
      <c r="D8757" s="30"/>
    </row>
    <row r="8758" spans="1:4" x14ac:dyDescent="0.25">
      <c r="A8758" s="31"/>
      <c r="D8758" s="30"/>
    </row>
    <row r="8759" spans="1:4" x14ac:dyDescent="0.25">
      <c r="A8759" s="31"/>
      <c r="D8759" s="30"/>
    </row>
    <row r="8760" spans="1:4" x14ac:dyDescent="0.25">
      <c r="A8760" s="31"/>
      <c r="D8760" s="30"/>
    </row>
    <row r="8761" spans="1:4" x14ac:dyDescent="0.25">
      <c r="A8761" s="31"/>
      <c r="D8761" s="30"/>
    </row>
    <row r="8762" spans="1:4" x14ac:dyDescent="0.25">
      <c r="A8762" s="31"/>
      <c r="D8762" s="30"/>
    </row>
    <row r="8763" spans="1:4" x14ac:dyDescent="0.25">
      <c r="A8763" s="31"/>
      <c r="D8763" s="30"/>
    </row>
    <row r="8764" spans="1:4" x14ac:dyDescent="0.25">
      <c r="A8764" s="31"/>
      <c r="D8764" s="30"/>
    </row>
    <row r="8765" spans="1:4" x14ac:dyDescent="0.25">
      <c r="A8765" s="31"/>
      <c r="D8765" s="30"/>
    </row>
    <row r="8766" spans="1:4" x14ac:dyDescent="0.25">
      <c r="A8766" s="31"/>
      <c r="D8766" s="30"/>
    </row>
    <row r="8767" spans="1:4" x14ac:dyDescent="0.25">
      <c r="A8767" s="31"/>
      <c r="D8767" s="30"/>
    </row>
    <row r="8768" spans="1:4" x14ac:dyDescent="0.25">
      <c r="A8768" s="31"/>
      <c r="D8768" s="30"/>
    </row>
    <row r="8769" spans="1:4" x14ac:dyDescent="0.25">
      <c r="A8769" s="31"/>
      <c r="D8769" s="30"/>
    </row>
    <row r="8770" spans="1:4" x14ac:dyDescent="0.25">
      <c r="A8770" s="31"/>
      <c r="D8770" s="30"/>
    </row>
    <row r="8771" spans="1:4" x14ac:dyDescent="0.25">
      <c r="A8771" s="31"/>
      <c r="D8771" s="30"/>
    </row>
    <row r="8772" spans="1:4" x14ac:dyDescent="0.25">
      <c r="A8772" s="31"/>
      <c r="D8772" s="30"/>
    </row>
    <row r="8773" spans="1:4" x14ac:dyDescent="0.25">
      <c r="A8773" s="31"/>
      <c r="D8773" s="30"/>
    </row>
    <row r="8774" spans="1:4" x14ac:dyDescent="0.25">
      <c r="A8774" s="31"/>
      <c r="D8774" s="30"/>
    </row>
    <row r="8775" spans="1:4" x14ac:dyDescent="0.25">
      <c r="A8775" s="31"/>
      <c r="D8775" s="30"/>
    </row>
    <row r="8776" spans="1:4" x14ac:dyDescent="0.25">
      <c r="A8776" s="31"/>
      <c r="D8776" s="30"/>
    </row>
    <row r="8777" spans="1:4" x14ac:dyDescent="0.25">
      <c r="A8777" s="31"/>
      <c r="D8777" s="30"/>
    </row>
    <row r="8778" spans="1:4" x14ac:dyDescent="0.25">
      <c r="A8778" s="31"/>
      <c r="D8778" s="30"/>
    </row>
    <row r="8779" spans="1:4" x14ac:dyDescent="0.25">
      <c r="A8779" s="31"/>
      <c r="D8779" s="30"/>
    </row>
    <row r="8780" spans="1:4" x14ac:dyDescent="0.25">
      <c r="A8780" s="31"/>
      <c r="D8780" s="30"/>
    </row>
    <row r="8781" spans="1:4" x14ac:dyDescent="0.25">
      <c r="A8781" s="31"/>
      <c r="D8781" s="30"/>
    </row>
    <row r="8782" spans="1:4" x14ac:dyDescent="0.25">
      <c r="A8782" s="31"/>
      <c r="D8782" s="30"/>
    </row>
    <row r="8783" spans="1:4" x14ac:dyDescent="0.25">
      <c r="A8783" s="31"/>
      <c r="D8783" s="30"/>
    </row>
    <row r="8784" spans="1:4" x14ac:dyDescent="0.25">
      <c r="A8784" s="31"/>
      <c r="D8784" s="30"/>
    </row>
    <row r="8785" spans="1:4" x14ac:dyDescent="0.25">
      <c r="A8785" s="31"/>
      <c r="D8785" s="30"/>
    </row>
    <row r="8786" spans="1:4" x14ac:dyDescent="0.25">
      <c r="A8786" s="31"/>
      <c r="D8786" s="30"/>
    </row>
    <row r="8787" spans="1:4" x14ac:dyDescent="0.25">
      <c r="A8787" s="31"/>
      <c r="D8787" s="30"/>
    </row>
    <row r="8788" spans="1:4" x14ac:dyDescent="0.25">
      <c r="A8788" s="31"/>
      <c r="D8788" s="30"/>
    </row>
    <row r="8789" spans="1:4" x14ac:dyDescent="0.25">
      <c r="A8789" s="31"/>
      <c r="D8789" s="30"/>
    </row>
    <row r="8790" spans="1:4" x14ac:dyDescent="0.25">
      <c r="A8790" s="31"/>
      <c r="D8790" s="30"/>
    </row>
    <row r="8791" spans="1:4" x14ac:dyDescent="0.25">
      <c r="A8791" s="31"/>
      <c r="D8791" s="30"/>
    </row>
    <row r="8792" spans="1:4" x14ac:dyDescent="0.25">
      <c r="A8792" s="31"/>
      <c r="D8792" s="30"/>
    </row>
    <row r="8793" spans="1:4" x14ac:dyDescent="0.25">
      <c r="A8793" s="31"/>
      <c r="D8793" s="30"/>
    </row>
    <row r="8794" spans="1:4" x14ac:dyDescent="0.25">
      <c r="A8794" s="31"/>
      <c r="D8794" s="30"/>
    </row>
    <row r="8795" spans="1:4" x14ac:dyDescent="0.25">
      <c r="A8795" s="31"/>
      <c r="D8795" s="30"/>
    </row>
    <row r="8796" spans="1:4" x14ac:dyDescent="0.25">
      <c r="A8796" s="31"/>
      <c r="D8796" s="30"/>
    </row>
    <row r="8797" spans="1:4" x14ac:dyDescent="0.25">
      <c r="A8797" s="31"/>
      <c r="D8797" s="30"/>
    </row>
    <row r="8798" spans="1:4" x14ac:dyDescent="0.25">
      <c r="A8798" s="31"/>
      <c r="D8798" s="30"/>
    </row>
    <row r="8799" spans="1:4" x14ac:dyDescent="0.25">
      <c r="A8799" s="31"/>
      <c r="D8799" s="30"/>
    </row>
    <row r="8800" spans="1:4" x14ac:dyDescent="0.25">
      <c r="A8800" s="31"/>
      <c r="D8800" s="30"/>
    </row>
    <row r="8801" spans="1:4" x14ac:dyDescent="0.25">
      <c r="A8801" s="31"/>
      <c r="D8801" s="30"/>
    </row>
    <row r="8802" spans="1:4" x14ac:dyDescent="0.25">
      <c r="A8802" s="31"/>
      <c r="D8802" s="30"/>
    </row>
    <row r="8803" spans="1:4" x14ac:dyDescent="0.25">
      <c r="A8803" s="31"/>
      <c r="D8803" s="30"/>
    </row>
    <row r="8804" spans="1:4" x14ac:dyDescent="0.25">
      <c r="A8804" s="31"/>
      <c r="D8804" s="30"/>
    </row>
    <row r="8805" spans="1:4" x14ac:dyDescent="0.25">
      <c r="A8805" s="31"/>
      <c r="D8805" s="30"/>
    </row>
    <row r="8806" spans="1:4" x14ac:dyDescent="0.25">
      <c r="A8806" s="31"/>
      <c r="D8806" s="30"/>
    </row>
    <row r="8807" spans="1:4" x14ac:dyDescent="0.25">
      <c r="A8807" s="31"/>
      <c r="D8807" s="30"/>
    </row>
    <row r="8808" spans="1:4" x14ac:dyDescent="0.25">
      <c r="A8808" s="31"/>
      <c r="D8808" s="30"/>
    </row>
    <row r="8809" spans="1:4" x14ac:dyDescent="0.25">
      <c r="A8809" s="31"/>
      <c r="D8809" s="30"/>
    </row>
    <row r="8810" spans="1:4" x14ac:dyDescent="0.25">
      <c r="A8810" s="31"/>
      <c r="D8810" s="30"/>
    </row>
    <row r="8811" spans="1:4" x14ac:dyDescent="0.25">
      <c r="A8811" s="31"/>
      <c r="D8811" s="30"/>
    </row>
    <row r="8812" spans="1:4" x14ac:dyDescent="0.25">
      <c r="A8812" s="31"/>
      <c r="D8812" s="30"/>
    </row>
    <row r="8813" spans="1:4" x14ac:dyDescent="0.25">
      <c r="A8813" s="31"/>
      <c r="D8813" s="30"/>
    </row>
    <row r="8814" spans="1:4" x14ac:dyDescent="0.25">
      <c r="A8814" s="31"/>
      <c r="D8814" s="30"/>
    </row>
    <row r="8815" spans="1:4" x14ac:dyDescent="0.25">
      <c r="A8815" s="31"/>
      <c r="D8815" s="30"/>
    </row>
    <row r="8816" spans="1:4" x14ac:dyDescent="0.25">
      <c r="A8816" s="31"/>
      <c r="D8816" s="30"/>
    </row>
    <row r="8817" spans="1:4" x14ac:dyDescent="0.25">
      <c r="A8817" s="31"/>
      <c r="D8817" s="30"/>
    </row>
    <row r="8818" spans="1:4" x14ac:dyDescent="0.25">
      <c r="A8818" s="31"/>
      <c r="D8818" s="30"/>
    </row>
    <row r="8819" spans="1:4" x14ac:dyDescent="0.25">
      <c r="A8819" s="31"/>
      <c r="D8819" s="30"/>
    </row>
    <row r="8820" spans="1:4" x14ac:dyDescent="0.25">
      <c r="A8820" s="31"/>
      <c r="D8820" s="30"/>
    </row>
    <row r="8821" spans="1:4" x14ac:dyDescent="0.25">
      <c r="A8821" s="31"/>
      <c r="D8821" s="30"/>
    </row>
    <row r="8822" spans="1:4" x14ac:dyDescent="0.25">
      <c r="A8822" s="31"/>
      <c r="D8822" s="30"/>
    </row>
    <row r="8823" spans="1:4" x14ac:dyDescent="0.25">
      <c r="A8823" s="31"/>
      <c r="D8823" s="30"/>
    </row>
    <row r="8824" spans="1:4" x14ac:dyDescent="0.25">
      <c r="A8824" s="31"/>
      <c r="D8824" s="30"/>
    </row>
    <row r="8825" spans="1:4" x14ac:dyDescent="0.25">
      <c r="A8825" s="31"/>
      <c r="D8825" s="30"/>
    </row>
    <row r="8826" spans="1:4" x14ac:dyDescent="0.25">
      <c r="A8826" s="31"/>
      <c r="D8826" s="30"/>
    </row>
    <row r="8827" spans="1:4" x14ac:dyDescent="0.25">
      <c r="A8827" s="31"/>
      <c r="D8827" s="30"/>
    </row>
    <row r="8828" spans="1:4" x14ac:dyDescent="0.25">
      <c r="A8828" s="31"/>
      <c r="D8828" s="30"/>
    </row>
    <row r="8829" spans="1:4" x14ac:dyDescent="0.25">
      <c r="A8829" s="31"/>
      <c r="D8829" s="30"/>
    </row>
    <row r="8830" spans="1:4" x14ac:dyDescent="0.25">
      <c r="A8830" s="31"/>
      <c r="D8830" s="30"/>
    </row>
    <row r="8831" spans="1:4" x14ac:dyDescent="0.25">
      <c r="A8831" s="31"/>
      <c r="D8831" s="30"/>
    </row>
    <row r="8832" spans="1:4" x14ac:dyDescent="0.25">
      <c r="A8832" s="31"/>
      <c r="D8832" s="30"/>
    </row>
    <row r="8833" spans="1:4" x14ac:dyDescent="0.25">
      <c r="A8833" s="31"/>
      <c r="D8833" s="30"/>
    </row>
    <row r="8834" spans="1:4" x14ac:dyDescent="0.25">
      <c r="A8834" s="31"/>
      <c r="D8834" s="30"/>
    </row>
    <row r="8835" spans="1:4" x14ac:dyDescent="0.25">
      <c r="A8835" s="31"/>
      <c r="D8835" s="30"/>
    </row>
    <row r="8836" spans="1:4" x14ac:dyDescent="0.25">
      <c r="A8836" s="31"/>
      <c r="D8836" s="30"/>
    </row>
    <row r="8837" spans="1:4" x14ac:dyDescent="0.25">
      <c r="A8837" s="31"/>
      <c r="D8837" s="30"/>
    </row>
    <row r="8838" spans="1:4" x14ac:dyDescent="0.25">
      <c r="A8838" s="31"/>
      <c r="D8838" s="30"/>
    </row>
    <row r="8839" spans="1:4" x14ac:dyDescent="0.25">
      <c r="A8839" s="31"/>
      <c r="D8839" s="30"/>
    </row>
    <row r="8840" spans="1:4" x14ac:dyDescent="0.25">
      <c r="A8840" s="31"/>
      <c r="D8840" s="30"/>
    </row>
    <row r="8841" spans="1:4" x14ac:dyDescent="0.25">
      <c r="A8841" s="31"/>
      <c r="D8841" s="30"/>
    </row>
    <row r="8842" spans="1:4" x14ac:dyDescent="0.25">
      <c r="A8842" s="31"/>
      <c r="D8842" s="30"/>
    </row>
    <row r="8843" spans="1:4" x14ac:dyDescent="0.25">
      <c r="A8843" s="31"/>
      <c r="D8843" s="30"/>
    </row>
    <row r="8844" spans="1:4" x14ac:dyDescent="0.25">
      <c r="A8844" s="31"/>
      <c r="D8844" s="30"/>
    </row>
    <row r="8845" spans="1:4" x14ac:dyDescent="0.25">
      <c r="A8845" s="31"/>
      <c r="D8845" s="30"/>
    </row>
    <row r="8846" spans="1:4" x14ac:dyDescent="0.25">
      <c r="A8846" s="31"/>
      <c r="D8846" s="30"/>
    </row>
    <row r="8847" spans="1:4" x14ac:dyDescent="0.25">
      <c r="A8847" s="31"/>
      <c r="D8847" s="30"/>
    </row>
    <row r="8848" spans="1:4" x14ac:dyDescent="0.25">
      <c r="A8848" s="31"/>
      <c r="D8848" s="30"/>
    </row>
    <row r="8849" spans="1:4" x14ac:dyDescent="0.25">
      <c r="A8849" s="31"/>
      <c r="D8849" s="30"/>
    </row>
    <row r="8850" spans="1:4" x14ac:dyDescent="0.25">
      <c r="A8850" s="31"/>
      <c r="D8850" s="30"/>
    </row>
    <row r="8851" spans="1:4" x14ac:dyDescent="0.25">
      <c r="A8851" s="31"/>
      <c r="D8851" s="30"/>
    </row>
    <row r="8852" spans="1:4" x14ac:dyDescent="0.25">
      <c r="A8852" s="31"/>
      <c r="D8852" s="30"/>
    </row>
    <row r="8853" spans="1:4" x14ac:dyDescent="0.25">
      <c r="A8853" s="31"/>
      <c r="D8853" s="30"/>
    </row>
    <row r="8854" spans="1:4" x14ac:dyDescent="0.25">
      <c r="A8854" s="31"/>
      <c r="D8854" s="30"/>
    </row>
    <row r="8855" spans="1:4" x14ac:dyDescent="0.25">
      <c r="A8855" s="31"/>
      <c r="D8855" s="30"/>
    </row>
    <row r="8856" spans="1:4" x14ac:dyDescent="0.25">
      <c r="A8856" s="31"/>
      <c r="D8856" s="30"/>
    </row>
    <row r="8857" spans="1:4" x14ac:dyDescent="0.25">
      <c r="A8857" s="31"/>
      <c r="D8857" s="30"/>
    </row>
    <row r="8858" spans="1:4" x14ac:dyDescent="0.25">
      <c r="A8858" s="31"/>
      <c r="D8858" s="30"/>
    </row>
    <row r="8859" spans="1:4" x14ac:dyDescent="0.25">
      <c r="A8859" s="31"/>
      <c r="D8859" s="30"/>
    </row>
    <row r="8860" spans="1:4" x14ac:dyDescent="0.25">
      <c r="A8860" s="31"/>
      <c r="D8860" s="30"/>
    </row>
    <row r="8861" spans="1:4" x14ac:dyDescent="0.25">
      <c r="A8861" s="31"/>
      <c r="D8861" s="30"/>
    </row>
    <row r="8862" spans="1:4" x14ac:dyDescent="0.25">
      <c r="A8862" s="31"/>
      <c r="D8862" s="30"/>
    </row>
    <row r="8863" spans="1:4" x14ac:dyDescent="0.25">
      <c r="A8863" s="31"/>
      <c r="D8863" s="30"/>
    </row>
    <row r="8864" spans="1:4" x14ac:dyDescent="0.25">
      <c r="A8864" s="31"/>
      <c r="D8864" s="30"/>
    </row>
    <row r="8865" spans="1:4" x14ac:dyDescent="0.25">
      <c r="A8865" s="31"/>
      <c r="D8865" s="30"/>
    </row>
    <row r="8866" spans="1:4" x14ac:dyDescent="0.25">
      <c r="A8866" s="31"/>
      <c r="D8866" s="30"/>
    </row>
    <row r="8867" spans="1:4" x14ac:dyDescent="0.25">
      <c r="A8867" s="31"/>
      <c r="D8867" s="30"/>
    </row>
    <row r="8868" spans="1:4" x14ac:dyDescent="0.25">
      <c r="A8868" s="31"/>
      <c r="D8868" s="30"/>
    </row>
    <row r="8869" spans="1:4" x14ac:dyDescent="0.25">
      <c r="A8869" s="31"/>
      <c r="D8869" s="30"/>
    </row>
    <row r="8870" spans="1:4" x14ac:dyDescent="0.25">
      <c r="A8870" s="31"/>
      <c r="D8870" s="30"/>
    </row>
    <row r="8871" spans="1:4" x14ac:dyDescent="0.25">
      <c r="A8871" s="31"/>
      <c r="D8871" s="30"/>
    </row>
    <row r="8872" spans="1:4" x14ac:dyDescent="0.25">
      <c r="A8872" s="31"/>
      <c r="D8872" s="30"/>
    </row>
    <row r="8873" spans="1:4" x14ac:dyDescent="0.25">
      <c r="A8873" s="31"/>
      <c r="D8873" s="30"/>
    </row>
    <row r="8874" spans="1:4" x14ac:dyDescent="0.25">
      <c r="A8874" s="31"/>
      <c r="D8874" s="30"/>
    </row>
    <row r="8875" spans="1:4" x14ac:dyDescent="0.25">
      <c r="A8875" s="31"/>
      <c r="D8875" s="30"/>
    </row>
    <row r="8876" spans="1:4" x14ac:dyDescent="0.25">
      <c r="A8876" s="31"/>
      <c r="D8876" s="30"/>
    </row>
    <row r="8877" spans="1:4" x14ac:dyDescent="0.25">
      <c r="A8877" s="31"/>
      <c r="D8877" s="30"/>
    </row>
    <row r="8878" spans="1:4" x14ac:dyDescent="0.25">
      <c r="A8878" s="31"/>
      <c r="D8878" s="30"/>
    </row>
    <row r="8879" spans="1:4" x14ac:dyDescent="0.25">
      <c r="A8879" s="31"/>
      <c r="D8879" s="30"/>
    </row>
    <row r="8880" spans="1:4" x14ac:dyDescent="0.25">
      <c r="A8880" s="31"/>
      <c r="D8880" s="30"/>
    </row>
    <row r="8881" spans="1:4" x14ac:dyDescent="0.25">
      <c r="A8881" s="31"/>
      <c r="D8881" s="30"/>
    </row>
    <row r="8882" spans="1:4" x14ac:dyDescent="0.25">
      <c r="A8882" s="31"/>
      <c r="D8882" s="30"/>
    </row>
    <row r="8883" spans="1:4" x14ac:dyDescent="0.25">
      <c r="A8883" s="31"/>
      <c r="D8883" s="30"/>
    </row>
    <row r="8884" spans="1:4" x14ac:dyDescent="0.25">
      <c r="A8884" s="31"/>
      <c r="D8884" s="30"/>
    </row>
    <row r="8885" spans="1:4" x14ac:dyDescent="0.25">
      <c r="A8885" s="31"/>
      <c r="D8885" s="30"/>
    </row>
    <row r="8886" spans="1:4" x14ac:dyDescent="0.25">
      <c r="A8886" s="31"/>
      <c r="D8886" s="30"/>
    </row>
    <row r="8887" spans="1:4" x14ac:dyDescent="0.25">
      <c r="A8887" s="31"/>
      <c r="D8887" s="30"/>
    </row>
    <row r="8888" spans="1:4" x14ac:dyDescent="0.25">
      <c r="A8888" s="31"/>
      <c r="D8888" s="30"/>
    </row>
    <row r="8889" spans="1:4" x14ac:dyDescent="0.25">
      <c r="A8889" s="31"/>
      <c r="D8889" s="30"/>
    </row>
    <row r="8890" spans="1:4" x14ac:dyDescent="0.25">
      <c r="A8890" s="31"/>
      <c r="D8890" s="30"/>
    </row>
    <row r="8891" spans="1:4" x14ac:dyDescent="0.25">
      <c r="A8891" s="31"/>
      <c r="D8891" s="30"/>
    </row>
    <row r="8892" spans="1:4" x14ac:dyDescent="0.25">
      <c r="A8892" s="31"/>
      <c r="D8892" s="30"/>
    </row>
    <row r="8893" spans="1:4" x14ac:dyDescent="0.25">
      <c r="A8893" s="31"/>
      <c r="D8893" s="30"/>
    </row>
    <row r="8894" spans="1:4" x14ac:dyDescent="0.25">
      <c r="A8894" s="31"/>
      <c r="D8894" s="30"/>
    </row>
    <row r="8895" spans="1:4" x14ac:dyDescent="0.25">
      <c r="A8895" s="31"/>
      <c r="D8895" s="30"/>
    </row>
    <row r="8896" spans="1:4" x14ac:dyDescent="0.25">
      <c r="A8896" s="31"/>
      <c r="D8896" s="30"/>
    </row>
    <row r="8897" spans="1:4" x14ac:dyDescent="0.25">
      <c r="A8897" s="31"/>
      <c r="D8897" s="30"/>
    </row>
    <row r="8898" spans="1:4" x14ac:dyDescent="0.25">
      <c r="A8898" s="31"/>
      <c r="D8898" s="30"/>
    </row>
    <row r="8899" spans="1:4" x14ac:dyDescent="0.25">
      <c r="A8899" s="31"/>
      <c r="D8899" s="30"/>
    </row>
    <row r="8900" spans="1:4" x14ac:dyDescent="0.25">
      <c r="A8900" s="31"/>
      <c r="D8900" s="30"/>
    </row>
    <row r="8901" spans="1:4" x14ac:dyDescent="0.25">
      <c r="A8901" s="31"/>
      <c r="D8901" s="30"/>
    </row>
    <row r="8902" spans="1:4" x14ac:dyDescent="0.25">
      <c r="A8902" s="31"/>
      <c r="D8902" s="30"/>
    </row>
    <row r="8903" spans="1:4" x14ac:dyDescent="0.25">
      <c r="A8903" s="31"/>
      <c r="D8903" s="30"/>
    </row>
    <row r="8904" spans="1:4" x14ac:dyDescent="0.25">
      <c r="A8904" s="31"/>
      <c r="D8904" s="30"/>
    </row>
    <row r="8905" spans="1:4" x14ac:dyDescent="0.25">
      <c r="A8905" s="31"/>
      <c r="D8905" s="30"/>
    </row>
    <row r="8906" spans="1:4" x14ac:dyDescent="0.25">
      <c r="A8906" s="31"/>
      <c r="D8906" s="30"/>
    </row>
    <row r="8907" spans="1:4" x14ac:dyDescent="0.25">
      <c r="A8907" s="31"/>
      <c r="D8907" s="30"/>
    </row>
    <row r="8908" spans="1:4" x14ac:dyDescent="0.25">
      <c r="A8908" s="31"/>
      <c r="D8908" s="30"/>
    </row>
    <row r="8909" spans="1:4" x14ac:dyDescent="0.25">
      <c r="A8909" s="31"/>
      <c r="D8909" s="30"/>
    </row>
    <row r="8910" spans="1:4" x14ac:dyDescent="0.25">
      <c r="A8910" s="31"/>
      <c r="D8910" s="30"/>
    </row>
    <row r="8911" spans="1:4" x14ac:dyDescent="0.25">
      <c r="A8911" s="31"/>
      <c r="D8911" s="30"/>
    </row>
    <row r="8912" spans="1:4" x14ac:dyDescent="0.25">
      <c r="A8912" s="31"/>
      <c r="D8912" s="30"/>
    </row>
    <row r="8913" spans="1:4" x14ac:dyDescent="0.25">
      <c r="A8913" s="31"/>
      <c r="D8913" s="30"/>
    </row>
    <row r="8914" spans="1:4" x14ac:dyDescent="0.25">
      <c r="A8914" s="31"/>
      <c r="D8914" s="30"/>
    </row>
    <row r="8915" spans="1:4" x14ac:dyDescent="0.25">
      <c r="A8915" s="31"/>
      <c r="D8915" s="30"/>
    </row>
    <row r="8916" spans="1:4" x14ac:dyDescent="0.25">
      <c r="A8916" s="31"/>
      <c r="D8916" s="30"/>
    </row>
    <row r="8917" spans="1:4" x14ac:dyDescent="0.25">
      <c r="A8917" s="31"/>
      <c r="D8917" s="30"/>
    </row>
    <row r="8918" spans="1:4" x14ac:dyDescent="0.25">
      <c r="A8918" s="31"/>
      <c r="D8918" s="30"/>
    </row>
    <row r="8919" spans="1:4" x14ac:dyDescent="0.25">
      <c r="A8919" s="31"/>
      <c r="D8919" s="30"/>
    </row>
    <row r="8920" spans="1:4" x14ac:dyDescent="0.25">
      <c r="A8920" s="31"/>
      <c r="D8920" s="30"/>
    </row>
    <row r="8921" spans="1:4" x14ac:dyDescent="0.25">
      <c r="A8921" s="31"/>
      <c r="D8921" s="30"/>
    </row>
    <row r="8922" spans="1:4" x14ac:dyDescent="0.25">
      <c r="A8922" s="31"/>
      <c r="D8922" s="30"/>
    </row>
    <row r="8923" spans="1:4" x14ac:dyDescent="0.25">
      <c r="A8923" s="31"/>
      <c r="D8923" s="30"/>
    </row>
    <row r="8924" spans="1:4" x14ac:dyDescent="0.25">
      <c r="A8924" s="31"/>
      <c r="D8924" s="30"/>
    </row>
    <row r="8925" spans="1:4" x14ac:dyDescent="0.25">
      <c r="A8925" s="31"/>
      <c r="D8925" s="30"/>
    </row>
    <row r="8926" spans="1:4" x14ac:dyDescent="0.25">
      <c r="A8926" s="31"/>
      <c r="D8926" s="30"/>
    </row>
    <row r="8927" spans="1:4" x14ac:dyDescent="0.25">
      <c r="A8927" s="31"/>
      <c r="D8927" s="30"/>
    </row>
    <row r="8928" spans="1:4" x14ac:dyDescent="0.25">
      <c r="A8928" s="31"/>
      <c r="D8928" s="30"/>
    </row>
    <row r="8929" spans="1:4" x14ac:dyDescent="0.25">
      <c r="A8929" s="31"/>
      <c r="D8929" s="30"/>
    </row>
    <row r="8930" spans="1:4" x14ac:dyDescent="0.25">
      <c r="A8930" s="31"/>
      <c r="D8930" s="30"/>
    </row>
    <row r="8931" spans="1:4" x14ac:dyDescent="0.25">
      <c r="A8931" s="31"/>
      <c r="D8931" s="30"/>
    </row>
    <row r="8932" spans="1:4" x14ac:dyDescent="0.25">
      <c r="A8932" s="31"/>
      <c r="D8932" s="30"/>
    </row>
    <row r="8933" spans="1:4" x14ac:dyDescent="0.25">
      <c r="A8933" s="31"/>
      <c r="D8933" s="30"/>
    </row>
    <row r="8934" spans="1:4" x14ac:dyDescent="0.25">
      <c r="A8934" s="31"/>
      <c r="D8934" s="30"/>
    </row>
    <row r="8935" spans="1:4" x14ac:dyDescent="0.25">
      <c r="A8935" s="31"/>
      <c r="D8935" s="30"/>
    </row>
    <row r="8936" spans="1:4" x14ac:dyDescent="0.25">
      <c r="A8936" s="31"/>
      <c r="D8936" s="30"/>
    </row>
    <row r="8937" spans="1:4" x14ac:dyDescent="0.25">
      <c r="A8937" s="31"/>
      <c r="D8937" s="30"/>
    </row>
    <row r="8938" spans="1:4" x14ac:dyDescent="0.25">
      <c r="A8938" s="31"/>
      <c r="D8938" s="30"/>
    </row>
    <row r="8939" spans="1:4" x14ac:dyDescent="0.25">
      <c r="A8939" s="31"/>
      <c r="D8939" s="30"/>
    </row>
    <row r="8940" spans="1:4" x14ac:dyDescent="0.25">
      <c r="A8940" s="31"/>
      <c r="D8940" s="30"/>
    </row>
    <row r="8941" spans="1:4" x14ac:dyDescent="0.25">
      <c r="A8941" s="31"/>
      <c r="D8941" s="30"/>
    </row>
    <row r="8942" spans="1:4" x14ac:dyDescent="0.25">
      <c r="A8942" s="31"/>
      <c r="D8942" s="30"/>
    </row>
    <row r="8943" spans="1:4" x14ac:dyDescent="0.25">
      <c r="A8943" s="31"/>
      <c r="D8943" s="30"/>
    </row>
    <row r="8944" spans="1:4" x14ac:dyDescent="0.25">
      <c r="A8944" s="31"/>
      <c r="D8944" s="30"/>
    </row>
    <row r="8945" spans="1:4" x14ac:dyDescent="0.25">
      <c r="A8945" s="31"/>
      <c r="D8945" s="30"/>
    </row>
    <row r="8946" spans="1:4" x14ac:dyDescent="0.25">
      <c r="A8946" s="31"/>
      <c r="D8946" s="30"/>
    </row>
    <row r="8947" spans="1:4" x14ac:dyDescent="0.25">
      <c r="A8947" s="31"/>
      <c r="D8947" s="30"/>
    </row>
    <row r="8948" spans="1:4" x14ac:dyDescent="0.25">
      <c r="A8948" s="31"/>
      <c r="D8948" s="30"/>
    </row>
    <row r="8949" spans="1:4" x14ac:dyDescent="0.25">
      <c r="A8949" s="31"/>
      <c r="D8949" s="30"/>
    </row>
    <row r="8950" spans="1:4" x14ac:dyDescent="0.25">
      <c r="A8950" s="31"/>
      <c r="D8950" s="30"/>
    </row>
    <row r="8951" spans="1:4" x14ac:dyDescent="0.25">
      <c r="A8951" s="31"/>
      <c r="D8951" s="30"/>
    </row>
    <row r="8952" spans="1:4" x14ac:dyDescent="0.25">
      <c r="A8952" s="31"/>
      <c r="D8952" s="30"/>
    </row>
    <row r="8953" spans="1:4" x14ac:dyDescent="0.25">
      <c r="A8953" s="31"/>
      <c r="D8953" s="30"/>
    </row>
    <row r="8954" spans="1:4" x14ac:dyDescent="0.25">
      <c r="A8954" s="31"/>
      <c r="D8954" s="30"/>
    </row>
    <row r="8955" spans="1:4" x14ac:dyDescent="0.25">
      <c r="A8955" s="31"/>
      <c r="D8955" s="30"/>
    </row>
    <row r="8956" spans="1:4" x14ac:dyDescent="0.25">
      <c r="A8956" s="31"/>
      <c r="D8956" s="30"/>
    </row>
    <row r="8957" spans="1:4" x14ac:dyDescent="0.25">
      <c r="A8957" s="31"/>
      <c r="D8957" s="30"/>
    </row>
    <row r="8958" spans="1:4" x14ac:dyDescent="0.25">
      <c r="A8958" s="31"/>
      <c r="D8958" s="30"/>
    </row>
    <row r="8959" spans="1:4" x14ac:dyDescent="0.25">
      <c r="A8959" s="31"/>
      <c r="D8959" s="30"/>
    </row>
    <row r="8960" spans="1:4" x14ac:dyDescent="0.25">
      <c r="A8960" s="31"/>
      <c r="D8960" s="30"/>
    </row>
    <row r="8961" spans="1:4" x14ac:dyDescent="0.25">
      <c r="A8961" s="31"/>
      <c r="D8961" s="30"/>
    </row>
    <row r="8962" spans="1:4" x14ac:dyDescent="0.25">
      <c r="A8962" s="31"/>
      <c r="D8962" s="30"/>
    </row>
    <row r="8963" spans="1:4" x14ac:dyDescent="0.25">
      <c r="A8963" s="31"/>
      <c r="D8963" s="30"/>
    </row>
    <row r="8964" spans="1:4" x14ac:dyDescent="0.25">
      <c r="A8964" s="31"/>
      <c r="D8964" s="30"/>
    </row>
    <row r="8965" spans="1:4" x14ac:dyDescent="0.25">
      <c r="A8965" s="31"/>
      <c r="D8965" s="30"/>
    </row>
    <row r="8966" spans="1:4" x14ac:dyDescent="0.25">
      <c r="A8966" s="31"/>
      <c r="D8966" s="30"/>
    </row>
    <row r="8967" spans="1:4" x14ac:dyDescent="0.25">
      <c r="A8967" s="31"/>
      <c r="D8967" s="30"/>
    </row>
    <row r="8968" spans="1:4" x14ac:dyDescent="0.25">
      <c r="A8968" s="31"/>
      <c r="D8968" s="30"/>
    </row>
    <row r="8969" spans="1:4" x14ac:dyDescent="0.25">
      <c r="A8969" s="31"/>
      <c r="D8969" s="30"/>
    </row>
    <row r="8970" spans="1:4" x14ac:dyDescent="0.25">
      <c r="A8970" s="31"/>
      <c r="D8970" s="30"/>
    </row>
    <row r="8971" spans="1:4" x14ac:dyDescent="0.25">
      <c r="A8971" s="31"/>
      <c r="D8971" s="30"/>
    </row>
    <row r="8972" spans="1:4" x14ac:dyDescent="0.25">
      <c r="A8972" s="31"/>
      <c r="D8972" s="30"/>
    </row>
    <row r="8973" spans="1:4" x14ac:dyDescent="0.25">
      <c r="A8973" s="31"/>
      <c r="D8973" s="30"/>
    </row>
    <row r="8974" spans="1:4" x14ac:dyDescent="0.25">
      <c r="A8974" s="31"/>
      <c r="D8974" s="30"/>
    </row>
    <row r="8975" spans="1:4" x14ac:dyDescent="0.25">
      <c r="A8975" s="31"/>
      <c r="D8975" s="30"/>
    </row>
    <row r="8976" spans="1:4" x14ac:dyDescent="0.25">
      <c r="A8976" s="31"/>
      <c r="D8976" s="30"/>
    </row>
    <row r="8977" spans="1:4" x14ac:dyDescent="0.25">
      <c r="A8977" s="31"/>
      <c r="D8977" s="30"/>
    </row>
    <row r="8978" spans="1:4" x14ac:dyDescent="0.25">
      <c r="A8978" s="31"/>
      <c r="D8978" s="30"/>
    </row>
    <row r="8979" spans="1:4" x14ac:dyDescent="0.25">
      <c r="A8979" s="31"/>
      <c r="D8979" s="30"/>
    </row>
    <row r="8980" spans="1:4" x14ac:dyDescent="0.25">
      <c r="A8980" s="31"/>
      <c r="D8980" s="30"/>
    </row>
    <row r="8981" spans="1:4" x14ac:dyDescent="0.25">
      <c r="A8981" s="31"/>
      <c r="D8981" s="30"/>
    </row>
    <row r="8982" spans="1:4" x14ac:dyDescent="0.25">
      <c r="A8982" s="31"/>
      <c r="D8982" s="30"/>
    </row>
    <row r="8983" spans="1:4" x14ac:dyDescent="0.25">
      <c r="A8983" s="31"/>
      <c r="D8983" s="30"/>
    </row>
    <row r="8984" spans="1:4" x14ac:dyDescent="0.25">
      <c r="A8984" s="31"/>
      <c r="D8984" s="30"/>
    </row>
    <row r="8985" spans="1:4" x14ac:dyDescent="0.25">
      <c r="A8985" s="31"/>
      <c r="D8985" s="30"/>
    </row>
    <row r="8986" spans="1:4" x14ac:dyDescent="0.25">
      <c r="A8986" s="31"/>
      <c r="D8986" s="30"/>
    </row>
    <row r="8987" spans="1:4" x14ac:dyDescent="0.25">
      <c r="A8987" s="31"/>
      <c r="D8987" s="30"/>
    </row>
    <row r="8988" spans="1:4" x14ac:dyDescent="0.25">
      <c r="A8988" s="31"/>
      <c r="D8988" s="30"/>
    </row>
    <row r="8989" spans="1:4" x14ac:dyDescent="0.25">
      <c r="A8989" s="31"/>
      <c r="D8989" s="30"/>
    </row>
    <row r="8990" spans="1:4" x14ac:dyDescent="0.25">
      <c r="A8990" s="31"/>
      <c r="D8990" s="30"/>
    </row>
    <row r="8991" spans="1:4" x14ac:dyDescent="0.25">
      <c r="A8991" s="31"/>
      <c r="D8991" s="30"/>
    </row>
    <row r="8992" spans="1:4" x14ac:dyDescent="0.25">
      <c r="A8992" s="31"/>
      <c r="D8992" s="30"/>
    </row>
    <row r="8993" spans="1:4" x14ac:dyDescent="0.25">
      <c r="A8993" s="31"/>
      <c r="D8993" s="30"/>
    </row>
    <row r="8994" spans="1:4" x14ac:dyDescent="0.25">
      <c r="A8994" s="31"/>
      <c r="D8994" s="30"/>
    </row>
    <row r="8995" spans="1:4" x14ac:dyDescent="0.25">
      <c r="A8995" s="31"/>
      <c r="D8995" s="30"/>
    </row>
    <row r="8996" spans="1:4" x14ac:dyDescent="0.25">
      <c r="A8996" s="31"/>
      <c r="D8996" s="30"/>
    </row>
    <row r="8997" spans="1:4" x14ac:dyDescent="0.25">
      <c r="A8997" s="31"/>
      <c r="D8997" s="30"/>
    </row>
    <row r="8998" spans="1:4" x14ac:dyDescent="0.25">
      <c r="A8998" s="31"/>
      <c r="D8998" s="30"/>
    </row>
    <row r="8999" spans="1:4" x14ac:dyDescent="0.25">
      <c r="A8999" s="31"/>
      <c r="D8999" s="30"/>
    </row>
    <row r="9000" spans="1:4" x14ac:dyDescent="0.25">
      <c r="A9000" s="31"/>
      <c r="D9000" s="30"/>
    </row>
    <row r="9001" spans="1:4" x14ac:dyDescent="0.25">
      <c r="A9001" s="31"/>
      <c r="D9001" s="30"/>
    </row>
    <row r="9002" spans="1:4" x14ac:dyDescent="0.25">
      <c r="A9002" s="31"/>
      <c r="D9002" s="30"/>
    </row>
    <row r="9003" spans="1:4" x14ac:dyDescent="0.25">
      <c r="A9003" s="31"/>
      <c r="D9003" s="30"/>
    </row>
    <row r="9004" spans="1:4" x14ac:dyDescent="0.25">
      <c r="A9004" s="31"/>
      <c r="D9004" s="30"/>
    </row>
    <row r="9005" spans="1:4" x14ac:dyDescent="0.25">
      <c r="A9005" s="31"/>
      <c r="D9005" s="30"/>
    </row>
    <row r="9006" spans="1:4" x14ac:dyDescent="0.25">
      <c r="A9006" s="31"/>
      <c r="D9006" s="30"/>
    </row>
    <row r="9007" spans="1:4" x14ac:dyDescent="0.25">
      <c r="A9007" s="31"/>
      <c r="D9007" s="30"/>
    </row>
    <row r="9008" spans="1:4" x14ac:dyDescent="0.25">
      <c r="A9008" s="31"/>
      <c r="D9008" s="30"/>
    </row>
    <row r="9009" spans="1:4" x14ac:dyDescent="0.25">
      <c r="A9009" s="31"/>
      <c r="D9009" s="30"/>
    </row>
    <row r="9010" spans="1:4" x14ac:dyDescent="0.25">
      <c r="A9010" s="31"/>
      <c r="D9010" s="30"/>
    </row>
    <row r="9011" spans="1:4" x14ac:dyDescent="0.25">
      <c r="A9011" s="31"/>
      <c r="D9011" s="30"/>
    </row>
    <row r="9012" spans="1:4" x14ac:dyDescent="0.25">
      <c r="A9012" s="31"/>
      <c r="D9012" s="30"/>
    </row>
    <row r="9013" spans="1:4" x14ac:dyDescent="0.25">
      <c r="A9013" s="31"/>
      <c r="D9013" s="30"/>
    </row>
    <row r="9014" spans="1:4" x14ac:dyDescent="0.25">
      <c r="A9014" s="31"/>
      <c r="D9014" s="30"/>
    </row>
    <row r="9015" spans="1:4" x14ac:dyDescent="0.25">
      <c r="A9015" s="31"/>
      <c r="D9015" s="30"/>
    </row>
    <row r="9016" spans="1:4" x14ac:dyDescent="0.25">
      <c r="A9016" s="31"/>
      <c r="D9016" s="30"/>
    </row>
    <row r="9017" spans="1:4" x14ac:dyDescent="0.25">
      <c r="A9017" s="31"/>
      <c r="D9017" s="30"/>
    </row>
    <row r="9018" spans="1:4" x14ac:dyDescent="0.25">
      <c r="A9018" s="31"/>
      <c r="D9018" s="30"/>
    </row>
    <row r="9019" spans="1:4" x14ac:dyDescent="0.25">
      <c r="A9019" s="31"/>
      <c r="D9019" s="30"/>
    </row>
    <row r="9020" spans="1:4" x14ac:dyDescent="0.25">
      <c r="A9020" s="31"/>
      <c r="D9020" s="30"/>
    </row>
    <row r="9021" spans="1:4" x14ac:dyDescent="0.25">
      <c r="A9021" s="31"/>
      <c r="D9021" s="30"/>
    </row>
    <row r="9022" spans="1:4" x14ac:dyDescent="0.25">
      <c r="A9022" s="31"/>
      <c r="D9022" s="30"/>
    </row>
    <row r="9023" spans="1:4" x14ac:dyDescent="0.25">
      <c r="A9023" s="31"/>
      <c r="D9023" s="30"/>
    </row>
    <row r="9024" spans="1:4" x14ac:dyDescent="0.25">
      <c r="A9024" s="31"/>
      <c r="D9024" s="30"/>
    </row>
    <row r="9025" spans="1:4" x14ac:dyDescent="0.25">
      <c r="A9025" s="31"/>
      <c r="D9025" s="30"/>
    </row>
    <row r="9026" spans="1:4" x14ac:dyDescent="0.25">
      <c r="A9026" s="31"/>
      <c r="D9026" s="30"/>
    </row>
    <row r="9027" spans="1:4" x14ac:dyDescent="0.25">
      <c r="A9027" s="31"/>
      <c r="D9027" s="30"/>
    </row>
    <row r="9028" spans="1:4" x14ac:dyDescent="0.25">
      <c r="A9028" s="31"/>
      <c r="D9028" s="30"/>
    </row>
    <row r="9029" spans="1:4" x14ac:dyDescent="0.25">
      <c r="A9029" s="31"/>
      <c r="D9029" s="30"/>
    </row>
    <row r="9030" spans="1:4" x14ac:dyDescent="0.25">
      <c r="A9030" s="31"/>
      <c r="D9030" s="30"/>
    </row>
    <row r="9031" spans="1:4" x14ac:dyDescent="0.25">
      <c r="A9031" s="31"/>
      <c r="D9031" s="30"/>
    </row>
    <row r="9032" spans="1:4" x14ac:dyDescent="0.25">
      <c r="A9032" s="31"/>
      <c r="D9032" s="30"/>
    </row>
    <row r="9033" spans="1:4" x14ac:dyDescent="0.25">
      <c r="A9033" s="31"/>
      <c r="D9033" s="30"/>
    </row>
    <row r="9034" spans="1:4" x14ac:dyDescent="0.25">
      <c r="A9034" s="31"/>
      <c r="D9034" s="30"/>
    </row>
    <row r="9035" spans="1:4" x14ac:dyDescent="0.25">
      <c r="A9035" s="31"/>
      <c r="D9035" s="30"/>
    </row>
    <row r="9036" spans="1:4" x14ac:dyDescent="0.25">
      <c r="A9036" s="31"/>
      <c r="D9036" s="30"/>
    </row>
    <row r="9037" spans="1:4" x14ac:dyDescent="0.25">
      <c r="A9037" s="31"/>
      <c r="D9037" s="30"/>
    </row>
    <row r="9038" spans="1:4" x14ac:dyDescent="0.25">
      <c r="A9038" s="31"/>
      <c r="D9038" s="30"/>
    </row>
    <row r="9039" spans="1:4" x14ac:dyDescent="0.25">
      <c r="A9039" s="31"/>
      <c r="D9039" s="30"/>
    </row>
    <row r="9040" spans="1:4" x14ac:dyDescent="0.25">
      <c r="A9040" s="31"/>
      <c r="D9040" s="30"/>
    </row>
    <row r="9041" spans="1:4" x14ac:dyDescent="0.25">
      <c r="A9041" s="31"/>
      <c r="D9041" s="30"/>
    </row>
    <row r="9042" spans="1:4" x14ac:dyDescent="0.25">
      <c r="A9042" s="31"/>
      <c r="D9042" s="30"/>
    </row>
    <row r="9043" spans="1:4" x14ac:dyDescent="0.25">
      <c r="A9043" s="31"/>
      <c r="D9043" s="30"/>
    </row>
    <row r="9044" spans="1:4" x14ac:dyDescent="0.25">
      <c r="A9044" s="31"/>
      <c r="D9044" s="30"/>
    </row>
    <row r="9045" spans="1:4" x14ac:dyDescent="0.25">
      <c r="A9045" s="31"/>
      <c r="D9045" s="30"/>
    </row>
    <row r="9046" spans="1:4" x14ac:dyDescent="0.25">
      <c r="A9046" s="31"/>
      <c r="D9046" s="30"/>
    </row>
    <row r="9047" spans="1:4" x14ac:dyDescent="0.25">
      <c r="A9047" s="31"/>
      <c r="D9047" s="30"/>
    </row>
    <row r="9048" spans="1:4" x14ac:dyDescent="0.25">
      <c r="A9048" s="31"/>
      <c r="D9048" s="30"/>
    </row>
    <row r="9049" spans="1:4" x14ac:dyDescent="0.25">
      <c r="A9049" s="31"/>
      <c r="D9049" s="30"/>
    </row>
    <row r="9050" spans="1:4" x14ac:dyDescent="0.25">
      <c r="A9050" s="31"/>
      <c r="D9050" s="30"/>
    </row>
    <row r="9051" spans="1:4" x14ac:dyDescent="0.25">
      <c r="A9051" s="31"/>
      <c r="D9051" s="30"/>
    </row>
    <row r="9052" spans="1:4" x14ac:dyDescent="0.25">
      <c r="A9052" s="31"/>
      <c r="D9052" s="30"/>
    </row>
    <row r="9053" spans="1:4" x14ac:dyDescent="0.25">
      <c r="A9053" s="31"/>
      <c r="D9053" s="30"/>
    </row>
    <row r="9054" spans="1:4" x14ac:dyDescent="0.25">
      <c r="A9054" s="31"/>
      <c r="D9054" s="30"/>
    </row>
    <row r="9055" spans="1:4" x14ac:dyDescent="0.25">
      <c r="A9055" s="31"/>
      <c r="D9055" s="30"/>
    </row>
    <row r="9056" spans="1:4" x14ac:dyDescent="0.25">
      <c r="A9056" s="31"/>
      <c r="D9056" s="30"/>
    </row>
    <row r="9057" spans="1:4" x14ac:dyDescent="0.25">
      <c r="A9057" s="31"/>
      <c r="D9057" s="30"/>
    </row>
    <row r="9058" spans="1:4" x14ac:dyDescent="0.25">
      <c r="A9058" s="31"/>
      <c r="D9058" s="30"/>
    </row>
    <row r="9059" spans="1:4" x14ac:dyDescent="0.25">
      <c r="A9059" s="31"/>
      <c r="D9059" s="30"/>
    </row>
    <row r="9060" spans="1:4" x14ac:dyDescent="0.25">
      <c r="A9060" s="31"/>
      <c r="D9060" s="30"/>
    </row>
    <row r="9061" spans="1:4" x14ac:dyDescent="0.25">
      <c r="A9061" s="31"/>
      <c r="D9061" s="30"/>
    </row>
    <row r="9062" spans="1:4" x14ac:dyDescent="0.25">
      <c r="A9062" s="31"/>
      <c r="D9062" s="30"/>
    </row>
    <row r="9063" spans="1:4" x14ac:dyDescent="0.25">
      <c r="A9063" s="31"/>
      <c r="D9063" s="30"/>
    </row>
    <row r="9064" spans="1:4" x14ac:dyDescent="0.25">
      <c r="A9064" s="31"/>
      <c r="D9064" s="30"/>
    </row>
    <row r="9065" spans="1:4" x14ac:dyDescent="0.25">
      <c r="A9065" s="31"/>
      <c r="D9065" s="30"/>
    </row>
    <row r="9066" spans="1:4" x14ac:dyDescent="0.25">
      <c r="A9066" s="31"/>
      <c r="D9066" s="30"/>
    </row>
    <row r="9067" spans="1:4" x14ac:dyDescent="0.25">
      <c r="A9067" s="31"/>
      <c r="D9067" s="30"/>
    </row>
    <row r="9068" spans="1:4" x14ac:dyDescent="0.25">
      <c r="A9068" s="31"/>
      <c r="D9068" s="30"/>
    </row>
    <row r="9069" spans="1:4" x14ac:dyDescent="0.25">
      <c r="A9069" s="31"/>
      <c r="D9069" s="30"/>
    </row>
    <row r="9070" spans="1:4" x14ac:dyDescent="0.25">
      <c r="A9070" s="31"/>
      <c r="D9070" s="30"/>
    </row>
    <row r="9071" spans="1:4" x14ac:dyDescent="0.25">
      <c r="A9071" s="31"/>
      <c r="D9071" s="30"/>
    </row>
    <row r="9072" spans="1:4" x14ac:dyDescent="0.25">
      <c r="A9072" s="31"/>
      <c r="D9072" s="30"/>
    </row>
    <row r="9073" spans="1:4" x14ac:dyDescent="0.25">
      <c r="A9073" s="31"/>
      <c r="D9073" s="30"/>
    </row>
    <row r="9074" spans="1:4" x14ac:dyDescent="0.25">
      <c r="A9074" s="31"/>
      <c r="D9074" s="30"/>
    </row>
    <row r="9075" spans="1:4" x14ac:dyDescent="0.25">
      <c r="A9075" s="31"/>
      <c r="D9075" s="30"/>
    </row>
    <row r="9076" spans="1:4" x14ac:dyDescent="0.25">
      <c r="A9076" s="31"/>
      <c r="D9076" s="30"/>
    </row>
    <row r="9077" spans="1:4" x14ac:dyDescent="0.25">
      <c r="A9077" s="31"/>
      <c r="D9077" s="30"/>
    </row>
    <row r="9078" spans="1:4" x14ac:dyDescent="0.25">
      <c r="A9078" s="31"/>
      <c r="D9078" s="30"/>
    </row>
    <row r="9079" spans="1:4" x14ac:dyDescent="0.25">
      <c r="A9079" s="31"/>
      <c r="D9079" s="30"/>
    </row>
    <row r="9080" spans="1:4" x14ac:dyDescent="0.25">
      <c r="A9080" s="31"/>
      <c r="D9080" s="30"/>
    </row>
    <row r="9081" spans="1:4" x14ac:dyDescent="0.25">
      <c r="A9081" s="31"/>
      <c r="D9081" s="30"/>
    </row>
    <row r="9082" spans="1:4" x14ac:dyDescent="0.25">
      <c r="A9082" s="31"/>
      <c r="D9082" s="30"/>
    </row>
    <row r="9083" spans="1:4" x14ac:dyDescent="0.25">
      <c r="A9083" s="31"/>
      <c r="D9083" s="30"/>
    </row>
    <row r="9084" spans="1:4" x14ac:dyDescent="0.25">
      <c r="A9084" s="31"/>
      <c r="D9084" s="30"/>
    </row>
    <row r="9085" spans="1:4" x14ac:dyDescent="0.25">
      <c r="A9085" s="31"/>
      <c r="D9085" s="30"/>
    </row>
    <row r="9086" spans="1:4" x14ac:dyDescent="0.25">
      <c r="A9086" s="31"/>
      <c r="D9086" s="30"/>
    </row>
    <row r="9087" spans="1:4" x14ac:dyDescent="0.25">
      <c r="A9087" s="31"/>
      <c r="D9087" s="30"/>
    </row>
    <row r="9088" spans="1:4" x14ac:dyDescent="0.25">
      <c r="A9088" s="31"/>
      <c r="D9088" s="30"/>
    </row>
    <row r="9089" spans="1:4" x14ac:dyDescent="0.25">
      <c r="A9089" s="31"/>
      <c r="D9089" s="30"/>
    </row>
    <row r="9090" spans="1:4" x14ac:dyDescent="0.25">
      <c r="A9090" s="31"/>
      <c r="D9090" s="30"/>
    </row>
    <row r="9091" spans="1:4" x14ac:dyDescent="0.25">
      <c r="A9091" s="31"/>
      <c r="D9091" s="30"/>
    </row>
    <row r="9092" spans="1:4" x14ac:dyDescent="0.25">
      <c r="A9092" s="31"/>
      <c r="D9092" s="30"/>
    </row>
    <row r="9093" spans="1:4" x14ac:dyDescent="0.25">
      <c r="A9093" s="31"/>
      <c r="D9093" s="30"/>
    </row>
    <row r="9094" spans="1:4" x14ac:dyDescent="0.25">
      <c r="A9094" s="31"/>
      <c r="D9094" s="30"/>
    </row>
    <row r="9095" spans="1:4" x14ac:dyDescent="0.25">
      <c r="A9095" s="31"/>
      <c r="D9095" s="30"/>
    </row>
    <row r="9096" spans="1:4" x14ac:dyDescent="0.25">
      <c r="A9096" s="31"/>
      <c r="D9096" s="30"/>
    </row>
    <row r="9097" spans="1:4" x14ac:dyDescent="0.25">
      <c r="A9097" s="31"/>
      <c r="D9097" s="30"/>
    </row>
    <row r="9098" spans="1:4" x14ac:dyDescent="0.25">
      <c r="A9098" s="31"/>
      <c r="D9098" s="30"/>
    </row>
    <row r="9099" spans="1:4" x14ac:dyDescent="0.25">
      <c r="A9099" s="31"/>
      <c r="D9099" s="30"/>
    </row>
    <row r="9100" spans="1:4" x14ac:dyDescent="0.25">
      <c r="A9100" s="31"/>
      <c r="D9100" s="30"/>
    </row>
    <row r="9101" spans="1:4" x14ac:dyDescent="0.25">
      <c r="A9101" s="31"/>
      <c r="D9101" s="30"/>
    </row>
    <row r="9102" spans="1:4" x14ac:dyDescent="0.25">
      <c r="A9102" s="31"/>
      <c r="D9102" s="30"/>
    </row>
    <row r="9103" spans="1:4" x14ac:dyDescent="0.25">
      <c r="A9103" s="31"/>
      <c r="D9103" s="30"/>
    </row>
    <row r="9104" spans="1:4" x14ac:dyDescent="0.25">
      <c r="A9104" s="31"/>
      <c r="D9104" s="30"/>
    </row>
    <row r="9105" spans="1:4" x14ac:dyDescent="0.25">
      <c r="A9105" s="31"/>
      <c r="D9105" s="30"/>
    </row>
    <row r="9106" spans="1:4" x14ac:dyDescent="0.25">
      <c r="A9106" s="31"/>
      <c r="D9106" s="30"/>
    </row>
    <row r="9107" spans="1:4" x14ac:dyDescent="0.25">
      <c r="A9107" s="31"/>
      <c r="D9107" s="30"/>
    </row>
    <row r="9108" spans="1:4" x14ac:dyDescent="0.25">
      <c r="A9108" s="31"/>
      <c r="D9108" s="30"/>
    </row>
    <row r="9109" spans="1:4" x14ac:dyDescent="0.25">
      <c r="A9109" s="31"/>
      <c r="D9109" s="30"/>
    </row>
    <row r="9110" spans="1:4" x14ac:dyDescent="0.25">
      <c r="A9110" s="31"/>
      <c r="D9110" s="30"/>
    </row>
    <row r="9111" spans="1:4" x14ac:dyDescent="0.25">
      <c r="A9111" s="31"/>
      <c r="D9111" s="30"/>
    </row>
    <row r="9112" spans="1:4" x14ac:dyDescent="0.25">
      <c r="A9112" s="31"/>
      <c r="D9112" s="30"/>
    </row>
    <row r="9113" spans="1:4" x14ac:dyDescent="0.25">
      <c r="A9113" s="31"/>
      <c r="D9113" s="30"/>
    </row>
    <row r="9114" spans="1:4" x14ac:dyDescent="0.25">
      <c r="A9114" s="31"/>
      <c r="D9114" s="30"/>
    </row>
    <row r="9115" spans="1:4" x14ac:dyDescent="0.25">
      <c r="A9115" s="31"/>
      <c r="D9115" s="30"/>
    </row>
    <row r="9116" spans="1:4" x14ac:dyDescent="0.25">
      <c r="A9116" s="31"/>
      <c r="D9116" s="30"/>
    </row>
    <row r="9117" spans="1:4" x14ac:dyDescent="0.25">
      <c r="A9117" s="31"/>
      <c r="D9117" s="30"/>
    </row>
    <row r="9118" spans="1:4" x14ac:dyDescent="0.25">
      <c r="A9118" s="31"/>
      <c r="D9118" s="30"/>
    </row>
    <row r="9119" spans="1:4" x14ac:dyDescent="0.25">
      <c r="A9119" s="31"/>
      <c r="D9119" s="30"/>
    </row>
    <row r="9120" spans="1:4" x14ac:dyDescent="0.25">
      <c r="A9120" s="31"/>
      <c r="D9120" s="30"/>
    </row>
    <row r="9121" spans="1:4" x14ac:dyDescent="0.25">
      <c r="A9121" s="31"/>
      <c r="D9121" s="30"/>
    </row>
    <row r="9122" spans="1:4" x14ac:dyDescent="0.25">
      <c r="A9122" s="31"/>
      <c r="D9122" s="30"/>
    </row>
    <row r="9123" spans="1:4" x14ac:dyDescent="0.25">
      <c r="A9123" s="31"/>
      <c r="D9123" s="30"/>
    </row>
    <row r="9124" spans="1:4" x14ac:dyDescent="0.25">
      <c r="A9124" s="31"/>
      <c r="D9124" s="30"/>
    </row>
    <row r="9125" spans="1:4" x14ac:dyDescent="0.25">
      <c r="A9125" s="31"/>
      <c r="D9125" s="30"/>
    </row>
    <row r="9126" spans="1:4" x14ac:dyDescent="0.25">
      <c r="A9126" s="31"/>
      <c r="D9126" s="30"/>
    </row>
    <row r="9127" spans="1:4" x14ac:dyDescent="0.25">
      <c r="A9127" s="31"/>
      <c r="D9127" s="30"/>
    </row>
    <row r="9128" spans="1:4" x14ac:dyDescent="0.25">
      <c r="A9128" s="31"/>
      <c r="D9128" s="30"/>
    </row>
    <row r="9129" spans="1:4" x14ac:dyDescent="0.25">
      <c r="A9129" s="31"/>
      <c r="D9129" s="30"/>
    </row>
    <row r="9130" spans="1:4" x14ac:dyDescent="0.25">
      <c r="A9130" s="31"/>
      <c r="D9130" s="30"/>
    </row>
    <row r="9131" spans="1:4" x14ac:dyDescent="0.25">
      <c r="A9131" s="31"/>
      <c r="D9131" s="30"/>
    </row>
    <row r="9132" spans="1:4" x14ac:dyDescent="0.25">
      <c r="A9132" s="31"/>
      <c r="D9132" s="30"/>
    </row>
    <row r="9133" spans="1:4" x14ac:dyDescent="0.25">
      <c r="A9133" s="31"/>
      <c r="D9133" s="30"/>
    </row>
    <row r="9134" spans="1:4" x14ac:dyDescent="0.25">
      <c r="A9134" s="31"/>
      <c r="D9134" s="30"/>
    </row>
    <row r="9135" spans="1:4" x14ac:dyDescent="0.25">
      <c r="A9135" s="31"/>
      <c r="D9135" s="30"/>
    </row>
    <row r="9136" spans="1:4" x14ac:dyDescent="0.25">
      <c r="A9136" s="31"/>
      <c r="D9136" s="30"/>
    </row>
    <row r="9137" spans="1:4" x14ac:dyDescent="0.25">
      <c r="A9137" s="31"/>
      <c r="D9137" s="30"/>
    </row>
    <row r="9138" spans="1:4" x14ac:dyDescent="0.25">
      <c r="A9138" s="31"/>
      <c r="D9138" s="30"/>
    </row>
    <row r="9139" spans="1:4" x14ac:dyDescent="0.25">
      <c r="A9139" s="31"/>
      <c r="D9139" s="30"/>
    </row>
    <row r="9140" spans="1:4" x14ac:dyDescent="0.25">
      <c r="A9140" s="31"/>
      <c r="D9140" s="30"/>
    </row>
    <row r="9141" spans="1:4" x14ac:dyDescent="0.25">
      <c r="A9141" s="31"/>
      <c r="D9141" s="30"/>
    </row>
    <row r="9142" spans="1:4" x14ac:dyDescent="0.25">
      <c r="A9142" s="31"/>
      <c r="D9142" s="30"/>
    </row>
    <row r="9143" spans="1:4" x14ac:dyDescent="0.25">
      <c r="A9143" s="31"/>
      <c r="D9143" s="30"/>
    </row>
    <row r="9144" spans="1:4" x14ac:dyDescent="0.25">
      <c r="A9144" s="31"/>
      <c r="D9144" s="30"/>
    </row>
    <row r="9145" spans="1:4" x14ac:dyDescent="0.25">
      <c r="A9145" s="31"/>
      <c r="D9145" s="30"/>
    </row>
    <row r="9146" spans="1:4" x14ac:dyDescent="0.25">
      <c r="A9146" s="31"/>
      <c r="D9146" s="30"/>
    </row>
    <row r="9147" spans="1:4" x14ac:dyDescent="0.25">
      <c r="A9147" s="31"/>
      <c r="D9147" s="30"/>
    </row>
    <row r="9148" spans="1:4" x14ac:dyDescent="0.25">
      <c r="A9148" s="31"/>
      <c r="D9148" s="30"/>
    </row>
    <row r="9149" spans="1:4" x14ac:dyDescent="0.25">
      <c r="A9149" s="31"/>
      <c r="D9149" s="30"/>
    </row>
    <row r="9150" spans="1:4" x14ac:dyDescent="0.25">
      <c r="A9150" s="31"/>
      <c r="D9150" s="30"/>
    </row>
    <row r="9151" spans="1:4" x14ac:dyDescent="0.25">
      <c r="A9151" s="31"/>
      <c r="D9151" s="30"/>
    </row>
    <row r="9152" spans="1:4" x14ac:dyDescent="0.25">
      <c r="A9152" s="31"/>
      <c r="D9152" s="30"/>
    </row>
    <row r="9153" spans="1:4" x14ac:dyDescent="0.25">
      <c r="A9153" s="31"/>
      <c r="D9153" s="30"/>
    </row>
    <row r="9154" spans="1:4" x14ac:dyDescent="0.25">
      <c r="A9154" s="31"/>
      <c r="D9154" s="30"/>
    </row>
    <row r="9155" spans="1:4" x14ac:dyDescent="0.25">
      <c r="A9155" s="31"/>
      <c r="D9155" s="30"/>
    </row>
    <row r="9156" spans="1:4" x14ac:dyDescent="0.25">
      <c r="A9156" s="31"/>
      <c r="D9156" s="30"/>
    </row>
    <row r="9157" spans="1:4" x14ac:dyDescent="0.25">
      <c r="A9157" s="31"/>
      <c r="D9157" s="30"/>
    </row>
    <row r="9158" spans="1:4" x14ac:dyDescent="0.25">
      <c r="A9158" s="31"/>
      <c r="D9158" s="30"/>
    </row>
    <row r="9159" spans="1:4" x14ac:dyDescent="0.25">
      <c r="A9159" s="31"/>
      <c r="D9159" s="30"/>
    </row>
    <row r="9160" spans="1:4" x14ac:dyDescent="0.25">
      <c r="A9160" s="31"/>
      <c r="D9160" s="30"/>
    </row>
    <row r="9161" spans="1:4" x14ac:dyDescent="0.25">
      <c r="A9161" s="31"/>
      <c r="D9161" s="30"/>
    </row>
    <row r="9162" spans="1:4" x14ac:dyDescent="0.25">
      <c r="A9162" s="31"/>
      <c r="D9162" s="30"/>
    </row>
    <row r="9163" spans="1:4" x14ac:dyDescent="0.25">
      <c r="A9163" s="31"/>
      <c r="D9163" s="30"/>
    </row>
    <row r="9164" spans="1:4" x14ac:dyDescent="0.25">
      <c r="A9164" s="31"/>
      <c r="D9164" s="30"/>
    </row>
    <row r="9165" spans="1:4" x14ac:dyDescent="0.25">
      <c r="A9165" s="31"/>
      <c r="D9165" s="30"/>
    </row>
    <row r="9166" spans="1:4" x14ac:dyDescent="0.25">
      <c r="A9166" s="31"/>
      <c r="D9166" s="30"/>
    </row>
    <row r="9167" spans="1:4" x14ac:dyDescent="0.25">
      <c r="A9167" s="31"/>
      <c r="D9167" s="30"/>
    </row>
    <row r="9168" spans="1:4" x14ac:dyDescent="0.25">
      <c r="A9168" s="31"/>
      <c r="D9168" s="30"/>
    </row>
    <row r="9169" spans="1:4" x14ac:dyDescent="0.25">
      <c r="A9169" s="31"/>
      <c r="D9169" s="30"/>
    </row>
    <row r="9170" spans="1:4" x14ac:dyDescent="0.25">
      <c r="A9170" s="31"/>
      <c r="D9170" s="30"/>
    </row>
    <row r="9171" spans="1:4" x14ac:dyDescent="0.25">
      <c r="A9171" s="31"/>
      <c r="D9171" s="30"/>
    </row>
    <row r="9172" spans="1:4" x14ac:dyDescent="0.25">
      <c r="A9172" s="31"/>
      <c r="D9172" s="30"/>
    </row>
    <row r="9173" spans="1:4" x14ac:dyDescent="0.25">
      <c r="A9173" s="31"/>
      <c r="D9173" s="30"/>
    </row>
    <row r="9174" spans="1:4" x14ac:dyDescent="0.25">
      <c r="A9174" s="31"/>
      <c r="D9174" s="30"/>
    </row>
    <row r="9175" spans="1:4" x14ac:dyDescent="0.25">
      <c r="A9175" s="31"/>
      <c r="D9175" s="30"/>
    </row>
    <row r="9176" spans="1:4" x14ac:dyDescent="0.25">
      <c r="A9176" s="31"/>
      <c r="D9176" s="30"/>
    </row>
    <row r="9177" spans="1:4" x14ac:dyDescent="0.25">
      <c r="A9177" s="31"/>
      <c r="D9177" s="30"/>
    </row>
    <row r="9178" spans="1:4" x14ac:dyDescent="0.25">
      <c r="A9178" s="31"/>
      <c r="D9178" s="30"/>
    </row>
    <row r="9179" spans="1:4" x14ac:dyDescent="0.25">
      <c r="A9179" s="31"/>
      <c r="D9179" s="30"/>
    </row>
    <row r="9180" spans="1:4" x14ac:dyDescent="0.25">
      <c r="A9180" s="31"/>
      <c r="D9180" s="30"/>
    </row>
    <row r="9181" spans="1:4" x14ac:dyDescent="0.25">
      <c r="A9181" s="31"/>
      <c r="D9181" s="30"/>
    </row>
    <row r="9182" spans="1:4" x14ac:dyDescent="0.25">
      <c r="A9182" s="31"/>
      <c r="D9182" s="30"/>
    </row>
    <row r="9183" spans="1:4" x14ac:dyDescent="0.25">
      <c r="A9183" s="31"/>
      <c r="D9183" s="30"/>
    </row>
    <row r="9184" spans="1:4" x14ac:dyDescent="0.25">
      <c r="A9184" s="31"/>
      <c r="D9184" s="30"/>
    </row>
    <row r="9185" spans="1:4" x14ac:dyDescent="0.25">
      <c r="A9185" s="31"/>
      <c r="D9185" s="30"/>
    </row>
    <row r="9186" spans="1:4" x14ac:dyDescent="0.25">
      <c r="A9186" s="31"/>
      <c r="D9186" s="30"/>
    </row>
    <row r="9187" spans="1:4" x14ac:dyDescent="0.25">
      <c r="A9187" s="31"/>
      <c r="D9187" s="30"/>
    </row>
    <row r="9188" spans="1:4" x14ac:dyDescent="0.25">
      <c r="A9188" s="31"/>
      <c r="D9188" s="30"/>
    </row>
    <row r="9189" spans="1:4" x14ac:dyDescent="0.25">
      <c r="A9189" s="31"/>
      <c r="D9189" s="30"/>
    </row>
    <row r="9190" spans="1:4" x14ac:dyDescent="0.25">
      <c r="A9190" s="31"/>
      <c r="D9190" s="30"/>
    </row>
    <row r="9191" spans="1:4" x14ac:dyDescent="0.25">
      <c r="A9191" s="31"/>
      <c r="D9191" s="30"/>
    </row>
    <row r="9192" spans="1:4" x14ac:dyDescent="0.25">
      <c r="A9192" s="31"/>
      <c r="D9192" s="30"/>
    </row>
    <row r="9193" spans="1:4" x14ac:dyDescent="0.25">
      <c r="A9193" s="31"/>
      <c r="D9193" s="30"/>
    </row>
    <row r="9194" spans="1:4" x14ac:dyDescent="0.25">
      <c r="A9194" s="31"/>
      <c r="D9194" s="30"/>
    </row>
    <row r="9195" spans="1:4" x14ac:dyDescent="0.25">
      <c r="A9195" s="31"/>
      <c r="D9195" s="30"/>
    </row>
    <row r="9196" spans="1:4" x14ac:dyDescent="0.25">
      <c r="A9196" s="31"/>
      <c r="D9196" s="30"/>
    </row>
    <row r="9197" spans="1:4" x14ac:dyDescent="0.25">
      <c r="A9197" s="31"/>
      <c r="D9197" s="30"/>
    </row>
    <row r="9198" spans="1:4" x14ac:dyDescent="0.25">
      <c r="A9198" s="31"/>
      <c r="D9198" s="30"/>
    </row>
    <row r="9199" spans="1:4" x14ac:dyDescent="0.25">
      <c r="A9199" s="31"/>
      <c r="D9199" s="30"/>
    </row>
    <row r="9200" spans="1:4" x14ac:dyDescent="0.25">
      <c r="A9200" s="31"/>
      <c r="D9200" s="30"/>
    </row>
    <row r="9201" spans="1:4" x14ac:dyDescent="0.25">
      <c r="A9201" s="31"/>
      <c r="D9201" s="30"/>
    </row>
    <row r="9202" spans="1:4" x14ac:dyDescent="0.25">
      <c r="A9202" s="31"/>
      <c r="D9202" s="30"/>
    </row>
    <row r="9203" spans="1:4" x14ac:dyDescent="0.25">
      <c r="A9203" s="31"/>
      <c r="D9203" s="30"/>
    </row>
    <row r="9204" spans="1:4" x14ac:dyDescent="0.25">
      <c r="A9204" s="31"/>
      <c r="D9204" s="30"/>
    </row>
    <row r="9205" spans="1:4" x14ac:dyDescent="0.25">
      <c r="A9205" s="31"/>
      <c r="D9205" s="30"/>
    </row>
    <row r="9206" spans="1:4" x14ac:dyDescent="0.25">
      <c r="A9206" s="31"/>
      <c r="D9206" s="30"/>
    </row>
    <row r="9207" spans="1:4" x14ac:dyDescent="0.25">
      <c r="A9207" s="31"/>
      <c r="D9207" s="30"/>
    </row>
    <row r="9208" spans="1:4" x14ac:dyDescent="0.25">
      <c r="A9208" s="31"/>
      <c r="D9208" s="30"/>
    </row>
    <row r="9209" spans="1:4" x14ac:dyDescent="0.25">
      <c r="A9209" s="31"/>
      <c r="D9209" s="30"/>
    </row>
    <row r="9210" spans="1:4" x14ac:dyDescent="0.25">
      <c r="A9210" s="31"/>
      <c r="D9210" s="30"/>
    </row>
    <row r="9211" spans="1:4" x14ac:dyDescent="0.25">
      <c r="A9211" s="31"/>
      <c r="D9211" s="30"/>
    </row>
    <row r="9212" spans="1:4" x14ac:dyDescent="0.25">
      <c r="A9212" s="31"/>
      <c r="D9212" s="30"/>
    </row>
    <row r="9213" spans="1:4" x14ac:dyDescent="0.25">
      <c r="A9213" s="31"/>
      <c r="D9213" s="30"/>
    </row>
    <row r="9214" spans="1:4" x14ac:dyDescent="0.25">
      <c r="A9214" s="31"/>
      <c r="D9214" s="30"/>
    </row>
    <row r="9215" spans="1:4" x14ac:dyDescent="0.25">
      <c r="A9215" s="31"/>
      <c r="D9215" s="30"/>
    </row>
    <row r="9216" spans="1:4" x14ac:dyDescent="0.25">
      <c r="A9216" s="31"/>
      <c r="D9216" s="30"/>
    </row>
    <row r="9217" spans="1:4" x14ac:dyDescent="0.25">
      <c r="A9217" s="31"/>
      <c r="D9217" s="30"/>
    </row>
    <row r="9218" spans="1:4" x14ac:dyDescent="0.25">
      <c r="A9218" s="31"/>
      <c r="D9218" s="30"/>
    </row>
    <row r="9219" spans="1:4" x14ac:dyDescent="0.25">
      <c r="A9219" s="31"/>
      <c r="D9219" s="30"/>
    </row>
    <row r="9220" spans="1:4" x14ac:dyDescent="0.25">
      <c r="A9220" s="31"/>
      <c r="D9220" s="30"/>
    </row>
    <row r="9221" spans="1:4" x14ac:dyDescent="0.25">
      <c r="A9221" s="31"/>
      <c r="D9221" s="30"/>
    </row>
    <row r="9222" spans="1:4" x14ac:dyDescent="0.25">
      <c r="A9222" s="31"/>
      <c r="D9222" s="30"/>
    </row>
    <row r="9223" spans="1:4" x14ac:dyDescent="0.25">
      <c r="A9223" s="31"/>
      <c r="D9223" s="30"/>
    </row>
    <row r="9224" spans="1:4" x14ac:dyDescent="0.25">
      <c r="A9224" s="31"/>
      <c r="D9224" s="30"/>
    </row>
    <row r="9225" spans="1:4" x14ac:dyDescent="0.25">
      <c r="A9225" s="31"/>
      <c r="D9225" s="30"/>
    </row>
    <row r="9226" spans="1:4" x14ac:dyDescent="0.25">
      <c r="A9226" s="31"/>
      <c r="D9226" s="30"/>
    </row>
    <row r="9227" spans="1:4" x14ac:dyDescent="0.25">
      <c r="A9227" s="31"/>
      <c r="D9227" s="30"/>
    </row>
    <row r="9228" spans="1:4" x14ac:dyDescent="0.25">
      <c r="A9228" s="31"/>
      <c r="D9228" s="30"/>
    </row>
    <row r="9229" spans="1:4" x14ac:dyDescent="0.25">
      <c r="A9229" s="31"/>
      <c r="D9229" s="30"/>
    </row>
    <row r="9230" spans="1:4" x14ac:dyDescent="0.25">
      <c r="A9230" s="31"/>
      <c r="D9230" s="30"/>
    </row>
    <row r="9231" spans="1:4" x14ac:dyDescent="0.25">
      <c r="A9231" s="31"/>
      <c r="D9231" s="30"/>
    </row>
    <row r="9232" spans="1:4" x14ac:dyDescent="0.25">
      <c r="A9232" s="31"/>
      <c r="D9232" s="30"/>
    </row>
    <row r="9233" spans="1:4" x14ac:dyDescent="0.25">
      <c r="A9233" s="31"/>
      <c r="D9233" s="30"/>
    </row>
    <row r="9234" spans="1:4" x14ac:dyDescent="0.25">
      <c r="A9234" s="31"/>
      <c r="D9234" s="30"/>
    </row>
    <row r="9235" spans="1:4" x14ac:dyDescent="0.25">
      <c r="A9235" s="31"/>
      <c r="D9235" s="30"/>
    </row>
    <row r="9236" spans="1:4" x14ac:dyDescent="0.25">
      <c r="A9236" s="31"/>
      <c r="D9236" s="30"/>
    </row>
    <row r="9237" spans="1:4" x14ac:dyDescent="0.25">
      <c r="A9237" s="31"/>
      <c r="D9237" s="30"/>
    </row>
    <row r="9238" spans="1:4" x14ac:dyDescent="0.25">
      <c r="A9238" s="31"/>
      <c r="D9238" s="30"/>
    </row>
    <row r="9239" spans="1:4" x14ac:dyDescent="0.25">
      <c r="A9239" s="31"/>
      <c r="D9239" s="30"/>
    </row>
    <row r="9240" spans="1:4" x14ac:dyDescent="0.25">
      <c r="A9240" s="31"/>
      <c r="D9240" s="30"/>
    </row>
    <row r="9241" spans="1:4" x14ac:dyDescent="0.25">
      <c r="A9241" s="31"/>
      <c r="D9241" s="30"/>
    </row>
    <row r="9242" spans="1:4" x14ac:dyDescent="0.25">
      <c r="A9242" s="31"/>
      <c r="D9242" s="30"/>
    </row>
    <row r="9243" spans="1:4" x14ac:dyDescent="0.25">
      <c r="A9243" s="31"/>
      <c r="D9243" s="30"/>
    </row>
    <row r="9244" spans="1:4" x14ac:dyDescent="0.25">
      <c r="A9244" s="31"/>
      <c r="D9244" s="30"/>
    </row>
    <row r="9245" spans="1:4" x14ac:dyDescent="0.25">
      <c r="A9245" s="31"/>
      <c r="D9245" s="30"/>
    </row>
    <row r="9246" spans="1:4" x14ac:dyDescent="0.25">
      <c r="A9246" s="31"/>
      <c r="D9246" s="30"/>
    </row>
    <row r="9247" spans="1:4" x14ac:dyDescent="0.25">
      <c r="A9247" s="31"/>
      <c r="D9247" s="30"/>
    </row>
    <row r="9248" spans="1:4" x14ac:dyDescent="0.25">
      <c r="A9248" s="31"/>
      <c r="D9248" s="30"/>
    </row>
    <row r="9249" spans="1:4" x14ac:dyDescent="0.25">
      <c r="A9249" s="31"/>
      <c r="D9249" s="30"/>
    </row>
    <row r="9250" spans="1:4" x14ac:dyDescent="0.25">
      <c r="A9250" s="31"/>
      <c r="D9250" s="30"/>
    </row>
    <row r="9251" spans="1:4" x14ac:dyDescent="0.25">
      <c r="A9251" s="31"/>
      <c r="D9251" s="30"/>
    </row>
    <row r="9252" spans="1:4" x14ac:dyDescent="0.25">
      <c r="A9252" s="31"/>
      <c r="D9252" s="30"/>
    </row>
    <row r="9253" spans="1:4" x14ac:dyDescent="0.25">
      <c r="A9253" s="31"/>
      <c r="D9253" s="30"/>
    </row>
    <row r="9254" spans="1:4" x14ac:dyDescent="0.25">
      <c r="A9254" s="31"/>
      <c r="D9254" s="30"/>
    </row>
    <row r="9255" spans="1:4" x14ac:dyDescent="0.25">
      <c r="A9255" s="31"/>
      <c r="D9255" s="30"/>
    </row>
    <row r="9256" spans="1:4" x14ac:dyDescent="0.25">
      <c r="A9256" s="31"/>
      <c r="D9256" s="30"/>
    </row>
    <row r="9257" spans="1:4" x14ac:dyDescent="0.25">
      <c r="A9257" s="31"/>
      <c r="D9257" s="30"/>
    </row>
    <row r="9258" spans="1:4" x14ac:dyDescent="0.25">
      <c r="A9258" s="31"/>
      <c r="D9258" s="30"/>
    </row>
    <row r="9259" spans="1:4" x14ac:dyDescent="0.25">
      <c r="A9259" s="31"/>
      <c r="D9259" s="30"/>
    </row>
    <row r="9260" spans="1:4" x14ac:dyDescent="0.25">
      <c r="A9260" s="31"/>
      <c r="D9260" s="30"/>
    </row>
    <row r="9261" spans="1:4" x14ac:dyDescent="0.25">
      <c r="A9261" s="31"/>
      <c r="D9261" s="30"/>
    </row>
    <row r="9262" spans="1:4" x14ac:dyDescent="0.25">
      <c r="A9262" s="31"/>
      <c r="D9262" s="30"/>
    </row>
    <row r="9263" spans="1:4" x14ac:dyDescent="0.25">
      <c r="A9263" s="31"/>
      <c r="D9263" s="30"/>
    </row>
    <row r="9264" spans="1:4" x14ac:dyDescent="0.25">
      <c r="A9264" s="31"/>
      <c r="D9264" s="30"/>
    </row>
    <row r="9265" spans="1:4" x14ac:dyDescent="0.25">
      <c r="A9265" s="31"/>
      <c r="D9265" s="30"/>
    </row>
    <row r="9266" spans="1:4" x14ac:dyDescent="0.25">
      <c r="A9266" s="31"/>
      <c r="D9266" s="30"/>
    </row>
    <row r="9267" spans="1:4" x14ac:dyDescent="0.25">
      <c r="A9267" s="31"/>
      <c r="D9267" s="30"/>
    </row>
    <row r="9268" spans="1:4" x14ac:dyDescent="0.25">
      <c r="A9268" s="31"/>
      <c r="D9268" s="30"/>
    </row>
    <row r="9269" spans="1:4" x14ac:dyDescent="0.25">
      <c r="A9269" s="31"/>
      <c r="D9269" s="30"/>
    </row>
    <row r="9270" spans="1:4" x14ac:dyDescent="0.25">
      <c r="A9270" s="31"/>
      <c r="D9270" s="30"/>
    </row>
    <row r="9271" spans="1:4" x14ac:dyDescent="0.25">
      <c r="A9271" s="31"/>
      <c r="D9271" s="30"/>
    </row>
    <row r="9272" spans="1:4" x14ac:dyDescent="0.25">
      <c r="A9272" s="31"/>
      <c r="D9272" s="30"/>
    </row>
    <row r="9273" spans="1:4" x14ac:dyDescent="0.25">
      <c r="A9273" s="31"/>
      <c r="D9273" s="30"/>
    </row>
    <row r="9274" spans="1:4" x14ac:dyDescent="0.25">
      <c r="A9274" s="31"/>
      <c r="D9274" s="30"/>
    </row>
    <row r="9275" spans="1:4" x14ac:dyDescent="0.25">
      <c r="A9275" s="31"/>
      <c r="D9275" s="30"/>
    </row>
    <row r="9276" spans="1:4" x14ac:dyDescent="0.25">
      <c r="A9276" s="31"/>
      <c r="D9276" s="30"/>
    </row>
    <row r="9277" spans="1:4" x14ac:dyDescent="0.25">
      <c r="A9277" s="31"/>
      <c r="D9277" s="30"/>
    </row>
    <row r="9278" spans="1:4" x14ac:dyDescent="0.25">
      <c r="A9278" s="31"/>
      <c r="D9278" s="30"/>
    </row>
    <row r="9279" spans="1:4" x14ac:dyDescent="0.25">
      <c r="A9279" s="31"/>
      <c r="D9279" s="30"/>
    </row>
    <row r="9280" spans="1:4" x14ac:dyDescent="0.25">
      <c r="A9280" s="31"/>
      <c r="D9280" s="30"/>
    </row>
    <row r="9281" spans="1:4" x14ac:dyDescent="0.25">
      <c r="A9281" s="31"/>
      <c r="D9281" s="30"/>
    </row>
    <row r="9282" spans="1:4" x14ac:dyDescent="0.25">
      <c r="A9282" s="31"/>
      <c r="D9282" s="30"/>
    </row>
    <row r="9283" spans="1:4" x14ac:dyDescent="0.25">
      <c r="A9283" s="31"/>
      <c r="D9283" s="30"/>
    </row>
    <row r="9284" spans="1:4" x14ac:dyDescent="0.25">
      <c r="A9284" s="31"/>
      <c r="D9284" s="30"/>
    </row>
    <row r="9285" spans="1:4" x14ac:dyDescent="0.25">
      <c r="A9285" s="31"/>
      <c r="D9285" s="30"/>
    </row>
    <row r="9286" spans="1:4" x14ac:dyDescent="0.25">
      <c r="A9286" s="31"/>
      <c r="D9286" s="30"/>
    </row>
    <row r="9287" spans="1:4" x14ac:dyDescent="0.25">
      <c r="A9287" s="31"/>
      <c r="D9287" s="30"/>
    </row>
    <row r="9288" spans="1:4" x14ac:dyDescent="0.25">
      <c r="A9288" s="31"/>
      <c r="D9288" s="30"/>
    </row>
    <row r="9289" spans="1:4" x14ac:dyDescent="0.25">
      <c r="A9289" s="31"/>
      <c r="D9289" s="30"/>
    </row>
    <row r="9290" spans="1:4" x14ac:dyDescent="0.25">
      <c r="A9290" s="31"/>
      <c r="D9290" s="30"/>
    </row>
    <row r="9291" spans="1:4" x14ac:dyDescent="0.25">
      <c r="A9291" s="31"/>
      <c r="D9291" s="30"/>
    </row>
    <row r="9292" spans="1:4" x14ac:dyDescent="0.25">
      <c r="A9292" s="31"/>
      <c r="D9292" s="30"/>
    </row>
    <row r="9293" spans="1:4" x14ac:dyDescent="0.25">
      <c r="A9293" s="31"/>
      <c r="D9293" s="30"/>
    </row>
    <row r="9294" spans="1:4" x14ac:dyDescent="0.25">
      <c r="A9294" s="31"/>
      <c r="D9294" s="30"/>
    </row>
    <row r="9295" spans="1:4" x14ac:dyDescent="0.25">
      <c r="A9295" s="31"/>
      <c r="D9295" s="30"/>
    </row>
    <row r="9296" spans="1:4" x14ac:dyDescent="0.25">
      <c r="A9296" s="31"/>
      <c r="D9296" s="30"/>
    </row>
    <row r="9297" spans="1:4" x14ac:dyDescent="0.25">
      <c r="A9297" s="31"/>
      <c r="D9297" s="30"/>
    </row>
    <row r="9298" spans="1:4" x14ac:dyDescent="0.25">
      <c r="A9298" s="31"/>
      <c r="D9298" s="30"/>
    </row>
    <row r="9299" spans="1:4" x14ac:dyDescent="0.25">
      <c r="A9299" s="31"/>
      <c r="D9299" s="30"/>
    </row>
    <row r="9300" spans="1:4" x14ac:dyDescent="0.25">
      <c r="A9300" s="31"/>
      <c r="D9300" s="30"/>
    </row>
    <row r="9301" spans="1:4" x14ac:dyDescent="0.25">
      <c r="A9301" s="31"/>
      <c r="D9301" s="30"/>
    </row>
    <row r="9302" spans="1:4" x14ac:dyDescent="0.25">
      <c r="A9302" s="31"/>
      <c r="D9302" s="30"/>
    </row>
    <row r="9303" spans="1:4" x14ac:dyDescent="0.25">
      <c r="A9303" s="31"/>
      <c r="D9303" s="30"/>
    </row>
    <row r="9304" spans="1:4" x14ac:dyDescent="0.25">
      <c r="A9304" s="31"/>
      <c r="D9304" s="30"/>
    </row>
    <row r="9305" spans="1:4" x14ac:dyDescent="0.25">
      <c r="A9305" s="31"/>
      <c r="D9305" s="30"/>
    </row>
    <row r="9306" spans="1:4" x14ac:dyDescent="0.25">
      <c r="A9306" s="31"/>
      <c r="D9306" s="30"/>
    </row>
    <row r="9307" spans="1:4" x14ac:dyDescent="0.25">
      <c r="A9307" s="31"/>
      <c r="D9307" s="30"/>
    </row>
    <row r="9308" spans="1:4" x14ac:dyDescent="0.25">
      <c r="A9308" s="31"/>
      <c r="D9308" s="30"/>
    </row>
    <row r="9309" spans="1:4" x14ac:dyDescent="0.25">
      <c r="A9309" s="31"/>
      <c r="D9309" s="30"/>
    </row>
    <row r="9310" spans="1:4" x14ac:dyDescent="0.25">
      <c r="A9310" s="31"/>
      <c r="D9310" s="30"/>
    </row>
    <row r="9311" spans="1:4" x14ac:dyDescent="0.25">
      <c r="A9311" s="31"/>
      <c r="D9311" s="30"/>
    </row>
    <row r="9312" spans="1:4" x14ac:dyDescent="0.25">
      <c r="A9312" s="31"/>
      <c r="D9312" s="30"/>
    </row>
    <row r="9313" spans="1:4" x14ac:dyDescent="0.25">
      <c r="A9313" s="31"/>
      <c r="D9313" s="30"/>
    </row>
    <row r="9314" spans="1:4" x14ac:dyDescent="0.25">
      <c r="A9314" s="31"/>
      <c r="D9314" s="30"/>
    </row>
    <row r="9315" spans="1:4" x14ac:dyDescent="0.25">
      <c r="A9315" s="31"/>
      <c r="D9315" s="30"/>
    </row>
    <row r="9316" spans="1:4" x14ac:dyDescent="0.25">
      <c r="A9316" s="31"/>
      <c r="D9316" s="30"/>
    </row>
    <row r="9317" spans="1:4" x14ac:dyDescent="0.25">
      <c r="A9317" s="31"/>
      <c r="D9317" s="30"/>
    </row>
    <row r="9318" spans="1:4" x14ac:dyDescent="0.25">
      <c r="A9318" s="31"/>
      <c r="D9318" s="30"/>
    </row>
    <row r="9319" spans="1:4" x14ac:dyDescent="0.25">
      <c r="A9319" s="31"/>
      <c r="D9319" s="30"/>
    </row>
    <row r="9320" spans="1:4" x14ac:dyDescent="0.25">
      <c r="A9320" s="31"/>
      <c r="D9320" s="30"/>
    </row>
    <row r="9321" spans="1:4" x14ac:dyDescent="0.25">
      <c r="A9321" s="31"/>
      <c r="D9321" s="30"/>
    </row>
    <row r="9322" spans="1:4" x14ac:dyDescent="0.25">
      <c r="A9322" s="31"/>
      <c r="D9322" s="30"/>
    </row>
    <row r="9323" spans="1:4" x14ac:dyDescent="0.25">
      <c r="A9323" s="31"/>
      <c r="D9323" s="30"/>
    </row>
    <row r="9324" spans="1:4" x14ac:dyDescent="0.25">
      <c r="A9324" s="31"/>
      <c r="D9324" s="30"/>
    </row>
    <row r="9325" spans="1:4" x14ac:dyDescent="0.25">
      <c r="A9325" s="31"/>
      <c r="D9325" s="30"/>
    </row>
    <row r="9326" spans="1:4" x14ac:dyDescent="0.25">
      <c r="A9326" s="31"/>
      <c r="D9326" s="30"/>
    </row>
    <row r="9327" spans="1:4" x14ac:dyDescent="0.25">
      <c r="A9327" s="31"/>
      <c r="D9327" s="30"/>
    </row>
    <row r="9328" spans="1:4" x14ac:dyDescent="0.25">
      <c r="A9328" s="31"/>
      <c r="D9328" s="30"/>
    </row>
    <row r="9329" spans="1:4" x14ac:dyDescent="0.25">
      <c r="A9329" s="31"/>
      <c r="D9329" s="30"/>
    </row>
    <row r="9330" spans="1:4" x14ac:dyDescent="0.25">
      <c r="A9330" s="31"/>
      <c r="D9330" s="30"/>
    </row>
    <row r="9331" spans="1:4" x14ac:dyDescent="0.25">
      <c r="A9331" s="31"/>
      <c r="D9331" s="30"/>
    </row>
    <row r="9332" spans="1:4" x14ac:dyDescent="0.25">
      <c r="A9332" s="31"/>
      <c r="D9332" s="30"/>
    </row>
    <row r="9333" spans="1:4" x14ac:dyDescent="0.25">
      <c r="A9333" s="31"/>
      <c r="D9333" s="30"/>
    </row>
    <row r="9334" spans="1:4" x14ac:dyDescent="0.25">
      <c r="A9334" s="31"/>
      <c r="D9334" s="30"/>
    </row>
    <row r="9335" spans="1:4" x14ac:dyDescent="0.25">
      <c r="A9335" s="31"/>
      <c r="D9335" s="30"/>
    </row>
    <row r="9336" spans="1:4" x14ac:dyDescent="0.25">
      <c r="A9336" s="31"/>
      <c r="D9336" s="30"/>
    </row>
    <row r="9337" spans="1:4" x14ac:dyDescent="0.25">
      <c r="A9337" s="31"/>
      <c r="D9337" s="30"/>
    </row>
    <row r="9338" spans="1:4" x14ac:dyDescent="0.25">
      <c r="A9338" s="31"/>
      <c r="D9338" s="30"/>
    </row>
    <row r="9339" spans="1:4" x14ac:dyDescent="0.25">
      <c r="A9339" s="31"/>
      <c r="D9339" s="30"/>
    </row>
    <row r="9340" spans="1:4" x14ac:dyDescent="0.25">
      <c r="A9340" s="31"/>
      <c r="D9340" s="30"/>
    </row>
    <row r="9341" spans="1:4" x14ac:dyDescent="0.25">
      <c r="A9341" s="31"/>
      <c r="D9341" s="30"/>
    </row>
    <row r="9342" spans="1:4" x14ac:dyDescent="0.25">
      <c r="A9342" s="31"/>
      <c r="D9342" s="30"/>
    </row>
    <row r="9343" spans="1:4" x14ac:dyDescent="0.25">
      <c r="A9343" s="31"/>
      <c r="D9343" s="30"/>
    </row>
    <row r="9344" spans="1:4" x14ac:dyDescent="0.25">
      <c r="A9344" s="31"/>
      <c r="D9344" s="30"/>
    </row>
    <row r="9345" spans="1:4" x14ac:dyDescent="0.25">
      <c r="A9345" s="31"/>
      <c r="D9345" s="30"/>
    </row>
    <row r="9346" spans="1:4" x14ac:dyDescent="0.25">
      <c r="A9346" s="31"/>
      <c r="D9346" s="30"/>
    </row>
    <row r="9347" spans="1:4" x14ac:dyDescent="0.25">
      <c r="A9347" s="31"/>
      <c r="D9347" s="30"/>
    </row>
    <row r="9348" spans="1:4" x14ac:dyDescent="0.25">
      <c r="A9348" s="31"/>
      <c r="D9348" s="30"/>
    </row>
    <row r="9349" spans="1:4" x14ac:dyDescent="0.25">
      <c r="A9349" s="31"/>
      <c r="D9349" s="30"/>
    </row>
    <row r="9350" spans="1:4" x14ac:dyDescent="0.25">
      <c r="A9350" s="31"/>
      <c r="D9350" s="30"/>
    </row>
    <row r="9351" spans="1:4" x14ac:dyDescent="0.25">
      <c r="A9351" s="31"/>
      <c r="D9351" s="30"/>
    </row>
    <row r="9352" spans="1:4" x14ac:dyDescent="0.25">
      <c r="A9352" s="31"/>
      <c r="D9352" s="30"/>
    </row>
    <row r="9353" spans="1:4" x14ac:dyDescent="0.25">
      <c r="A9353" s="31"/>
      <c r="D9353" s="30"/>
    </row>
    <row r="9354" spans="1:4" x14ac:dyDescent="0.25">
      <c r="A9354" s="31"/>
      <c r="D9354" s="30"/>
    </row>
    <row r="9355" spans="1:4" x14ac:dyDescent="0.25">
      <c r="A9355" s="31"/>
      <c r="D9355" s="30"/>
    </row>
    <row r="9356" spans="1:4" x14ac:dyDescent="0.25">
      <c r="A9356" s="31"/>
      <c r="D9356" s="30"/>
    </row>
    <row r="9357" spans="1:4" x14ac:dyDescent="0.25">
      <c r="A9357" s="31"/>
      <c r="D9357" s="30"/>
    </row>
    <row r="9358" spans="1:4" x14ac:dyDescent="0.25">
      <c r="A9358" s="31"/>
      <c r="D9358" s="30"/>
    </row>
    <row r="9359" spans="1:4" x14ac:dyDescent="0.25">
      <c r="A9359" s="31"/>
      <c r="D9359" s="30"/>
    </row>
    <row r="9360" spans="1:4" x14ac:dyDescent="0.25">
      <c r="A9360" s="31"/>
      <c r="D9360" s="30"/>
    </row>
    <row r="9361" spans="1:4" x14ac:dyDescent="0.25">
      <c r="A9361" s="31"/>
      <c r="D9361" s="30"/>
    </row>
    <row r="9362" spans="1:4" x14ac:dyDescent="0.25">
      <c r="A9362" s="31"/>
      <c r="D9362" s="30"/>
    </row>
    <row r="9363" spans="1:4" x14ac:dyDescent="0.25">
      <c r="A9363" s="31"/>
      <c r="D9363" s="30"/>
    </row>
    <row r="9364" spans="1:4" x14ac:dyDescent="0.25">
      <c r="A9364" s="31"/>
      <c r="D9364" s="30"/>
    </row>
    <row r="9365" spans="1:4" x14ac:dyDescent="0.25">
      <c r="A9365" s="31"/>
      <c r="D9365" s="30"/>
    </row>
    <row r="9366" spans="1:4" x14ac:dyDescent="0.25">
      <c r="A9366" s="31"/>
      <c r="D9366" s="30"/>
    </row>
    <row r="9367" spans="1:4" x14ac:dyDescent="0.25">
      <c r="A9367" s="31"/>
      <c r="D9367" s="30"/>
    </row>
    <row r="9368" spans="1:4" x14ac:dyDescent="0.25">
      <c r="A9368" s="31"/>
      <c r="D9368" s="30"/>
    </row>
    <row r="9369" spans="1:4" x14ac:dyDescent="0.25">
      <c r="A9369" s="31"/>
      <c r="D9369" s="30"/>
    </row>
    <row r="9370" spans="1:4" x14ac:dyDescent="0.25">
      <c r="A9370" s="31"/>
      <c r="D9370" s="30"/>
    </row>
    <row r="9371" spans="1:4" x14ac:dyDescent="0.25">
      <c r="A9371" s="31"/>
      <c r="D9371" s="30"/>
    </row>
    <row r="9372" spans="1:4" x14ac:dyDescent="0.25">
      <c r="A9372" s="31"/>
      <c r="D9372" s="30"/>
    </row>
    <row r="9373" spans="1:4" x14ac:dyDescent="0.25">
      <c r="A9373" s="31"/>
      <c r="D9373" s="30"/>
    </row>
    <row r="9374" spans="1:4" x14ac:dyDescent="0.25">
      <c r="A9374" s="31"/>
      <c r="D9374" s="30"/>
    </row>
    <row r="9375" spans="1:4" x14ac:dyDescent="0.25">
      <c r="A9375" s="31"/>
      <c r="D9375" s="30"/>
    </row>
    <row r="9376" spans="1:4" x14ac:dyDescent="0.25">
      <c r="A9376" s="31"/>
      <c r="D9376" s="30"/>
    </row>
    <row r="9377" spans="1:4" x14ac:dyDescent="0.25">
      <c r="A9377" s="31"/>
      <c r="D9377" s="30"/>
    </row>
    <row r="9378" spans="1:4" x14ac:dyDescent="0.25">
      <c r="A9378" s="31"/>
      <c r="D9378" s="30"/>
    </row>
    <row r="9379" spans="1:4" x14ac:dyDescent="0.25">
      <c r="A9379" s="31"/>
      <c r="D9379" s="30"/>
    </row>
    <row r="9380" spans="1:4" x14ac:dyDescent="0.25">
      <c r="A9380" s="31"/>
      <c r="D9380" s="30"/>
    </row>
    <row r="9381" spans="1:4" x14ac:dyDescent="0.25">
      <c r="A9381" s="31"/>
      <c r="D9381" s="30"/>
    </row>
    <row r="9382" spans="1:4" x14ac:dyDescent="0.25">
      <c r="A9382" s="31"/>
      <c r="D9382" s="30"/>
    </row>
    <row r="9383" spans="1:4" x14ac:dyDescent="0.25">
      <c r="A9383" s="31"/>
      <c r="D9383" s="30"/>
    </row>
    <row r="9384" spans="1:4" x14ac:dyDescent="0.25">
      <c r="A9384" s="31"/>
      <c r="D9384" s="30"/>
    </row>
    <row r="9385" spans="1:4" x14ac:dyDescent="0.25">
      <c r="A9385" s="31"/>
      <c r="D9385" s="30"/>
    </row>
    <row r="9386" spans="1:4" x14ac:dyDescent="0.25">
      <c r="A9386" s="31"/>
      <c r="D9386" s="30"/>
    </row>
    <row r="9387" spans="1:4" x14ac:dyDescent="0.25">
      <c r="A9387" s="31"/>
      <c r="D9387" s="30"/>
    </row>
    <row r="9388" spans="1:4" x14ac:dyDescent="0.25">
      <c r="A9388" s="31"/>
      <c r="D9388" s="30"/>
    </row>
    <row r="9389" spans="1:4" x14ac:dyDescent="0.25">
      <c r="A9389" s="31"/>
      <c r="D9389" s="30"/>
    </row>
    <row r="9390" spans="1:4" x14ac:dyDescent="0.25">
      <c r="A9390" s="31"/>
      <c r="D9390" s="30"/>
    </row>
    <row r="9391" spans="1:4" x14ac:dyDescent="0.25">
      <c r="A9391" s="31"/>
      <c r="D9391" s="30"/>
    </row>
    <row r="9392" spans="1:4" x14ac:dyDescent="0.25">
      <c r="A9392" s="31"/>
      <c r="D9392" s="30"/>
    </row>
    <row r="9393" spans="1:4" x14ac:dyDescent="0.25">
      <c r="A9393" s="31"/>
      <c r="D9393" s="30"/>
    </row>
    <row r="9394" spans="1:4" x14ac:dyDescent="0.25">
      <c r="A9394" s="31"/>
      <c r="D9394" s="30"/>
    </row>
    <row r="9395" spans="1:4" x14ac:dyDescent="0.25">
      <c r="A9395" s="31"/>
      <c r="D9395" s="30"/>
    </row>
    <row r="9396" spans="1:4" x14ac:dyDescent="0.25">
      <c r="A9396" s="31"/>
      <c r="D9396" s="30"/>
    </row>
    <row r="9397" spans="1:4" x14ac:dyDescent="0.25">
      <c r="A9397" s="31"/>
      <c r="D9397" s="30"/>
    </row>
    <row r="9398" spans="1:4" x14ac:dyDescent="0.25">
      <c r="A9398" s="31"/>
      <c r="D9398" s="30"/>
    </row>
    <row r="9399" spans="1:4" x14ac:dyDescent="0.25">
      <c r="A9399" s="31"/>
      <c r="D9399" s="30"/>
    </row>
    <row r="9400" spans="1:4" x14ac:dyDescent="0.25">
      <c r="A9400" s="31"/>
      <c r="D9400" s="30"/>
    </row>
    <row r="9401" spans="1:4" x14ac:dyDescent="0.25">
      <c r="A9401" s="31"/>
      <c r="D9401" s="30"/>
    </row>
    <row r="9402" spans="1:4" x14ac:dyDescent="0.25">
      <c r="A9402" s="31"/>
      <c r="D9402" s="30"/>
    </row>
    <row r="9403" spans="1:4" x14ac:dyDescent="0.25">
      <c r="A9403" s="31"/>
      <c r="D9403" s="30"/>
    </row>
    <row r="9404" spans="1:4" x14ac:dyDescent="0.25">
      <c r="A9404" s="31"/>
      <c r="D9404" s="30"/>
    </row>
    <row r="9405" spans="1:4" x14ac:dyDescent="0.25">
      <c r="A9405" s="31"/>
      <c r="D9405" s="30"/>
    </row>
    <row r="9406" spans="1:4" x14ac:dyDescent="0.25">
      <c r="A9406" s="31"/>
      <c r="D9406" s="30"/>
    </row>
    <row r="9407" spans="1:4" x14ac:dyDescent="0.25">
      <c r="A9407" s="31"/>
      <c r="D9407" s="30"/>
    </row>
    <row r="9408" spans="1:4" x14ac:dyDescent="0.25">
      <c r="A9408" s="31"/>
      <c r="D9408" s="30"/>
    </row>
    <row r="9409" spans="1:4" x14ac:dyDescent="0.25">
      <c r="A9409" s="31"/>
      <c r="D9409" s="30"/>
    </row>
    <row r="9410" spans="1:4" x14ac:dyDescent="0.25">
      <c r="A9410" s="31"/>
      <c r="D9410" s="30"/>
    </row>
    <row r="9411" spans="1:4" x14ac:dyDescent="0.25">
      <c r="A9411" s="31"/>
      <c r="D9411" s="30"/>
    </row>
    <row r="9412" spans="1:4" x14ac:dyDescent="0.25">
      <c r="A9412" s="31"/>
      <c r="D9412" s="30"/>
    </row>
    <row r="9413" spans="1:4" x14ac:dyDescent="0.25">
      <c r="A9413" s="31"/>
      <c r="D9413" s="30"/>
    </row>
    <row r="9414" spans="1:4" x14ac:dyDescent="0.25">
      <c r="A9414" s="31"/>
      <c r="D9414" s="30"/>
    </row>
    <row r="9415" spans="1:4" x14ac:dyDescent="0.25">
      <c r="A9415" s="31"/>
      <c r="D9415" s="30"/>
    </row>
    <row r="9416" spans="1:4" x14ac:dyDescent="0.25">
      <c r="A9416" s="31"/>
      <c r="D9416" s="30"/>
    </row>
    <row r="9417" spans="1:4" x14ac:dyDescent="0.25">
      <c r="A9417" s="31"/>
      <c r="D9417" s="30"/>
    </row>
    <row r="9418" spans="1:4" x14ac:dyDescent="0.25">
      <c r="A9418" s="31"/>
      <c r="D9418" s="30"/>
    </row>
    <row r="9419" spans="1:4" x14ac:dyDescent="0.25">
      <c r="A9419" s="31"/>
      <c r="D9419" s="30"/>
    </row>
    <row r="9420" spans="1:4" x14ac:dyDescent="0.25">
      <c r="A9420" s="31"/>
      <c r="D9420" s="30"/>
    </row>
    <row r="9421" spans="1:4" x14ac:dyDescent="0.25">
      <c r="A9421" s="31"/>
      <c r="D9421" s="30"/>
    </row>
    <row r="9422" spans="1:4" x14ac:dyDescent="0.25">
      <c r="A9422" s="31"/>
      <c r="D9422" s="30"/>
    </row>
    <row r="9423" spans="1:4" x14ac:dyDescent="0.25">
      <c r="A9423" s="31"/>
      <c r="D9423" s="30"/>
    </row>
    <row r="9424" spans="1:4" x14ac:dyDescent="0.25">
      <c r="A9424" s="31"/>
      <c r="D9424" s="30"/>
    </row>
    <row r="9425" spans="1:4" x14ac:dyDescent="0.25">
      <c r="A9425" s="31"/>
      <c r="D9425" s="30"/>
    </row>
    <row r="9426" spans="1:4" x14ac:dyDescent="0.25">
      <c r="A9426" s="31"/>
      <c r="D9426" s="30"/>
    </row>
    <row r="9427" spans="1:4" x14ac:dyDescent="0.25">
      <c r="A9427" s="31"/>
      <c r="D9427" s="30"/>
    </row>
    <row r="9428" spans="1:4" x14ac:dyDescent="0.25">
      <c r="A9428" s="31"/>
      <c r="D9428" s="30"/>
    </row>
    <row r="9429" spans="1:4" x14ac:dyDescent="0.25">
      <c r="A9429" s="31"/>
      <c r="D9429" s="30"/>
    </row>
    <row r="9430" spans="1:4" x14ac:dyDescent="0.25">
      <c r="A9430" s="31"/>
      <c r="D9430" s="30"/>
    </row>
    <row r="9431" spans="1:4" x14ac:dyDescent="0.25">
      <c r="A9431" s="31"/>
      <c r="D9431" s="30"/>
    </row>
    <row r="9432" spans="1:4" x14ac:dyDescent="0.25">
      <c r="A9432" s="31"/>
      <c r="D9432" s="30"/>
    </row>
    <row r="9433" spans="1:4" x14ac:dyDescent="0.25">
      <c r="A9433" s="31"/>
      <c r="D9433" s="30"/>
    </row>
    <row r="9434" spans="1:4" x14ac:dyDescent="0.25">
      <c r="A9434" s="31"/>
      <c r="D9434" s="30"/>
    </row>
    <row r="9435" spans="1:4" x14ac:dyDescent="0.25">
      <c r="A9435" s="31"/>
      <c r="D9435" s="30"/>
    </row>
    <row r="9436" spans="1:4" x14ac:dyDescent="0.25">
      <c r="A9436" s="31"/>
      <c r="D9436" s="30"/>
    </row>
    <row r="9437" spans="1:4" x14ac:dyDescent="0.25">
      <c r="A9437" s="31"/>
      <c r="D9437" s="30"/>
    </row>
    <row r="9438" spans="1:4" x14ac:dyDescent="0.25">
      <c r="A9438" s="31"/>
      <c r="D9438" s="30"/>
    </row>
    <row r="9439" spans="1:4" x14ac:dyDescent="0.25">
      <c r="A9439" s="31"/>
      <c r="D9439" s="30"/>
    </row>
    <row r="9440" spans="1:4" x14ac:dyDescent="0.25">
      <c r="A9440" s="31"/>
      <c r="D9440" s="30"/>
    </row>
    <row r="9441" spans="1:4" x14ac:dyDescent="0.25">
      <c r="A9441" s="31"/>
      <c r="D9441" s="30"/>
    </row>
    <row r="9442" spans="1:4" x14ac:dyDescent="0.25">
      <c r="A9442" s="31"/>
      <c r="D9442" s="30"/>
    </row>
    <row r="9443" spans="1:4" x14ac:dyDescent="0.25">
      <c r="A9443" s="31"/>
      <c r="D9443" s="30"/>
    </row>
    <row r="9444" spans="1:4" x14ac:dyDescent="0.25">
      <c r="A9444" s="31"/>
      <c r="D9444" s="30"/>
    </row>
    <row r="9445" spans="1:4" x14ac:dyDescent="0.25">
      <c r="A9445" s="31"/>
      <c r="D9445" s="30"/>
    </row>
    <row r="9446" spans="1:4" x14ac:dyDescent="0.25">
      <c r="A9446" s="31"/>
      <c r="D9446" s="30"/>
    </row>
    <row r="9447" spans="1:4" x14ac:dyDescent="0.25">
      <c r="A9447" s="31"/>
      <c r="D9447" s="30"/>
    </row>
    <row r="9448" spans="1:4" x14ac:dyDescent="0.25">
      <c r="A9448" s="31"/>
      <c r="D9448" s="30"/>
    </row>
    <row r="9449" spans="1:4" x14ac:dyDescent="0.25">
      <c r="A9449" s="31"/>
      <c r="D9449" s="30"/>
    </row>
    <row r="9450" spans="1:4" x14ac:dyDescent="0.25">
      <c r="A9450" s="31"/>
      <c r="D9450" s="30"/>
    </row>
    <row r="9451" spans="1:4" x14ac:dyDescent="0.25">
      <c r="A9451" s="31"/>
      <c r="D9451" s="30"/>
    </row>
    <row r="9452" spans="1:4" x14ac:dyDescent="0.25">
      <c r="A9452" s="31"/>
      <c r="D9452" s="30"/>
    </row>
    <row r="9453" spans="1:4" x14ac:dyDescent="0.25">
      <c r="A9453" s="31"/>
      <c r="D9453" s="30"/>
    </row>
    <row r="9454" spans="1:4" x14ac:dyDescent="0.25">
      <c r="A9454" s="31"/>
      <c r="D9454" s="30"/>
    </row>
    <row r="9455" spans="1:4" x14ac:dyDescent="0.25">
      <c r="A9455" s="31"/>
      <c r="D9455" s="30"/>
    </row>
    <row r="9456" spans="1:4" x14ac:dyDescent="0.25">
      <c r="A9456" s="31"/>
      <c r="D9456" s="30"/>
    </row>
    <row r="9457" spans="1:4" x14ac:dyDescent="0.25">
      <c r="A9457" s="31"/>
      <c r="D9457" s="30"/>
    </row>
    <row r="9458" spans="1:4" x14ac:dyDescent="0.25">
      <c r="A9458" s="31"/>
      <c r="D9458" s="30"/>
    </row>
    <row r="9459" spans="1:4" x14ac:dyDescent="0.25">
      <c r="A9459" s="31"/>
      <c r="D9459" s="30"/>
    </row>
    <row r="9460" spans="1:4" x14ac:dyDescent="0.25">
      <c r="A9460" s="31"/>
      <c r="D9460" s="30"/>
    </row>
    <row r="9461" spans="1:4" x14ac:dyDescent="0.25">
      <c r="A9461" s="31"/>
      <c r="D9461" s="30"/>
    </row>
    <row r="9462" spans="1:4" x14ac:dyDescent="0.25">
      <c r="A9462" s="31"/>
      <c r="D9462" s="30"/>
    </row>
    <row r="9463" spans="1:4" x14ac:dyDescent="0.25">
      <c r="A9463" s="31"/>
      <c r="D9463" s="30"/>
    </row>
    <row r="9464" spans="1:4" x14ac:dyDescent="0.25">
      <c r="A9464" s="31"/>
      <c r="D9464" s="30"/>
    </row>
    <row r="9465" spans="1:4" x14ac:dyDescent="0.25">
      <c r="A9465" s="31"/>
      <c r="D9465" s="30"/>
    </row>
    <row r="9466" spans="1:4" x14ac:dyDescent="0.25">
      <c r="A9466" s="31"/>
      <c r="D9466" s="30"/>
    </row>
    <row r="9467" spans="1:4" x14ac:dyDescent="0.25">
      <c r="A9467" s="31"/>
      <c r="D9467" s="30"/>
    </row>
    <row r="9468" spans="1:4" x14ac:dyDescent="0.25">
      <c r="A9468" s="31"/>
      <c r="D9468" s="30"/>
    </row>
    <row r="9469" spans="1:4" x14ac:dyDescent="0.25">
      <c r="A9469" s="31"/>
      <c r="D9469" s="30"/>
    </row>
    <row r="9470" spans="1:4" x14ac:dyDescent="0.25">
      <c r="A9470" s="31"/>
      <c r="D9470" s="30"/>
    </row>
    <row r="9471" spans="1:4" x14ac:dyDescent="0.25">
      <c r="A9471" s="31"/>
      <c r="D9471" s="30"/>
    </row>
    <row r="9472" spans="1:4" x14ac:dyDescent="0.25">
      <c r="A9472" s="31"/>
      <c r="D9472" s="30"/>
    </row>
    <row r="9473" spans="1:4" x14ac:dyDescent="0.25">
      <c r="A9473" s="31"/>
      <c r="D9473" s="30"/>
    </row>
    <row r="9474" spans="1:4" x14ac:dyDescent="0.25">
      <c r="A9474" s="31"/>
      <c r="D9474" s="30"/>
    </row>
    <row r="9475" spans="1:4" x14ac:dyDescent="0.25">
      <c r="A9475" s="31"/>
      <c r="D9475" s="30"/>
    </row>
    <row r="9476" spans="1:4" x14ac:dyDescent="0.25">
      <c r="A9476" s="31"/>
      <c r="D9476" s="30"/>
    </row>
    <row r="9477" spans="1:4" x14ac:dyDescent="0.25">
      <c r="A9477" s="31"/>
      <c r="D9477" s="30"/>
    </row>
    <row r="9478" spans="1:4" x14ac:dyDescent="0.25">
      <c r="A9478" s="31"/>
      <c r="D9478" s="30"/>
    </row>
    <row r="9479" spans="1:4" x14ac:dyDescent="0.25">
      <c r="A9479" s="31"/>
      <c r="D9479" s="30"/>
    </row>
    <row r="9480" spans="1:4" x14ac:dyDescent="0.25">
      <c r="A9480" s="31"/>
      <c r="D9480" s="30"/>
    </row>
    <row r="9481" spans="1:4" x14ac:dyDescent="0.25">
      <c r="A9481" s="31"/>
      <c r="D9481" s="30"/>
    </row>
    <row r="9482" spans="1:4" x14ac:dyDescent="0.25">
      <c r="A9482" s="31"/>
      <c r="D9482" s="30"/>
    </row>
    <row r="9483" spans="1:4" x14ac:dyDescent="0.25">
      <c r="A9483" s="31"/>
      <c r="D9483" s="30"/>
    </row>
    <row r="9484" spans="1:4" x14ac:dyDescent="0.25">
      <c r="A9484" s="31"/>
      <c r="D9484" s="30"/>
    </row>
    <row r="9485" spans="1:4" x14ac:dyDescent="0.25">
      <c r="A9485" s="31"/>
      <c r="D9485" s="30"/>
    </row>
    <row r="9486" spans="1:4" x14ac:dyDescent="0.25">
      <c r="A9486" s="31"/>
      <c r="D9486" s="30"/>
    </row>
    <row r="9487" spans="1:4" x14ac:dyDescent="0.25">
      <c r="A9487" s="31"/>
      <c r="D9487" s="30"/>
    </row>
    <row r="9488" spans="1:4" x14ac:dyDescent="0.25">
      <c r="A9488" s="31"/>
      <c r="D9488" s="30"/>
    </row>
    <row r="9489" spans="1:4" x14ac:dyDescent="0.25">
      <c r="A9489" s="31"/>
      <c r="D9489" s="30"/>
    </row>
    <row r="9490" spans="1:4" x14ac:dyDescent="0.25">
      <c r="A9490" s="31"/>
      <c r="D9490" s="30"/>
    </row>
    <row r="9491" spans="1:4" x14ac:dyDescent="0.25">
      <c r="A9491" s="31"/>
      <c r="D9491" s="30"/>
    </row>
    <row r="9492" spans="1:4" x14ac:dyDescent="0.25">
      <c r="A9492" s="31"/>
      <c r="D9492" s="30"/>
    </row>
    <row r="9493" spans="1:4" x14ac:dyDescent="0.25">
      <c r="A9493" s="31"/>
      <c r="D9493" s="30"/>
    </row>
    <row r="9494" spans="1:4" x14ac:dyDescent="0.25">
      <c r="A9494" s="31"/>
      <c r="D9494" s="30"/>
    </row>
    <row r="9495" spans="1:4" x14ac:dyDescent="0.25">
      <c r="A9495" s="31"/>
      <c r="D9495" s="30"/>
    </row>
    <row r="9496" spans="1:4" x14ac:dyDescent="0.25">
      <c r="A9496" s="31"/>
      <c r="D9496" s="30"/>
    </row>
    <row r="9497" spans="1:4" x14ac:dyDescent="0.25">
      <c r="A9497" s="31"/>
      <c r="D9497" s="30"/>
    </row>
    <row r="9498" spans="1:4" x14ac:dyDescent="0.25">
      <c r="A9498" s="31"/>
      <c r="D9498" s="30"/>
    </row>
    <row r="9499" spans="1:4" x14ac:dyDescent="0.25">
      <c r="A9499" s="31"/>
      <c r="D9499" s="30"/>
    </row>
    <row r="9500" spans="1:4" x14ac:dyDescent="0.25">
      <c r="A9500" s="31"/>
      <c r="D9500" s="30"/>
    </row>
    <row r="9501" spans="1:4" x14ac:dyDescent="0.25">
      <c r="A9501" s="31"/>
      <c r="D9501" s="30"/>
    </row>
    <row r="9502" spans="1:4" x14ac:dyDescent="0.25">
      <c r="A9502" s="31"/>
      <c r="D9502" s="30"/>
    </row>
    <row r="9503" spans="1:4" x14ac:dyDescent="0.25">
      <c r="A9503" s="31"/>
      <c r="D9503" s="30"/>
    </row>
    <row r="9504" spans="1:4" x14ac:dyDescent="0.25">
      <c r="A9504" s="31"/>
      <c r="D9504" s="30"/>
    </row>
    <row r="9505" spans="1:4" x14ac:dyDescent="0.25">
      <c r="A9505" s="31"/>
      <c r="D9505" s="30"/>
    </row>
    <row r="9506" spans="1:4" x14ac:dyDescent="0.25">
      <c r="A9506" s="31"/>
      <c r="D9506" s="30"/>
    </row>
    <row r="9507" spans="1:4" x14ac:dyDescent="0.25">
      <c r="A9507" s="31"/>
      <c r="D9507" s="30"/>
    </row>
    <row r="9508" spans="1:4" x14ac:dyDescent="0.25">
      <c r="A9508" s="31"/>
      <c r="D9508" s="30"/>
    </row>
    <row r="9509" spans="1:4" x14ac:dyDescent="0.25">
      <c r="A9509" s="31"/>
      <c r="D9509" s="30"/>
    </row>
    <row r="9510" spans="1:4" x14ac:dyDescent="0.25">
      <c r="A9510" s="31"/>
      <c r="D9510" s="30"/>
    </row>
    <row r="9511" spans="1:4" x14ac:dyDescent="0.25">
      <c r="A9511" s="31"/>
      <c r="D9511" s="30"/>
    </row>
    <row r="9512" spans="1:4" x14ac:dyDescent="0.25">
      <c r="A9512" s="31"/>
      <c r="D9512" s="30"/>
    </row>
    <row r="9513" spans="1:4" x14ac:dyDescent="0.25">
      <c r="A9513" s="31"/>
      <c r="D9513" s="30"/>
    </row>
    <row r="9514" spans="1:4" x14ac:dyDescent="0.25">
      <c r="A9514" s="31"/>
      <c r="D9514" s="30"/>
    </row>
    <row r="9515" spans="1:4" x14ac:dyDescent="0.25">
      <c r="A9515" s="31"/>
      <c r="D9515" s="30"/>
    </row>
    <row r="9516" spans="1:4" x14ac:dyDescent="0.25">
      <c r="A9516" s="31"/>
      <c r="D9516" s="30"/>
    </row>
    <row r="9517" spans="1:4" x14ac:dyDescent="0.25">
      <c r="A9517" s="31"/>
      <c r="D9517" s="30"/>
    </row>
    <row r="9518" spans="1:4" x14ac:dyDescent="0.25">
      <c r="A9518" s="31"/>
      <c r="D9518" s="30"/>
    </row>
    <row r="9519" spans="1:4" x14ac:dyDescent="0.25">
      <c r="A9519" s="31"/>
      <c r="D9519" s="30"/>
    </row>
    <row r="9520" spans="1:4" x14ac:dyDescent="0.25">
      <c r="A9520" s="31"/>
      <c r="D9520" s="30"/>
    </row>
    <row r="9521" spans="1:4" x14ac:dyDescent="0.25">
      <c r="A9521" s="31"/>
      <c r="D9521" s="30"/>
    </row>
    <row r="9522" spans="1:4" x14ac:dyDescent="0.25">
      <c r="A9522" s="31"/>
      <c r="D9522" s="30"/>
    </row>
    <row r="9523" spans="1:4" x14ac:dyDescent="0.25">
      <c r="A9523" s="31"/>
      <c r="D9523" s="30"/>
    </row>
    <row r="9524" spans="1:4" x14ac:dyDescent="0.25">
      <c r="A9524" s="31"/>
      <c r="D9524" s="30"/>
    </row>
    <row r="9525" spans="1:4" x14ac:dyDescent="0.25">
      <c r="A9525" s="31"/>
      <c r="D9525" s="30"/>
    </row>
    <row r="9526" spans="1:4" x14ac:dyDescent="0.25">
      <c r="A9526" s="31"/>
      <c r="D9526" s="30"/>
    </row>
    <row r="9527" spans="1:4" x14ac:dyDescent="0.25">
      <c r="A9527" s="31"/>
      <c r="D9527" s="30"/>
    </row>
    <row r="9528" spans="1:4" x14ac:dyDescent="0.25">
      <c r="A9528" s="31"/>
      <c r="D9528" s="30"/>
    </row>
    <row r="9529" spans="1:4" x14ac:dyDescent="0.25">
      <c r="A9529" s="31"/>
      <c r="D9529" s="30"/>
    </row>
    <row r="9530" spans="1:4" x14ac:dyDescent="0.25">
      <c r="A9530" s="31"/>
      <c r="D9530" s="30"/>
    </row>
    <row r="9531" spans="1:4" x14ac:dyDescent="0.25">
      <c r="A9531" s="31"/>
      <c r="D9531" s="30"/>
    </row>
    <row r="9532" spans="1:4" x14ac:dyDescent="0.25">
      <c r="A9532" s="31"/>
      <c r="D9532" s="30"/>
    </row>
    <row r="9533" spans="1:4" x14ac:dyDescent="0.25">
      <c r="A9533" s="31"/>
      <c r="D9533" s="30"/>
    </row>
    <row r="9534" spans="1:4" x14ac:dyDescent="0.25">
      <c r="A9534" s="31"/>
      <c r="D9534" s="30"/>
    </row>
    <row r="9535" spans="1:4" x14ac:dyDescent="0.25">
      <c r="A9535" s="31"/>
      <c r="D9535" s="30"/>
    </row>
    <row r="9536" spans="1:4" x14ac:dyDescent="0.25">
      <c r="A9536" s="31"/>
      <c r="D9536" s="30"/>
    </row>
    <row r="9537" spans="1:4" x14ac:dyDescent="0.25">
      <c r="A9537" s="31"/>
      <c r="D9537" s="30"/>
    </row>
    <row r="9538" spans="1:4" x14ac:dyDescent="0.25">
      <c r="A9538" s="31"/>
      <c r="D9538" s="30"/>
    </row>
    <row r="9539" spans="1:4" x14ac:dyDescent="0.25">
      <c r="A9539" s="31"/>
      <c r="D9539" s="30"/>
    </row>
    <row r="9540" spans="1:4" x14ac:dyDescent="0.25">
      <c r="A9540" s="31"/>
      <c r="D9540" s="30"/>
    </row>
    <row r="9541" spans="1:4" x14ac:dyDescent="0.25">
      <c r="A9541" s="31"/>
      <c r="D9541" s="30"/>
    </row>
    <row r="9542" spans="1:4" x14ac:dyDescent="0.25">
      <c r="A9542" s="31"/>
      <c r="D9542" s="30"/>
    </row>
    <row r="9543" spans="1:4" x14ac:dyDescent="0.25">
      <c r="A9543" s="31"/>
      <c r="D9543" s="30"/>
    </row>
    <row r="9544" spans="1:4" x14ac:dyDescent="0.25">
      <c r="A9544" s="31"/>
      <c r="D9544" s="30"/>
    </row>
    <row r="9545" spans="1:4" x14ac:dyDescent="0.25">
      <c r="A9545" s="31"/>
      <c r="D9545" s="30"/>
    </row>
    <row r="9546" spans="1:4" x14ac:dyDescent="0.25">
      <c r="A9546" s="31"/>
      <c r="D9546" s="30"/>
    </row>
    <row r="9547" spans="1:4" x14ac:dyDescent="0.25">
      <c r="A9547" s="31"/>
      <c r="D9547" s="30"/>
    </row>
    <row r="9548" spans="1:4" x14ac:dyDescent="0.25">
      <c r="A9548" s="31"/>
      <c r="D9548" s="30"/>
    </row>
    <row r="9549" spans="1:4" x14ac:dyDescent="0.25">
      <c r="A9549" s="31"/>
      <c r="D9549" s="30"/>
    </row>
    <row r="9550" spans="1:4" x14ac:dyDescent="0.25">
      <c r="A9550" s="31"/>
      <c r="D9550" s="30"/>
    </row>
    <row r="9551" spans="1:4" x14ac:dyDescent="0.25">
      <c r="A9551" s="31"/>
      <c r="D9551" s="30"/>
    </row>
    <row r="9552" spans="1:4" x14ac:dyDescent="0.25">
      <c r="A9552" s="31"/>
      <c r="D9552" s="30"/>
    </row>
    <row r="9553" spans="1:4" x14ac:dyDescent="0.25">
      <c r="A9553" s="31"/>
      <c r="D9553" s="30"/>
    </row>
    <row r="9554" spans="1:4" x14ac:dyDescent="0.25">
      <c r="A9554" s="31"/>
      <c r="D9554" s="30"/>
    </row>
    <row r="9555" spans="1:4" x14ac:dyDescent="0.25">
      <c r="A9555" s="31"/>
      <c r="D9555" s="30"/>
    </row>
    <row r="9556" spans="1:4" x14ac:dyDescent="0.25">
      <c r="A9556" s="31"/>
      <c r="D9556" s="30"/>
    </row>
    <row r="9557" spans="1:4" x14ac:dyDescent="0.25">
      <c r="A9557" s="31"/>
      <c r="D9557" s="30"/>
    </row>
    <row r="9558" spans="1:4" x14ac:dyDescent="0.25">
      <c r="A9558" s="31"/>
      <c r="D9558" s="30"/>
    </row>
    <row r="9559" spans="1:4" x14ac:dyDescent="0.25">
      <c r="A9559" s="31"/>
      <c r="D9559" s="30"/>
    </row>
    <row r="9560" spans="1:4" x14ac:dyDescent="0.25">
      <c r="A9560" s="31"/>
      <c r="D9560" s="30"/>
    </row>
    <row r="9561" spans="1:4" x14ac:dyDescent="0.25">
      <c r="A9561" s="31"/>
      <c r="D9561" s="30"/>
    </row>
    <row r="9562" spans="1:4" x14ac:dyDescent="0.25">
      <c r="A9562" s="31"/>
      <c r="D9562" s="30"/>
    </row>
    <row r="9563" spans="1:4" x14ac:dyDescent="0.25">
      <c r="A9563" s="31"/>
      <c r="D9563" s="30"/>
    </row>
    <row r="9564" spans="1:4" x14ac:dyDescent="0.25">
      <c r="A9564" s="31"/>
      <c r="D9564" s="30"/>
    </row>
    <row r="9565" spans="1:4" x14ac:dyDescent="0.25">
      <c r="A9565" s="31"/>
      <c r="D9565" s="30"/>
    </row>
    <row r="9566" spans="1:4" x14ac:dyDescent="0.25">
      <c r="A9566" s="31"/>
      <c r="D9566" s="30"/>
    </row>
    <row r="9567" spans="1:4" x14ac:dyDescent="0.25">
      <c r="A9567" s="31"/>
      <c r="D9567" s="30"/>
    </row>
    <row r="9568" spans="1:4" x14ac:dyDescent="0.25">
      <c r="A9568" s="31"/>
      <c r="D9568" s="30"/>
    </row>
    <row r="9569" spans="1:4" x14ac:dyDescent="0.25">
      <c r="A9569" s="31"/>
      <c r="D9569" s="30"/>
    </row>
    <row r="9570" spans="1:4" x14ac:dyDescent="0.25">
      <c r="A9570" s="31"/>
      <c r="D9570" s="30"/>
    </row>
    <row r="9571" spans="1:4" x14ac:dyDescent="0.25">
      <c r="A9571" s="31"/>
      <c r="D9571" s="30"/>
    </row>
    <row r="9572" spans="1:4" x14ac:dyDescent="0.25">
      <c r="A9572" s="31"/>
      <c r="D9572" s="30"/>
    </row>
    <row r="9573" spans="1:4" x14ac:dyDescent="0.25">
      <c r="A9573" s="31"/>
      <c r="D9573" s="30"/>
    </row>
    <row r="9574" spans="1:4" x14ac:dyDescent="0.25">
      <c r="A9574" s="31"/>
      <c r="D9574" s="30"/>
    </row>
    <row r="9575" spans="1:4" x14ac:dyDescent="0.25">
      <c r="A9575" s="31"/>
      <c r="D9575" s="30"/>
    </row>
    <row r="9576" spans="1:4" x14ac:dyDescent="0.25">
      <c r="A9576" s="31"/>
      <c r="D9576" s="30"/>
    </row>
    <row r="9577" spans="1:4" x14ac:dyDescent="0.25">
      <c r="A9577" s="31"/>
      <c r="D9577" s="30"/>
    </row>
    <row r="9578" spans="1:4" x14ac:dyDescent="0.25">
      <c r="A9578" s="31"/>
      <c r="D9578" s="30"/>
    </row>
    <row r="9579" spans="1:4" x14ac:dyDescent="0.25">
      <c r="A9579" s="31"/>
      <c r="D9579" s="30"/>
    </row>
    <row r="9580" spans="1:4" x14ac:dyDescent="0.25">
      <c r="A9580" s="31"/>
      <c r="D9580" s="30"/>
    </row>
    <row r="9581" spans="1:4" x14ac:dyDescent="0.25">
      <c r="A9581" s="31"/>
      <c r="D9581" s="30"/>
    </row>
    <row r="9582" spans="1:4" x14ac:dyDescent="0.25">
      <c r="A9582" s="31"/>
      <c r="D9582" s="30"/>
    </row>
    <row r="9583" spans="1:4" x14ac:dyDescent="0.25">
      <c r="A9583" s="31"/>
      <c r="D9583" s="30"/>
    </row>
    <row r="9584" spans="1:4" x14ac:dyDescent="0.25">
      <c r="A9584" s="31"/>
      <c r="D9584" s="30"/>
    </row>
    <row r="9585" spans="1:4" x14ac:dyDescent="0.25">
      <c r="A9585" s="31"/>
      <c r="D9585" s="30"/>
    </row>
    <row r="9586" spans="1:4" x14ac:dyDescent="0.25">
      <c r="A9586" s="31"/>
      <c r="D9586" s="30"/>
    </row>
    <row r="9587" spans="1:4" x14ac:dyDescent="0.25">
      <c r="A9587" s="31"/>
      <c r="D9587" s="30"/>
    </row>
    <row r="9588" spans="1:4" x14ac:dyDescent="0.25">
      <c r="A9588" s="31"/>
      <c r="D9588" s="30"/>
    </row>
    <row r="9589" spans="1:4" x14ac:dyDescent="0.25">
      <c r="A9589" s="31"/>
      <c r="D9589" s="30"/>
    </row>
    <row r="9590" spans="1:4" x14ac:dyDescent="0.25">
      <c r="A9590" s="31"/>
      <c r="D9590" s="30"/>
    </row>
    <row r="9591" spans="1:4" x14ac:dyDescent="0.25">
      <c r="A9591" s="31"/>
      <c r="D9591" s="30"/>
    </row>
    <row r="9592" spans="1:4" x14ac:dyDescent="0.25">
      <c r="A9592" s="31"/>
      <c r="D9592" s="30"/>
    </row>
    <row r="9593" spans="1:4" x14ac:dyDescent="0.25">
      <c r="A9593" s="31"/>
      <c r="D9593" s="30"/>
    </row>
    <row r="9594" spans="1:4" x14ac:dyDescent="0.25">
      <c r="A9594" s="31"/>
      <c r="D9594" s="30"/>
    </row>
    <row r="9595" spans="1:4" x14ac:dyDescent="0.25">
      <c r="A9595" s="31"/>
      <c r="D9595" s="30"/>
    </row>
    <row r="9596" spans="1:4" x14ac:dyDescent="0.25">
      <c r="A9596" s="31"/>
      <c r="D9596" s="30"/>
    </row>
    <row r="9597" spans="1:4" x14ac:dyDescent="0.25">
      <c r="A9597" s="31"/>
      <c r="D9597" s="30"/>
    </row>
    <row r="9598" spans="1:4" x14ac:dyDescent="0.25">
      <c r="A9598" s="31"/>
      <c r="D9598" s="30"/>
    </row>
    <row r="9599" spans="1:4" x14ac:dyDescent="0.25">
      <c r="A9599" s="31"/>
      <c r="D9599" s="30"/>
    </row>
    <row r="9600" spans="1:4" x14ac:dyDescent="0.25">
      <c r="A9600" s="31"/>
      <c r="D9600" s="30"/>
    </row>
    <row r="9601" spans="1:4" x14ac:dyDescent="0.25">
      <c r="A9601" s="31"/>
      <c r="D9601" s="30"/>
    </row>
    <row r="9602" spans="1:4" x14ac:dyDescent="0.25">
      <c r="A9602" s="31"/>
      <c r="D9602" s="30"/>
    </row>
    <row r="9603" spans="1:4" x14ac:dyDescent="0.25">
      <c r="A9603" s="31"/>
      <c r="D9603" s="30"/>
    </row>
    <row r="9604" spans="1:4" x14ac:dyDescent="0.25">
      <c r="A9604" s="31"/>
      <c r="D9604" s="30"/>
    </row>
    <row r="9605" spans="1:4" x14ac:dyDescent="0.25">
      <c r="A9605" s="31"/>
      <c r="D9605" s="30"/>
    </row>
    <row r="9606" spans="1:4" x14ac:dyDescent="0.25">
      <c r="A9606" s="31"/>
      <c r="D9606" s="30"/>
    </row>
    <row r="9607" spans="1:4" x14ac:dyDescent="0.25">
      <c r="A9607" s="31"/>
      <c r="D9607" s="30"/>
    </row>
    <row r="9608" spans="1:4" x14ac:dyDescent="0.25">
      <c r="A9608" s="31"/>
      <c r="D9608" s="30"/>
    </row>
    <row r="9609" spans="1:4" x14ac:dyDescent="0.25">
      <c r="A9609" s="31"/>
      <c r="D9609" s="30"/>
    </row>
    <row r="9610" spans="1:4" x14ac:dyDescent="0.25">
      <c r="A9610" s="31"/>
      <c r="D9610" s="30"/>
    </row>
    <row r="9611" spans="1:4" x14ac:dyDescent="0.25">
      <c r="A9611" s="31"/>
      <c r="D9611" s="30"/>
    </row>
    <row r="9612" spans="1:4" x14ac:dyDescent="0.25">
      <c r="A9612" s="31"/>
      <c r="D9612" s="30"/>
    </row>
    <row r="9613" spans="1:4" x14ac:dyDescent="0.25">
      <c r="A9613" s="31"/>
      <c r="D9613" s="30"/>
    </row>
    <row r="9614" spans="1:4" x14ac:dyDescent="0.25">
      <c r="A9614" s="31"/>
      <c r="D9614" s="30"/>
    </row>
    <row r="9615" spans="1:4" x14ac:dyDescent="0.25">
      <c r="A9615" s="31"/>
      <c r="D9615" s="30"/>
    </row>
    <row r="9616" spans="1:4" x14ac:dyDescent="0.25">
      <c r="A9616" s="31"/>
      <c r="D9616" s="30"/>
    </row>
    <row r="9617" spans="1:4" x14ac:dyDescent="0.25">
      <c r="A9617" s="31"/>
      <c r="D9617" s="30"/>
    </row>
    <row r="9618" spans="1:4" x14ac:dyDescent="0.25">
      <c r="A9618" s="31"/>
      <c r="D9618" s="30"/>
    </row>
    <row r="9619" spans="1:4" x14ac:dyDescent="0.25">
      <c r="A9619" s="31"/>
      <c r="D9619" s="30"/>
    </row>
    <row r="9620" spans="1:4" x14ac:dyDescent="0.25">
      <c r="A9620" s="31"/>
      <c r="D9620" s="30"/>
    </row>
    <row r="9621" spans="1:4" x14ac:dyDescent="0.25">
      <c r="A9621" s="31"/>
      <c r="D9621" s="30"/>
    </row>
    <row r="9622" spans="1:4" x14ac:dyDescent="0.25">
      <c r="A9622" s="31"/>
      <c r="D9622" s="30"/>
    </row>
    <row r="9623" spans="1:4" x14ac:dyDescent="0.25">
      <c r="A9623" s="31"/>
      <c r="D9623" s="30"/>
    </row>
    <row r="9624" spans="1:4" x14ac:dyDescent="0.25">
      <c r="A9624" s="31"/>
      <c r="D9624" s="30"/>
    </row>
    <row r="9625" spans="1:4" x14ac:dyDescent="0.25">
      <c r="A9625" s="31"/>
      <c r="D9625" s="30"/>
    </row>
    <row r="9626" spans="1:4" x14ac:dyDescent="0.25">
      <c r="A9626" s="31"/>
      <c r="D9626" s="30"/>
    </row>
    <row r="9627" spans="1:4" x14ac:dyDescent="0.25">
      <c r="A9627" s="31"/>
      <c r="D9627" s="30"/>
    </row>
    <row r="9628" spans="1:4" x14ac:dyDescent="0.25">
      <c r="A9628" s="31"/>
      <c r="D9628" s="30"/>
    </row>
    <row r="9629" spans="1:4" x14ac:dyDescent="0.25">
      <c r="A9629" s="31"/>
      <c r="D9629" s="30"/>
    </row>
    <row r="9630" spans="1:4" x14ac:dyDescent="0.25">
      <c r="A9630" s="31"/>
      <c r="D9630" s="30"/>
    </row>
    <row r="9631" spans="1:4" x14ac:dyDescent="0.25">
      <c r="A9631" s="31"/>
      <c r="D9631" s="30"/>
    </row>
    <row r="9632" spans="1:4" x14ac:dyDescent="0.25">
      <c r="A9632" s="31"/>
      <c r="D9632" s="30"/>
    </row>
    <row r="9633" spans="1:4" x14ac:dyDescent="0.25">
      <c r="A9633" s="31"/>
      <c r="D9633" s="30"/>
    </row>
    <row r="9634" spans="1:4" x14ac:dyDescent="0.25">
      <c r="A9634" s="31"/>
      <c r="D9634" s="30"/>
    </row>
    <row r="9635" spans="1:4" x14ac:dyDescent="0.25">
      <c r="A9635" s="31"/>
      <c r="D9635" s="30"/>
    </row>
    <row r="9636" spans="1:4" x14ac:dyDescent="0.25">
      <c r="A9636" s="31"/>
      <c r="D9636" s="30"/>
    </row>
    <row r="9637" spans="1:4" x14ac:dyDescent="0.25">
      <c r="A9637" s="31"/>
      <c r="D9637" s="30"/>
    </row>
    <row r="9638" spans="1:4" x14ac:dyDescent="0.25">
      <c r="A9638" s="31"/>
      <c r="D9638" s="30"/>
    </row>
    <row r="9639" spans="1:4" x14ac:dyDescent="0.25">
      <c r="A9639" s="31"/>
      <c r="D9639" s="30"/>
    </row>
    <row r="9640" spans="1:4" x14ac:dyDescent="0.25">
      <c r="A9640" s="31"/>
      <c r="D9640" s="30"/>
    </row>
    <row r="9641" spans="1:4" x14ac:dyDescent="0.25">
      <c r="A9641" s="31"/>
      <c r="D9641" s="30"/>
    </row>
    <row r="9642" spans="1:4" x14ac:dyDescent="0.25">
      <c r="A9642" s="31"/>
      <c r="D9642" s="30"/>
    </row>
    <row r="9643" spans="1:4" x14ac:dyDescent="0.25">
      <c r="A9643" s="31"/>
      <c r="D9643" s="30"/>
    </row>
    <row r="9644" spans="1:4" x14ac:dyDescent="0.25">
      <c r="A9644" s="31"/>
      <c r="D9644" s="30"/>
    </row>
    <row r="9645" spans="1:4" x14ac:dyDescent="0.25">
      <c r="A9645" s="31"/>
      <c r="D9645" s="30"/>
    </row>
    <row r="9646" spans="1:4" x14ac:dyDescent="0.25">
      <c r="A9646" s="31"/>
      <c r="D9646" s="30"/>
    </row>
    <row r="9647" spans="1:4" x14ac:dyDescent="0.25">
      <c r="A9647" s="31"/>
      <c r="D9647" s="30"/>
    </row>
    <row r="9648" spans="1:4" x14ac:dyDescent="0.25">
      <c r="A9648" s="31"/>
      <c r="D9648" s="30"/>
    </row>
    <row r="9649" spans="1:4" x14ac:dyDescent="0.25">
      <c r="A9649" s="31"/>
      <c r="D9649" s="30"/>
    </row>
    <row r="9650" spans="1:4" x14ac:dyDescent="0.25">
      <c r="A9650" s="31"/>
      <c r="D9650" s="30"/>
    </row>
    <row r="9651" spans="1:4" x14ac:dyDescent="0.25">
      <c r="A9651" s="31"/>
      <c r="D9651" s="30"/>
    </row>
    <row r="9652" spans="1:4" x14ac:dyDescent="0.25">
      <c r="A9652" s="31"/>
      <c r="D9652" s="30"/>
    </row>
    <row r="9653" spans="1:4" x14ac:dyDescent="0.25">
      <c r="A9653" s="31"/>
      <c r="D9653" s="30"/>
    </row>
    <row r="9654" spans="1:4" x14ac:dyDescent="0.25">
      <c r="A9654" s="31"/>
      <c r="D9654" s="30"/>
    </row>
    <row r="9655" spans="1:4" x14ac:dyDescent="0.25">
      <c r="A9655" s="31"/>
      <c r="D9655" s="30"/>
    </row>
    <row r="9656" spans="1:4" x14ac:dyDescent="0.25">
      <c r="A9656" s="31"/>
      <c r="D9656" s="30"/>
    </row>
    <row r="9657" spans="1:4" x14ac:dyDescent="0.25">
      <c r="A9657" s="31"/>
      <c r="D9657" s="30"/>
    </row>
    <row r="9658" spans="1:4" x14ac:dyDescent="0.25">
      <c r="A9658" s="31"/>
      <c r="D9658" s="30"/>
    </row>
    <row r="9659" spans="1:4" x14ac:dyDescent="0.25">
      <c r="A9659" s="31"/>
      <c r="D9659" s="30"/>
    </row>
    <row r="9660" spans="1:4" x14ac:dyDescent="0.25">
      <c r="A9660" s="31"/>
      <c r="D9660" s="30"/>
    </row>
    <row r="9661" spans="1:4" x14ac:dyDescent="0.25">
      <c r="A9661" s="31"/>
      <c r="D9661" s="30"/>
    </row>
    <row r="9662" spans="1:4" x14ac:dyDescent="0.25">
      <c r="A9662" s="31"/>
      <c r="D9662" s="30"/>
    </row>
    <row r="9663" spans="1:4" x14ac:dyDescent="0.25">
      <c r="A9663" s="31"/>
      <c r="D9663" s="30"/>
    </row>
    <row r="9664" spans="1:4" x14ac:dyDescent="0.25">
      <c r="A9664" s="31"/>
      <c r="D9664" s="30"/>
    </row>
    <row r="9665" spans="1:4" x14ac:dyDescent="0.25">
      <c r="A9665" s="31"/>
      <c r="D9665" s="30"/>
    </row>
    <row r="9666" spans="1:4" x14ac:dyDescent="0.25">
      <c r="A9666" s="31"/>
      <c r="D9666" s="30"/>
    </row>
    <row r="9667" spans="1:4" x14ac:dyDescent="0.25">
      <c r="A9667" s="31"/>
      <c r="D9667" s="30"/>
    </row>
    <row r="9668" spans="1:4" x14ac:dyDescent="0.25">
      <c r="A9668" s="31"/>
      <c r="D9668" s="30"/>
    </row>
    <row r="9669" spans="1:4" x14ac:dyDescent="0.25">
      <c r="A9669" s="31"/>
      <c r="D9669" s="30"/>
    </row>
    <row r="9670" spans="1:4" x14ac:dyDescent="0.25">
      <c r="A9670" s="31"/>
      <c r="D9670" s="30"/>
    </row>
    <row r="9671" spans="1:4" x14ac:dyDescent="0.25">
      <c r="A9671" s="31"/>
      <c r="D9671" s="30"/>
    </row>
    <row r="9672" spans="1:4" x14ac:dyDescent="0.25">
      <c r="A9672" s="31"/>
      <c r="D9672" s="30"/>
    </row>
    <row r="9673" spans="1:4" x14ac:dyDescent="0.25">
      <c r="A9673" s="31"/>
      <c r="D9673" s="30"/>
    </row>
    <row r="9674" spans="1:4" x14ac:dyDescent="0.25">
      <c r="A9674" s="31"/>
      <c r="D9674" s="30"/>
    </row>
    <row r="9675" spans="1:4" x14ac:dyDescent="0.25">
      <c r="A9675" s="31"/>
      <c r="D9675" s="30"/>
    </row>
    <row r="9676" spans="1:4" x14ac:dyDescent="0.25">
      <c r="A9676" s="31"/>
      <c r="D9676" s="30"/>
    </row>
    <row r="9677" spans="1:4" x14ac:dyDescent="0.25">
      <c r="A9677" s="31"/>
      <c r="D9677" s="30"/>
    </row>
    <row r="9678" spans="1:4" x14ac:dyDescent="0.25">
      <c r="A9678" s="31"/>
      <c r="D9678" s="30"/>
    </row>
    <row r="9679" spans="1:4" x14ac:dyDescent="0.25">
      <c r="A9679" s="31"/>
      <c r="D9679" s="30"/>
    </row>
    <row r="9680" spans="1:4" x14ac:dyDescent="0.25">
      <c r="A9680" s="31"/>
      <c r="D9680" s="30"/>
    </row>
    <row r="9681" spans="1:4" x14ac:dyDescent="0.25">
      <c r="A9681" s="31"/>
      <c r="D9681" s="30"/>
    </row>
    <row r="9682" spans="1:4" x14ac:dyDescent="0.25">
      <c r="A9682" s="31"/>
      <c r="D9682" s="30"/>
    </row>
    <row r="9683" spans="1:4" x14ac:dyDescent="0.25">
      <c r="A9683" s="31"/>
      <c r="D9683" s="30"/>
    </row>
    <row r="9684" spans="1:4" x14ac:dyDescent="0.25">
      <c r="A9684" s="31"/>
      <c r="D9684" s="30"/>
    </row>
    <row r="9685" spans="1:4" x14ac:dyDescent="0.25">
      <c r="A9685" s="31"/>
      <c r="D9685" s="30"/>
    </row>
    <row r="9686" spans="1:4" x14ac:dyDescent="0.25">
      <c r="A9686" s="31"/>
      <c r="D9686" s="30"/>
    </row>
    <row r="9687" spans="1:4" x14ac:dyDescent="0.25">
      <c r="A9687" s="31"/>
      <c r="D9687" s="30"/>
    </row>
    <row r="9688" spans="1:4" x14ac:dyDescent="0.25">
      <c r="A9688" s="31"/>
      <c r="D9688" s="30"/>
    </row>
    <row r="9689" spans="1:4" x14ac:dyDescent="0.25">
      <c r="A9689" s="31"/>
      <c r="D9689" s="30"/>
    </row>
    <row r="9690" spans="1:4" x14ac:dyDescent="0.25">
      <c r="A9690" s="31"/>
      <c r="D9690" s="30"/>
    </row>
    <row r="9691" spans="1:4" x14ac:dyDescent="0.25">
      <c r="A9691" s="31"/>
      <c r="D9691" s="30"/>
    </row>
    <row r="9692" spans="1:4" x14ac:dyDescent="0.25">
      <c r="A9692" s="31"/>
      <c r="D9692" s="30"/>
    </row>
    <row r="9693" spans="1:4" x14ac:dyDescent="0.25">
      <c r="A9693" s="31"/>
      <c r="D9693" s="30"/>
    </row>
    <row r="9694" spans="1:4" x14ac:dyDescent="0.25">
      <c r="A9694" s="31"/>
      <c r="D9694" s="30"/>
    </row>
    <row r="9695" spans="1:4" x14ac:dyDescent="0.25">
      <c r="A9695" s="31"/>
      <c r="D9695" s="30"/>
    </row>
    <row r="9696" spans="1:4" x14ac:dyDescent="0.25">
      <c r="A9696" s="31"/>
      <c r="D9696" s="30"/>
    </row>
    <row r="9697" spans="1:4" x14ac:dyDescent="0.25">
      <c r="A9697" s="31"/>
      <c r="D9697" s="30"/>
    </row>
    <row r="9698" spans="1:4" x14ac:dyDescent="0.25">
      <c r="A9698" s="31"/>
      <c r="D9698" s="30"/>
    </row>
    <row r="9699" spans="1:4" x14ac:dyDescent="0.25">
      <c r="A9699" s="31"/>
      <c r="D9699" s="30"/>
    </row>
    <row r="9700" spans="1:4" x14ac:dyDescent="0.25">
      <c r="A9700" s="31"/>
      <c r="D9700" s="30"/>
    </row>
    <row r="9701" spans="1:4" x14ac:dyDescent="0.25">
      <c r="A9701" s="31"/>
      <c r="D9701" s="30"/>
    </row>
    <row r="9702" spans="1:4" x14ac:dyDescent="0.25">
      <c r="A9702" s="31"/>
      <c r="D9702" s="30"/>
    </row>
    <row r="9703" spans="1:4" x14ac:dyDescent="0.25">
      <c r="A9703" s="31"/>
      <c r="D9703" s="30"/>
    </row>
    <row r="9704" spans="1:4" x14ac:dyDescent="0.25">
      <c r="A9704" s="31"/>
      <c r="D9704" s="30"/>
    </row>
    <row r="9705" spans="1:4" x14ac:dyDescent="0.25">
      <c r="A9705" s="31"/>
      <c r="D9705" s="30"/>
    </row>
    <row r="9706" spans="1:4" x14ac:dyDescent="0.25">
      <c r="A9706" s="31"/>
      <c r="D9706" s="30"/>
    </row>
    <row r="9707" spans="1:4" x14ac:dyDescent="0.25">
      <c r="A9707" s="31"/>
      <c r="D9707" s="30"/>
    </row>
    <row r="9708" spans="1:4" x14ac:dyDescent="0.25">
      <c r="A9708" s="31"/>
      <c r="D9708" s="30"/>
    </row>
    <row r="9709" spans="1:4" x14ac:dyDescent="0.25">
      <c r="A9709" s="31"/>
      <c r="D9709" s="30"/>
    </row>
    <row r="9710" spans="1:4" x14ac:dyDescent="0.25">
      <c r="A9710" s="31"/>
      <c r="D9710" s="30"/>
    </row>
    <row r="9711" spans="1:4" x14ac:dyDescent="0.25">
      <c r="A9711" s="31"/>
      <c r="D9711" s="30"/>
    </row>
    <row r="9712" spans="1:4" x14ac:dyDescent="0.25">
      <c r="A9712" s="31"/>
      <c r="D9712" s="30"/>
    </row>
    <row r="9713" spans="1:4" x14ac:dyDescent="0.25">
      <c r="A9713" s="31"/>
      <c r="D9713" s="30"/>
    </row>
    <row r="9714" spans="1:4" x14ac:dyDescent="0.25">
      <c r="A9714" s="31"/>
      <c r="D9714" s="30"/>
    </row>
    <row r="9715" spans="1:4" x14ac:dyDescent="0.25">
      <c r="A9715" s="31"/>
      <c r="D9715" s="30"/>
    </row>
    <row r="9716" spans="1:4" x14ac:dyDescent="0.25">
      <c r="A9716" s="31"/>
      <c r="D9716" s="30"/>
    </row>
    <row r="9717" spans="1:4" x14ac:dyDescent="0.25">
      <c r="A9717" s="31"/>
      <c r="D9717" s="30"/>
    </row>
    <row r="9718" spans="1:4" x14ac:dyDescent="0.25">
      <c r="A9718" s="31"/>
      <c r="D9718" s="30"/>
    </row>
    <row r="9719" spans="1:4" x14ac:dyDescent="0.25">
      <c r="A9719" s="31"/>
      <c r="D9719" s="30"/>
    </row>
    <row r="9720" spans="1:4" x14ac:dyDescent="0.25">
      <c r="A9720" s="31"/>
      <c r="D9720" s="30"/>
    </row>
    <row r="9721" spans="1:4" x14ac:dyDescent="0.25">
      <c r="A9721" s="31"/>
      <c r="D9721" s="30"/>
    </row>
    <row r="9722" spans="1:4" x14ac:dyDescent="0.25">
      <c r="A9722" s="31"/>
      <c r="D9722" s="30"/>
    </row>
    <row r="9723" spans="1:4" x14ac:dyDescent="0.25">
      <c r="A9723" s="31"/>
      <c r="D9723" s="30"/>
    </row>
    <row r="9724" spans="1:4" x14ac:dyDescent="0.25">
      <c r="A9724" s="31"/>
      <c r="D9724" s="30"/>
    </row>
    <row r="9725" spans="1:4" x14ac:dyDescent="0.25">
      <c r="A9725" s="31"/>
      <c r="D9725" s="30"/>
    </row>
    <row r="9726" spans="1:4" x14ac:dyDescent="0.25">
      <c r="A9726" s="31"/>
      <c r="D9726" s="30"/>
    </row>
    <row r="9727" spans="1:4" x14ac:dyDescent="0.25">
      <c r="A9727" s="31"/>
      <c r="D9727" s="30"/>
    </row>
    <row r="9728" spans="1:4" x14ac:dyDescent="0.25">
      <c r="A9728" s="31"/>
      <c r="D9728" s="30"/>
    </row>
    <row r="9729" spans="1:4" x14ac:dyDescent="0.25">
      <c r="A9729" s="31"/>
      <c r="D9729" s="30"/>
    </row>
    <row r="9730" spans="1:4" x14ac:dyDescent="0.25">
      <c r="A9730" s="31"/>
      <c r="D9730" s="30"/>
    </row>
    <row r="9731" spans="1:4" x14ac:dyDescent="0.25">
      <c r="A9731" s="31"/>
      <c r="D9731" s="30"/>
    </row>
    <row r="9732" spans="1:4" x14ac:dyDescent="0.25">
      <c r="A9732" s="31"/>
      <c r="D9732" s="30"/>
    </row>
    <row r="9733" spans="1:4" x14ac:dyDescent="0.25">
      <c r="A9733" s="31"/>
      <c r="D9733" s="30"/>
    </row>
    <row r="9734" spans="1:4" x14ac:dyDescent="0.25">
      <c r="A9734" s="31"/>
      <c r="D9734" s="30"/>
    </row>
    <row r="9735" spans="1:4" x14ac:dyDescent="0.25">
      <c r="A9735" s="31"/>
      <c r="D9735" s="30"/>
    </row>
    <row r="9736" spans="1:4" x14ac:dyDescent="0.25">
      <c r="A9736" s="31"/>
      <c r="D9736" s="30"/>
    </row>
    <row r="9737" spans="1:4" x14ac:dyDescent="0.25">
      <c r="A9737" s="31"/>
      <c r="D9737" s="30"/>
    </row>
    <row r="9738" spans="1:4" x14ac:dyDescent="0.25">
      <c r="A9738" s="31"/>
      <c r="D9738" s="30"/>
    </row>
    <row r="9739" spans="1:4" x14ac:dyDescent="0.25">
      <c r="A9739" s="31"/>
      <c r="D9739" s="30"/>
    </row>
    <row r="9740" spans="1:4" x14ac:dyDescent="0.25">
      <c r="A9740" s="31"/>
      <c r="D9740" s="30"/>
    </row>
    <row r="9741" spans="1:4" x14ac:dyDescent="0.25">
      <c r="A9741" s="31"/>
      <c r="D9741" s="30"/>
    </row>
    <row r="9742" spans="1:4" x14ac:dyDescent="0.25">
      <c r="A9742" s="31"/>
      <c r="D9742" s="30"/>
    </row>
    <row r="9743" spans="1:4" x14ac:dyDescent="0.25">
      <c r="A9743" s="31"/>
      <c r="D9743" s="30"/>
    </row>
    <row r="9744" spans="1:4" x14ac:dyDescent="0.25">
      <c r="A9744" s="31"/>
      <c r="D9744" s="30"/>
    </row>
    <row r="9745" spans="1:4" x14ac:dyDescent="0.25">
      <c r="A9745" s="31"/>
      <c r="D9745" s="30"/>
    </row>
    <row r="9746" spans="1:4" x14ac:dyDescent="0.25">
      <c r="A9746" s="31"/>
      <c r="D9746" s="30"/>
    </row>
    <row r="9747" spans="1:4" x14ac:dyDescent="0.25">
      <c r="A9747" s="31"/>
      <c r="D9747" s="30"/>
    </row>
    <row r="9748" spans="1:4" x14ac:dyDescent="0.25">
      <c r="A9748" s="31"/>
      <c r="D9748" s="30"/>
    </row>
    <row r="9749" spans="1:4" x14ac:dyDescent="0.25">
      <c r="A9749" s="31"/>
      <c r="D9749" s="30"/>
    </row>
    <row r="9750" spans="1:4" x14ac:dyDescent="0.25">
      <c r="A9750" s="31"/>
      <c r="D9750" s="30"/>
    </row>
    <row r="9751" spans="1:4" x14ac:dyDescent="0.25">
      <c r="A9751" s="31"/>
      <c r="D9751" s="30"/>
    </row>
    <row r="9752" spans="1:4" x14ac:dyDescent="0.25">
      <c r="A9752" s="31"/>
      <c r="D9752" s="30"/>
    </row>
    <row r="9753" spans="1:4" x14ac:dyDescent="0.25">
      <c r="A9753" s="31"/>
      <c r="D9753" s="30"/>
    </row>
    <row r="9754" spans="1:4" x14ac:dyDescent="0.25">
      <c r="A9754" s="31"/>
      <c r="D9754" s="30"/>
    </row>
    <row r="9755" spans="1:4" x14ac:dyDescent="0.25">
      <c r="A9755" s="31"/>
      <c r="D9755" s="30"/>
    </row>
    <row r="9756" spans="1:4" x14ac:dyDescent="0.25">
      <c r="A9756" s="31"/>
      <c r="D9756" s="30"/>
    </row>
    <row r="9757" spans="1:4" x14ac:dyDescent="0.25">
      <c r="A9757" s="31"/>
      <c r="D9757" s="30"/>
    </row>
    <row r="9758" spans="1:4" x14ac:dyDescent="0.25">
      <c r="A9758" s="31"/>
      <c r="D9758" s="30"/>
    </row>
    <row r="9759" spans="1:4" x14ac:dyDescent="0.25">
      <c r="A9759" s="31"/>
      <c r="D9759" s="30"/>
    </row>
    <row r="9760" spans="1:4" x14ac:dyDescent="0.25">
      <c r="A9760" s="31"/>
      <c r="D9760" s="30"/>
    </row>
    <row r="9761" spans="1:4" x14ac:dyDescent="0.25">
      <c r="A9761" s="31"/>
      <c r="D9761" s="30"/>
    </row>
    <row r="9762" spans="1:4" x14ac:dyDescent="0.25">
      <c r="A9762" s="31"/>
      <c r="D9762" s="30"/>
    </row>
    <row r="9763" spans="1:4" x14ac:dyDescent="0.25">
      <c r="A9763" s="31"/>
      <c r="D9763" s="30"/>
    </row>
    <row r="9764" spans="1:4" x14ac:dyDescent="0.25">
      <c r="A9764" s="31"/>
      <c r="D9764" s="30"/>
    </row>
    <row r="9765" spans="1:4" x14ac:dyDescent="0.25">
      <c r="A9765" s="31"/>
      <c r="D9765" s="30"/>
    </row>
    <row r="9766" spans="1:4" x14ac:dyDescent="0.25">
      <c r="A9766" s="31"/>
      <c r="D9766" s="30"/>
    </row>
    <row r="9767" spans="1:4" x14ac:dyDescent="0.25">
      <c r="A9767" s="31"/>
      <c r="D9767" s="30"/>
    </row>
    <row r="9768" spans="1:4" x14ac:dyDescent="0.25">
      <c r="A9768" s="31"/>
      <c r="D9768" s="30"/>
    </row>
    <row r="9769" spans="1:4" x14ac:dyDescent="0.25">
      <c r="A9769" s="31"/>
      <c r="D9769" s="30"/>
    </row>
    <row r="9770" spans="1:4" x14ac:dyDescent="0.25">
      <c r="A9770" s="31"/>
      <c r="D9770" s="30"/>
    </row>
    <row r="9771" spans="1:4" x14ac:dyDescent="0.25">
      <c r="A9771" s="31"/>
      <c r="D9771" s="30"/>
    </row>
    <row r="9772" spans="1:4" x14ac:dyDescent="0.25">
      <c r="A9772" s="31"/>
      <c r="D9772" s="30"/>
    </row>
    <row r="9773" spans="1:4" x14ac:dyDescent="0.25">
      <c r="A9773" s="31"/>
      <c r="D9773" s="30"/>
    </row>
    <row r="9774" spans="1:4" x14ac:dyDescent="0.25">
      <c r="A9774" s="31"/>
      <c r="D9774" s="30"/>
    </row>
    <row r="9775" spans="1:4" x14ac:dyDescent="0.25">
      <c r="A9775" s="31"/>
      <c r="D9775" s="30"/>
    </row>
    <row r="9776" spans="1:4" x14ac:dyDescent="0.25">
      <c r="A9776" s="31"/>
      <c r="D9776" s="30"/>
    </row>
    <row r="9777" spans="1:4" x14ac:dyDescent="0.25">
      <c r="A9777" s="31"/>
      <c r="D9777" s="30"/>
    </row>
    <row r="9778" spans="1:4" x14ac:dyDescent="0.25">
      <c r="A9778" s="31"/>
      <c r="D9778" s="30"/>
    </row>
    <row r="9779" spans="1:4" x14ac:dyDescent="0.25">
      <c r="A9779" s="31"/>
      <c r="D9779" s="30"/>
    </row>
    <row r="9780" spans="1:4" x14ac:dyDescent="0.25">
      <c r="A9780" s="31"/>
      <c r="D9780" s="30"/>
    </row>
    <row r="9781" spans="1:4" x14ac:dyDescent="0.25">
      <c r="A9781" s="31"/>
      <c r="D9781" s="30"/>
    </row>
    <row r="9782" spans="1:4" x14ac:dyDescent="0.25">
      <c r="A9782" s="31"/>
      <c r="D9782" s="30"/>
    </row>
    <row r="9783" spans="1:4" x14ac:dyDescent="0.25">
      <c r="A9783" s="31"/>
      <c r="D9783" s="30"/>
    </row>
    <row r="9784" spans="1:4" x14ac:dyDescent="0.25">
      <c r="A9784" s="31"/>
      <c r="D9784" s="30"/>
    </row>
    <row r="9785" spans="1:4" x14ac:dyDescent="0.25">
      <c r="A9785" s="31"/>
      <c r="D9785" s="30"/>
    </row>
    <row r="9786" spans="1:4" x14ac:dyDescent="0.25">
      <c r="A9786" s="31"/>
      <c r="D9786" s="30"/>
    </row>
    <row r="9787" spans="1:4" x14ac:dyDescent="0.25">
      <c r="A9787" s="31"/>
      <c r="D9787" s="30"/>
    </row>
    <row r="9788" spans="1:4" x14ac:dyDescent="0.25">
      <c r="A9788" s="31"/>
      <c r="D9788" s="30"/>
    </row>
    <row r="9789" spans="1:4" x14ac:dyDescent="0.25">
      <c r="A9789" s="31"/>
      <c r="D9789" s="30"/>
    </row>
    <row r="9790" spans="1:4" x14ac:dyDescent="0.25">
      <c r="A9790" s="31"/>
      <c r="D9790" s="30"/>
    </row>
    <row r="9791" spans="1:4" x14ac:dyDescent="0.25">
      <c r="A9791" s="31"/>
      <c r="D9791" s="30"/>
    </row>
    <row r="9792" spans="1:4" x14ac:dyDescent="0.25">
      <c r="A9792" s="31"/>
      <c r="D9792" s="30"/>
    </row>
    <row r="9793" spans="1:4" x14ac:dyDescent="0.25">
      <c r="A9793" s="31"/>
      <c r="D9793" s="30"/>
    </row>
    <row r="9794" spans="1:4" x14ac:dyDescent="0.25">
      <c r="A9794" s="31"/>
      <c r="D9794" s="30"/>
    </row>
    <row r="9795" spans="1:4" x14ac:dyDescent="0.25">
      <c r="A9795" s="31"/>
      <c r="D9795" s="30"/>
    </row>
    <row r="9796" spans="1:4" x14ac:dyDescent="0.25">
      <c r="A9796" s="31"/>
      <c r="D9796" s="30"/>
    </row>
    <row r="9797" spans="1:4" x14ac:dyDescent="0.25">
      <c r="A9797" s="31"/>
      <c r="D9797" s="30"/>
    </row>
    <row r="9798" spans="1:4" x14ac:dyDescent="0.25">
      <c r="A9798" s="31"/>
      <c r="D9798" s="30"/>
    </row>
    <row r="9799" spans="1:4" x14ac:dyDescent="0.25">
      <c r="A9799" s="31"/>
      <c r="D9799" s="30"/>
    </row>
    <row r="9800" spans="1:4" x14ac:dyDescent="0.25">
      <c r="A9800" s="31"/>
      <c r="D9800" s="30"/>
    </row>
    <row r="9801" spans="1:4" x14ac:dyDescent="0.25">
      <c r="A9801" s="31"/>
      <c r="D9801" s="30"/>
    </row>
    <row r="9802" spans="1:4" x14ac:dyDescent="0.25">
      <c r="A9802" s="31"/>
      <c r="D9802" s="30"/>
    </row>
    <row r="9803" spans="1:4" x14ac:dyDescent="0.25">
      <c r="A9803" s="31"/>
      <c r="D9803" s="30"/>
    </row>
    <row r="9804" spans="1:4" x14ac:dyDescent="0.25">
      <c r="A9804" s="31"/>
      <c r="D9804" s="30"/>
    </row>
    <row r="9805" spans="1:4" x14ac:dyDescent="0.25">
      <c r="A9805" s="31"/>
      <c r="D9805" s="30"/>
    </row>
    <row r="9806" spans="1:4" x14ac:dyDescent="0.25">
      <c r="A9806" s="31"/>
      <c r="D9806" s="30"/>
    </row>
    <row r="9807" spans="1:4" x14ac:dyDescent="0.25">
      <c r="A9807" s="31"/>
      <c r="D9807" s="30"/>
    </row>
    <row r="9808" spans="1:4" x14ac:dyDescent="0.25">
      <c r="A9808" s="31"/>
      <c r="D9808" s="30"/>
    </row>
    <row r="9809" spans="1:4" x14ac:dyDescent="0.25">
      <c r="A9809" s="31"/>
      <c r="D9809" s="30"/>
    </row>
    <row r="9810" spans="1:4" x14ac:dyDescent="0.25">
      <c r="A9810" s="31"/>
      <c r="D9810" s="30"/>
    </row>
    <row r="9811" spans="1:4" x14ac:dyDescent="0.25">
      <c r="A9811" s="31"/>
      <c r="D9811" s="30"/>
    </row>
    <row r="9812" spans="1:4" x14ac:dyDescent="0.25">
      <c r="A9812" s="31"/>
      <c r="D9812" s="30"/>
    </row>
    <row r="9813" spans="1:4" x14ac:dyDescent="0.25">
      <c r="A9813" s="31"/>
      <c r="D9813" s="30"/>
    </row>
    <row r="9814" spans="1:4" x14ac:dyDescent="0.25">
      <c r="A9814" s="31"/>
      <c r="D9814" s="30"/>
    </row>
    <row r="9815" spans="1:4" x14ac:dyDescent="0.25">
      <c r="A9815" s="31"/>
      <c r="D9815" s="30"/>
    </row>
    <row r="9816" spans="1:4" x14ac:dyDescent="0.25">
      <c r="A9816" s="31"/>
      <c r="D9816" s="30"/>
    </row>
    <row r="9817" spans="1:4" x14ac:dyDescent="0.25">
      <c r="A9817" s="31"/>
      <c r="D9817" s="30"/>
    </row>
    <row r="9818" spans="1:4" x14ac:dyDescent="0.25">
      <c r="A9818" s="31"/>
      <c r="D9818" s="30"/>
    </row>
    <row r="9819" spans="1:4" x14ac:dyDescent="0.25">
      <c r="A9819" s="31"/>
      <c r="D9819" s="30"/>
    </row>
    <row r="9820" spans="1:4" x14ac:dyDescent="0.25">
      <c r="A9820" s="31"/>
      <c r="D9820" s="30"/>
    </row>
    <row r="9821" spans="1:4" x14ac:dyDescent="0.25">
      <c r="A9821" s="31"/>
      <c r="D9821" s="30"/>
    </row>
    <row r="9822" spans="1:4" x14ac:dyDescent="0.25">
      <c r="A9822" s="31"/>
      <c r="D9822" s="30"/>
    </row>
    <row r="9823" spans="1:4" x14ac:dyDescent="0.25">
      <c r="A9823" s="31"/>
      <c r="D9823" s="30"/>
    </row>
    <row r="9824" spans="1:4" x14ac:dyDescent="0.25">
      <c r="A9824" s="31"/>
      <c r="D9824" s="30"/>
    </row>
    <row r="9825" spans="1:4" x14ac:dyDescent="0.25">
      <c r="A9825" s="31"/>
      <c r="D9825" s="30"/>
    </row>
    <row r="9826" spans="1:4" x14ac:dyDescent="0.25">
      <c r="A9826" s="31"/>
      <c r="D9826" s="30"/>
    </row>
    <row r="9827" spans="1:4" x14ac:dyDescent="0.25">
      <c r="A9827" s="31"/>
      <c r="D9827" s="30"/>
    </row>
    <row r="9828" spans="1:4" x14ac:dyDescent="0.25">
      <c r="A9828" s="31"/>
      <c r="D9828" s="30"/>
    </row>
    <row r="9829" spans="1:4" x14ac:dyDescent="0.25">
      <c r="A9829" s="31"/>
      <c r="D9829" s="30"/>
    </row>
    <row r="9830" spans="1:4" x14ac:dyDescent="0.25">
      <c r="A9830" s="31"/>
      <c r="D9830" s="30"/>
    </row>
    <row r="9831" spans="1:4" x14ac:dyDescent="0.25">
      <c r="A9831" s="31"/>
      <c r="D9831" s="30"/>
    </row>
    <row r="9832" spans="1:4" x14ac:dyDescent="0.25">
      <c r="A9832" s="31"/>
      <c r="D9832" s="30"/>
    </row>
    <row r="9833" spans="1:4" x14ac:dyDescent="0.25">
      <c r="A9833" s="31"/>
      <c r="D9833" s="30"/>
    </row>
    <row r="9834" spans="1:4" x14ac:dyDescent="0.25">
      <c r="A9834" s="31"/>
      <c r="D9834" s="30"/>
    </row>
    <row r="9835" spans="1:4" x14ac:dyDescent="0.25">
      <c r="A9835" s="31"/>
      <c r="D9835" s="30"/>
    </row>
    <row r="9836" spans="1:4" x14ac:dyDescent="0.25">
      <c r="A9836" s="31"/>
      <c r="D9836" s="30"/>
    </row>
    <row r="9837" spans="1:4" x14ac:dyDescent="0.25">
      <c r="A9837" s="31"/>
      <c r="D9837" s="30"/>
    </row>
    <row r="9838" spans="1:4" x14ac:dyDescent="0.25">
      <c r="A9838" s="31"/>
      <c r="D9838" s="30"/>
    </row>
    <row r="9839" spans="1:4" x14ac:dyDescent="0.25">
      <c r="A9839" s="31"/>
      <c r="D9839" s="30"/>
    </row>
    <row r="9840" spans="1:4" x14ac:dyDescent="0.25">
      <c r="A9840" s="31"/>
      <c r="D9840" s="30"/>
    </row>
    <row r="9841" spans="1:4" x14ac:dyDescent="0.25">
      <c r="A9841" s="31"/>
      <c r="D9841" s="30"/>
    </row>
    <row r="9842" spans="1:4" x14ac:dyDescent="0.25">
      <c r="A9842" s="31"/>
      <c r="D9842" s="30"/>
    </row>
    <row r="9843" spans="1:4" x14ac:dyDescent="0.25">
      <c r="A9843" s="31"/>
      <c r="D9843" s="30"/>
    </row>
    <row r="9844" spans="1:4" x14ac:dyDescent="0.25">
      <c r="A9844" s="31"/>
      <c r="D9844" s="30"/>
    </row>
    <row r="9845" spans="1:4" x14ac:dyDescent="0.25">
      <c r="A9845" s="31"/>
      <c r="D9845" s="30"/>
    </row>
    <row r="9846" spans="1:4" x14ac:dyDescent="0.25">
      <c r="A9846" s="31"/>
      <c r="D9846" s="30"/>
    </row>
    <row r="9847" spans="1:4" x14ac:dyDescent="0.25">
      <c r="A9847" s="31"/>
      <c r="D9847" s="30"/>
    </row>
    <row r="9848" spans="1:4" x14ac:dyDescent="0.25">
      <c r="A9848" s="31"/>
      <c r="D9848" s="30"/>
    </row>
    <row r="9849" spans="1:4" x14ac:dyDescent="0.25">
      <c r="A9849" s="31"/>
      <c r="D9849" s="30"/>
    </row>
    <row r="9850" spans="1:4" x14ac:dyDescent="0.25">
      <c r="A9850" s="31"/>
      <c r="D9850" s="30"/>
    </row>
    <row r="9851" spans="1:4" x14ac:dyDescent="0.25">
      <c r="A9851" s="31"/>
      <c r="D9851" s="30"/>
    </row>
    <row r="9852" spans="1:4" x14ac:dyDescent="0.25">
      <c r="A9852" s="31"/>
      <c r="D9852" s="30"/>
    </row>
    <row r="9853" spans="1:4" x14ac:dyDescent="0.25">
      <c r="A9853" s="31"/>
      <c r="D9853" s="30"/>
    </row>
    <row r="9854" spans="1:4" x14ac:dyDescent="0.25">
      <c r="A9854" s="31"/>
      <c r="D9854" s="30"/>
    </row>
    <row r="9855" spans="1:4" x14ac:dyDescent="0.25">
      <c r="A9855" s="31"/>
      <c r="D9855" s="30"/>
    </row>
    <row r="9856" spans="1:4" x14ac:dyDescent="0.25">
      <c r="A9856" s="31"/>
      <c r="D9856" s="30"/>
    </row>
    <row r="9857" spans="1:4" x14ac:dyDescent="0.25">
      <c r="A9857" s="31"/>
      <c r="D9857" s="30"/>
    </row>
    <row r="9858" spans="1:4" x14ac:dyDescent="0.25">
      <c r="A9858" s="31"/>
      <c r="D9858" s="30"/>
    </row>
    <row r="9859" spans="1:4" x14ac:dyDescent="0.25">
      <c r="A9859" s="31"/>
      <c r="D9859" s="30"/>
    </row>
    <row r="9860" spans="1:4" x14ac:dyDescent="0.25">
      <c r="A9860" s="31"/>
      <c r="D9860" s="30"/>
    </row>
    <row r="9861" spans="1:4" x14ac:dyDescent="0.25">
      <c r="A9861" s="31"/>
      <c r="D9861" s="30"/>
    </row>
    <row r="9862" spans="1:4" x14ac:dyDescent="0.25">
      <c r="A9862" s="31"/>
      <c r="D9862" s="30"/>
    </row>
    <row r="9863" spans="1:4" x14ac:dyDescent="0.25">
      <c r="A9863" s="31"/>
      <c r="D9863" s="30"/>
    </row>
    <row r="9864" spans="1:4" x14ac:dyDescent="0.25">
      <c r="A9864" s="31"/>
      <c r="D9864" s="30"/>
    </row>
    <row r="9865" spans="1:4" x14ac:dyDescent="0.25">
      <c r="A9865" s="31"/>
      <c r="D9865" s="30"/>
    </row>
    <row r="9866" spans="1:4" x14ac:dyDescent="0.25">
      <c r="A9866" s="31"/>
      <c r="D9866" s="30"/>
    </row>
    <row r="9867" spans="1:4" x14ac:dyDescent="0.25">
      <c r="A9867" s="31"/>
      <c r="D9867" s="30"/>
    </row>
    <row r="9868" spans="1:4" x14ac:dyDescent="0.25">
      <c r="A9868" s="31"/>
      <c r="D9868" s="30"/>
    </row>
    <row r="9869" spans="1:4" x14ac:dyDescent="0.25">
      <c r="A9869" s="31"/>
      <c r="D9869" s="30"/>
    </row>
    <row r="9870" spans="1:4" x14ac:dyDescent="0.25">
      <c r="A9870" s="31"/>
      <c r="D9870" s="30"/>
    </row>
    <row r="9871" spans="1:4" x14ac:dyDescent="0.25">
      <c r="A9871" s="31"/>
      <c r="D9871" s="30"/>
    </row>
    <row r="9872" spans="1:4" x14ac:dyDescent="0.25">
      <c r="A9872" s="31"/>
      <c r="D9872" s="30"/>
    </row>
    <row r="9873" spans="1:4" x14ac:dyDescent="0.25">
      <c r="A9873" s="31"/>
      <c r="D9873" s="30"/>
    </row>
    <row r="9874" spans="1:4" x14ac:dyDescent="0.25">
      <c r="A9874" s="31"/>
      <c r="D9874" s="30"/>
    </row>
    <row r="9875" spans="1:4" x14ac:dyDescent="0.25">
      <c r="A9875" s="31"/>
      <c r="D9875" s="30"/>
    </row>
    <row r="9876" spans="1:4" x14ac:dyDescent="0.25">
      <c r="A9876" s="31"/>
      <c r="D9876" s="30"/>
    </row>
    <row r="9877" spans="1:4" x14ac:dyDescent="0.25">
      <c r="A9877" s="31"/>
      <c r="D9877" s="30"/>
    </row>
    <row r="9878" spans="1:4" x14ac:dyDescent="0.25">
      <c r="A9878" s="31"/>
      <c r="D9878" s="30"/>
    </row>
    <row r="9879" spans="1:4" x14ac:dyDescent="0.25">
      <c r="A9879" s="31"/>
      <c r="D9879" s="30"/>
    </row>
    <row r="9880" spans="1:4" x14ac:dyDescent="0.25">
      <c r="A9880" s="31"/>
      <c r="D9880" s="30"/>
    </row>
    <row r="9881" spans="1:4" x14ac:dyDescent="0.25">
      <c r="A9881" s="31"/>
      <c r="D9881" s="30"/>
    </row>
    <row r="9882" spans="1:4" x14ac:dyDescent="0.25">
      <c r="A9882" s="31"/>
      <c r="D9882" s="30"/>
    </row>
    <row r="9883" spans="1:4" x14ac:dyDescent="0.25">
      <c r="A9883" s="31"/>
      <c r="D9883" s="30"/>
    </row>
    <row r="9884" spans="1:4" x14ac:dyDescent="0.25">
      <c r="A9884" s="31"/>
      <c r="D9884" s="30"/>
    </row>
    <row r="9885" spans="1:4" x14ac:dyDescent="0.25">
      <c r="A9885" s="31"/>
      <c r="D9885" s="30"/>
    </row>
    <row r="9886" spans="1:4" x14ac:dyDescent="0.25">
      <c r="A9886" s="31"/>
      <c r="D9886" s="30"/>
    </row>
    <row r="9887" spans="1:4" x14ac:dyDescent="0.25">
      <c r="A9887" s="31"/>
      <c r="D9887" s="30"/>
    </row>
    <row r="9888" spans="1:4" x14ac:dyDescent="0.25">
      <c r="A9888" s="31"/>
      <c r="D9888" s="30"/>
    </row>
    <row r="9889" spans="1:4" x14ac:dyDescent="0.25">
      <c r="A9889" s="31"/>
      <c r="D9889" s="30"/>
    </row>
    <row r="9890" spans="1:4" x14ac:dyDescent="0.25">
      <c r="A9890" s="31"/>
      <c r="D9890" s="30"/>
    </row>
    <row r="9891" spans="1:4" x14ac:dyDescent="0.25">
      <c r="A9891" s="31"/>
      <c r="D9891" s="30"/>
    </row>
    <row r="9892" spans="1:4" x14ac:dyDescent="0.25">
      <c r="A9892" s="31"/>
      <c r="D9892" s="30"/>
    </row>
    <row r="9893" spans="1:4" x14ac:dyDescent="0.25">
      <c r="A9893" s="31"/>
      <c r="D9893" s="30"/>
    </row>
    <row r="9894" spans="1:4" x14ac:dyDescent="0.25">
      <c r="A9894" s="31"/>
      <c r="D9894" s="30"/>
    </row>
    <row r="9895" spans="1:4" x14ac:dyDescent="0.25">
      <c r="A9895" s="31"/>
      <c r="D9895" s="30"/>
    </row>
    <row r="9896" spans="1:4" x14ac:dyDescent="0.25">
      <c r="A9896" s="31"/>
      <c r="D9896" s="30"/>
    </row>
    <row r="9897" spans="1:4" x14ac:dyDescent="0.25">
      <c r="A9897" s="31"/>
      <c r="D9897" s="30"/>
    </row>
    <row r="9898" spans="1:4" x14ac:dyDescent="0.25">
      <c r="A9898" s="31"/>
      <c r="D9898" s="30"/>
    </row>
    <row r="9899" spans="1:4" x14ac:dyDescent="0.25">
      <c r="A9899" s="31"/>
      <c r="D9899" s="30"/>
    </row>
    <row r="9900" spans="1:4" x14ac:dyDescent="0.25">
      <c r="A9900" s="31"/>
      <c r="D9900" s="30"/>
    </row>
    <row r="9901" spans="1:4" x14ac:dyDescent="0.25">
      <c r="A9901" s="31"/>
      <c r="D9901" s="30"/>
    </row>
    <row r="9902" spans="1:4" x14ac:dyDescent="0.25">
      <c r="A9902" s="31"/>
      <c r="D9902" s="30"/>
    </row>
    <row r="9903" spans="1:4" x14ac:dyDescent="0.25">
      <c r="A9903" s="31"/>
      <c r="D9903" s="30"/>
    </row>
    <row r="9904" spans="1:4" x14ac:dyDescent="0.25">
      <c r="A9904" s="31"/>
      <c r="D9904" s="30"/>
    </row>
    <row r="9905" spans="1:4" x14ac:dyDescent="0.25">
      <c r="A9905" s="31"/>
      <c r="D9905" s="30"/>
    </row>
    <row r="9906" spans="1:4" x14ac:dyDescent="0.25">
      <c r="A9906" s="31"/>
      <c r="D9906" s="30"/>
    </row>
    <row r="9907" spans="1:4" x14ac:dyDescent="0.25">
      <c r="A9907" s="31"/>
      <c r="D9907" s="30"/>
    </row>
    <row r="9908" spans="1:4" x14ac:dyDescent="0.25">
      <c r="A9908" s="31"/>
      <c r="D9908" s="30"/>
    </row>
    <row r="9909" spans="1:4" x14ac:dyDescent="0.25">
      <c r="A9909" s="31"/>
      <c r="D9909" s="30"/>
    </row>
    <row r="9910" spans="1:4" x14ac:dyDescent="0.25">
      <c r="A9910" s="31"/>
      <c r="D9910" s="30"/>
    </row>
    <row r="9911" spans="1:4" x14ac:dyDescent="0.25">
      <c r="A9911" s="31"/>
      <c r="D9911" s="30"/>
    </row>
    <row r="9912" spans="1:4" x14ac:dyDescent="0.25">
      <c r="A9912" s="31"/>
      <c r="D9912" s="30"/>
    </row>
    <row r="9913" spans="1:4" x14ac:dyDescent="0.25">
      <c r="A9913" s="31"/>
      <c r="D9913" s="30"/>
    </row>
    <row r="9914" spans="1:4" x14ac:dyDescent="0.25">
      <c r="A9914" s="31"/>
      <c r="D9914" s="30"/>
    </row>
    <row r="9915" spans="1:4" x14ac:dyDescent="0.25">
      <c r="A9915" s="31"/>
      <c r="D9915" s="30"/>
    </row>
    <row r="9916" spans="1:4" x14ac:dyDescent="0.25">
      <c r="A9916" s="31"/>
      <c r="D9916" s="30"/>
    </row>
    <row r="9917" spans="1:4" x14ac:dyDescent="0.25">
      <c r="A9917" s="31"/>
      <c r="D9917" s="30"/>
    </row>
    <row r="9918" spans="1:4" x14ac:dyDescent="0.25">
      <c r="A9918" s="31"/>
      <c r="D9918" s="30"/>
    </row>
    <row r="9919" spans="1:4" x14ac:dyDescent="0.25">
      <c r="A9919" s="31"/>
      <c r="D9919" s="30"/>
    </row>
    <row r="9920" spans="1:4" x14ac:dyDescent="0.25">
      <c r="A9920" s="31"/>
      <c r="D9920" s="30"/>
    </row>
    <row r="9921" spans="1:4" x14ac:dyDescent="0.25">
      <c r="A9921" s="31"/>
      <c r="D9921" s="30"/>
    </row>
    <row r="9922" spans="1:4" x14ac:dyDescent="0.25">
      <c r="A9922" s="31"/>
      <c r="D9922" s="30"/>
    </row>
    <row r="9923" spans="1:4" x14ac:dyDescent="0.25">
      <c r="A9923" s="31"/>
      <c r="D9923" s="30"/>
    </row>
    <row r="9924" spans="1:4" x14ac:dyDescent="0.25">
      <c r="A9924" s="31"/>
      <c r="D9924" s="30"/>
    </row>
    <row r="9925" spans="1:4" x14ac:dyDescent="0.25">
      <c r="A9925" s="31"/>
      <c r="D9925" s="30"/>
    </row>
    <row r="9926" spans="1:4" x14ac:dyDescent="0.25">
      <c r="A9926" s="31"/>
      <c r="D9926" s="30"/>
    </row>
    <row r="9927" spans="1:4" x14ac:dyDescent="0.25">
      <c r="A9927" s="31"/>
      <c r="D9927" s="30"/>
    </row>
    <row r="9928" spans="1:4" x14ac:dyDescent="0.25">
      <c r="A9928" s="31"/>
      <c r="D9928" s="30"/>
    </row>
    <row r="9929" spans="1:4" x14ac:dyDescent="0.25">
      <c r="A9929" s="31"/>
      <c r="D9929" s="30"/>
    </row>
    <row r="9930" spans="1:4" x14ac:dyDescent="0.25">
      <c r="A9930" s="31"/>
      <c r="D9930" s="30"/>
    </row>
    <row r="9931" spans="1:4" x14ac:dyDescent="0.25">
      <c r="A9931" s="31"/>
      <c r="D9931" s="30"/>
    </row>
    <row r="9932" spans="1:4" x14ac:dyDescent="0.25">
      <c r="A9932" s="31"/>
      <c r="D9932" s="30"/>
    </row>
    <row r="9933" spans="1:4" x14ac:dyDescent="0.25">
      <c r="A9933" s="31"/>
      <c r="D9933" s="30"/>
    </row>
    <row r="9934" spans="1:4" x14ac:dyDescent="0.25">
      <c r="A9934" s="31"/>
      <c r="D9934" s="30"/>
    </row>
    <row r="9935" spans="1:4" x14ac:dyDescent="0.25">
      <c r="A9935" s="31"/>
      <c r="D9935" s="30"/>
    </row>
    <row r="9936" spans="1:4" x14ac:dyDescent="0.25">
      <c r="A9936" s="31"/>
      <c r="D9936" s="30"/>
    </row>
    <row r="9937" spans="1:4" x14ac:dyDescent="0.25">
      <c r="A9937" s="31"/>
      <c r="D9937" s="30"/>
    </row>
    <row r="9938" spans="1:4" x14ac:dyDescent="0.25">
      <c r="A9938" s="31"/>
      <c r="D9938" s="30"/>
    </row>
    <row r="9939" spans="1:4" x14ac:dyDescent="0.25">
      <c r="A9939" s="31"/>
      <c r="D9939" s="30"/>
    </row>
    <row r="9940" spans="1:4" x14ac:dyDescent="0.25">
      <c r="A9940" s="31"/>
      <c r="D9940" s="30"/>
    </row>
    <row r="9941" spans="1:4" x14ac:dyDescent="0.25">
      <c r="A9941" s="31"/>
      <c r="D9941" s="30"/>
    </row>
    <row r="9942" spans="1:4" x14ac:dyDescent="0.25">
      <c r="A9942" s="31"/>
      <c r="D9942" s="30"/>
    </row>
    <row r="9943" spans="1:4" x14ac:dyDescent="0.25">
      <c r="A9943" s="31"/>
      <c r="D9943" s="30"/>
    </row>
    <row r="9944" spans="1:4" x14ac:dyDescent="0.25">
      <c r="A9944" s="31"/>
      <c r="D9944" s="30"/>
    </row>
    <row r="9945" spans="1:4" x14ac:dyDescent="0.25">
      <c r="A9945" s="31"/>
      <c r="D9945" s="30"/>
    </row>
    <row r="9946" spans="1:4" x14ac:dyDescent="0.25">
      <c r="A9946" s="31"/>
      <c r="D9946" s="30"/>
    </row>
    <row r="9947" spans="1:4" x14ac:dyDescent="0.25">
      <c r="A9947" s="31"/>
      <c r="D9947" s="30"/>
    </row>
    <row r="9948" spans="1:4" x14ac:dyDescent="0.25">
      <c r="A9948" s="31"/>
      <c r="D9948" s="30"/>
    </row>
    <row r="9949" spans="1:4" x14ac:dyDescent="0.25">
      <c r="A9949" s="31"/>
      <c r="D9949" s="30"/>
    </row>
    <row r="9950" spans="1:4" x14ac:dyDescent="0.25">
      <c r="A9950" s="31"/>
      <c r="D9950" s="30"/>
    </row>
    <row r="9951" spans="1:4" x14ac:dyDescent="0.25">
      <c r="A9951" s="31"/>
      <c r="D9951" s="30"/>
    </row>
    <row r="9952" spans="1:4" x14ac:dyDescent="0.25">
      <c r="A9952" s="31"/>
      <c r="D9952" s="30"/>
    </row>
    <row r="9953" spans="1:4" x14ac:dyDescent="0.25">
      <c r="A9953" s="31"/>
      <c r="D9953" s="30"/>
    </row>
    <row r="9954" spans="1:4" x14ac:dyDescent="0.25">
      <c r="A9954" s="31"/>
      <c r="D9954" s="30"/>
    </row>
    <row r="9955" spans="1:4" x14ac:dyDescent="0.25">
      <c r="A9955" s="31"/>
      <c r="D9955" s="30"/>
    </row>
    <row r="9956" spans="1:4" x14ac:dyDescent="0.25">
      <c r="A9956" s="31"/>
      <c r="D9956" s="30"/>
    </row>
    <row r="9957" spans="1:4" x14ac:dyDescent="0.25">
      <c r="A9957" s="31"/>
      <c r="D9957" s="30"/>
    </row>
    <row r="9958" spans="1:4" x14ac:dyDescent="0.25">
      <c r="A9958" s="31"/>
      <c r="D9958" s="30"/>
    </row>
    <row r="9959" spans="1:4" x14ac:dyDescent="0.25">
      <c r="A9959" s="31"/>
      <c r="D9959" s="30"/>
    </row>
    <row r="9960" spans="1:4" x14ac:dyDescent="0.25">
      <c r="A9960" s="31"/>
      <c r="D9960" s="30"/>
    </row>
    <row r="9961" spans="1:4" x14ac:dyDescent="0.25">
      <c r="A9961" s="31"/>
      <c r="D9961" s="30"/>
    </row>
    <row r="9962" spans="1:4" x14ac:dyDescent="0.25">
      <c r="A9962" s="31"/>
      <c r="D9962" s="30"/>
    </row>
    <row r="9963" spans="1:4" x14ac:dyDescent="0.25">
      <c r="A9963" s="31"/>
      <c r="D9963" s="30"/>
    </row>
    <row r="9964" spans="1:4" x14ac:dyDescent="0.25">
      <c r="A9964" s="31"/>
      <c r="D9964" s="30"/>
    </row>
    <row r="9965" spans="1:4" x14ac:dyDescent="0.25">
      <c r="A9965" s="31"/>
      <c r="D9965" s="30"/>
    </row>
    <row r="9966" spans="1:4" x14ac:dyDescent="0.25">
      <c r="A9966" s="31"/>
      <c r="D9966" s="30"/>
    </row>
    <row r="9967" spans="1:4" x14ac:dyDescent="0.25">
      <c r="A9967" s="31"/>
      <c r="D9967" s="30"/>
    </row>
    <row r="9968" spans="1:4" x14ac:dyDescent="0.25">
      <c r="A9968" s="31"/>
      <c r="D9968" s="30"/>
    </row>
    <row r="9969" spans="1:4" x14ac:dyDescent="0.25">
      <c r="A9969" s="31"/>
      <c r="D9969" s="30"/>
    </row>
    <row r="9970" spans="1:4" x14ac:dyDescent="0.25">
      <c r="A9970" s="31"/>
      <c r="D9970" s="30"/>
    </row>
    <row r="9971" spans="1:4" x14ac:dyDescent="0.25">
      <c r="A9971" s="31"/>
      <c r="D9971" s="30"/>
    </row>
    <row r="9972" spans="1:4" x14ac:dyDescent="0.25">
      <c r="A9972" s="31"/>
      <c r="D9972" s="30"/>
    </row>
    <row r="9973" spans="1:4" x14ac:dyDescent="0.25">
      <c r="A9973" s="31"/>
      <c r="D9973" s="30"/>
    </row>
    <row r="9974" spans="1:4" x14ac:dyDescent="0.25">
      <c r="A9974" s="31"/>
      <c r="D9974" s="30"/>
    </row>
    <row r="9975" spans="1:4" x14ac:dyDescent="0.25">
      <c r="A9975" s="31"/>
      <c r="D9975" s="30"/>
    </row>
    <row r="9976" spans="1:4" x14ac:dyDescent="0.25">
      <c r="A9976" s="31"/>
      <c r="D9976" s="30"/>
    </row>
    <row r="9977" spans="1:4" x14ac:dyDescent="0.25">
      <c r="A9977" s="31"/>
      <c r="D9977" s="30"/>
    </row>
    <row r="9978" spans="1:4" x14ac:dyDescent="0.25">
      <c r="A9978" s="31"/>
      <c r="D9978" s="30"/>
    </row>
    <row r="9979" spans="1:4" x14ac:dyDescent="0.25">
      <c r="A9979" s="31"/>
      <c r="D9979" s="30"/>
    </row>
    <row r="9980" spans="1:4" x14ac:dyDescent="0.25">
      <c r="A9980" s="31"/>
      <c r="D9980" s="30"/>
    </row>
    <row r="9981" spans="1:4" x14ac:dyDescent="0.25">
      <c r="A9981" s="31"/>
      <c r="D9981" s="30"/>
    </row>
    <row r="9982" spans="1:4" x14ac:dyDescent="0.25">
      <c r="A9982" s="31"/>
      <c r="D9982" s="30"/>
    </row>
    <row r="9983" spans="1:4" x14ac:dyDescent="0.25">
      <c r="A9983" s="31"/>
      <c r="D9983" s="30"/>
    </row>
    <row r="9984" spans="1:4" x14ac:dyDescent="0.25">
      <c r="A9984" s="31"/>
      <c r="D9984" s="30"/>
    </row>
    <row r="9985" spans="1:4" x14ac:dyDescent="0.25">
      <c r="A9985" s="31"/>
      <c r="D9985" s="30"/>
    </row>
    <row r="9986" spans="1:4" x14ac:dyDescent="0.25">
      <c r="A9986" s="31"/>
      <c r="D9986" s="30"/>
    </row>
    <row r="9987" spans="1:4" x14ac:dyDescent="0.25">
      <c r="A9987" s="31"/>
      <c r="D9987" s="30"/>
    </row>
    <row r="9988" spans="1:4" x14ac:dyDescent="0.25">
      <c r="A9988" s="31"/>
      <c r="D9988" s="30"/>
    </row>
    <row r="9989" spans="1:4" x14ac:dyDescent="0.25">
      <c r="A9989" s="31"/>
      <c r="D9989" s="30"/>
    </row>
    <row r="9990" spans="1:4" x14ac:dyDescent="0.25">
      <c r="A9990" s="31"/>
      <c r="D9990" s="30"/>
    </row>
    <row r="9991" spans="1:4" x14ac:dyDescent="0.25">
      <c r="A9991" s="31"/>
      <c r="D9991" s="30"/>
    </row>
    <row r="9992" spans="1:4" x14ac:dyDescent="0.25">
      <c r="A9992" s="31"/>
      <c r="D9992" s="30"/>
    </row>
    <row r="9993" spans="1:4" x14ac:dyDescent="0.25">
      <c r="A9993" s="31"/>
      <c r="D9993" s="30"/>
    </row>
    <row r="9994" spans="1:4" x14ac:dyDescent="0.25">
      <c r="A9994" s="31"/>
      <c r="D9994" s="30"/>
    </row>
    <row r="9995" spans="1:4" x14ac:dyDescent="0.25">
      <c r="A9995" s="31"/>
      <c r="D9995" s="30"/>
    </row>
    <row r="9996" spans="1:4" x14ac:dyDescent="0.25">
      <c r="A9996" s="31"/>
      <c r="D9996" s="30"/>
    </row>
    <row r="9997" spans="1:4" x14ac:dyDescent="0.25">
      <c r="A9997" s="31"/>
      <c r="D9997" s="30"/>
    </row>
    <row r="9998" spans="1:4" x14ac:dyDescent="0.25">
      <c r="A9998" s="31"/>
      <c r="D9998" s="30"/>
    </row>
    <row r="9999" spans="1:4" x14ac:dyDescent="0.25">
      <c r="A9999" s="31"/>
      <c r="D9999" s="30"/>
    </row>
    <row r="10000" spans="1:4" x14ac:dyDescent="0.25">
      <c r="A10000" s="31"/>
      <c r="D10000" s="30"/>
    </row>
    <row r="10001" spans="1:4" x14ac:dyDescent="0.25">
      <c r="A10001" s="31"/>
      <c r="D10001" s="30"/>
    </row>
    <row r="10002" spans="1:4" x14ac:dyDescent="0.25">
      <c r="A10002" s="31"/>
      <c r="D10002" s="30"/>
    </row>
    <row r="10003" spans="1:4" x14ac:dyDescent="0.25">
      <c r="A10003" s="31"/>
      <c r="D10003" s="30"/>
    </row>
    <row r="10004" spans="1:4" x14ac:dyDescent="0.25">
      <c r="A10004" s="31"/>
      <c r="D10004" s="30"/>
    </row>
    <row r="10005" spans="1:4" x14ac:dyDescent="0.25">
      <c r="A10005" s="31"/>
      <c r="D10005" s="30"/>
    </row>
    <row r="10006" spans="1:4" x14ac:dyDescent="0.25">
      <c r="A10006" s="31"/>
      <c r="D10006" s="30"/>
    </row>
    <row r="10007" spans="1:4" x14ac:dyDescent="0.25">
      <c r="A10007" s="31"/>
      <c r="D10007" s="30"/>
    </row>
    <row r="10008" spans="1:4" x14ac:dyDescent="0.25">
      <c r="A10008" s="31"/>
      <c r="D10008" s="30"/>
    </row>
    <row r="10009" spans="1:4" x14ac:dyDescent="0.25">
      <c r="A10009" s="31"/>
      <c r="D10009" s="30"/>
    </row>
    <row r="10010" spans="1:4" x14ac:dyDescent="0.25">
      <c r="A10010" s="31"/>
      <c r="D10010" s="30"/>
    </row>
    <row r="10011" spans="1:4" x14ac:dyDescent="0.25">
      <c r="A10011" s="31"/>
      <c r="D10011" s="30"/>
    </row>
    <row r="10012" spans="1:4" x14ac:dyDescent="0.25">
      <c r="A10012" s="31"/>
      <c r="D10012" s="30"/>
    </row>
    <row r="10013" spans="1:4" x14ac:dyDescent="0.25">
      <c r="A10013" s="31"/>
      <c r="D10013" s="30"/>
    </row>
    <row r="10014" spans="1:4" x14ac:dyDescent="0.25">
      <c r="A10014" s="31"/>
      <c r="D10014" s="30"/>
    </row>
    <row r="10015" spans="1:4" x14ac:dyDescent="0.25">
      <c r="A10015" s="31"/>
      <c r="D10015" s="30"/>
    </row>
    <row r="10016" spans="1:4" x14ac:dyDescent="0.25">
      <c r="A10016" s="31"/>
      <c r="D10016" s="30"/>
    </row>
    <row r="10017" spans="1:4" x14ac:dyDescent="0.25">
      <c r="A10017" s="31"/>
      <c r="D10017" s="30"/>
    </row>
    <row r="10018" spans="1:4" x14ac:dyDescent="0.25">
      <c r="A10018" s="31"/>
      <c r="D10018" s="30"/>
    </row>
    <row r="10019" spans="1:4" x14ac:dyDescent="0.25">
      <c r="A10019" s="31"/>
      <c r="D10019" s="30"/>
    </row>
    <row r="10020" spans="1:4" x14ac:dyDescent="0.25">
      <c r="A10020" s="31"/>
      <c r="D10020" s="30"/>
    </row>
    <row r="10021" spans="1:4" x14ac:dyDescent="0.25">
      <c r="A10021" s="31"/>
      <c r="D10021" s="30"/>
    </row>
    <row r="10022" spans="1:4" x14ac:dyDescent="0.25">
      <c r="A10022" s="31"/>
      <c r="D10022" s="30"/>
    </row>
    <row r="10023" spans="1:4" x14ac:dyDescent="0.25">
      <c r="A10023" s="31"/>
      <c r="D10023" s="30"/>
    </row>
    <row r="10024" spans="1:4" x14ac:dyDescent="0.25">
      <c r="A10024" s="31"/>
      <c r="D10024" s="30"/>
    </row>
    <row r="10025" spans="1:4" x14ac:dyDescent="0.25">
      <c r="A10025" s="31"/>
      <c r="D10025" s="30"/>
    </row>
    <row r="10026" spans="1:4" x14ac:dyDescent="0.25">
      <c r="A10026" s="31"/>
      <c r="D10026" s="30"/>
    </row>
    <row r="10027" spans="1:4" x14ac:dyDescent="0.25">
      <c r="A10027" s="31"/>
      <c r="D10027" s="30"/>
    </row>
    <row r="10028" spans="1:4" x14ac:dyDescent="0.25">
      <c r="A10028" s="31"/>
      <c r="D10028" s="30"/>
    </row>
    <row r="10029" spans="1:4" x14ac:dyDescent="0.25">
      <c r="A10029" s="31"/>
      <c r="D10029" s="30"/>
    </row>
    <row r="10030" spans="1:4" x14ac:dyDescent="0.25">
      <c r="A10030" s="31"/>
      <c r="D10030" s="30"/>
    </row>
    <row r="10031" spans="1:4" x14ac:dyDescent="0.25">
      <c r="A10031" s="31"/>
      <c r="D10031" s="30"/>
    </row>
    <row r="10032" spans="1:4" x14ac:dyDescent="0.25">
      <c r="A10032" s="31"/>
      <c r="D10032" s="30"/>
    </row>
    <row r="10033" spans="1:4" x14ac:dyDescent="0.25">
      <c r="A10033" s="31"/>
      <c r="D10033" s="30"/>
    </row>
    <row r="10034" spans="1:4" x14ac:dyDescent="0.25">
      <c r="A10034" s="31"/>
      <c r="D10034" s="30"/>
    </row>
    <row r="10035" spans="1:4" x14ac:dyDescent="0.25">
      <c r="A10035" s="31"/>
      <c r="D10035" s="30"/>
    </row>
    <row r="10036" spans="1:4" x14ac:dyDescent="0.25">
      <c r="A10036" s="31"/>
      <c r="D10036" s="30"/>
    </row>
    <row r="10037" spans="1:4" x14ac:dyDescent="0.25">
      <c r="A10037" s="31"/>
      <c r="D10037" s="30"/>
    </row>
    <row r="10038" spans="1:4" x14ac:dyDescent="0.25">
      <c r="A10038" s="31"/>
      <c r="D10038" s="30"/>
    </row>
    <row r="10039" spans="1:4" x14ac:dyDescent="0.25">
      <c r="A10039" s="31"/>
      <c r="D10039" s="30"/>
    </row>
    <row r="10040" spans="1:4" x14ac:dyDescent="0.25">
      <c r="A10040" s="31"/>
      <c r="D10040" s="30"/>
    </row>
    <row r="10041" spans="1:4" x14ac:dyDescent="0.25">
      <c r="A10041" s="31"/>
      <c r="D10041" s="30"/>
    </row>
    <row r="10042" spans="1:4" x14ac:dyDescent="0.25">
      <c r="A10042" s="31"/>
      <c r="D10042" s="30"/>
    </row>
    <row r="10043" spans="1:4" x14ac:dyDescent="0.25">
      <c r="A10043" s="31"/>
      <c r="D10043" s="30"/>
    </row>
    <row r="10044" spans="1:4" x14ac:dyDescent="0.25">
      <c r="A10044" s="31"/>
      <c r="D10044" s="30"/>
    </row>
    <row r="10045" spans="1:4" x14ac:dyDescent="0.25">
      <c r="A10045" s="31"/>
      <c r="D10045" s="30"/>
    </row>
    <row r="10046" spans="1:4" x14ac:dyDescent="0.25">
      <c r="A10046" s="31"/>
      <c r="D10046" s="30"/>
    </row>
    <row r="10047" spans="1:4" x14ac:dyDescent="0.25">
      <c r="A10047" s="31"/>
      <c r="D10047" s="30"/>
    </row>
    <row r="10048" spans="1:4" x14ac:dyDescent="0.25">
      <c r="A10048" s="31"/>
      <c r="D10048" s="30"/>
    </row>
    <row r="10049" spans="1:4" x14ac:dyDescent="0.25">
      <c r="A10049" s="31"/>
      <c r="D10049" s="30"/>
    </row>
    <row r="10050" spans="1:4" x14ac:dyDescent="0.25">
      <c r="A10050" s="31"/>
      <c r="D10050" s="30"/>
    </row>
    <row r="10051" spans="1:4" x14ac:dyDescent="0.25">
      <c r="A10051" s="31"/>
      <c r="D10051" s="30"/>
    </row>
    <row r="10052" spans="1:4" x14ac:dyDescent="0.25">
      <c r="A10052" s="31"/>
      <c r="D10052" s="30"/>
    </row>
    <row r="10053" spans="1:4" x14ac:dyDescent="0.25">
      <c r="A10053" s="31"/>
      <c r="D10053" s="30"/>
    </row>
    <row r="10054" spans="1:4" x14ac:dyDescent="0.25">
      <c r="A10054" s="31"/>
      <c r="D10054" s="30"/>
    </row>
    <row r="10055" spans="1:4" x14ac:dyDescent="0.25">
      <c r="A10055" s="31"/>
      <c r="D10055" s="30"/>
    </row>
    <row r="10056" spans="1:4" x14ac:dyDescent="0.25">
      <c r="A10056" s="31"/>
      <c r="D10056" s="30"/>
    </row>
    <row r="10057" spans="1:4" x14ac:dyDescent="0.25">
      <c r="A10057" s="31"/>
      <c r="D10057" s="30"/>
    </row>
    <row r="10058" spans="1:4" x14ac:dyDescent="0.25">
      <c r="A10058" s="31"/>
      <c r="D10058" s="30"/>
    </row>
    <row r="10059" spans="1:4" x14ac:dyDescent="0.25">
      <c r="A10059" s="31"/>
      <c r="D10059" s="30"/>
    </row>
    <row r="10060" spans="1:4" x14ac:dyDescent="0.25">
      <c r="A10060" s="31"/>
      <c r="D10060" s="30"/>
    </row>
    <row r="10061" spans="1:4" x14ac:dyDescent="0.25">
      <c r="A10061" s="31"/>
      <c r="D10061" s="30"/>
    </row>
    <row r="10062" spans="1:4" x14ac:dyDescent="0.25">
      <c r="A10062" s="31"/>
      <c r="D10062" s="30"/>
    </row>
    <row r="10063" spans="1:4" x14ac:dyDescent="0.25">
      <c r="A10063" s="31"/>
      <c r="D10063" s="30"/>
    </row>
    <row r="10064" spans="1:4" x14ac:dyDescent="0.25">
      <c r="A10064" s="31"/>
      <c r="D10064" s="30"/>
    </row>
    <row r="10065" spans="1:4" x14ac:dyDescent="0.25">
      <c r="A10065" s="31"/>
      <c r="D10065" s="30"/>
    </row>
    <row r="10066" spans="1:4" x14ac:dyDescent="0.25">
      <c r="A10066" s="31"/>
      <c r="D10066" s="30"/>
    </row>
    <row r="10067" spans="1:4" x14ac:dyDescent="0.25">
      <c r="A10067" s="31"/>
      <c r="D10067" s="30"/>
    </row>
    <row r="10068" spans="1:4" x14ac:dyDescent="0.25">
      <c r="A10068" s="31"/>
      <c r="D10068" s="30"/>
    </row>
    <row r="10069" spans="1:4" x14ac:dyDescent="0.25">
      <c r="A10069" s="31"/>
      <c r="D10069" s="30"/>
    </row>
    <row r="10070" spans="1:4" x14ac:dyDescent="0.25">
      <c r="A10070" s="31"/>
      <c r="D10070" s="30"/>
    </row>
    <row r="10071" spans="1:4" x14ac:dyDescent="0.25">
      <c r="A10071" s="31"/>
      <c r="D10071" s="30"/>
    </row>
    <row r="10072" spans="1:4" x14ac:dyDescent="0.25">
      <c r="A10072" s="31"/>
      <c r="D10072" s="30"/>
    </row>
    <row r="10073" spans="1:4" x14ac:dyDescent="0.25">
      <c r="A10073" s="31"/>
      <c r="D10073" s="30"/>
    </row>
    <row r="10074" spans="1:4" x14ac:dyDescent="0.25">
      <c r="A10074" s="31"/>
      <c r="D10074" s="30"/>
    </row>
    <row r="10075" spans="1:4" x14ac:dyDescent="0.25">
      <c r="A10075" s="31"/>
      <c r="D10075" s="30"/>
    </row>
    <row r="10076" spans="1:4" x14ac:dyDescent="0.25">
      <c r="A10076" s="31"/>
      <c r="D10076" s="30"/>
    </row>
    <row r="10077" spans="1:4" x14ac:dyDescent="0.25">
      <c r="A10077" s="31"/>
      <c r="D10077" s="30"/>
    </row>
    <row r="10078" spans="1:4" x14ac:dyDescent="0.25">
      <c r="A10078" s="31"/>
      <c r="D10078" s="30"/>
    </row>
    <row r="10079" spans="1:4" x14ac:dyDescent="0.25">
      <c r="A10079" s="31"/>
      <c r="D10079" s="30"/>
    </row>
    <row r="10080" spans="1:4" x14ac:dyDescent="0.25">
      <c r="A10080" s="31"/>
      <c r="D10080" s="30"/>
    </row>
    <row r="10081" spans="1:4" x14ac:dyDescent="0.25">
      <c r="A10081" s="31"/>
      <c r="D10081" s="30"/>
    </row>
    <row r="10082" spans="1:4" x14ac:dyDescent="0.25">
      <c r="A10082" s="31"/>
      <c r="D10082" s="30"/>
    </row>
    <row r="10083" spans="1:4" x14ac:dyDescent="0.25">
      <c r="A10083" s="31"/>
      <c r="D10083" s="30"/>
    </row>
    <row r="10084" spans="1:4" x14ac:dyDescent="0.25">
      <c r="A10084" s="31"/>
      <c r="D10084" s="30"/>
    </row>
    <row r="10085" spans="1:4" x14ac:dyDescent="0.25">
      <c r="A10085" s="31"/>
      <c r="D10085" s="30"/>
    </row>
    <row r="10086" spans="1:4" x14ac:dyDescent="0.25">
      <c r="A10086" s="31"/>
      <c r="D10086" s="30"/>
    </row>
    <row r="10087" spans="1:4" x14ac:dyDescent="0.25">
      <c r="A10087" s="31"/>
      <c r="D10087" s="30"/>
    </row>
    <row r="10088" spans="1:4" x14ac:dyDescent="0.25">
      <c r="A10088" s="31"/>
      <c r="D10088" s="30"/>
    </row>
    <row r="10089" spans="1:4" x14ac:dyDescent="0.25">
      <c r="A10089" s="31"/>
      <c r="D10089" s="30"/>
    </row>
    <row r="10090" spans="1:4" x14ac:dyDescent="0.25">
      <c r="A10090" s="31"/>
      <c r="D10090" s="30"/>
    </row>
    <row r="10091" spans="1:4" x14ac:dyDescent="0.25">
      <c r="A10091" s="31"/>
      <c r="D10091" s="30"/>
    </row>
    <row r="10092" spans="1:4" x14ac:dyDescent="0.25">
      <c r="A10092" s="31"/>
      <c r="D10092" s="30"/>
    </row>
    <row r="10093" spans="1:4" x14ac:dyDescent="0.25">
      <c r="A10093" s="31"/>
      <c r="D10093" s="30"/>
    </row>
    <row r="10094" spans="1:4" x14ac:dyDescent="0.25">
      <c r="A10094" s="31"/>
      <c r="D10094" s="30"/>
    </row>
    <row r="10095" spans="1:4" x14ac:dyDescent="0.25">
      <c r="A10095" s="31"/>
      <c r="D10095" s="30"/>
    </row>
    <row r="10096" spans="1:4" x14ac:dyDescent="0.25">
      <c r="A10096" s="31"/>
      <c r="D10096" s="30"/>
    </row>
    <row r="10097" spans="1:4" x14ac:dyDescent="0.25">
      <c r="A10097" s="31"/>
      <c r="D10097" s="30"/>
    </row>
    <row r="10098" spans="1:4" x14ac:dyDescent="0.25">
      <c r="A10098" s="31"/>
      <c r="D10098" s="30"/>
    </row>
    <row r="10099" spans="1:4" x14ac:dyDescent="0.25">
      <c r="A10099" s="31"/>
      <c r="D10099" s="30"/>
    </row>
    <row r="10100" spans="1:4" x14ac:dyDescent="0.25">
      <c r="A10100" s="31"/>
      <c r="D10100" s="30"/>
    </row>
    <row r="10101" spans="1:4" x14ac:dyDescent="0.25">
      <c r="A10101" s="31"/>
      <c r="D10101" s="30"/>
    </row>
    <row r="10102" spans="1:4" x14ac:dyDescent="0.25">
      <c r="A10102" s="31"/>
      <c r="D10102" s="30"/>
    </row>
    <row r="10103" spans="1:4" x14ac:dyDescent="0.25">
      <c r="A10103" s="31"/>
      <c r="D10103" s="30"/>
    </row>
    <row r="10104" spans="1:4" x14ac:dyDescent="0.25">
      <c r="A10104" s="31"/>
      <c r="D10104" s="30"/>
    </row>
    <row r="10105" spans="1:4" x14ac:dyDescent="0.25">
      <c r="A10105" s="31"/>
      <c r="D10105" s="30"/>
    </row>
    <row r="10106" spans="1:4" x14ac:dyDescent="0.25">
      <c r="A10106" s="31"/>
      <c r="D10106" s="30"/>
    </row>
    <row r="10107" spans="1:4" x14ac:dyDescent="0.25">
      <c r="A10107" s="31"/>
      <c r="D10107" s="30"/>
    </row>
    <row r="10108" spans="1:4" x14ac:dyDescent="0.25">
      <c r="A10108" s="31"/>
      <c r="D10108" s="30"/>
    </row>
    <row r="10109" spans="1:4" x14ac:dyDescent="0.25">
      <c r="A10109" s="31"/>
      <c r="D10109" s="30"/>
    </row>
    <row r="10110" spans="1:4" x14ac:dyDescent="0.25">
      <c r="A10110" s="31"/>
      <c r="D10110" s="30"/>
    </row>
    <row r="10111" spans="1:4" x14ac:dyDescent="0.25">
      <c r="A10111" s="31"/>
      <c r="D10111" s="30"/>
    </row>
    <row r="10112" spans="1:4" x14ac:dyDescent="0.25">
      <c r="A10112" s="31"/>
      <c r="D10112" s="30"/>
    </row>
    <row r="10113" spans="1:4" x14ac:dyDescent="0.25">
      <c r="A10113" s="31"/>
      <c r="D10113" s="30"/>
    </row>
    <row r="10114" spans="1:4" x14ac:dyDescent="0.25">
      <c r="A10114" s="31"/>
      <c r="D10114" s="30"/>
    </row>
    <row r="10115" spans="1:4" x14ac:dyDescent="0.25">
      <c r="A10115" s="31"/>
      <c r="D10115" s="30"/>
    </row>
    <row r="10116" spans="1:4" x14ac:dyDescent="0.25">
      <c r="A10116" s="31"/>
      <c r="D10116" s="30"/>
    </row>
    <row r="10117" spans="1:4" x14ac:dyDescent="0.25">
      <c r="A10117" s="31"/>
      <c r="D10117" s="30"/>
    </row>
    <row r="10118" spans="1:4" x14ac:dyDescent="0.25">
      <c r="A10118" s="31"/>
      <c r="D10118" s="30"/>
    </row>
    <row r="10119" spans="1:4" x14ac:dyDescent="0.25">
      <c r="A10119" s="31"/>
      <c r="D10119" s="30"/>
    </row>
    <row r="10120" spans="1:4" x14ac:dyDescent="0.25">
      <c r="A10120" s="31"/>
      <c r="D10120" s="30"/>
    </row>
    <row r="10121" spans="1:4" x14ac:dyDescent="0.25">
      <c r="A10121" s="31"/>
      <c r="D10121" s="30"/>
    </row>
    <row r="10122" spans="1:4" x14ac:dyDescent="0.25">
      <c r="A10122" s="31"/>
      <c r="D10122" s="30"/>
    </row>
    <row r="10123" spans="1:4" x14ac:dyDescent="0.25">
      <c r="A10123" s="31"/>
      <c r="D10123" s="30"/>
    </row>
    <row r="10124" spans="1:4" x14ac:dyDescent="0.25">
      <c r="A10124" s="31"/>
      <c r="D10124" s="30"/>
    </row>
    <row r="10125" spans="1:4" x14ac:dyDescent="0.25">
      <c r="A10125" s="31"/>
      <c r="D10125" s="30"/>
    </row>
    <row r="10126" spans="1:4" x14ac:dyDescent="0.25">
      <c r="A10126" s="31"/>
      <c r="D10126" s="30"/>
    </row>
    <row r="10127" spans="1:4" x14ac:dyDescent="0.25">
      <c r="A10127" s="31"/>
      <c r="D10127" s="30"/>
    </row>
    <row r="10128" spans="1:4" x14ac:dyDescent="0.25">
      <c r="A10128" s="31"/>
      <c r="D10128" s="30"/>
    </row>
    <row r="10129" spans="1:4" x14ac:dyDescent="0.25">
      <c r="A10129" s="31"/>
      <c r="D10129" s="30"/>
    </row>
    <row r="10130" spans="1:4" x14ac:dyDescent="0.25">
      <c r="A10130" s="31"/>
      <c r="D10130" s="30"/>
    </row>
    <row r="10131" spans="1:4" x14ac:dyDescent="0.25">
      <c r="A10131" s="31"/>
      <c r="D10131" s="30"/>
    </row>
    <row r="10132" spans="1:4" x14ac:dyDescent="0.25">
      <c r="A10132" s="31"/>
      <c r="D10132" s="30"/>
    </row>
    <row r="10133" spans="1:4" x14ac:dyDescent="0.25">
      <c r="A10133" s="31"/>
      <c r="D10133" s="30"/>
    </row>
    <row r="10134" spans="1:4" x14ac:dyDescent="0.25">
      <c r="A10134" s="31"/>
      <c r="D10134" s="30"/>
    </row>
    <row r="10135" spans="1:4" x14ac:dyDescent="0.25">
      <c r="A10135" s="31"/>
      <c r="D10135" s="30"/>
    </row>
    <row r="10136" spans="1:4" x14ac:dyDescent="0.25">
      <c r="A10136" s="31"/>
      <c r="D10136" s="30"/>
    </row>
    <row r="10137" spans="1:4" x14ac:dyDescent="0.25">
      <c r="A10137" s="31"/>
      <c r="D10137" s="30"/>
    </row>
    <row r="10138" spans="1:4" x14ac:dyDescent="0.25">
      <c r="A10138" s="31"/>
      <c r="D10138" s="30"/>
    </row>
    <row r="10139" spans="1:4" x14ac:dyDescent="0.25">
      <c r="A10139" s="31"/>
      <c r="D10139" s="30"/>
    </row>
    <row r="10140" spans="1:4" x14ac:dyDescent="0.25">
      <c r="A10140" s="31"/>
      <c r="D10140" s="30"/>
    </row>
    <row r="10141" spans="1:4" x14ac:dyDescent="0.25">
      <c r="A10141" s="31"/>
      <c r="D10141" s="30"/>
    </row>
    <row r="10142" spans="1:4" x14ac:dyDescent="0.25">
      <c r="A10142" s="31"/>
      <c r="D10142" s="30"/>
    </row>
    <row r="10143" spans="1:4" x14ac:dyDescent="0.25">
      <c r="A10143" s="31"/>
      <c r="D10143" s="30"/>
    </row>
    <row r="10144" spans="1:4" x14ac:dyDescent="0.25">
      <c r="A10144" s="31"/>
      <c r="D10144" s="30"/>
    </row>
    <row r="10145" spans="1:4" x14ac:dyDescent="0.25">
      <c r="A10145" s="31"/>
      <c r="D10145" s="30"/>
    </row>
    <row r="10146" spans="1:4" x14ac:dyDescent="0.25">
      <c r="A10146" s="31"/>
      <c r="D10146" s="30"/>
    </row>
    <row r="10147" spans="1:4" x14ac:dyDescent="0.25">
      <c r="A10147" s="31"/>
      <c r="D10147" s="30"/>
    </row>
    <row r="10148" spans="1:4" x14ac:dyDescent="0.25">
      <c r="A10148" s="31"/>
      <c r="D10148" s="30"/>
    </row>
    <row r="10149" spans="1:4" x14ac:dyDescent="0.25">
      <c r="A10149" s="31"/>
      <c r="D10149" s="30"/>
    </row>
    <row r="10150" spans="1:4" x14ac:dyDescent="0.25">
      <c r="A10150" s="31"/>
      <c r="D10150" s="30"/>
    </row>
    <row r="10151" spans="1:4" x14ac:dyDescent="0.25">
      <c r="A10151" s="31"/>
      <c r="D10151" s="30"/>
    </row>
    <row r="10152" spans="1:4" x14ac:dyDescent="0.25">
      <c r="A10152" s="31"/>
      <c r="D10152" s="30"/>
    </row>
    <row r="10153" spans="1:4" x14ac:dyDescent="0.25">
      <c r="A10153" s="31"/>
      <c r="D10153" s="30"/>
    </row>
    <row r="10154" spans="1:4" x14ac:dyDescent="0.25">
      <c r="A10154" s="31"/>
      <c r="D10154" s="30"/>
    </row>
    <row r="10155" spans="1:4" x14ac:dyDescent="0.25">
      <c r="A10155" s="31"/>
      <c r="D10155" s="30"/>
    </row>
    <row r="10156" spans="1:4" x14ac:dyDescent="0.25">
      <c r="A10156" s="31"/>
      <c r="D10156" s="30"/>
    </row>
    <row r="10157" spans="1:4" x14ac:dyDescent="0.25">
      <c r="A10157" s="31"/>
      <c r="D10157" s="30"/>
    </row>
    <row r="10158" spans="1:4" x14ac:dyDescent="0.25">
      <c r="A10158" s="31"/>
      <c r="D10158" s="30"/>
    </row>
    <row r="10159" spans="1:4" x14ac:dyDescent="0.25">
      <c r="A10159" s="31"/>
      <c r="D10159" s="30"/>
    </row>
    <row r="10160" spans="1:4" x14ac:dyDescent="0.25">
      <c r="A10160" s="31"/>
      <c r="D10160" s="30"/>
    </row>
    <row r="10161" spans="1:4" x14ac:dyDescent="0.25">
      <c r="A10161" s="31"/>
      <c r="D10161" s="30"/>
    </row>
    <row r="10162" spans="1:4" x14ac:dyDescent="0.25">
      <c r="A10162" s="31"/>
      <c r="D10162" s="30"/>
    </row>
    <row r="10163" spans="1:4" x14ac:dyDescent="0.25">
      <c r="A10163" s="31"/>
      <c r="D10163" s="30"/>
    </row>
    <row r="10164" spans="1:4" x14ac:dyDescent="0.25">
      <c r="A10164" s="31"/>
      <c r="D10164" s="30"/>
    </row>
    <row r="10165" spans="1:4" x14ac:dyDescent="0.25">
      <c r="A10165" s="31"/>
      <c r="D10165" s="30"/>
    </row>
    <row r="10166" spans="1:4" x14ac:dyDescent="0.25">
      <c r="A10166" s="31"/>
      <c r="D10166" s="30"/>
    </row>
    <row r="10167" spans="1:4" x14ac:dyDescent="0.25">
      <c r="A10167" s="31"/>
      <c r="D10167" s="30"/>
    </row>
    <row r="10168" spans="1:4" x14ac:dyDescent="0.25">
      <c r="A10168" s="31"/>
      <c r="D10168" s="30"/>
    </row>
    <row r="10169" spans="1:4" x14ac:dyDescent="0.25">
      <c r="A10169" s="31"/>
      <c r="D10169" s="30"/>
    </row>
    <row r="10170" spans="1:4" x14ac:dyDescent="0.25">
      <c r="A10170" s="31"/>
      <c r="D10170" s="30"/>
    </row>
    <row r="10171" spans="1:4" x14ac:dyDescent="0.25">
      <c r="A10171" s="31"/>
      <c r="D10171" s="30"/>
    </row>
    <row r="10172" spans="1:4" x14ac:dyDescent="0.25">
      <c r="A10172" s="31"/>
      <c r="D10172" s="30"/>
    </row>
    <row r="10173" spans="1:4" x14ac:dyDescent="0.25">
      <c r="A10173" s="31"/>
      <c r="D10173" s="30"/>
    </row>
    <row r="10174" spans="1:4" x14ac:dyDescent="0.25">
      <c r="A10174" s="31"/>
      <c r="D10174" s="30"/>
    </row>
    <row r="10175" spans="1:4" x14ac:dyDescent="0.25">
      <c r="A10175" s="31"/>
      <c r="D10175" s="30"/>
    </row>
    <row r="10176" spans="1:4" x14ac:dyDescent="0.25">
      <c r="A10176" s="31"/>
      <c r="D10176" s="30"/>
    </row>
    <row r="10177" spans="1:4" x14ac:dyDescent="0.25">
      <c r="A10177" s="31"/>
      <c r="D10177" s="30"/>
    </row>
    <row r="10178" spans="1:4" x14ac:dyDescent="0.25">
      <c r="A10178" s="31"/>
      <c r="D10178" s="30"/>
    </row>
    <row r="10179" spans="1:4" x14ac:dyDescent="0.25">
      <c r="A10179" s="31"/>
      <c r="D10179" s="30"/>
    </row>
    <row r="10180" spans="1:4" x14ac:dyDescent="0.25">
      <c r="A10180" s="31"/>
      <c r="D10180" s="30"/>
    </row>
    <row r="10181" spans="1:4" x14ac:dyDescent="0.25">
      <c r="A10181" s="31"/>
      <c r="D10181" s="30"/>
    </row>
    <row r="10182" spans="1:4" x14ac:dyDescent="0.25">
      <c r="A10182" s="31"/>
      <c r="D10182" s="30"/>
    </row>
    <row r="10183" spans="1:4" x14ac:dyDescent="0.25">
      <c r="A10183" s="31"/>
      <c r="D10183" s="30"/>
    </row>
    <row r="10184" spans="1:4" x14ac:dyDescent="0.25">
      <c r="A10184" s="31"/>
      <c r="D10184" s="30"/>
    </row>
    <row r="10185" spans="1:4" x14ac:dyDescent="0.25">
      <c r="A10185" s="31"/>
      <c r="D10185" s="30"/>
    </row>
    <row r="10186" spans="1:4" x14ac:dyDescent="0.25">
      <c r="A10186" s="31"/>
      <c r="D10186" s="30"/>
    </row>
    <row r="10187" spans="1:4" x14ac:dyDescent="0.25">
      <c r="A10187" s="31"/>
      <c r="D10187" s="30"/>
    </row>
    <row r="10188" spans="1:4" x14ac:dyDescent="0.25">
      <c r="A10188" s="31"/>
      <c r="D10188" s="30"/>
    </row>
    <row r="10189" spans="1:4" x14ac:dyDescent="0.25">
      <c r="A10189" s="31"/>
      <c r="D10189" s="30"/>
    </row>
    <row r="10190" spans="1:4" x14ac:dyDescent="0.25">
      <c r="A10190" s="31"/>
      <c r="D10190" s="30"/>
    </row>
    <row r="10191" spans="1:4" x14ac:dyDescent="0.25">
      <c r="A10191" s="31"/>
      <c r="D10191" s="30"/>
    </row>
    <row r="10192" spans="1:4" x14ac:dyDescent="0.25">
      <c r="A10192" s="31"/>
      <c r="D10192" s="30"/>
    </row>
    <row r="10193" spans="1:4" x14ac:dyDescent="0.25">
      <c r="A10193" s="31"/>
      <c r="D10193" s="30"/>
    </row>
    <row r="10194" spans="1:4" x14ac:dyDescent="0.25">
      <c r="A10194" s="31"/>
      <c r="D10194" s="30"/>
    </row>
    <row r="10195" spans="1:4" x14ac:dyDescent="0.25">
      <c r="A10195" s="31"/>
      <c r="D10195" s="30"/>
    </row>
    <row r="10196" spans="1:4" x14ac:dyDescent="0.25">
      <c r="A10196" s="31"/>
      <c r="D10196" s="30"/>
    </row>
    <row r="10197" spans="1:4" x14ac:dyDescent="0.25">
      <c r="A10197" s="31"/>
      <c r="D10197" s="30"/>
    </row>
    <row r="10198" spans="1:4" x14ac:dyDescent="0.25">
      <c r="A10198" s="31"/>
      <c r="D10198" s="30"/>
    </row>
    <row r="10199" spans="1:4" x14ac:dyDescent="0.25">
      <c r="A10199" s="31"/>
      <c r="D10199" s="30"/>
    </row>
    <row r="10200" spans="1:4" x14ac:dyDescent="0.25">
      <c r="A10200" s="31"/>
      <c r="D10200" s="30"/>
    </row>
    <row r="10201" spans="1:4" x14ac:dyDescent="0.25">
      <c r="A10201" s="31"/>
      <c r="D10201" s="30"/>
    </row>
    <row r="10202" spans="1:4" x14ac:dyDescent="0.25">
      <c r="A10202" s="31"/>
      <c r="D10202" s="30"/>
    </row>
    <row r="10203" spans="1:4" x14ac:dyDescent="0.25">
      <c r="A10203" s="31"/>
      <c r="D10203" s="30"/>
    </row>
    <row r="10204" spans="1:4" x14ac:dyDescent="0.25">
      <c r="A10204" s="31"/>
      <c r="D10204" s="30"/>
    </row>
    <row r="10205" spans="1:4" x14ac:dyDescent="0.25">
      <c r="A10205" s="31"/>
      <c r="D10205" s="30"/>
    </row>
    <row r="10206" spans="1:4" x14ac:dyDescent="0.25">
      <c r="A10206" s="31"/>
      <c r="D10206" s="30"/>
    </row>
    <row r="10207" spans="1:4" x14ac:dyDescent="0.25">
      <c r="A10207" s="31"/>
      <c r="D10207" s="30"/>
    </row>
    <row r="10208" spans="1:4" x14ac:dyDescent="0.25">
      <c r="A10208" s="31"/>
      <c r="D10208" s="30"/>
    </row>
    <row r="10209" spans="1:4" x14ac:dyDescent="0.25">
      <c r="A10209" s="31"/>
      <c r="D10209" s="30"/>
    </row>
    <row r="10210" spans="1:4" x14ac:dyDescent="0.25">
      <c r="A10210" s="31"/>
      <c r="D10210" s="30"/>
    </row>
    <row r="10211" spans="1:4" x14ac:dyDescent="0.25">
      <c r="A10211" s="31"/>
      <c r="D10211" s="30"/>
    </row>
    <row r="10212" spans="1:4" x14ac:dyDescent="0.25">
      <c r="A10212" s="31"/>
      <c r="D10212" s="30"/>
    </row>
    <row r="10213" spans="1:4" x14ac:dyDescent="0.25">
      <c r="A10213" s="31"/>
      <c r="D10213" s="30"/>
    </row>
    <row r="10214" spans="1:4" x14ac:dyDescent="0.25">
      <c r="A10214" s="31"/>
      <c r="D10214" s="30"/>
    </row>
    <row r="10215" spans="1:4" x14ac:dyDescent="0.25">
      <c r="A10215" s="31"/>
      <c r="D10215" s="30"/>
    </row>
    <row r="10216" spans="1:4" x14ac:dyDescent="0.25">
      <c r="A10216" s="31"/>
      <c r="D10216" s="30"/>
    </row>
    <row r="10217" spans="1:4" x14ac:dyDescent="0.25">
      <c r="A10217" s="31"/>
      <c r="D10217" s="30"/>
    </row>
    <row r="10218" spans="1:4" x14ac:dyDescent="0.25">
      <c r="A10218" s="31"/>
      <c r="D10218" s="30"/>
    </row>
    <row r="10219" spans="1:4" x14ac:dyDescent="0.25">
      <c r="A10219" s="31"/>
      <c r="D10219" s="30"/>
    </row>
    <row r="10220" spans="1:4" x14ac:dyDescent="0.25">
      <c r="A10220" s="31"/>
      <c r="D10220" s="30"/>
    </row>
    <row r="10221" spans="1:4" x14ac:dyDescent="0.25">
      <c r="A10221" s="31"/>
      <c r="D10221" s="30"/>
    </row>
    <row r="10222" spans="1:4" x14ac:dyDescent="0.25">
      <c r="A10222" s="31"/>
      <c r="D10222" s="30"/>
    </row>
    <row r="10223" spans="1:4" x14ac:dyDescent="0.25">
      <c r="A10223" s="31"/>
      <c r="D10223" s="30"/>
    </row>
    <row r="10224" spans="1:4" x14ac:dyDescent="0.25">
      <c r="A10224" s="31"/>
      <c r="D10224" s="30"/>
    </row>
    <row r="10225" spans="1:4" x14ac:dyDescent="0.25">
      <c r="A10225" s="31"/>
      <c r="D10225" s="30"/>
    </row>
    <row r="10226" spans="1:4" x14ac:dyDescent="0.25">
      <c r="A10226" s="31"/>
      <c r="D10226" s="30"/>
    </row>
    <row r="10227" spans="1:4" x14ac:dyDescent="0.25">
      <c r="A10227" s="31"/>
      <c r="D10227" s="30"/>
    </row>
    <row r="10228" spans="1:4" x14ac:dyDescent="0.25">
      <c r="A10228" s="31"/>
      <c r="D10228" s="30"/>
    </row>
    <row r="10229" spans="1:4" x14ac:dyDescent="0.25">
      <c r="A10229" s="31"/>
      <c r="D10229" s="30"/>
    </row>
    <row r="10230" spans="1:4" x14ac:dyDescent="0.25">
      <c r="A10230" s="31"/>
      <c r="D10230" s="30"/>
    </row>
    <row r="10231" spans="1:4" x14ac:dyDescent="0.25">
      <c r="A10231" s="31"/>
      <c r="D10231" s="30"/>
    </row>
    <row r="10232" spans="1:4" x14ac:dyDescent="0.25">
      <c r="A10232" s="31"/>
      <c r="D10232" s="30"/>
    </row>
    <row r="10233" spans="1:4" x14ac:dyDescent="0.25">
      <c r="A10233" s="31"/>
      <c r="D10233" s="30"/>
    </row>
    <row r="10234" spans="1:4" x14ac:dyDescent="0.25">
      <c r="A10234" s="31"/>
      <c r="D10234" s="30"/>
    </row>
    <row r="10235" spans="1:4" x14ac:dyDescent="0.25">
      <c r="A10235" s="31"/>
      <c r="D10235" s="30"/>
    </row>
    <row r="10236" spans="1:4" x14ac:dyDescent="0.25">
      <c r="A10236" s="31"/>
      <c r="D10236" s="30"/>
    </row>
    <row r="10237" spans="1:4" x14ac:dyDescent="0.25">
      <c r="A10237" s="31"/>
      <c r="D10237" s="30"/>
    </row>
    <row r="10238" spans="1:4" x14ac:dyDescent="0.25">
      <c r="A10238" s="31"/>
      <c r="D10238" s="30"/>
    </row>
    <row r="10239" spans="1:4" x14ac:dyDescent="0.25">
      <c r="A10239" s="31"/>
      <c r="D10239" s="30"/>
    </row>
    <row r="10240" spans="1:4" x14ac:dyDescent="0.25">
      <c r="A10240" s="31"/>
      <c r="D10240" s="30"/>
    </row>
    <row r="10241" spans="1:4" x14ac:dyDescent="0.25">
      <c r="A10241" s="31"/>
      <c r="D10241" s="30"/>
    </row>
    <row r="10242" spans="1:4" x14ac:dyDescent="0.25">
      <c r="A10242" s="31"/>
      <c r="D10242" s="30"/>
    </row>
    <row r="10243" spans="1:4" x14ac:dyDescent="0.25">
      <c r="A10243" s="31"/>
      <c r="D10243" s="30"/>
    </row>
    <row r="10244" spans="1:4" x14ac:dyDescent="0.25">
      <c r="A10244" s="31"/>
      <c r="D10244" s="30"/>
    </row>
    <row r="10245" spans="1:4" x14ac:dyDescent="0.25">
      <c r="A10245" s="31"/>
      <c r="D10245" s="30"/>
    </row>
    <row r="10246" spans="1:4" x14ac:dyDescent="0.25">
      <c r="A10246" s="31"/>
      <c r="D10246" s="30"/>
    </row>
    <row r="10247" spans="1:4" x14ac:dyDescent="0.25">
      <c r="A10247" s="31"/>
      <c r="D10247" s="30"/>
    </row>
    <row r="10248" spans="1:4" x14ac:dyDescent="0.25">
      <c r="A10248" s="31"/>
      <c r="D10248" s="30"/>
    </row>
    <row r="10249" spans="1:4" x14ac:dyDescent="0.25">
      <c r="A10249" s="31"/>
      <c r="D10249" s="30"/>
    </row>
    <row r="10250" spans="1:4" x14ac:dyDescent="0.25">
      <c r="A10250" s="31"/>
      <c r="D10250" s="30"/>
    </row>
    <row r="10251" spans="1:4" x14ac:dyDescent="0.25">
      <c r="A10251" s="31"/>
      <c r="D10251" s="30"/>
    </row>
    <row r="10252" spans="1:4" x14ac:dyDescent="0.25">
      <c r="A10252" s="31"/>
      <c r="D10252" s="30"/>
    </row>
    <row r="10253" spans="1:4" x14ac:dyDescent="0.25">
      <c r="A10253" s="31"/>
      <c r="D10253" s="30"/>
    </row>
    <row r="10254" spans="1:4" x14ac:dyDescent="0.25">
      <c r="A10254" s="31"/>
      <c r="D10254" s="30"/>
    </row>
    <row r="10255" spans="1:4" x14ac:dyDescent="0.25">
      <c r="A10255" s="31"/>
      <c r="D10255" s="30"/>
    </row>
    <row r="10256" spans="1:4" x14ac:dyDescent="0.25">
      <c r="A10256" s="31"/>
      <c r="D10256" s="30"/>
    </row>
    <row r="10257" spans="1:4" x14ac:dyDescent="0.25">
      <c r="A10257" s="31"/>
      <c r="D10257" s="30"/>
    </row>
    <row r="10258" spans="1:4" x14ac:dyDescent="0.25">
      <c r="A10258" s="31"/>
      <c r="D10258" s="30"/>
    </row>
    <row r="10259" spans="1:4" x14ac:dyDescent="0.25">
      <c r="A10259" s="31"/>
      <c r="D10259" s="30"/>
    </row>
    <row r="10260" spans="1:4" x14ac:dyDescent="0.25">
      <c r="A10260" s="31"/>
      <c r="D10260" s="30"/>
    </row>
    <row r="10261" spans="1:4" x14ac:dyDescent="0.25">
      <c r="A10261" s="31"/>
      <c r="D10261" s="30"/>
    </row>
    <row r="10262" spans="1:4" x14ac:dyDescent="0.25">
      <c r="A10262" s="31"/>
      <c r="D10262" s="30"/>
    </row>
    <row r="10263" spans="1:4" x14ac:dyDescent="0.25">
      <c r="A10263" s="31"/>
      <c r="D10263" s="30"/>
    </row>
    <row r="10264" spans="1:4" x14ac:dyDescent="0.25">
      <c r="A10264" s="31"/>
      <c r="D10264" s="30"/>
    </row>
    <row r="10265" spans="1:4" x14ac:dyDescent="0.25">
      <c r="A10265" s="31"/>
      <c r="D10265" s="30"/>
    </row>
    <row r="10266" spans="1:4" x14ac:dyDescent="0.25">
      <c r="A10266" s="31"/>
      <c r="D10266" s="30"/>
    </row>
    <row r="10267" spans="1:4" x14ac:dyDescent="0.25">
      <c r="A10267" s="31"/>
      <c r="D10267" s="30"/>
    </row>
    <row r="10268" spans="1:4" x14ac:dyDescent="0.25">
      <c r="A10268" s="31"/>
      <c r="D10268" s="30"/>
    </row>
    <row r="10269" spans="1:4" x14ac:dyDescent="0.25">
      <c r="A10269" s="31"/>
      <c r="D10269" s="30"/>
    </row>
    <row r="10270" spans="1:4" x14ac:dyDescent="0.25">
      <c r="A10270" s="31"/>
      <c r="D10270" s="30"/>
    </row>
    <row r="10271" spans="1:4" x14ac:dyDescent="0.25">
      <c r="A10271" s="31"/>
      <c r="D10271" s="30"/>
    </row>
    <row r="10272" spans="1:4" x14ac:dyDescent="0.25">
      <c r="A10272" s="31"/>
      <c r="D10272" s="30"/>
    </row>
    <row r="10273" spans="1:4" x14ac:dyDescent="0.25">
      <c r="A10273" s="31"/>
      <c r="D10273" s="30"/>
    </row>
    <row r="10274" spans="1:4" x14ac:dyDescent="0.25">
      <c r="A10274" s="31"/>
      <c r="D10274" s="30"/>
    </row>
    <row r="10275" spans="1:4" x14ac:dyDescent="0.25">
      <c r="A10275" s="31"/>
      <c r="D10275" s="30"/>
    </row>
    <row r="10276" spans="1:4" x14ac:dyDescent="0.25">
      <c r="A10276" s="31"/>
      <c r="D10276" s="30"/>
    </row>
    <row r="10277" spans="1:4" x14ac:dyDescent="0.25">
      <c r="A10277" s="31"/>
      <c r="D10277" s="30"/>
    </row>
    <row r="10278" spans="1:4" x14ac:dyDescent="0.25">
      <c r="A10278" s="31"/>
      <c r="D10278" s="30"/>
    </row>
    <row r="10279" spans="1:4" x14ac:dyDescent="0.25">
      <c r="A10279" s="31"/>
      <c r="D10279" s="30"/>
    </row>
    <row r="10280" spans="1:4" x14ac:dyDescent="0.25">
      <c r="A10280" s="31"/>
      <c r="D10280" s="30"/>
    </row>
    <row r="10281" spans="1:4" x14ac:dyDescent="0.25">
      <c r="A10281" s="31"/>
      <c r="D10281" s="30"/>
    </row>
    <row r="10282" spans="1:4" x14ac:dyDescent="0.25">
      <c r="A10282" s="31"/>
      <c r="D10282" s="30"/>
    </row>
    <row r="10283" spans="1:4" x14ac:dyDescent="0.25">
      <c r="A10283" s="31"/>
      <c r="D10283" s="30"/>
    </row>
    <row r="10284" spans="1:4" x14ac:dyDescent="0.25">
      <c r="A10284" s="31"/>
      <c r="D10284" s="30"/>
    </row>
    <row r="10285" spans="1:4" x14ac:dyDescent="0.25">
      <c r="A10285" s="31"/>
      <c r="D10285" s="30"/>
    </row>
    <row r="10286" spans="1:4" x14ac:dyDescent="0.25">
      <c r="A10286" s="31"/>
      <c r="D10286" s="30"/>
    </row>
    <row r="10287" spans="1:4" x14ac:dyDescent="0.25">
      <c r="A10287" s="31"/>
      <c r="D10287" s="30"/>
    </row>
    <row r="10288" spans="1:4" x14ac:dyDescent="0.25">
      <c r="A10288" s="31"/>
      <c r="D10288" s="30"/>
    </row>
    <row r="10289" spans="1:4" x14ac:dyDescent="0.25">
      <c r="A10289" s="31"/>
      <c r="D10289" s="30"/>
    </row>
    <row r="10290" spans="1:4" x14ac:dyDescent="0.25">
      <c r="A10290" s="31"/>
      <c r="D10290" s="30"/>
    </row>
    <row r="10291" spans="1:4" x14ac:dyDescent="0.25">
      <c r="A10291" s="31"/>
      <c r="D10291" s="30"/>
    </row>
    <row r="10292" spans="1:4" x14ac:dyDescent="0.25">
      <c r="A10292" s="31"/>
      <c r="D10292" s="30"/>
    </row>
    <row r="10293" spans="1:4" x14ac:dyDescent="0.25">
      <c r="A10293" s="31"/>
      <c r="D10293" s="30"/>
    </row>
    <row r="10294" spans="1:4" x14ac:dyDescent="0.25">
      <c r="A10294" s="31"/>
      <c r="D10294" s="30"/>
    </row>
    <row r="10295" spans="1:4" x14ac:dyDescent="0.25">
      <c r="A10295" s="31"/>
      <c r="D10295" s="30"/>
    </row>
    <row r="10296" spans="1:4" x14ac:dyDescent="0.25">
      <c r="A10296" s="31"/>
      <c r="D10296" s="30"/>
    </row>
    <row r="10297" spans="1:4" x14ac:dyDescent="0.25">
      <c r="A10297" s="31"/>
      <c r="D10297" s="30"/>
    </row>
    <row r="10298" spans="1:4" x14ac:dyDescent="0.25">
      <c r="A10298" s="31"/>
      <c r="D10298" s="30"/>
    </row>
    <row r="10299" spans="1:4" x14ac:dyDescent="0.25">
      <c r="A10299" s="31"/>
      <c r="D10299" s="30"/>
    </row>
    <row r="10300" spans="1:4" x14ac:dyDescent="0.25">
      <c r="A10300" s="31"/>
      <c r="D10300" s="30"/>
    </row>
    <row r="10301" spans="1:4" x14ac:dyDescent="0.25">
      <c r="A10301" s="31"/>
      <c r="D10301" s="30"/>
    </row>
    <row r="10302" spans="1:4" x14ac:dyDescent="0.25">
      <c r="A10302" s="31"/>
      <c r="D10302" s="30"/>
    </row>
    <row r="10303" spans="1:4" x14ac:dyDescent="0.25">
      <c r="A10303" s="31"/>
      <c r="D10303" s="30"/>
    </row>
    <row r="10304" spans="1:4" x14ac:dyDescent="0.25">
      <c r="A10304" s="31"/>
      <c r="D10304" s="30"/>
    </row>
    <row r="10305" spans="1:4" x14ac:dyDescent="0.25">
      <c r="A10305" s="31"/>
      <c r="D10305" s="30"/>
    </row>
    <row r="10306" spans="1:4" x14ac:dyDescent="0.25">
      <c r="A10306" s="31"/>
      <c r="D10306" s="30"/>
    </row>
    <row r="10307" spans="1:4" x14ac:dyDescent="0.25">
      <c r="A10307" s="31"/>
      <c r="D10307" s="30"/>
    </row>
    <row r="10308" spans="1:4" x14ac:dyDescent="0.25">
      <c r="A10308" s="31"/>
      <c r="D10308" s="30"/>
    </row>
    <row r="10309" spans="1:4" x14ac:dyDescent="0.25">
      <c r="A10309" s="31"/>
      <c r="D10309" s="30"/>
    </row>
    <row r="10310" spans="1:4" x14ac:dyDescent="0.25">
      <c r="A10310" s="31"/>
      <c r="D10310" s="30"/>
    </row>
    <row r="10311" spans="1:4" x14ac:dyDescent="0.25">
      <c r="A10311" s="31"/>
      <c r="D10311" s="30"/>
    </row>
    <row r="10312" spans="1:4" x14ac:dyDescent="0.25">
      <c r="A10312" s="31"/>
      <c r="D10312" s="30"/>
    </row>
    <row r="10313" spans="1:4" x14ac:dyDescent="0.25">
      <c r="A10313" s="31"/>
      <c r="D10313" s="30"/>
    </row>
    <row r="10314" spans="1:4" x14ac:dyDescent="0.25">
      <c r="A10314" s="31"/>
      <c r="D10314" s="30"/>
    </row>
    <row r="10315" spans="1:4" x14ac:dyDescent="0.25">
      <c r="A10315" s="31"/>
      <c r="D10315" s="30"/>
    </row>
    <row r="10316" spans="1:4" x14ac:dyDescent="0.25">
      <c r="A10316" s="31"/>
      <c r="D10316" s="30"/>
    </row>
    <row r="10317" spans="1:4" x14ac:dyDescent="0.25">
      <c r="A10317" s="31"/>
      <c r="D10317" s="30"/>
    </row>
    <row r="10318" spans="1:4" x14ac:dyDescent="0.25">
      <c r="A10318" s="31"/>
      <c r="D10318" s="30"/>
    </row>
    <row r="10319" spans="1:4" x14ac:dyDescent="0.25">
      <c r="A10319" s="31"/>
      <c r="D10319" s="30"/>
    </row>
    <row r="10320" spans="1:4" x14ac:dyDescent="0.25">
      <c r="A10320" s="31"/>
      <c r="D10320" s="30"/>
    </row>
    <row r="10321" spans="1:4" x14ac:dyDescent="0.25">
      <c r="A10321" s="31"/>
      <c r="D10321" s="30"/>
    </row>
    <row r="10322" spans="1:4" x14ac:dyDescent="0.25">
      <c r="A10322" s="31"/>
      <c r="D10322" s="30"/>
    </row>
    <row r="10323" spans="1:4" x14ac:dyDescent="0.25">
      <c r="A10323" s="31"/>
      <c r="D10323" s="30"/>
    </row>
    <row r="10324" spans="1:4" x14ac:dyDescent="0.25">
      <c r="A10324" s="31"/>
      <c r="D10324" s="30"/>
    </row>
    <row r="10325" spans="1:4" x14ac:dyDescent="0.25">
      <c r="A10325" s="31"/>
      <c r="D10325" s="30"/>
    </row>
    <row r="10326" spans="1:4" x14ac:dyDescent="0.25">
      <c r="A10326" s="31"/>
      <c r="D10326" s="30"/>
    </row>
    <row r="10327" spans="1:4" x14ac:dyDescent="0.25">
      <c r="A10327" s="31"/>
      <c r="D10327" s="30"/>
    </row>
    <row r="10328" spans="1:4" x14ac:dyDescent="0.25">
      <c r="A10328" s="31"/>
      <c r="D10328" s="30"/>
    </row>
    <row r="10329" spans="1:4" x14ac:dyDescent="0.25">
      <c r="A10329" s="31"/>
      <c r="D10329" s="30"/>
    </row>
    <row r="10330" spans="1:4" x14ac:dyDescent="0.25">
      <c r="A10330" s="31"/>
      <c r="D10330" s="30"/>
    </row>
    <row r="10331" spans="1:4" x14ac:dyDescent="0.25">
      <c r="A10331" s="31"/>
      <c r="D10331" s="30"/>
    </row>
    <row r="10332" spans="1:4" x14ac:dyDescent="0.25">
      <c r="A10332" s="31"/>
      <c r="D10332" s="30"/>
    </row>
    <row r="10333" spans="1:4" x14ac:dyDescent="0.25">
      <c r="A10333" s="31"/>
      <c r="D10333" s="30"/>
    </row>
    <row r="10334" spans="1:4" x14ac:dyDescent="0.25">
      <c r="A10334" s="31"/>
      <c r="D10334" s="30"/>
    </row>
    <row r="10335" spans="1:4" x14ac:dyDescent="0.25">
      <c r="A10335" s="31"/>
      <c r="D10335" s="30"/>
    </row>
    <row r="10336" spans="1:4" x14ac:dyDescent="0.25">
      <c r="A10336" s="31"/>
      <c r="D10336" s="30"/>
    </row>
    <row r="10337" spans="1:4" x14ac:dyDescent="0.25">
      <c r="A10337" s="31"/>
      <c r="D10337" s="30"/>
    </row>
    <row r="10338" spans="1:4" x14ac:dyDescent="0.25">
      <c r="A10338" s="31"/>
      <c r="D10338" s="30"/>
    </row>
    <row r="10339" spans="1:4" x14ac:dyDescent="0.25">
      <c r="A10339" s="31"/>
      <c r="D10339" s="30"/>
    </row>
    <row r="10340" spans="1:4" x14ac:dyDescent="0.25">
      <c r="A10340" s="31"/>
      <c r="D10340" s="30"/>
    </row>
    <row r="10341" spans="1:4" x14ac:dyDescent="0.25">
      <c r="A10341" s="31"/>
      <c r="D10341" s="30"/>
    </row>
    <row r="10342" spans="1:4" x14ac:dyDescent="0.25">
      <c r="A10342" s="31"/>
      <c r="D10342" s="30"/>
    </row>
    <row r="10343" spans="1:4" x14ac:dyDescent="0.25">
      <c r="A10343" s="31"/>
      <c r="D10343" s="30"/>
    </row>
    <row r="10344" spans="1:4" x14ac:dyDescent="0.25">
      <c r="A10344" s="31"/>
      <c r="D10344" s="30"/>
    </row>
    <row r="10345" spans="1:4" x14ac:dyDescent="0.25">
      <c r="A10345" s="31"/>
      <c r="D10345" s="30"/>
    </row>
    <row r="10346" spans="1:4" x14ac:dyDescent="0.25">
      <c r="A10346" s="31"/>
      <c r="D10346" s="30"/>
    </row>
    <row r="10347" spans="1:4" x14ac:dyDescent="0.25">
      <c r="A10347" s="31"/>
      <c r="D10347" s="30"/>
    </row>
    <row r="10348" spans="1:4" x14ac:dyDescent="0.25">
      <c r="A10348" s="31"/>
      <c r="D10348" s="30"/>
    </row>
    <row r="10349" spans="1:4" x14ac:dyDescent="0.25">
      <c r="A10349" s="31"/>
      <c r="D10349" s="30"/>
    </row>
    <row r="10350" spans="1:4" x14ac:dyDescent="0.25">
      <c r="A10350" s="31"/>
      <c r="D10350" s="30"/>
    </row>
    <row r="10351" spans="1:4" x14ac:dyDescent="0.25">
      <c r="A10351" s="31"/>
      <c r="D10351" s="30"/>
    </row>
    <row r="10352" spans="1:4" x14ac:dyDescent="0.25">
      <c r="A10352" s="31"/>
      <c r="D10352" s="30"/>
    </row>
    <row r="10353" spans="1:4" x14ac:dyDescent="0.25">
      <c r="A10353" s="31"/>
      <c r="D10353" s="30"/>
    </row>
    <row r="10354" spans="1:4" x14ac:dyDescent="0.25">
      <c r="A10354" s="31"/>
      <c r="D10354" s="30"/>
    </row>
    <row r="10355" spans="1:4" x14ac:dyDescent="0.25">
      <c r="A10355" s="31"/>
      <c r="D10355" s="30"/>
    </row>
    <row r="10356" spans="1:4" x14ac:dyDescent="0.25">
      <c r="A10356" s="31"/>
      <c r="D10356" s="30"/>
    </row>
    <row r="10357" spans="1:4" x14ac:dyDescent="0.25">
      <c r="A10357" s="31"/>
      <c r="D10357" s="30"/>
    </row>
    <row r="10358" spans="1:4" x14ac:dyDescent="0.25">
      <c r="A10358" s="31"/>
      <c r="D10358" s="30"/>
    </row>
    <row r="10359" spans="1:4" x14ac:dyDescent="0.25">
      <c r="A10359" s="31"/>
      <c r="D10359" s="30"/>
    </row>
    <row r="10360" spans="1:4" x14ac:dyDescent="0.25">
      <c r="A10360" s="31"/>
      <c r="D10360" s="30"/>
    </row>
    <row r="10361" spans="1:4" x14ac:dyDescent="0.25">
      <c r="A10361" s="31"/>
      <c r="D10361" s="30"/>
    </row>
    <row r="10362" spans="1:4" x14ac:dyDescent="0.25">
      <c r="A10362" s="31"/>
      <c r="D10362" s="30"/>
    </row>
    <row r="10363" spans="1:4" x14ac:dyDescent="0.25">
      <c r="A10363" s="31"/>
      <c r="D10363" s="30"/>
    </row>
    <row r="10364" spans="1:4" x14ac:dyDescent="0.25">
      <c r="A10364" s="31"/>
      <c r="D10364" s="30"/>
    </row>
    <row r="10365" spans="1:4" x14ac:dyDescent="0.25">
      <c r="A10365" s="31"/>
      <c r="D10365" s="30"/>
    </row>
    <row r="10366" spans="1:4" x14ac:dyDescent="0.25">
      <c r="A10366" s="31"/>
      <c r="D10366" s="30"/>
    </row>
    <row r="10367" spans="1:4" x14ac:dyDescent="0.25">
      <c r="A10367" s="31"/>
      <c r="D10367" s="30"/>
    </row>
    <row r="10368" spans="1:4" x14ac:dyDescent="0.25">
      <c r="A10368" s="31"/>
      <c r="D10368" s="30"/>
    </row>
    <row r="10369" spans="1:4" x14ac:dyDescent="0.25">
      <c r="A10369" s="31"/>
      <c r="D10369" s="30"/>
    </row>
    <row r="10370" spans="1:4" x14ac:dyDescent="0.25">
      <c r="A10370" s="31"/>
      <c r="D10370" s="30"/>
    </row>
    <row r="10371" spans="1:4" x14ac:dyDescent="0.25">
      <c r="A10371" s="31"/>
      <c r="D10371" s="30"/>
    </row>
    <row r="10372" spans="1:4" x14ac:dyDescent="0.25">
      <c r="A10372" s="31"/>
      <c r="D10372" s="30"/>
    </row>
    <row r="10373" spans="1:4" x14ac:dyDescent="0.25">
      <c r="A10373" s="31"/>
      <c r="D10373" s="30"/>
    </row>
    <row r="10374" spans="1:4" x14ac:dyDescent="0.25">
      <c r="A10374" s="31"/>
      <c r="D10374" s="30"/>
    </row>
    <row r="10375" spans="1:4" x14ac:dyDescent="0.25">
      <c r="A10375" s="31"/>
      <c r="D10375" s="30"/>
    </row>
    <row r="10376" spans="1:4" x14ac:dyDescent="0.25">
      <c r="A10376" s="31"/>
      <c r="D10376" s="30"/>
    </row>
    <row r="10377" spans="1:4" x14ac:dyDescent="0.25">
      <c r="A10377" s="31"/>
      <c r="D10377" s="30"/>
    </row>
    <row r="10378" spans="1:4" x14ac:dyDescent="0.25">
      <c r="A10378" s="31"/>
      <c r="D10378" s="30"/>
    </row>
    <row r="10379" spans="1:4" x14ac:dyDescent="0.25">
      <c r="A10379" s="31"/>
      <c r="D10379" s="30"/>
    </row>
    <row r="10380" spans="1:4" x14ac:dyDescent="0.25">
      <c r="A10380" s="31"/>
      <c r="D10380" s="30"/>
    </row>
    <row r="10381" spans="1:4" x14ac:dyDescent="0.25">
      <c r="A10381" s="31"/>
      <c r="D10381" s="30"/>
    </row>
    <row r="10382" spans="1:4" x14ac:dyDescent="0.25">
      <c r="A10382" s="31"/>
      <c r="D10382" s="30"/>
    </row>
    <row r="10383" spans="1:4" x14ac:dyDescent="0.25">
      <c r="A10383" s="31"/>
      <c r="D10383" s="30"/>
    </row>
    <row r="10384" spans="1:4" x14ac:dyDescent="0.25">
      <c r="A10384" s="31"/>
      <c r="D10384" s="30"/>
    </row>
    <row r="10385" spans="1:4" x14ac:dyDescent="0.25">
      <c r="A10385" s="31"/>
      <c r="D10385" s="30"/>
    </row>
    <row r="10386" spans="1:4" x14ac:dyDescent="0.25">
      <c r="A10386" s="31"/>
      <c r="D10386" s="30"/>
    </row>
    <row r="10387" spans="1:4" x14ac:dyDescent="0.25">
      <c r="A10387" s="31"/>
      <c r="D10387" s="30"/>
    </row>
    <row r="10388" spans="1:4" x14ac:dyDescent="0.25">
      <c r="A10388" s="31"/>
      <c r="D10388" s="30"/>
    </row>
    <row r="10389" spans="1:4" x14ac:dyDescent="0.25">
      <c r="A10389" s="31"/>
      <c r="D10389" s="30"/>
    </row>
    <row r="10390" spans="1:4" x14ac:dyDescent="0.25">
      <c r="A10390" s="31"/>
      <c r="D10390" s="30"/>
    </row>
    <row r="10391" spans="1:4" x14ac:dyDescent="0.25">
      <c r="A10391" s="31"/>
      <c r="D10391" s="30"/>
    </row>
    <row r="10392" spans="1:4" x14ac:dyDescent="0.25">
      <c r="A10392" s="31"/>
      <c r="D10392" s="30"/>
    </row>
    <row r="10393" spans="1:4" x14ac:dyDescent="0.25">
      <c r="A10393" s="31"/>
      <c r="D10393" s="30"/>
    </row>
    <row r="10394" spans="1:4" x14ac:dyDescent="0.25">
      <c r="A10394" s="31"/>
      <c r="D10394" s="30"/>
    </row>
    <row r="10395" spans="1:4" x14ac:dyDescent="0.25">
      <c r="A10395" s="31"/>
      <c r="D10395" s="30"/>
    </row>
    <row r="10396" spans="1:4" x14ac:dyDescent="0.25">
      <c r="A10396" s="31"/>
      <c r="D10396" s="30"/>
    </row>
    <row r="10397" spans="1:4" x14ac:dyDescent="0.25">
      <c r="A10397" s="31"/>
      <c r="D10397" s="30"/>
    </row>
    <row r="10398" spans="1:4" x14ac:dyDescent="0.25">
      <c r="A10398" s="31"/>
      <c r="D10398" s="30"/>
    </row>
    <row r="10399" spans="1:4" x14ac:dyDescent="0.25">
      <c r="A10399" s="31"/>
      <c r="D10399" s="30"/>
    </row>
    <row r="10400" spans="1:4" x14ac:dyDescent="0.25">
      <c r="A10400" s="31"/>
      <c r="D10400" s="30"/>
    </row>
    <row r="10401" spans="1:4" x14ac:dyDescent="0.25">
      <c r="A10401" s="31"/>
      <c r="D10401" s="30"/>
    </row>
    <row r="10402" spans="1:4" x14ac:dyDescent="0.25">
      <c r="A10402" s="31"/>
      <c r="D10402" s="30"/>
    </row>
    <row r="10403" spans="1:4" x14ac:dyDescent="0.25">
      <c r="A10403" s="31"/>
      <c r="D10403" s="30"/>
    </row>
    <row r="10404" spans="1:4" x14ac:dyDescent="0.25">
      <c r="A10404" s="31"/>
      <c r="D10404" s="30"/>
    </row>
    <row r="10405" spans="1:4" x14ac:dyDescent="0.25">
      <c r="A10405" s="31"/>
      <c r="D10405" s="30"/>
    </row>
    <row r="10406" spans="1:4" x14ac:dyDescent="0.25">
      <c r="A10406" s="31"/>
      <c r="D10406" s="30"/>
    </row>
    <row r="10407" spans="1:4" x14ac:dyDescent="0.25">
      <c r="A10407" s="31"/>
      <c r="D10407" s="30"/>
    </row>
    <row r="10408" spans="1:4" x14ac:dyDescent="0.25">
      <c r="A10408" s="31"/>
      <c r="D10408" s="30"/>
    </row>
    <row r="10409" spans="1:4" x14ac:dyDescent="0.25">
      <c r="A10409" s="31"/>
      <c r="D10409" s="30"/>
    </row>
    <row r="10410" spans="1:4" x14ac:dyDescent="0.25">
      <c r="A10410" s="31"/>
      <c r="D10410" s="30"/>
    </row>
    <row r="10411" spans="1:4" x14ac:dyDescent="0.25">
      <c r="A10411" s="31"/>
      <c r="D10411" s="30"/>
    </row>
    <row r="10412" spans="1:4" x14ac:dyDescent="0.25">
      <c r="A10412" s="31"/>
      <c r="D10412" s="30"/>
    </row>
    <row r="10413" spans="1:4" x14ac:dyDescent="0.25">
      <c r="A10413" s="31"/>
      <c r="D10413" s="30"/>
    </row>
    <row r="10414" spans="1:4" x14ac:dyDescent="0.25">
      <c r="A10414" s="31"/>
      <c r="D10414" s="30"/>
    </row>
    <row r="10415" spans="1:4" x14ac:dyDescent="0.25">
      <c r="A10415" s="31"/>
      <c r="D10415" s="30"/>
    </row>
    <row r="10416" spans="1:4" x14ac:dyDescent="0.25">
      <c r="A10416" s="31"/>
      <c r="D10416" s="30"/>
    </row>
    <row r="10417" spans="1:4" x14ac:dyDescent="0.25">
      <c r="A10417" s="31"/>
      <c r="D10417" s="30"/>
    </row>
    <row r="10418" spans="1:4" x14ac:dyDescent="0.25">
      <c r="A10418" s="31"/>
      <c r="D10418" s="30"/>
    </row>
    <row r="10419" spans="1:4" x14ac:dyDescent="0.25">
      <c r="A10419" s="31"/>
      <c r="D10419" s="30"/>
    </row>
    <row r="10420" spans="1:4" x14ac:dyDescent="0.25">
      <c r="A10420" s="31"/>
      <c r="D10420" s="30"/>
    </row>
    <row r="10421" spans="1:4" x14ac:dyDescent="0.25">
      <c r="A10421" s="31"/>
      <c r="D10421" s="30"/>
    </row>
    <row r="10422" spans="1:4" x14ac:dyDescent="0.25">
      <c r="A10422" s="31"/>
      <c r="D10422" s="30"/>
    </row>
    <row r="10423" spans="1:4" x14ac:dyDescent="0.25">
      <c r="A10423" s="31"/>
      <c r="D10423" s="30"/>
    </row>
    <row r="10424" spans="1:4" x14ac:dyDescent="0.25">
      <c r="A10424" s="31"/>
      <c r="D10424" s="30"/>
    </row>
    <row r="10425" spans="1:4" x14ac:dyDescent="0.25">
      <c r="A10425" s="31"/>
      <c r="D10425" s="30"/>
    </row>
    <row r="10426" spans="1:4" x14ac:dyDescent="0.25">
      <c r="A10426" s="31"/>
      <c r="D10426" s="30"/>
    </row>
    <row r="10427" spans="1:4" x14ac:dyDescent="0.25">
      <c r="A10427" s="31"/>
      <c r="D10427" s="30"/>
    </row>
    <row r="10428" spans="1:4" x14ac:dyDescent="0.25">
      <c r="A10428" s="31"/>
      <c r="D10428" s="30"/>
    </row>
    <row r="10429" spans="1:4" x14ac:dyDescent="0.25">
      <c r="A10429" s="31"/>
      <c r="D10429" s="30"/>
    </row>
    <row r="10430" spans="1:4" x14ac:dyDescent="0.25">
      <c r="A10430" s="31"/>
      <c r="D10430" s="30"/>
    </row>
    <row r="10431" spans="1:4" x14ac:dyDescent="0.25">
      <c r="A10431" s="31"/>
      <c r="D10431" s="30"/>
    </row>
    <row r="10432" spans="1:4" x14ac:dyDescent="0.25">
      <c r="A10432" s="31"/>
      <c r="D10432" s="30"/>
    </row>
    <row r="10433" spans="1:4" x14ac:dyDescent="0.25">
      <c r="A10433" s="31"/>
      <c r="D10433" s="30"/>
    </row>
    <row r="10434" spans="1:4" x14ac:dyDescent="0.25">
      <c r="A10434" s="31"/>
      <c r="D10434" s="30"/>
    </row>
    <row r="10435" spans="1:4" x14ac:dyDescent="0.25">
      <c r="A10435" s="31"/>
      <c r="D10435" s="30"/>
    </row>
    <row r="10436" spans="1:4" x14ac:dyDescent="0.25">
      <c r="A10436" s="31"/>
      <c r="D10436" s="30"/>
    </row>
    <row r="10437" spans="1:4" x14ac:dyDescent="0.25">
      <c r="A10437" s="31"/>
      <c r="D10437" s="30"/>
    </row>
    <row r="10438" spans="1:4" x14ac:dyDescent="0.25">
      <c r="A10438" s="31"/>
      <c r="D10438" s="30"/>
    </row>
    <row r="10439" spans="1:4" x14ac:dyDescent="0.25">
      <c r="A10439" s="31"/>
      <c r="D10439" s="30"/>
    </row>
    <row r="10440" spans="1:4" x14ac:dyDescent="0.25">
      <c r="A10440" s="31"/>
      <c r="D10440" s="30"/>
    </row>
    <row r="10441" spans="1:4" x14ac:dyDescent="0.25">
      <c r="A10441" s="31"/>
      <c r="D10441" s="30"/>
    </row>
    <row r="10442" spans="1:4" x14ac:dyDescent="0.25">
      <c r="A10442" s="31"/>
      <c r="D10442" s="30"/>
    </row>
    <row r="10443" spans="1:4" x14ac:dyDescent="0.25">
      <c r="A10443" s="31"/>
      <c r="D10443" s="30"/>
    </row>
    <row r="10444" spans="1:4" x14ac:dyDescent="0.25">
      <c r="A10444" s="31"/>
      <c r="D10444" s="30"/>
    </row>
    <row r="10445" spans="1:4" x14ac:dyDescent="0.25">
      <c r="A10445" s="31"/>
      <c r="D10445" s="30"/>
    </row>
    <row r="10446" spans="1:4" x14ac:dyDescent="0.25">
      <c r="A10446" s="31"/>
      <c r="D10446" s="30"/>
    </row>
    <row r="10447" spans="1:4" x14ac:dyDescent="0.25">
      <c r="A10447" s="31"/>
      <c r="D10447" s="30"/>
    </row>
    <row r="10448" spans="1:4" x14ac:dyDescent="0.25">
      <c r="A10448" s="31"/>
      <c r="D10448" s="30"/>
    </row>
    <row r="10449" spans="1:4" x14ac:dyDescent="0.25">
      <c r="A10449" s="31"/>
      <c r="D10449" s="30"/>
    </row>
    <row r="10450" spans="1:4" x14ac:dyDescent="0.25">
      <c r="A10450" s="31"/>
      <c r="D10450" s="30"/>
    </row>
    <row r="10451" spans="1:4" x14ac:dyDescent="0.25">
      <c r="A10451" s="31"/>
      <c r="D10451" s="30"/>
    </row>
    <row r="10452" spans="1:4" x14ac:dyDescent="0.25">
      <c r="A10452" s="31"/>
      <c r="D10452" s="30"/>
    </row>
    <row r="10453" spans="1:4" x14ac:dyDescent="0.25">
      <c r="A10453" s="31"/>
      <c r="D10453" s="30"/>
    </row>
    <row r="10454" spans="1:4" x14ac:dyDescent="0.25">
      <c r="A10454" s="31"/>
      <c r="D10454" s="30"/>
    </row>
    <row r="10455" spans="1:4" x14ac:dyDescent="0.25">
      <c r="A10455" s="31"/>
      <c r="D10455" s="30"/>
    </row>
    <row r="10456" spans="1:4" x14ac:dyDescent="0.25">
      <c r="A10456" s="31"/>
      <c r="D10456" s="30"/>
    </row>
    <row r="10457" spans="1:4" x14ac:dyDescent="0.25">
      <c r="A10457" s="31"/>
      <c r="D10457" s="30"/>
    </row>
    <row r="10458" spans="1:4" x14ac:dyDescent="0.25">
      <c r="A10458" s="31"/>
      <c r="D10458" s="30"/>
    </row>
    <row r="10459" spans="1:4" x14ac:dyDescent="0.25">
      <c r="A10459" s="31"/>
      <c r="D10459" s="30"/>
    </row>
    <row r="10460" spans="1:4" x14ac:dyDescent="0.25">
      <c r="A10460" s="31"/>
      <c r="D10460" s="30"/>
    </row>
    <row r="10461" spans="1:4" x14ac:dyDescent="0.25">
      <c r="A10461" s="31"/>
      <c r="D10461" s="30"/>
    </row>
    <row r="10462" spans="1:4" x14ac:dyDescent="0.25">
      <c r="A10462" s="31"/>
      <c r="D10462" s="30"/>
    </row>
    <row r="10463" spans="1:4" x14ac:dyDescent="0.25">
      <c r="A10463" s="31"/>
      <c r="D10463" s="30"/>
    </row>
    <row r="10464" spans="1:4" x14ac:dyDescent="0.25">
      <c r="A10464" s="31"/>
      <c r="D10464" s="30"/>
    </row>
    <row r="10465" spans="1:4" x14ac:dyDescent="0.25">
      <c r="A10465" s="31"/>
      <c r="D10465" s="30"/>
    </row>
    <row r="10466" spans="1:4" x14ac:dyDescent="0.25">
      <c r="A10466" s="31"/>
      <c r="D10466" s="30"/>
    </row>
    <row r="10467" spans="1:4" x14ac:dyDescent="0.25">
      <c r="A10467" s="31"/>
      <c r="D10467" s="30"/>
    </row>
    <row r="10468" spans="1:4" x14ac:dyDescent="0.25">
      <c r="A10468" s="31"/>
      <c r="D10468" s="30"/>
    </row>
    <row r="10469" spans="1:4" x14ac:dyDescent="0.25">
      <c r="A10469" s="31"/>
      <c r="D10469" s="30"/>
    </row>
    <row r="10470" spans="1:4" x14ac:dyDescent="0.25">
      <c r="A10470" s="31"/>
      <c r="D10470" s="30"/>
    </row>
    <row r="10471" spans="1:4" x14ac:dyDescent="0.25">
      <c r="A10471" s="31"/>
      <c r="D10471" s="30"/>
    </row>
    <row r="10472" spans="1:4" x14ac:dyDescent="0.25">
      <c r="A10472" s="31"/>
      <c r="D10472" s="30"/>
    </row>
    <row r="10473" spans="1:4" x14ac:dyDescent="0.25">
      <c r="A10473" s="31"/>
      <c r="D10473" s="30"/>
    </row>
    <row r="10474" spans="1:4" x14ac:dyDescent="0.25">
      <c r="A10474" s="31"/>
      <c r="D10474" s="30"/>
    </row>
    <row r="10475" spans="1:4" x14ac:dyDescent="0.25">
      <c r="A10475" s="31"/>
      <c r="D10475" s="30"/>
    </row>
    <row r="10476" spans="1:4" x14ac:dyDescent="0.25">
      <c r="A10476" s="31"/>
      <c r="D10476" s="30"/>
    </row>
    <row r="10477" spans="1:4" x14ac:dyDescent="0.25">
      <c r="A10477" s="31"/>
      <c r="D10477" s="30"/>
    </row>
    <row r="10478" spans="1:4" x14ac:dyDescent="0.25">
      <c r="A10478" s="31"/>
      <c r="D10478" s="30"/>
    </row>
    <row r="10479" spans="1:4" x14ac:dyDescent="0.25">
      <c r="A10479" s="31"/>
      <c r="D10479" s="30"/>
    </row>
    <row r="10480" spans="1:4" x14ac:dyDescent="0.25">
      <c r="A10480" s="31"/>
      <c r="D10480" s="30"/>
    </row>
    <row r="10481" spans="1:4" x14ac:dyDescent="0.25">
      <c r="A10481" s="31"/>
      <c r="D10481" s="30"/>
    </row>
    <row r="10482" spans="1:4" x14ac:dyDescent="0.25">
      <c r="A10482" s="31"/>
      <c r="D10482" s="30"/>
    </row>
    <row r="10483" spans="1:4" x14ac:dyDescent="0.25">
      <c r="A10483" s="31"/>
      <c r="D10483" s="30"/>
    </row>
    <row r="10484" spans="1:4" x14ac:dyDescent="0.25">
      <c r="A10484" s="31"/>
      <c r="D10484" s="30"/>
    </row>
    <row r="10485" spans="1:4" x14ac:dyDescent="0.25">
      <c r="A10485" s="31"/>
      <c r="D10485" s="30"/>
    </row>
    <row r="10486" spans="1:4" x14ac:dyDescent="0.25">
      <c r="A10486" s="31"/>
      <c r="D10486" s="30"/>
    </row>
    <row r="10487" spans="1:4" x14ac:dyDescent="0.25">
      <c r="A10487" s="31"/>
      <c r="D10487" s="30"/>
    </row>
    <row r="10488" spans="1:4" x14ac:dyDescent="0.25">
      <c r="A10488" s="31"/>
      <c r="D10488" s="30"/>
    </row>
    <row r="10489" spans="1:4" x14ac:dyDescent="0.25">
      <c r="A10489" s="31"/>
      <c r="D10489" s="30"/>
    </row>
    <row r="10490" spans="1:4" x14ac:dyDescent="0.25">
      <c r="A10490" s="31"/>
      <c r="D10490" s="30"/>
    </row>
    <row r="10491" spans="1:4" x14ac:dyDescent="0.25">
      <c r="A10491" s="31"/>
      <c r="D10491" s="30"/>
    </row>
    <row r="10492" spans="1:4" x14ac:dyDescent="0.25">
      <c r="A10492" s="31"/>
      <c r="D10492" s="30"/>
    </row>
    <row r="10493" spans="1:4" x14ac:dyDescent="0.25">
      <c r="A10493" s="31"/>
      <c r="D10493" s="30"/>
    </row>
    <row r="10494" spans="1:4" x14ac:dyDescent="0.25">
      <c r="A10494" s="31"/>
      <c r="D10494" s="30"/>
    </row>
    <row r="10495" spans="1:4" x14ac:dyDescent="0.25">
      <c r="A10495" s="31"/>
      <c r="D10495" s="30"/>
    </row>
    <row r="10496" spans="1:4" x14ac:dyDescent="0.25">
      <c r="A10496" s="31"/>
      <c r="D10496" s="30"/>
    </row>
    <row r="10497" spans="1:4" x14ac:dyDescent="0.25">
      <c r="A10497" s="31"/>
      <c r="D10497" s="30"/>
    </row>
    <row r="10498" spans="1:4" x14ac:dyDescent="0.25">
      <c r="A10498" s="31"/>
      <c r="D10498" s="30"/>
    </row>
    <row r="10499" spans="1:4" x14ac:dyDescent="0.25">
      <c r="A10499" s="31"/>
      <c r="D10499" s="30"/>
    </row>
    <row r="10500" spans="1:4" x14ac:dyDescent="0.25">
      <c r="A10500" s="31"/>
      <c r="D10500" s="30"/>
    </row>
    <row r="10501" spans="1:4" x14ac:dyDescent="0.25">
      <c r="A10501" s="31"/>
      <c r="D10501" s="30"/>
    </row>
    <row r="10502" spans="1:4" x14ac:dyDescent="0.25">
      <c r="A10502" s="31"/>
      <c r="D10502" s="30"/>
    </row>
    <row r="10503" spans="1:4" x14ac:dyDescent="0.25">
      <c r="A10503" s="31"/>
      <c r="D10503" s="30"/>
    </row>
    <row r="10504" spans="1:4" x14ac:dyDescent="0.25">
      <c r="A10504" s="31"/>
      <c r="D10504" s="30"/>
    </row>
    <row r="10505" spans="1:4" x14ac:dyDescent="0.25">
      <c r="A10505" s="31"/>
      <c r="D10505" s="30"/>
    </row>
    <row r="10506" spans="1:4" x14ac:dyDescent="0.25">
      <c r="A10506" s="31"/>
      <c r="D10506" s="30"/>
    </row>
    <row r="10507" spans="1:4" x14ac:dyDescent="0.25">
      <c r="A10507" s="31"/>
      <c r="D10507" s="30"/>
    </row>
    <row r="10508" spans="1:4" x14ac:dyDescent="0.25">
      <c r="A10508" s="31"/>
      <c r="D10508" s="30"/>
    </row>
    <row r="10509" spans="1:4" x14ac:dyDescent="0.25">
      <c r="A10509" s="31"/>
      <c r="D10509" s="30"/>
    </row>
    <row r="10510" spans="1:4" x14ac:dyDescent="0.25">
      <c r="A10510" s="31"/>
      <c r="D10510" s="30"/>
    </row>
    <row r="10511" spans="1:4" x14ac:dyDescent="0.25">
      <c r="A10511" s="31"/>
      <c r="D10511" s="30"/>
    </row>
    <row r="10512" spans="1:4" x14ac:dyDescent="0.25">
      <c r="A10512" s="31"/>
      <c r="D10512" s="30"/>
    </row>
    <row r="10513" spans="1:4" x14ac:dyDescent="0.25">
      <c r="A10513" s="31"/>
      <c r="D10513" s="30"/>
    </row>
    <row r="10514" spans="1:4" x14ac:dyDescent="0.25">
      <c r="A10514" s="31"/>
      <c r="D10514" s="30"/>
    </row>
    <row r="10515" spans="1:4" x14ac:dyDescent="0.25">
      <c r="A10515" s="31"/>
      <c r="D10515" s="30"/>
    </row>
    <row r="10516" spans="1:4" x14ac:dyDescent="0.25">
      <c r="A10516" s="31"/>
      <c r="D10516" s="30"/>
    </row>
    <row r="10517" spans="1:4" x14ac:dyDescent="0.25">
      <c r="A10517" s="31"/>
      <c r="D10517" s="30"/>
    </row>
    <row r="10518" spans="1:4" x14ac:dyDescent="0.25">
      <c r="A10518" s="31"/>
      <c r="D10518" s="30"/>
    </row>
    <row r="10519" spans="1:4" x14ac:dyDescent="0.25">
      <c r="A10519" s="31"/>
      <c r="D10519" s="30"/>
    </row>
    <row r="10520" spans="1:4" x14ac:dyDescent="0.25">
      <c r="A10520" s="31"/>
      <c r="D10520" s="30"/>
    </row>
    <row r="10521" spans="1:4" x14ac:dyDescent="0.25">
      <c r="A10521" s="31"/>
      <c r="D10521" s="30"/>
    </row>
    <row r="10522" spans="1:4" x14ac:dyDescent="0.25">
      <c r="A10522" s="31"/>
      <c r="D10522" s="30"/>
    </row>
    <row r="10523" spans="1:4" x14ac:dyDescent="0.25">
      <c r="A10523" s="31"/>
      <c r="D10523" s="30"/>
    </row>
    <row r="10524" spans="1:4" x14ac:dyDescent="0.25">
      <c r="A10524" s="31"/>
      <c r="D10524" s="30"/>
    </row>
    <row r="10525" spans="1:4" x14ac:dyDescent="0.25">
      <c r="A10525" s="31"/>
      <c r="D10525" s="30"/>
    </row>
    <row r="10526" spans="1:4" x14ac:dyDescent="0.25">
      <c r="A10526" s="31"/>
      <c r="D10526" s="30"/>
    </row>
    <row r="10527" spans="1:4" x14ac:dyDescent="0.25">
      <c r="A10527" s="31"/>
      <c r="D10527" s="30"/>
    </row>
    <row r="10528" spans="1:4" x14ac:dyDescent="0.25">
      <c r="A10528" s="31"/>
      <c r="D10528" s="30"/>
    </row>
    <row r="10529" spans="1:4" x14ac:dyDescent="0.25">
      <c r="A10529" s="31"/>
      <c r="D10529" s="30"/>
    </row>
    <row r="10530" spans="1:4" x14ac:dyDescent="0.25">
      <c r="A10530" s="31"/>
      <c r="D10530" s="30"/>
    </row>
    <row r="10531" spans="1:4" x14ac:dyDescent="0.25">
      <c r="A10531" s="31"/>
      <c r="D10531" s="30"/>
    </row>
    <row r="10532" spans="1:4" x14ac:dyDescent="0.25">
      <c r="A10532" s="31"/>
      <c r="D10532" s="30"/>
    </row>
    <row r="10533" spans="1:4" x14ac:dyDescent="0.25">
      <c r="A10533" s="31"/>
      <c r="D10533" s="30"/>
    </row>
    <row r="10534" spans="1:4" x14ac:dyDescent="0.25">
      <c r="A10534" s="31"/>
      <c r="D10534" s="30"/>
    </row>
    <row r="10535" spans="1:4" x14ac:dyDescent="0.25">
      <c r="A10535" s="31"/>
      <c r="D10535" s="30"/>
    </row>
    <row r="10536" spans="1:4" x14ac:dyDescent="0.25">
      <c r="A10536" s="31"/>
      <c r="D10536" s="30"/>
    </row>
    <row r="10537" spans="1:4" x14ac:dyDescent="0.25">
      <c r="A10537" s="31"/>
      <c r="D10537" s="30"/>
    </row>
    <row r="10538" spans="1:4" x14ac:dyDescent="0.25">
      <c r="A10538" s="31"/>
      <c r="D10538" s="30"/>
    </row>
    <row r="10539" spans="1:4" x14ac:dyDescent="0.25">
      <c r="A10539" s="31"/>
      <c r="D10539" s="30"/>
    </row>
    <row r="10540" spans="1:4" x14ac:dyDescent="0.25">
      <c r="A10540" s="31"/>
      <c r="D10540" s="30"/>
    </row>
    <row r="10541" spans="1:4" x14ac:dyDescent="0.25">
      <c r="A10541" s="31"/>
      <c r="D10541" s="30"/>
    </row>
    <row r="10542" spans="1:4" x14ac:dyDescent="0.25">
      <c r="A10542" s="31"/>
      <c r="D10542" s="30"/>
    </row>
    <row r="10543" spans="1:4" x14ac:dyDescent="0.25">
      <c r="A10543" s="31"/>
      <c r="D10543" s="30"/>
    </row>
    <row r="10544" spans="1:4" x14ac:dyDescent="0.25">
      <c r="A10544" s="31"/>
      <c r="D10544" s="30"/>
    </row>
    <row r="10545" spans="1:4" x14ac:dyDescent="0.25">
      <c r="A10545" s="31"/>
      <c r="D10545" s="30"/>
    </row>
    <row r="10546" spans="1:4" x14ac:dyDescent="0.25">
      <c r="A10546" s="31"/>
      <c r="D10546" s="30"/>
    </row>
    <row r="10547" spans="1:4" x14ac:dyDescent="0.25">
      <c r="A10547" s="31"/>
      <c r="D10547" s="30"/>
    </row>
    <row r="10548" spans="1:4" x14ac:dyDescent="0.25">
      <c r="A10548" s="31"/>
      <c r="D10548" s="30"/>
    </row>
    <row r="10549" spans="1:4" x14ac:dyDescent="0.25">
      <c r="A10549" s="31"/>
      <c r="D10549" s="30"/>
    </row>
    <row r="10550" spans="1:4" x14ac:dyDescent="0.25">
      <c r="A10550" s="31"/>
      <c r="D10550" s="30"/>
    </row>
    <row r="10551" spans="1:4" x14ac:dyDescent="0.25">
      <c r="A10551" s="31"/>
      <c r="D10551" s="30"/>
    </row>
    <row r="10552" spans="1:4" x14ac:dyDescent="0.25">
      <c r="A10552" s="31"/>
      <c r="D10552" s="30"/>
    </row>
    <row r="10553" spans="1:4" x14ac:dyDescent="0.25">
      <c r="A10553" s="31"/>
      <c r="D10553" s="30"/>
    </row>
    <row r="10554" spans="1:4" x14ac:dyDescent="0.25">
      <c r="A10554" s="31"/>
      <c r="D10554" s="30"/>
    </row>
    <row r="10555" spans="1:4" x14ac:dyDescent="0.25">
      <c r="A10555" s="31"/>
      <c r="D10555" s="30"/>
    </row>
    <row r="10556" spans="1:4" x14ac:dyDescent="0.25">
      <c r="A10556" s="31"/>
      <c r="D10556" s="30"/>
    </row>
    <row r="10557" spans="1:4" x14ac:dyDescent="0.25">
      <c r="A10557" s="31"/>
      <c r="D10557" s="30"/>
    </row>
    <row r="10558" spans="1:4" x14ac:dyDescent="0.25">
      <c r="A10558" s="31"/>
      <c r="D10558" s="30"/>
    </row>
    <row r="10559" spans="1:4" x14ac:dyDescent="0.25">
      <c r="A10559" s="31"/>
      <c r="D10559" s="30"/>
    </row>
    <row r="10560" spans="1:4" x14ac:dyDescent="0.25">
      <c r="A10560" s="31"/>
      <c r="D10560" s="30"/>
    </row>
    <row r="10561" spans="1:4" x14ac:dyDescent="0.25">
      <c r="A10561" s="31"/>
      <c r="D10561" s="30"/>
    </row>
    <row r="10562" spans="1:4" x14ac:dyDescent="0.25">
      <c r="A10562" s="31"/>
      <c r="D10562" s="30"/>
    </row>
    <row r="10563" spans="1:4" x14ac:dyDescent="0.25">
      <c r="A10563" s="31"/>
      <c r="D10563" s="30"/>
    </row>
    <row r="10564" spans="1:4" x14ac:dyDescent="0.25">
      <c r="A10564" s="31"/>
      <c r="D10564" s="30"/>
    </row>
    <row r="10565" spans="1:4" x14ac:dyDescent="0.25">
      <c r="A10565" s="31"/>
      <c r="D10565" s="30"/>
    </row>
    <row r="10566" spans="1:4" x14ac:dyDescent="0.25">
      <c r="A10566" s="31"/>
      <c r="D10566" s="30"/>
    </row>
    <row r="10567" spans="1:4" x14ac:dyDescent="0.25">
      <c r="A10567" s="31"/>
      <c r="D10567" s="30"/>
    </row>
    <row r="10568" spans="1:4" x14ac:dyDescent="0.25">
      <c r="A10568" s="31"/>
      <c r="D10568" s="30"/>
    </row>
    <row r="10569" spans="1:4" x14ac:dyDescent="0.25">
      <c r="A10569" s="31"/>
      <c r="D10569" s="30"/>
    </row>
    <row r="10570" spans="1:4" x14ac:dyDescent="0.25">
      <c r="A10570" s="31"/>
      <c r="D10570" s="30"/>
    </row>
    <row r="10571" spans="1:4" x14ac:dyDescent="0.25">
      <c r="A10571" s="31"/>
      <c r="D10571" s="30"/>
    </row>
    <row r="10572" spans="1:4" x14ac:dyDescent="0.25">
      <c r="A10572" s="31"/>
      <c r="D10572" s="30"/>
    </row>
    <row r="10573" spans="1:4" x14ac:dyDescent="0.25">
      <c r="A10573" s="31"/>
      <c r="D10573" s="30"/>
    </row>
    <row r="10574" spans="1:4" x14ac:dyDescent="0.25">
      <c r="A10574" s="31"/>
      <c r="D10574" s="30"/>
    </row>
    <row r="10575" spans="1:4" x14ac:dyDescent="0.25">
      <c r="A10575" s="31"/>
      <c r="D10575" s="30"/>
    </row>
    <row r="10576" spans="1:4" x14ac:dyDescent="0.25">
      <c r="A10576" s="31"/>
      <c r="D10576" s="30"/>
    </row>
    <row r="10577" spans="1:4" x14ac:dyDescent="0.25">
      <c r="A10577" s="31"/>
      <c r="D10577" s="30"/>
    </row>
    <row r="10578" spans="1:4" x14ac:dyDescent="0.25">
      <c r="A10578" s="31"/>
      <c r="D10578" s="30"/>
    </row>
    <row r="10579" spans="1:4" x14ac:dyDescent="0.25">
      <c r="A10579" s="31"/>
      <c r="D10579" s="30"/>
    </row>
    <row r="10580" spans="1:4" x14ac:dyDescent="0.25">
      <c r="A10580" s="31"/>
      <c r="D10580" s="30"/>
    </row>
    <row r="10581" spans="1:4" x14ac:dyDescent="0.25">
      <c r="A10581" s="31"/>
      <c r="D10581" s="30"/>
    </row>
    <row r="10582" spans="1:4" x14ac:dyDescent="0.25">
      <c r="A10582" s="31"/>
      <c r="D10582" s="30"/>
    </row>
    <row r="10583" spans="1:4" x14ac:dyDescent="0.25">
      <c r="A10583" s="31"/>
      <c r="D10583" s="30"/>
    </row>
    <row r="10584" spans="1:4" x14ac:dyDescent="0.25">
      <c r="A10584" s="31"/>
      <c r="D10584" s="30"/>
    </row>
    <row r="10585" spans="1:4" x14ac:dyDescent="0.25">
      <c r="A10585" s="31"/>
      <c r="D10585" s="30"/>
    </row>
    <row r="10586" spans="1:4" x14ac:dyDescent="0.25">
      <c r="A10586" s="31"/>
      <c r="D10586" s="30"/>
    </row>
    <row r="10587" spans="1:4" x14ac:dyDescent="0.25">
      <c r="A10587" s="31"/>
      <c r="D10587" s="30"/>
    </row>
    <row r="10588" spans="1:4" x14ac:dyDescent="0.25">
      <c r="A10588" s="31"/>
      <c r="D10588" s="30"/>
    </row>
    <row r="10589" spans="1:4" x14ac:dyDescent="0.25">
      <c r="A10589" s="31"/>
      <c r="D10589" s="30"/>
    </row>
    <row r="10590" spans="1:4" x14ac:dyDescent="0.25">
      <c r="A10590" s="31"/>
      <c r="D10590" s="30"/>
    </row>
    <row r="10591" spans="1:4" x14ac:dyDescent="0.25">
      <c r="A10591" s="31"/>
      <c r="D10591" s="30"/>
    </row>
    <row r="10592" spans="1:4" x14ac:dyDescent="0.25">
      <c r="A10592" s="31"/>
      <c r="D10592" s="30"/>
    </row>
    <row r="10593" spans="1:4" x14ac:dyDescent="0.25">
      <c r="A10593" s="31"/>
      <c r="D10593" s="30"/>
    </row>
    <row r="10594" spans="1:4" x14ac:dyDescent="0.25">
      <c r="A10594" s="31"/>
      <c r="D10594" s="30"/>
    </row>
    <row r="10595" spans="1:4" x14ac:dyDescent="0.25">
      <c r="A10595" s="31"/>
      <c r="D10595" s="30"/>
    </row>
    <row r="10596" spans="1:4" x14ac:dyDescent="0.25">
      <c r="A10596" s="31"/>
      <c r="D10596" s="30"/>
    </row>
    <row r="10597" spans="1:4" x14ac:dyDescent="0.25">
      <c r="A10597" s="31"/>
      <c r="D10597" s="30"/>
    </row>
    <row r="10598" spans="1:4" x14ac:dyDescent="0.25">
      <c r="A10598" s="31"/>
      <c r="D10598" s="30"/>
    </row>
    <row r="10599" spans="1:4" x14ac:dyDescent="0.25">
      <c r="A10599" s="31"/>
      <c r="D10599" s="30"/>
    </row>
    <row r="10600" spans="1:4" x14ac:dyDescent="0.25">
      <c r="A10600" s="31"/>
      <c r="D10600" s="30"/>
    </row>
    <row r="10601" spans="1:4" x14ac:dyDescent="0.25">
      <c r="A10601" s="31"/>
      <c r="D10601" s="30"/>
    </row>
    <row r="10602" spans="1:4" x14ac:dyDescent="0.25">
      <c r="A10602" s="31"/>
      <c r="D10602" s="30"/>
    </row>
    <row r="10603" spans="1:4" x14ac:dyDescent="0.25">
      <c r="A10603" s="31"/>
      <c r="D10603" s="30"/>
    </row>
    <row r="10604" spans="1:4" x14ac:dyDescent="0.25">
      <c r="A10604" s="31"/>
      <c r="D10604" s="30"/>
    </row>
    <row r="10605" spans="1:4" x14ac:dyDescent="0.25">
      <c r="A10605" s="31"/>
      <c r="D10605" s="30"/>
    </row>
    <row r="10606" spans="1:4" x14ac:dyDescent="0.25">
      <c r="A10606" s="31"/>
      <c r="D10606" s="30"/>
    </row>
    <row r="10607" spans="1:4" x14ac:dyDescent="0.25">
      <c r="A10607" s="31"/>
      <c r="D10607" s="30"/>
    </row>
    <row r="10608" spans="1:4" x14ac:dyDescent="0.25">
      <c r="A10608" s="31"/>
      <c r="D10608" s="30"/>
    </row>
    <row r="10609" spans="1:4" x14ac:dyDescent="0.25">
      <c r="A10609" s="31"/>
      <c r="D10609" s="30"/>
    </row>
    <row r="10610" spans="1:4" x14ac:dyDescent="0.25">
      <c r="A10610" s="31"/>
      <c r="D10610" s="30"/>
    </row>
    <row r="10611" spans="1:4" x14ac:dyDescent="0.25">
      <c r="A10611" s="31"/>
      <c r="D10611" s="30"/>
    </row>
    <row r="10612" spans="1:4" x14ac:dyDescent="0.25">
      <c r="A10612" s="31"/>
      <c r="D10612" s="30"/>
    </row>
    <row r="10613" spans="1:4" x14ac:dyDescent="0.25">
      <c r="A10613" s="31"/>
      <c r="D10613" s="30"/>
    </row>
    <row r="10614" spans="1:4" x14ac:dyDescent="0.25">
      <c r="A10614" s="31"/>
      <c r="D10614" s="30"/>
    </row>
    <row r="10615" spans="1:4" x14ac:dyDescent="0.25">
      <c r="A10615" s="31"/>
      <c r="D10615" s="30"/>
    </row>
    <row r="10616" spans="1:4" x14ac:dyDescent="0.25">
      <c r="A10616" s="31"/>
      <c r="D10616" s="30"/>
    </row>
    <row r="10617" spans="1:4" x14ac:dyDescent="0.25">
      <c r="A10617" s="31"/>
      <c r="D10617" s="30"/>
    </row>
    <row r="10618" spans="1:4" x14ac:dyDescent="0.25">
      <c r="A10618" s="31"/>
      <c r="D10618" s="30"/>
    </row>
    <row r="10619" spans="1:4" x14ac:dyDescent="0.25">
      <c r="A10619" s="31"/>
      <c r="D10619" s="30"/>
    </row>
    <row r="10620" spans="1:4" x14ac:dyDescent="0.25">
      <c r="A10620" s="31"/>
      <c r="D10620" s="30"/>
    </row>
    <row r="10621" spans="1:4" x14ac:dyDescent="0.25">
      <c r="A10621" s="31"/>
      <c r="D10621" s="30"/>
    </row>
    <row r="10622" spans="1:4" x14ac:dyDescent="0.25">
      <c r="A10622" s="31"/>
      <c r="D10622" s="30"/>
    </row>
    <row r="10623" spans="1:4" x14ac:dyDescent="0.25">
      <c r="A10623" s="31"/>
      <c r="D10623" s="30"/>
    </row>
    <row r="10624" spans="1:4" x14ac:dyDescent="0.25">
      <c r="A10624" s="31"/>
      <c r="D10624" s="30"/>
    </row>
    <row r="10625" spans="1:4" x14ac:dyDescent="0.25">
      <c r="A10625" s="31"/>
      <c r="D10625" s="30"/>
    </row>
    <row r="10626" spans="1:4" x14ac:dyDescent="0.25">
      <c r="A10626" s="31"/>
      <c r="D10626" s="30"/>
    </row>
    <row r="10627" spans="1:4" x14ac:dyDescent="0.25">
      <c r="A10627" s="31"/>
      <c r="D10627" s="30"/>
    </row>
    <row r="10628" spans="1:4" x14ac:dyDescent="0.25">
      <c r="A10628" s="31"/>
      <c r="D10628" s="30"/>
    </row>
    <row r="10629" spans="1:4" x14ac:dyDescent="0.25">
      <c r="A10629" s="31"/>
      <c r="D10629" s="30"/>
    </row>
    <row r="10630" spans="1:4" x14ac:dyDescent="0.25">
      <c r="A10630" s="31"/>
      <c r="D10630" s="30"/>
    </row>
    <row r="10631" spans="1:4" x14ac:dyDescent="0.25">
      <c r="A10631" s="31"/>
      <c r="D10631" s="30"/>
    </row>
    <row r="10632" spans="1:4" x14ac:dyDescent="0.25">
      <c r="A10632" s="31"/>
      <c r="D10632" s="30"/>
    </row>
    <row r="10633" spans="1:4" x14ac:dyDescent="0.25">
      <c r="A10633" s="31"/>
      <c r="D10633" s="30"/>
    </row>
    <row r="10634" spans="1:4" x14ac:dyDescent="0.25">
      <c r="A10634" s="31"/>
      <c r="D10634" s="30"/>
    </row>
    <row r="10635" spans="1:4" x14ac:dyDescent="0.25">
      <c r="A10635" s="31"/>
      <c r="D10635" s="30"/>
    </row>
    <row r="10636" spans="1:4" x14ac:dyDescent="0.25">
      <c r="A10636" s="31"/>
      <c r="D10636" s="30"/>
    </row>
    <row r="10637" spans="1:4" x14ac:dyDescent="0.25">
      <c r="A10637" s="31"/>
      <c r="D10637" s="30"/>
    </row>
    <row r="10638" spans="1:4" x14ac:dyDescent="0.25">
      <c r="A10638" s="31"/>
      <c r="D10638" s="30"/>
    </row>
    <row r="10639" spans="1:4" x14ac:dyDescent="0.25">
      <c r="A10639" s="31"/>
      <c r="D10639" s="30"/>
    </row>
    <row r="10640" spans="1:4" x14ac:dyDescent="0.25">
      <c r="A10640" s="31"/>
      <c r="D10640" s="30"/>
    </row>
    <row r="10641" spans="1:4" x14ac:dyDescent="0.25">
      <c r="A10641" s="31"/>
      <c r="D10641" s="30"/>
    </row>
    <row r="10642" spans="1:4" x14ac:dyDescent="0.25">
      <c r="A10642" s="31"/>
      <c r="D10642" s="30"/>
    </row>
    <row r="10643" spans="1:4" x14ac:dyDescent="0.25">
      <c r="A10643" s="31"/>
      <c r="D10643" s="30"/>
    </row>
    <row r="10644" spans="1:4" x14ac:dyDescent="0.25">
      <c r="A10644" s="31"/>
      <c r="D10644" s="30"/>
    </row>
    <row r="10645" spans="1:4" x14ac:dyDescent="0.25">
      <c r="A10645" s="31"/>
      <c r="D10645" s="30"/>
    </row>
    <row r="10646" spans="1:4" x14ac:dyDescent="0.25">
      <c r="A10646" s="31"/>
      <c r="D10646" s="30"/>
    </row>
    <row r="10647" spans="1:4" x14ac:dyDescent="0.25">
      <c r="A10647" s="31"/>
      <c r="D10647" s="30"/>
    </row>
    <row r="10648" spans="1:4" x14ac:dyDescent="0.25">
      <c r="A10648" s="31"/>
      <c r="D10648" s="30"/>
    </row>
    <row r="10649" spans="1:4" x14ac:dyDescent="0.25">
      <c r="A10649" s="31"/>
      <c r="D10649" s="30"/>
    </row>
    <row r="10650" spans="1:4" x14ac:dyDescent="0.25">
      <c r="A10650" s="31"/>
      <c r="D10650" s="30"/>
    </row>
    <row r="10651" spans="1:4" x14ac:dyDescent="0.25">
      <c r="A10651" s="31"/>
      <c r="D10651" s="30"/>
    </row>
    <row r="10652" spans="1:4" x14ac:dyDescent="0.25">
      <c r="A10652" s="31"/>
      <c r="D10652" s="30"/>
    </row>
    <row r="10653" spans="1:4" x14ac:dyDescent="0.25">
      <c r="A10653" s="31"/>
      <c r="D10653" s="30"/>
    </row>
    <row r="10654" spans="1:4" x14ac:dyDescent="0.25">
      <c r="A10654" s="31"/>
      <c r="D10654" s="30"/>
    </row>
    <row r="10655" spans="1:4" x14ac:dyDescent="0.25">
      <c r="A10655" s="31"/>
      <c r="D10655" s="30"/>
    </row>
    <row r="10656" spans="1:4" x14ac:dyDescent="0.25">
      <c r="A10656" s="31"/>
      <c r="D10656" s="30"/>
    </row>
    <row r="10657" spans="1:4" x14ac:dyDescent="0.25">
      <c r="A10657" s="31"/>
      <c r="D10657" s="30"/>
    </row>
    <row r="10658" spans="1:4" x14ac:dyDescent="0.25">
      <c r="A10658" s="31"/>
      <c r="D10658" s="30"/>
    </row>
    <row r="10659" spans="1:4" x14ac:dyDescent="0.25">
      <c r="A10659" s="31"/>
      <c r="D10659" s="30"/>
    </row>
    <row r="10660" spans="1:4" x14ac:dyDescent="0.25">
      <c r="A10660" s="31"/>
      <c r="D10660" s="30"/>
    </row>
    <row r="10661" spans="1:4" x14ac:dyDescent="0.25">
      <c r="A10661" s="31"/>
      <c r="D10661" s="30"/>
    </row>
    <row r="10662" spans="1:4" x14ac:dyDescent="0.25">
      <c r="A10662" s="31"/>
      <c r="D10662" s="30"/>
    </row>
    <row r="10663" spans="1:4" x14ac:dyDescent="0.25">
      <c r="A10663" s="31"/>
      <c r="D10663" s="30"/>
    </row>
    <row r="10664" spans="1:4" x14ac:dyDescent="0.25">
      <c r="A10664" s="31"/>
      <c r="D10664" s="30"/>
    </row>
    <row r="10665" spans="1:4" x14ac:dyDescent="0.25">
      <c r="A10665" s="31"/>
      <c r="D10665" s="30"/>
    </row>
    <row r="10666" spans="1:4" x14ac:dyDescent="0.25">
      <c r="A10666" s="31"/>
      <c r="D10666" s="30"/>
    </row>
    <row r="10667" spans="1:4" x14ac:dyDescent="0.25">
      <c r="A10667" s="31"/>
      <c r="D10667" s="30"/>
    </row>
    <row r="10668" spans="1:4" x14ac:dyDescent="0.25">
      <c r="A10668" s="31"/>
      <c r="D10668" s="30"/>
    </row>
    <row r="10669" spans="1:4" x14ac:dyDescent="0.25">
      <c r="A10669" s="31"/>
      <c r="D10669" s="30"/>
    </row>
    <row r="10670" spans="1:4" x14ac:dyDescent="0.25">
      <c r="A10670" s="31"/>
      <c r="D10670" s="30"/>
    </row>
    <row r="10671" spans="1:4" x14ac:dyDescent="0.25">
      <c r="A10671" s="31"/>
      <c r="D10671" s="30"/>
    </row>
    <row r="10672" spans="1:4" x14ac:dyDescent="0.25">
      <c r="A10672" s="31"/>
      <c r="D10672" s="30"/>
    </row>
    <row r="10673" spans="1:4" x14ac:dyDescent="0.25">
      <c r="A10673" s="31"/>
      <c r="D10673" s="30"/>
    </row>
    <row r="10674" spans="1:4" x14ac:dyDescent="0.25">
      <c r="A10674" s="31"/>
      <c r="D10674" s="30"/>
    </row>
    <row r="10675" spans="1:4" x14ac:dyDescent="0.25">
      <c r="A10675" s="31"/>
      <c r="D10675" s="30"/>
    </row>
    <row r="10676" spans="1:4" x14ac:dyDescent="0.25">
      <c r="A10676" s="31"/>
      <c r="D10676" s="30"/>
    </row>
    <row r="10677" spans="1:4" x14ac:dyDescent="0.25">
      <c r="A10677" s="31"/>
      <c r="D10677" s="30"/>
    </row>
    <row r="10678" spans="1:4" x14ac:dyDescent="0.25">
      <c r="A10678" s="31"/>
      <c r="D10678" s="30"/>
    </row>
    <row r="10679" spans="1:4" x14ac:dyDescent="0.25">
      <c r="A10679" s="31"/>
      <c r="D10679" s="30"/>
    </row>
    <row r="10680" spans="1:4" x14ac:dyDescent="0.25">
      <c r="A10680" s="31"/>
      <c r="D10680" s="30"/>
    </row>
    <row r="10681" spans="1:4" x14ac:dyDescent="0.25">
      <c r="A10681" s="31"/>
      <c r="D10681" s="30"/>
    </row>
    <row r="10682" spans="1:4" x14ac:dyDescent="0.25">
      <c r="A10682" s="31"/>
      <c r="D10682" s="30"/>
    </row>
    <row r="10683" spans="1:4" x14ac:dyDescent="0.25">
      <c r="A10683" s="31"/>
      <c r="D10683" s="30"/>
    </row>
    <row r="10684" spans="1:4" x14ac:dyDescent="0.25">
      <c r="A10684" s="31"/>
      <c r="D10684" s="30"/>
    </row>
    <row r="10685" spans="1:4" x14ac:dyDescent="0.25">
      <c r="A10685" s="31"/>
      <c r="D10685" s="30"/>
    </row>
    <row r="10686" spans="1:4" x14ac:dyDescent="0.25">
      <c r="A10686" s="31"/>
      <c r="D10686" s="30"/>
    </row>
    <row r="10687" spans="1:4" x14ac:dyDescent="0.25">
      <c r="A10687" s="31"/>
      <c r="D10687" s="30"/>
    </row>
    <row r="10688" spans="1:4" x14ac:dyDescent="0.25">
      <c r="A10688" s="31"/>
      <c r="D10688" s="30"/>
    </row>
    <row r="10689" spans="1:4" x14ac:dyDescent="0.25">
      <c r="A10689" s="31"/>
      <c r="D10689" s="30"/>
    </row>
    <row r="10690" spans="1:4" x14ac:dyDescent="0.25">
      <c r="A10690" s="31"/>
      <c r="D10690" s="30"/>
    </row>
    <row r="10691" spans="1:4" x14ac:dyDescent="0.25">
      <c r="A10691" s="31"/>
      <c r="D10691" s="30"/>
    </row>
    <row r="10692" spans="1:4" x14ac:dyDescent="0.25">
      <c r="A10692" s="31"/>
      <c r="D10692" s="30"/>
    </row>
    <row r="10693" spans="1:4" x14ac:dyDescent="0.25">
      <c r="A10693" s="31"/>
      <c r="D10693" s="30"/>
    </row>
    <row r="10694" spans="1:4" x14ac:dyDescent="0.25">
      <c r="A10694" s="31"/>
      <c r="D10694" s="30"/>
    </row>
    <row r="10695" spans="1:4" x14ac:dyDescent="0.25">
      <c r="A10695" s="31"/>
      <c r="D10695" s="30"/>
    </row>
    <row r="10696" spans="1:4" x14ac:dyDescent="0.25">
      <c r="A10696" s="31"/>
      <c r="D10696" s="30"/>
    </row>
    <row r="10697" spans="1:4" x14ac:dyDescent="0.25">
      <c r="A10697" s="31"/>
      <c r="D10697" s="30"/>
    </row>
    <row r="10698" spans="1:4" x14ac:dyDescent="0.25">
      <c r="A10698" s="31"/>
      <c r="D10698" s="30"/>
    </row>
    <row r="10699" spans="1:4" x14ac:dyDescent="0.25">
      <c r="A10699" s="31"/>
      <c r="D10699" s="30"/>
    </row>
    <row r="10700" spans="1:4" x14ac:dyDescent="0.25">
      <c r="A10700" s="31"/>
      <c r="D10700" s="30"/>
    </row>
    <row r="10701" spans="1:4" x14ac:dyDescent="0.25">
      <c r="A10701" s="31"/>
      <c r="D10701" s="30"/>
    </row>
    <row r="10702" spans="1:4" x14ac:dyDescent="0.25">
      <c r="A10702" s="31"/>
      <c r="D10702" s="30"/>
    </row>
    <row r="10703" spans="1:4" x14ac:dyDescent="0.25">
      <c r="A10703" s="31"/>
      <c r="D10703" s="30"/>
    </row>
    <row r="10704" spans="1:4" x14ac:dyDescent="0.25">
      <c r="A10704" s="31"/>
      <c r="D10704" s="30"/>
    </row>
    <row r="10705" spans="1:4" x14ac:dyDescent="0.25">
      <c r="A10705" s="31"/>
      <c r="D10705" s="30"/>
    </row>
    <row r="10706" spans="1:4" x14ac:dyDescent="0.25">
      <c r="A10706" s="31"/>
      <c r="D10706" s="30"/>
    </row>
    <row r="10707" spans="1:4" x14ac:dyDescent="0.25">
      <c r="A10707" s="31"/>
      <c r="D10707" s="30"/>
    </row>
    <row r="10708" spans="1:4" x14ac:dyDescent="0.25">
      <c r="A10708" s="31"/>
      <c r="D10708" s="30"/>
    </row>
    <row r="10709" spans="1:4" x14ac:dyDescent="0.25">
      <c r="A10709" s="31"/>
      <c r="D10709" s="30"/>
    </row>
    <row r="10710" spans="1:4" x14ac:dyDescent="0.25">
      <c r="A10710" s="31"/>
      <c r="D10710" s="30"/>
    </row>
    <row r="10711" spans="1:4" x14ac:dyDescent="0.25">
      <c r="A10711" s="31"/>
      <c r="D10711" s="30"/>
    </row>
    <row r="10712" spans="1:4" x14ac:dyDescent="0.25">
      <c r="A10712" s="31"/>
      <c r="D10712" s="30"/>
    </row>
    <row r="10713" spans="1:4" x14ac:dyDescent="0.25">
      <c r="A10713" s="31"/>
      <c r="D10713" s="30"/>
    </row>
    <row r="10714" spans="1:4" x14ac:dyDescent="0.25">
      <c r="A10714" s="31"/>
      <c r="D10714" s="30"/>
    </row>
    <row r="10715" spans="1:4" x14ac:dyDescent="0.25">
      <c r="A10715" s="31"/>
      <c r="D10715" s="30"/>
    </row>
    <row r="10716" spans="1:4" x14ac:dyDescent="0.25">
      <c r="A10716" s="31"/>
      <c r="D10716" s="30"/>
    </row>
    <row r="10717" spans="1:4" x14ac:dyDescent="0.25">
      <c r="A10717" s="31"/>
      <c r="D10717" s="30"/>
    </row>
    <row r="10718" spans="1:4" x14ac:dyDescent="0.25">
      <c r="A10718" s="31"/>
      <c r="D10718" s="30"/>
    </row>
    <row r="10719" spans="1:4" x14ac:dyDescent="0.25">
      <c r="A10719" s="31"/>
      <c r="D10719" s="30"/>
    </row>
    <row r="10720" spans="1:4" x14ac:dyDescent="0.25">
      <c r="A10720" s="31"/>
      <c r="D10720" s="30"/>
    </row>
    <row r="10721" spans="1:4" x14ac:dyDescent="0.25">
      <c r="A10721" s="31"/>
      <c r="D10721" s="30"/>
    </row>
    <row r="10722" spans="1:4" x14ac:dyDescent="0.25">
      <c r="A10722" s="31"/>
      <c r="D10722" s="30"/>
    </row>
    <row r="10723" spans="1:4" x14ac:dyDescent="0.25">
      <c r="A10723" s="31"/>
      <c r="D10723" s="30"/>
    </row>
    <row r="10724" spans="1:4" x14ac:dyDescent="0.25">
      <c r="A10724" s="31"/>
      <c r="D10724" s="30"/>
    </row>
    <row r="10725" spans="1:4" x14ac:dyDescent="0.25">
      <c r="A10725" s="31"/>
      <c r="D10725" s="30"/>
    </row>
    <row r="10726" spans="1:4" x14ac:dyDescent="0.25">
      <c r="A10726" s="31"/>
      <c r="D10726" s="30"/>
    </row>
    <row r="10727" spans="1:4" x14ac:dyDescent="0.25">
      <c r="A10727" s="31"/>
      <c r="D10727" s="30"/>
    </row>
    <row r="10728" spans="1:4" x14ac:dyDescent="0.25">
      <c r="A10728" s="31"/>
      <c r="D10728" s="30"/>
    </row>
    <row r="10729" spans="1:4" x14ac:dyDescent="0.25">
      <c r="A10729" s="31"/>
      <c r="D10729" s="30"/>
    </row>
    <row r="10730" spans="1:4" x14ac:dyDescent="0.25">
      <c r="A10730" s="31"/>
      <c r="D10730" s="30"/>
    </row>
    <row r="10731" spans="1:4" x14ac:dyDescent="0.25">
      <c r="A10731" s="31"/>
      <c r="D10731" s="30"/>
    </row>
    <row r="10732" spans="1:4" x14ac:dyDescent="0.25">
      <c r="A10732" s="31"/>
      <c r="D10732" s="30"/>
    </row>
    <row r="10733" spans="1:4" x14ac:dyDescent="0.25">
      <c r="A10733" s="31"/>
      <c r="D10733" s="30"/>
    </row>
    <row r="10734" spans="1:4" x14ac:dyDescent="0.25">
      <c r="A10734" s="31"/>
      <c r="D10734" s="30"/>
    </row>
    <row r="10735" spans="1:4" x14ac:dyDescent="0.25">
      <c r="A10735" s="31"/>
      <c r="D10735" s="30"/>
    </row>
    <row r="10736" spans="1:4" x14ac:dyDescent="0.25">
      <c r="A10736" s="31"/>
      <c r="D10736" s="30"/>
    </row>
    <row r="10737" spans="1:4" x14ac:dyDescent="0.25">
      <c r="A10737" s="31"/>
      <c r="D10737" s="30"/>
    </row>
    <row r="10738" spans="1:4" x14ac:dyDescent="0.25">
      <c r="A10738" s="31"/>
      <c r="D10738" s="30"/>
    </row>
    <row r="10739" spans="1:4" x14ac:dyDescent="0.25">
      <c r="A10739" s="31"/>
      <c r="D10739" s="30"/>
    </row>
    <row r="10740" spans="1:4" x14ac:dyDescent="0.25">
      <c r="A10740" s="31"/>
      <c r="D10740" s="30"/>
    </row>
    <row r="10741" spans="1:4" x14ac:dyDescent="0.25">
      <c r="A10741" s="31"/>
      <c r="D10741" s="30"/>
    </row>
    <row r="10742" spans="1:4" x14ac:dyDescent="0.25">
      <c r="A10742" s="31"/>
      <c r="D10742" s="30"/>
    </row>
    <row r="10743" spans="1:4" x14ac:dyDescent="0.25">
      <c r="A10743" s="31"/>
      <c r="D10743" s="30"/>
    </row>
    <row r="10744" spans="1:4" x14ac:dyDescent="0.25">
      <c r="A10744" s="31"/>
      <c r="D10744" s="30"/>
    </row>
    <row r="10745" spans="1:4" x14ac:dyDescent="0.25">
      <c r="A10745" s="31"/>
      <c r="D10745" s="30"/>
    </row>
    <row r="10746" spans="1:4" x14ac:dyDescent="0.25">
      <c r="A10746" s="31"/>
      <c r="D10746" s="30"/>
    </row>
    <row r="10747" spans="1:4" x14ac:dyDescent="0.25">
      <c r="A10747" s="31"/>
      <c r="D10747" s="30"/>
    </row>
    <row r="10748" spans="1:4" x14ac:dyDescent="0.25">
      <c r="A10748" s="31"/>
      <c r="D10748" s="30"/>
    </row>
    <row r="10749" spans="1:4" x14ac:dyDescent="0.25">
      <c r="A10749" s="31"/>
      <c r="D10749" s="30"/>
    </row>
    <row r="10750" spans="1:4" x14ac:dyDescent="0.25">
      <c r="A10750" s="31"/>
      <c r="D10750" s="30"/>
    </row>
    <row r="10751" spans="1:4" x14ac:dyDescent="0.25">
      <c r="A10751" s="31"/>
      <c r="D10751" s="30"/>
    </row>
    <row r="10752" spans="1:4" x14ac:dyDescent="0.25">
      <c r="A10752" s="31"/>
      <c r="D10752" s="30"/>
    </row>
    <row r="10753" spans="1:4" x14ac:dyDescent="0.25">
      <c r="A10753" s="31"/>
      <c r="D10753" s="30"/>
    </row>
    <row r="10754" spans="1:4" x14ac:dyDescent="0.25">
      <c r="A10754" s="31"/>
      <c r="D10754" s="30"/>
    </row>
    <row r="10755" spans="1:4" x14ac:dyDescent="0.25">
      <c r="A10755" s="31"/>
      <c r="D10755" s="30"/>
    </row>
    <row r="10756" spans="1:4" x14ac:dyDescent="0.25">
      <c r="A10756" s="31"/>
      <c r="D10756" s="30"/>
    </row>
    <row r="10757" spans="1:4" x14ac:dyDescent="0.25">
      <c r="A10757" s="31"/>
      <c r="D10757" s="30"/>
    </row>
    <row r="10758" spans="1:4" x14ac:dyDescent="0.25">
      <c r="A10758" s="31"/>
      <c r="D10758" s="30"/>
    </row>
    <row r="10759" spans="1:4" x14ac:dyDescent="0.25">
      <c r="A10759" s="31"/>
      <c r="D10759" s="30"/>
    </row>
    <row r="10760" spans="1:4" x14ac:dyDescent="0.25">
      <c r="A10760" s="31"/>
      <c r="D10760" s="30"/>
    </row>
    <row r="10761" spans="1:4" x14ac:dyDescent="0.25">
      <c r="A10761" s="31"/>
      <c r="D10761" s="30"/>
    </row>
    <row r="10762" spans="1:4" x14ac:dyDescent="0.25">
      <c r="A10762" s="31"/>
      <c r="D10762" s="30"/>
    </row>
    <row r="10763" spans="1:4" x14ac:dyDescent="0.25">
      <c r="A10763" s="31"/>
      <c r="D10763" s="30"/>
    </row>
    <row r="10764" spans="1:4" x14ac:dyDescent="0.25">
      <c r="A10764" s="31"/>
      <c r="D10764" s="30"/>
    </row>
    <row r="10765" spans="1:4" x14ac:dyDescent="0.25">
      <c r="A10765" s="31"/>
      <c r="D10765" s="30"/>
    </row>
    <row r="10766" spans="1:4" x14ac:dyDescent="0.25">
      <c r="A10766" s="31"/>
      <c r="D10766" s="30"/>
    </row>
    <row r="10767" spans="1:4" x14ac:dyDescent="0.25">
      <c r="A10767" s="31"/>
      <c r="D10767" s="30"/>
    </row>
    <row r="10768" spans="1:4" x14ac:dyDescent="0.25">
      <c r="A10768" s="31"/>
      <c r="D10768" s="30"/>
    </row>
    <row r="10769" spans="1:4" x14ac:dyDescent="0.25">
      <c r="A10769" s="31"/>
      <c r="D10769" s="30"/>
    </row>
    <row r="10770" spans="1:4" x14ac:dyDescent="0.25">
      <c r="A10770" s="31"/>
      <c r="D10770" s="30"/>
    </row>
    <row r="10771" spans="1:4" x14ac:dyDescent="0.25">
      <c r="A10771" s="31"/>
      <c r="D10771" s="30"/>
    </row>
    <row r="10772" spans="1:4" x14ac:dyDescent="0.25">
      <c r="A10772" s="31"/>
      <c r="D10772" s="30"/>
    </row>
    <row r="10773" spans="1:4" x14ac:dyDescent="0.25">
      <c r="A10773" s="31"/>
      <c r="D10773" s="30"/>
    </row>
    <row r="10774" spans="1:4" x14ac:dyDescent="0.25">
      <c r="A10774" s="31"/>
      <c r="D10774" s="30"/>
    </row>
    <row r="10775" spans="1:4" x14ac:dyDescent="0.25">
      <c r="A10775" s="31"/>
      <c r="D10775" s="30"/>
    </row>
    <row r="10776" spans="1:4" x14ac:dyDescent="0.25">
      <c r="A10776" s="31"/>
      <c r="D10776" s="30"/>
    </row>
    <row r="10777" spans="1:4" x14ac:dyDescent="0.25">
      <c r="A10777" s="31"/>
      <c r="D10777" s="30"/>
    </row>
    <row r="10778" spans="1:4" x14ac:dyDescent="0.25">
      <c r="A10778" s="31"/>
      <c r="D10778" s="30"/>
    </row>
    <row r="10779" spans="1:4" x14ac:dyDescent="0.25">
      <c r="A10779" s="31"/>
      <c r="D10779" s="30"/>
    </row>
    <row r="10780" spans="1:4" x14ac:dyDescent="0.25">
      <c r="A10780" s="31"/>
      <c r="D10780" s="30"/>
    </row>
    <row r="10781" spans="1:4" x14ac:dyDescent="0.25">
      <c r="A10781" s="31"/>
      <c r="D10781" s="30"/>
    </row>
    <row r="10782" spans="1:4" x14ac:dyDescent="0.25">
      <c r="A10782" s="31"/>
      <c r="D10782" s="30"/>
    </row>
    <row r="10783" spans="1:4" x14ac:dyDescent="0.25">
      <c r="A10783" s="31"/>
      <c r="D10783" s="30"/>
    </row>
    <row r="10784" spans="1:4" x14ac:dyDescent="0.25">
      <c r="A10784" s="31"/>
      <c r="D10784" s="30"/>
    </row>
    <row r="10785" spans="1:4" x14ac:dyDescent="0.25">
      <c r="A10785" s="31"/>
      <c r="D10785" s="30"/>
    </row>
    <row r="10786" spans="1:4" x14ac:dyDescent="0.25">
      <c r="A10786" s="31"/>
      <c r="D10786" s="30"/>
    </row>
    <row r="10787" spans="1:4" x14ac:dyDescent="0.25">
      <c r="A10787" s="31"/>
      <c r="D10787" s="30"/>
    </row>
    <row r="10788" spans="1:4" x14ac:dyDescent="0.25">
      <c r="A10788" s="31"/>
      <c r="D10788" s="30"/>
    </row>
    <row r="10789" spans="1:4" x14ac:dyDescent="0.25">
      <c r="A10789" s="31"/>
      <c r="D10789" s="30"/>
    </row>
    <row r="10790" spans="1:4" x14ac:dyDescent="0.25">
      <c r="A10790" s="31"/>
      <c r="D10790" s="30"/>
    </row>
    <row r="10791" spans="1:4" x14ac:dyDescent="0.25">
      <c r="A10791" s="31"/>
      <c r="D10791" s="30"/>
    </row>
    <row r="10792" spans="1:4" x14ac:dyDescent="0.25">
      <c r="A10792" s="31"/>
      <c r="D10792" s="30"/>
    </row>
    <row r="10793" spans="1:4" x14ac:dyDescent="0.25">
      <c r="A10793" s="31"/>
      <c r="D10793" s="30"/>
    </row>
    <row r="10794" spans="1:4" x14ac:dyDescent="0.25">
      <c r="A10794" s="31"/>
      <c r="D10794" s="30"/>
    </row>
    <row r="10795" spans="1:4" x14ac:dyDescent="0.25">
      <c r="A10795" s="31"/>
      <c r="D10795" s="30"/>
    </row>
    <row r="10796" spans="1:4" x14ac:dyDescent="0.25">
      <c r="A10796" s="31"/>
      <c r="D10796" s="30"/>
    </row>
    <row r="10797" spans="1:4" x14ac:dyDescent="0.25">
      <c r="A10797" s="31"/>
      <c r="D10797" s="30"/>
    </row>
    <row r="10798" spans="1:4" x14ac:dyDescent="0.25">
      <c r="A10798" s="31"/>
      <c r="D10798" s="30"/>
    </row>
    <row r="10799" spans="1:4" x14ac:dyDescent="0.25">
      <c r="A10799" s="31"/>
      <c r="D10799" s="30"/>
    </row>
    <row r="10800" spans="1:4" x14ac:dyDescent="0.25">
      <c r="A10800" s="31"/>
      <c r="D10800" s="30"/>
    </row>
    <row r="10801" spans="1:4" x14ac:dyDescent="0.25">
      <c r="A10801" s="31"/>
      <c r="D10801" s="30"/>
    </row>
    <row r="10802" spans="1:4" x14ac:dyDescent="0.25">
      <c r="A10802" s="31"/>
      <c r="D10802" s="30"/>
    </row>
    <row r="10803" spans="1:4" x14ac:dyDescent="0.25">
      <c r="A10803" s="31"/>
      <c r="D10803" s="30"/>
    </row>
    <row r="10804" spans="1:4" x14ac:dyDescent="0.25">
      <c r="A10804" s="31"/>
      <c r="D10804" s="30"/>
    </row>
    <row r="10805" spans="1:4" x14ac:dyDescent="0.25">
      <c r="A10805" s="31"/>
      <c r="D10805" s="30"/>
    </row>
    <row r="10806" spans="1:4" x14ac:dyDescent="0.25">
      <c r="A10806" s="31"/>
      <c r="D10806" s="30"/>
    </row>
    <row r="10807" spans="1:4" x14ac:dyDescent="0.25">
      <c r="A10807" s="31"/>
      <c r="D10807" s="30"/>
    </row>
    <row r="10808" spans="1:4" x14ac:dyDescent="0.25">
      <c r="A10808" s="31"/>
      <c r="D10808" s="30"/>
    </row>
    <row r="10809" spans="1:4" x14ac:dyDescent="0.25">
      <c r="A10809" s="31"/>
      <c r="D10809" s="30"/>
    </row>
    <row r="10810" spans="1:4" x14ac:dyDescent="0.25">
      <c r="A10810" s="31"/>
      <c r="D10810" s="30"/>
    </row>
    <row r="10811" spans="1:4" x14ac:dyDescent="0.25">
      <c r="A10811" s="31"/>
      <c r="D10811" s="30"/>
    </row>
    <row r="10812" spans="1:4" x14ac:dyDescent="0.25">
      <c r="A10812" s="31"/>
      <c r="D10812" s="30"/>
    </row>
    <row r="10813" spans="1:4" x14ac:dyDescent="0.25">
      <c r="A10813" s="31"/>
      <c r="D10813" s="30"/>
    </row>
    <row r="10814" spans="1:4" x14ac:dyDescent="0.25">
      <c r="A10814" s="31"/>
      <c r="D10814" s="30"/>
    </row>
    <row r="10815" spans="1:4" x14ac:dyDescent="0.25">
      <c r="A10815" s="31"/>
      <c r="D10815" s="30"/>
    </row>
    <row r="10816" spans="1:4" x14ac:dyDescent="0.25">
      <c r="A10816" s="31"/>
      <c r="D10816" s="30"/>
    </row>
    <row r="10817" spans="1:4" x14ac:dyDescent="0.25">
      <c r="A10817" s="31"/>
      <c r="D10817" s="30"/>
    </row>
    <row r="10818" spans="1:4" x14ac:dyDescent="0.25">
      <c r="A10818" s="31"/>
      <c r="D10818" s="30"/>
    </row>
    <row r="10819" spans="1:4" x14ac:dyDescent="0.25">
      <c r="A10819" s="31"/>
      <c r="D10819" s="30"/>
    </row>
    <row r="10820" spans="1:4" x14ac:dyDescent="0.25">
      <c r="A10820" s="31"/>
      <c r="D10820" s="30"/>
    </row>
    <row r="10821" spans="1:4" x14ac:dyDescent="0.25">
      <c r="A10821" s="31"/>
      <c r="D10821" s="30"/>
    </row>
    <row r="10822" spans="1:4" x14ac:dyDescent="0.25">
      <c r="A10822" s="31"/>
      <c r="D10822" s="30"/>
    </row>
    <row r="10823" spans="1:4" x14ac:dyDescent="0.25">
      <c r="A10823" s="31"/>
      <c r="D10823" s="30"/>
    </row>
    <row r="10824" spans="1:4" x14ac:dyDescent="0.25">
      <c r="A10824" s="31"/>
      <c r="D10824" s="30"/>
    </row>
    <row r="10825" spans="1:4" x14ac:dyDescent="0.25">
      <c r="A10825" s="31"/>
      <c r="D10825" s="30"/>
    </row>
    <row r="10826" spans="1:4" x14ac:dyDescent="0.25">
      <c r="A10826" s="31"/>
      <c r="D10826" s="30"/>
    </row>
    <row r="10827" spans="1:4" x14ac:dyDescent="0.25">
      <c r="A10827" s="31"/>
      <c r="D10827" s="30"/>
    </row>
    <row r="10828" spans="1:4" x14ac:dyDescent="0.25">
      <c r="A10828" s="31"/>
      <c r="D10828" s="30"/>
    </row>
    <row r="10829" spans="1:4" x14ac:dyDescent="0.25">
      <c r="A10829" s="31"/>
      <c r="D10829" s="30"/>
    </row>
    <row r="10830" spans="1:4" x14ac:dyDescent="0.25">
      <c r="A10830" s="31"/>
      <c r="D10830" s="30"/>
    </row>
    <row r="10831" spans="1:4" x14ac:dyDescent="0.25">
      <c r="A10831" s="31"/>
      <c r="D10831" s="30"/>
    </row>
    <row r="10832" spans="1:4" x14ac:dyDescent="0.25">
      <c r="A10832" s="31"/>
      <c r="D10832" s="30"/>
    </row>
    <row r="10833" spans="1:4" x14ac:dyDescent="0.25">
      <c r="A10833" s="31"/>
      <c r="D10833" s="30"/>
    </row>
    <row r="10834" spans="1:4" x14ac:dyDescent="0.25">
      <c r="A10834" s="31"/>
      <c r="D10834" s="30"/>
    </row>
    <row r="10835" spans="1:4" x14ac:dyDescent="0.25">
      <c r="A10835" s="31"/>
      <c r="D10835" s="30"/>
    </row>
    <row r="10836" spans="1:4" x14ac:dyDescent="0.25">
      <c r="A10836" s="31"/>
      <c r="D10836" s="30"/>
    </row>
    <row r="10837" spans="1:4" x14ac:dyDescent="0.25">
      <c r="A10837" s="31"/>
      <c r="D10837" s="30"/>
    </row>
    <row r="10838" spans="1:4" x14ac:dyDescent="0.25">
      <c r="A10838" s="31"/>
      <c r="D10838" s="30"/>
    </row>
    <row r="10839" spans="1:4" x14ac:dyDescent="0.25">
      <c r="A10839" s="31"/>
      <c r="D10839" s="30"/>
    </row>
    <row r="10840" spans="1:4" x14ac:dyDescent="0.25">
      <c r="A10840" s="31"/>
      <c r="D10840" s="30"/>
    </row>
    <row r="10841" spans="1:4" x14ac:dyDescent="0.25">
      <c r="A10841" s="31"/>
      <c r="D10841" s="30"/>
    </row>
    <row r="10842" spans="1:4" x14ac:dyDescent="0.25">
      <c r="A10842" s="31"/>
      <c r="D10842" s="30"/>
    </row>
    <row r="10843" spans="1:4" x14ac:dyDescent="0.25">
      <c r="A10843" s="31"/>
      <c r="D10843" s="30"/>
    </row>
    <row r="10844" spans="1:4" x14ac:dyDescent="0.25">
      <c r="A10844" s="31"/>
      <c r="D10844" s="30"/>
    </row>
    <row r="10845" spans="1:4" x14ac:dyDescent="0.25">
      <c r="A10845" s="31"/>
      <c r="D10845" s="30"/>
    </row>
    <row r="10846" spans="1:4" x14ac:dyDescent="0.25">
      <c r="A10846" s="31"/>
      <c r="D10846" s="30"/>
    </row>
    <row r="10847" spans="1:4" x14ac:dyDescent="0.25">
      <c r="A10847" s="31"/>
      <c r="D10847" s="30"/>
    </row>
    <row r="10848" spans="1:4" x14ac:dyDescent="0.25">
      <c r="A10848" s="31"/>
      <c r="D10848" s="30"/>
    </row>
    <row r="10849" spans="1:4" x14ac:dyDescent="0.25">
      <c r="A10849" s="31"/>
      <c r="D10849" s="30"/>
    </row>
    <row r="10850" spans="1:4" x14ac:dyDescent="0.25">
      <c r="A10850" s="31"/>
      <c r="D10850" s="30"/>
    </row>
    <row r="10851" spans="1:4" x14ac:dyDescent="0.25">
      <c r="A10851" s="31"/>
      <c r="D10851" s="30"/>
    </row>
    <row r="10852" spans="1:4" x14ac:dyDescent="0.25">
      <c r="A10852" s="31"/>
      <c r="D10852" s="30"/>
    </row>
    <row r="10853" spans="1:4" x14ac:dyDescent="0.25">
      <c r="A10853" s="31"/>
      <c r="D10853" s="30"/>
    </row>
    <row r="10854" spans="1:4" x14ac:dyDescent="0.25">
      <c r="A10854" s="31"/>
      <c r="D10854" s="30"/>
    </row>
    <row r="10855" spans="1:4" x14ac:dyDescent="0.25">
      <c r="A10855" s="31"/>
      <c r="D10855" s="30"/>
    </row>
    <row r="10856" spans="1:4" x14ac:dyDescent="0.25">
      <c r="A10856" s="31"/>
      <c r="D10856" s="30"/>
    </row>
    <row r="10857" spans="1:4" x14ac:dyDescent="0.25">
      <c r="A10857" s="31"/>
      <c r="D10857" s="30"/>
    </row>
    <row r="10858" spans="1:4" x14ac:dyDescent="0.25">
      <c r="A10858" s="31"/>
      <c r="D10858" s="30"/>
    </row>
    <row r="10859" spans="1:4" x14ac:dyDescent="0.25">
      <c r="A10859" s="31"/>
      <c r="D10859" s="30"/>
    </row>
    <row r="10860" spans="1:4" x14ac:dyDescent="0.25">
      <c r="A10860" s="31"/>
      <c r="D10860" s="30"/>
    </row>
    <row r="10861" spans="1:4" x14ac:dyDescent="0.25">
      <c r="A10861" s="31"/>
      <c r="D10861" s="30"/>
    </row>
    <row r="10862" spans="1:4" x14ac:dyDescent="0.25">
      <c r="A10862" s="31"/>
      <c r="D10862" s="30"/>
    </row>
    <row r="10863" spans="1:4" x14ac:dyDescent="0.25">
      <c r="A10863" s="31"/>
      <c r="D10863" s="30"/>
    </row>
    <row r="10864" spans="1:4" x14ac:dyDescent="0.25">
      <c r="A10864" s="31"/>
      <c r="D10864" s="30"/>
    </row>
    <row r="10865" spans="1:4" x14ac:dyDescent="0.25">
      <c r="A10865" s="31"/>
      <c r="D10865" s="30"/>
    </row>
    <row r="10866" spans="1:4" x14ac:dyDescent="0.25">
      <c r="A10866" s="31"/>
      <c r="D10866" s="30"/>
    </row>
    <row r="10867" spans="1:4" x14ac:dyDescent="0.25">
      <c r="A10867" s="31"/>
      <c r="D10867" s="30"/>
    </row>
    <row r="10868" spans="1:4" x14ac:dyDescent="0.25">
      <c r="A10868" s="31"/>
      <c r="D10868" s="30"/>
    </row>
    <row r="10869" spans="1:4" x14ac:dyDescent="0.25">
      <c r="A10869" s="31"/>
      <c r="D10869" s="30"/>
    </row>
    <row r="10870" spans="1:4" x14ac:dyDescent="0.25">
      <c r="A10870" s="31"/>
      <c r="D10870" s="30"/>
    </row>
    <row r="10871" spans="1:4" x14ac:dyDescent="0.25">
      <c r="A10871" s="31"/>
      <c r="D10871" s="30"/>
    </row>
    <row r="10872" spans="1:4" x14ac:dyDescent="0.25">
      <c r="A10872" s="31"/>
      <c r="D10872" s="30"/>
    </row>
    <row r="10873" spans="1:4" x14ac:dyDescent="0.25">
      <c r="A10873" s="31"/>
      <c r="D10873" s="30"/>
    </row>
    <row r="10874" spans="1:4" x14ac:dyDescent="0.25">
      <c r="A10874" s="31"/>
      <c r="D10874" s="30"/>
    </row>
    <row r="10875" spans="1:4" x14ac:dyDescent="0.25">
      <c r="A10875" s="31"/>
      <c r="D10875" s="30"/>
    </row>
    <row r="10876" spans="1:4" x14ac:dyDescent="0.25">
      <c r="A10876" s="31"/>
      <c r="D10876" s="30"/>
    </row>
    <row r="10877" spans="1:4" x14ac:dyDescent="0.25">
      <c r="A10877" s="31"/>
      <c r="D10877" s="30"/>
    </row>
    <row r="10878" spans="1:4" x14ac:dyDescent="0.25">
      <c r="A10878" s="31"/>
      <c r="D10878" s="30"/>
    </row>
    <row r="10879" spans="1:4" x14ac:dyDescent="0.25">
      <c r="A10879" s="31"/>
      <c r="D10879" s="30"/>
    </row>
    <row r="10880" spans="1:4" x14ac:dyDescent="0.25">
      <c r="A10880" s="31"/>
      <c r="D10880" s="30"/>
    </row>
    <row r="10881" spans="1:4" x14ac:dyDescent="0.25">
      <c r="A10881" s="31"/>
      <c r="D10881" s="30"/>
    </row>
    <row r="10882" spans="1:4" x14ac:dyDescent="0.25">
      <c r="A10882" s="31"/>
      <c r="D10882" s="30"/>
    </row>
    <row r="10883" spans="1:4" x14ac:dyDescent="0.25">
      <c r="A10883" s="31"/>
      <c r="D10883" s="30"/>
    </row>
    <row r="10884" spans="1:4" x14ac:dyDescent="0.25">
      <c r="A10884" s="31"/>
      <c r="D10884" s="30"/>
    </row>
    <row r="10885" spans="1:4" x14ac:dyDescent="0.25">
      <c r="A10885" s="31"/>
      <c r="D10885" s="30"/>
    </row>
    <row r="10886" spans="1:4" x14ac:dyDescent="0.25">
      <c r="A10886" s="31"/>
      <c r="D10886" s="30"/>
    </row>
    <row r="10887" spans="1:4" x14ac:dyDescent="0.25">
      <c r="A10887" s="31"/>
      <c r="D10887" s="30"/>
    </row>
    <row r="10888" spans="1:4" x14ac:dyDescent="0.25">
      <c r="A10888" s="31"/>
      <c r="D10888" s="30"/>
    </row>
    <row r="10889" spans="1:4" x14ac:dyDescent="0.25">
      <c r="A10889" s="31"/>
      <c r="D10889" s="30"/>
    </row>
    <row r="10890" spans="1:4" x14ac:dyDescent="0.25">
      <c r="A10890" s="31"/>
      <c r="D10890" s="30"/>
    </row>
    <row r="10891" spans="1:4" x14ac:dyDescent="0.25">
      <c r="A10891" s="31"/>
      <c r="D10891" s="30"/>
    </row>
    <row r="10892" spans="1:4" x14ac:dyDescent="0.25">
      <c r="A10892" s="31"/>
      <c r="D10892" s="30"/>
    </row>
    <row r="10893" spans="1:4" x14ac:dyDescent="0.25">
      <c r="A10893" s="31"/>
      <c r="D10893" s="30"/>
    </row>
    <row r="10894" spans="1:4" x14ac:dyDescent="0.25">
      <c r="A10894" s="31"/>
      <c r="D10894" s="30"/>
    </row>
    <row r="10895" spans="1:4" x14ac:dyDescent="0.25">
      <c r="A10895" s="31"/>
      <c r="D10895" s="30"/>
    </row>
    <row r="10896" spans="1:4" x14ac:dyDescent="0.25">
      <c r="A10896" s="31"/>
      <c r="D10896" s="30"/>
    </row>
    <row r="10897" spans="1:4" x14ac:dyDescent="0.25">
      <c r="A10897" s="31"/>
      <c r="D10897" s="30"/>
    </row>
    <row r="10898" spans="1:4" x14ac:dyDescent="0.25">
      <c r="A10898" s="31"/>
      <c r="D10898" s="30"/>
    </row>
    <row r="10899" spans="1:4" x14ac:dyDescent="0.25">
      <c r="A10899" s="31"/>
      <c r="D10899" s="30"/>
    </row>
    <row r="10900" spans="1:4" x14ac:dyDescent="0.25">
      <c r="A10900" s="31"/>
      <c r="D10900" s="30"/>
    </row>
    <row r="10901" spans="1:4" x14ac:dyDescent="0.25">
      <c r="A10901" s="31"/>
      <c r="D10901" s="30"/>
    </row>
    <row r="10902" spans="1:4" x14ac:dyDescent="0.25">
      <c r="A10902" s="31"/>
      <c r="D10902" s="30"/>
    </row>
    <row r="10903" spans="1:4" x14ac:dyDescent="0.25">
      <c r="A10903" s="31"/>
      <c r="D10903" s="30"/>
    </row>
    <row r="10904" spans="1:4" x14ac:dyDescent="0.25">
      <c r="A10904" s="31"/>
      <c r="D10904" s="30"/>
    </row>
    <row r="10905" spans="1:4" x14ac:dyDescent="0.25">
      <c r="A10905" s="31"/>
      <c r="D10905" s="30"/>
    </row>
    <row r="10906" spans="1:4" x14ac:dyDescent="0.25">
      <c r="A10906" s="31"/>
      <c r="D10906" s="30"/>
    </row>
    <row r="10907" spans="1:4" x14ac:dyDescent="0.25">
      <c r="A10907" s="31"/>
      <c r="D10907" s="30"/>
    </row>
    <row r="10908" spans="1:4" x14ac:dyDescent="0.25">
      <c r="A10908" s="31"/>
      <c r="D10908" s="30"/>
    </row>
    <row r="10909" spans="1:4" x14ac:dyDescent="0.25">
      <c r="A10909" s="31"/>
      <c r="D10909" s="30"/>
    </row>
    <row r="10910" spans="1:4" x14ac:dyDescent="0.25">
      <c r="A10910" s="31"/>
      <c r="D10910" s="30"/>
    </row>
    <row r="10911" spans="1:4" x14ac:dyDescent="0.25">
      <c r="A10911" s="31"/>
      <c r="D10911" s="30"/>
    </row>
    <row r="10912" spans="1:4" x14ac:dyDescent="0.25">
      <c r="A10912" s="31"/>
      <c r="D10912" s="30"/>
    </row>
    <row r="10913" spans="1:4" x14ac:dyDescent="0.25">
      <c r="A10913" s="31"/>
      <c r="D10913" s="30"/>
    </row>
    <row r="10914" spans="1:4" x14ac:dyDescent="0.25">
      <c r="A10914" s="31"/>
      <c r="D10914" s="30"/>
    </row>
    <row r="10915" spans="1:4" x14ac:dyDescent="0.25">
      <c r="A10915" s="31"/>
      <c r="D10915" s="30"/>
    </row>
    <row r="10916" spans="1:4" x14ac:dyDescent="0.25">
      <c r="A10916" s="31"/>
      <c r="D10916" s="30"/>
    </row>
    <row r="10917" spans="1:4" x14ac:dyDescent="0.25">
      <c r="A10917" s="31"/>
      <c r="D10917" s="30"/>
    </row>
    <row r="10918" spans="1:4" x14ac:dyDescent="0.25">
      <c r="A10918" s="31"/>
      <c r="D10918" s="30"/>
    </row>
    <row r="10919" spans="1:4" x14ac:dyDescent="0.25">
      <c r="A10919" s="31"/>
      <c r="D10919" s="30"/>
    </row>
    <row r="10920" spans="1:4" x14ac:dyDescent="0.25">
      <c r="A10920" s="31"/>
      <c r="D10920" s="30"/>
    </row>
    <row r="10921" spans="1:4" x14ac:dyDescent="0.25">
      <c r="A10921" s="31"/>
      <c r="D10921" s="30"/>
    </row>
    <row r="10922" spans="1:4" x14ac:dyDescent="0.25">
      <c r="A10922" s="31"/>
      <c r="D10922" s="30"/>
    </row>
    <row r="10923" spans="1:4" x14ac:dyDescent="0.25">
      <c r="A10923" s="31"/>
      <c r="D10923" s="30"/>
    </row>
    <row r="10924" spans="1:4" x14ac:dyDescent="0.25">
      <c r="A10924" s="31"/>
      <c r="D10924" s="30"/>
    </row>
    <row r="10925" spans="1:4" x14ac:dyDescent="0.25">
      <c r="A10925" s="31"/>
      <c r="D10925" s="30"/>
    </row>
    <row r="10926" spans="1:4" x14ac:dyDescent="0.25">
      <c r="A10926" s="31"/>
      <c r="D10926" s="30"/>
    </row>
    <row r="10927" spans="1:4" x14ac:dyDescent="0.25">
      <c r="A10927" s="31"/>
      <c r="D10927" s="30"/>
    </row>
    <row r="10928" spans="1:4" x14ac:dyDescent="0.25">
      <c r="A10928" s="31"/>
      <c r="D10928" s="30"/>
    </row>
    <row r="10929" spans="1:4" x14ac:dyDescent="0.25">
      <c r="A10929" s="31"/>
      <c r="D10929" s="30"/>
    </row>
    <row r="10930" spans="1:4" x14ac:dyDescent="0.25">
      <c r="A10930" s="31"/>
      <c r="D10930" s="30"/>
    </row>
    <row r="10931" spans="1:4" x14ac:dyDescent="0.25">
      <c r="A10931" s="31"/>
      <c r="D10931" s="30"/>
    </row>
    <row r="10932" spans="1:4" x14ac:dyDescent="0.25">
      <c r="A10932" s="31"/>
      <c r="D10932" s="30"/>
    </row>
    <row r="10933" spans="1:4" x14ac:dyDescent="0.25">
      <c r="A10933" s="31"/>
      <c r="D10933" s="30"/>
    </row>
    <row r="10934" spans="1:4" x14ac:dyDescent="0.25">
      <c r="A10934" s="31"/>
      <c r="D10934" s="30"/>
    </row>
    <row r="10935" spans="1:4" x14ac:dyDescent="0.25">
      <c r="A10935" s="31"/>
      <c r="D10935" s="30"/>
    </row>
    <row r="10936" spans="1:4" x14ac:dyDescent="0.25">
      <c r="A10936" s="31"/>
      <c r="D10936" s="30"/>
    </row>
    <row r="10937" spans="1:4" x14ac:dyDescent="0.25">
      <c r="A10937" s="31"/>
      <c r="D10937" s="30"/>
    </row>
    <row r="10938" spans="1:4" x14ac:dyDescent="0.25">
      <c r="A10938" s="31"/>
      <c r="D10938" s="30"/>
    </row>
    <row r="10939" spans="1:4" x14ac:dyDescent="0.25">
      <c r="A10939" s="31"/>
      <c r="D10939" s="30"/>
    </row>
    <row r="10940" spans="1:4" x14ac:dyDescent="0.25">
      <c r="A10940" s="31"/>
      <c r="D10940" s="30"/>
    </row>
    <row r="10941" spans="1:4" x14ac:dyDescent="0.25">
      <c r="A10941" s="31"/>
      <c r="D10941" s="30"/>
    </row>
    <row r="10942" spans="1:4" x14ac:dyDescent="0.25">
      <c r="A10942" s="31"/>
      <c r="D10942" s="30"/>
    </row>
    <row r="10943" spans="1:4" x14ac:dyDescent="0.25">
      <c r="A10943" s="31"/>
      <c r="D10943" s="30"/>
    </row>
    <row r="10944" spans="1:4" x14ac:dyDescent="0.25">
      <c r="A10944" s="31"/>
      <c r="D10944" s="30"/>
    </row>
    <row r="10945" spans="1:4" x14ac:dyDescent="0.25">
      <c r="A10945" s="31"/>
      <c r="D10945" s="30"/>
    </row>
    <row r="10946" spans="1:4" x14ac:dyDescent="0.25">
      <c r="A10946" s="31"/>
      <c r="D10946" s="30"/>
    </row>
    <row r="10947" spans="1:4" x14ac:dyDescent="0.25">
      <c r="A10947" s="31"/>
      <c r="D10947" s="30"/>
    </row>
    <row r="10948" spans="1:4" x14ac:dyDescent="0.25">
      <c r="A10948" s="31"/>
      <c r="D10948" s="30"/>
    </row>
    <row r="10949" spans="1:4" x14ac:dyDescent="0.25">
      <c r="A10949" s="31"/>
      <c r="D10949" s="30"/>
    </row>
    <row r="10950" spans="1:4" x14ac:dyDescent="0.25">
      <c r="A10950" s="31"/>
      <c r="D10950" s="30"/>
    </row>
    <row r="10951" spans="1:4" x14ac:dyDescent="0.25">
      <c r="A10951" s="31"/>
      <c r="D10951" s="30"/>
    </row>
    <row r="10952" spans="1:4" x14ac:dyDescent="0.25">
      <c r="A10952" s="31"/>
      <c r="D10952" s="30"/>
    </row>
    <row r="10953" spans="1:4" x14ac:dyDescent="0.25">
      <c r="A10953" s="31"/>
      <c r="D10953" s="30"/>
    </row>
    <row r="10954" spans="1:4" x14ac:dyDescent="0.25">
      <c r="A10954" s="31"/>
      <c r="D10954" s="30"/>
    </row>
    <row r="10955" spans="1:4" x14ac:dyDescent="0.25">
      <c r="A10955" s="31"/>
      <c r="D10955" s="30"/>
    </row>
    <row r="10956" spans="1:4" x14ac:dyDescent="0.25">
      <c r="A10956" s="31"/>
      <c r="D10956" s="30"/>
    </row>
    <row r="10957" spans="1:4" x14ac:dyDescent="0.25">
      <c r="A10957" s="31"/>
      <c r="D10957" s="30"/>
    </row>
    <row r="10958" spans="1:4" x14ac:dyDescent="0.25">
      <c r="A10958" s="31"/>
      <c r="D10958" s="30"/>
    </row>
    <row r="10959" spans="1:4" x14ac:dyDescent="0.25">
      <c r="A10959" s="31"/>
      <c r="D10959" s="30"/>
    </row>
    <row r="10960" spans="1:4" x14ac:dyDescent="0.25">
      <c r="A10960" s="31"/>
      <c r="D10960" s="30"/>
    </row>
    <row r="10961" spans="1:4" x14ac:dyDescent="0.25">
      <c r="A10961" s="31"/>
      <c r="D10961" s="30"/>
    </row>
    <row r="10962" spans="1:4" x14ac:dyDescent="0.25">
      <c r="A10962" s="31"/>
      <c r="D10962" s="30"/>
    </row>
    <row r="10963" spans="1:4" x14ac:dyDescent="0.25">
      <c r="A10963" s="31"/>
      <c r="D10963" s="30"/>
    </row>
    <row r="10964" spans="1:4" x14ac:dyDescent="0.25">
      <c r="A10964" s="31"/>
      <c r="D10964" s="30"/>
    </row>
    <row r="10965" spans="1:4" x14ac:dyDescent="0.25">
      <c r="A10965" s="31"/>
      <c r="D10965" s="30"/>
    </row>
    <row r="10966" spans="1:4" x14ac:dyDescent="0.25">
      <c r="A10966" s="31"/>
      <c r="D10966" s="30"/>
    </row>
    <row r="10967" spans="1:4" x14ac:dyDescent="0.25">
      <c r="A10967" s="31"/>
      <c r="D10967" s="30"/>
    </row>
    <row r="10968" spans="1:4" x14ac:dyDescent="0.25">
      <c r="A10968" s="31"/>
      <c r="D10968" s="30"/>
    </row>
    <row r="10969" spans="1:4" x14ac:dyDescent="0.25">
      <c r="A10969" s="31"/>
      <c r="D10969" s="30"/>
    </row>
    <row r="10970" spans="1:4" x14ac:dyDescent="0.25">
      <c r="A10970" s="31"/>
      <c r="D10970" s="30"/>
    </row>
    <row r="10971" spans="1:4" x14ac:dyDescent="0.25">
      <c r="A10971" s="31"/>
      <c r="D10971" s="30"/>
    </row>
    <row r="10972" spans="1:4" x14ac:dyDescent="0.25">
      <c r="A10972" s="31"/>
      <c r="D10972" s="30"/>
    </row>
    <row r="10973" spans="1:4" x14ac:dyDescent="0.25">
      <c r="A10973" s="31"/>
      <c r="D10973" s="30"/>
    </row>
    <row r="10974" spans="1:4" x14ac:dyDescent="0.25">
      <c r="A10974" s="31"/>
      <c r="D10974" s="30"/>
    </row>
    <row r="10975" spans="1:4" x14ac:dyDescent="0.25">
      <c r="A10975" s="31"/>
      <c r="D10975" s="30"/>
    </row>
    <row r="10976" spans="1:4" x14ac:dyDescent="0.25">
      <c r="A10976" s="31"/>
      <c r="D10976" s="30"/>
    </row>
    <row r="10977" spans="1:4" x14ac:dyDescent="0.25">
      <c r="A10977" s="31"/>
      <c r="D10977" s="30"/>
    </row>
    <row r="10978" spans="1:4" x14ac:dyDescent="0.25">
      <c r="A10978" s="31"/>
      <c r="D10978" s="30"/>
    </row>
    <row r="10979" spans="1:4" x14ac:dyDescent="0.25">
      <c r="A10979" s="31"/>
      <c r="D10979" s="30"/>
    </row>
    <row r="10980" spans="1:4" x14ac:dyDescent="0.25">
      <c r="A10980" s="31"/>
      <c r="D10980" s="30"/>
    </row>
    <row r="10981" spans="1:4" x14ac:dyDescent="0.25">
      <c r="A10981" s="31"/>
      <c r="D10981" s="30"/>
    </row>
    <row r="10982" spans="1:4" x14ac:dyDescent="0.25">
      <c r="A10982" s="31"/>
      <c r="D10982" s="30"/>
    </row>
    <row r="10983" spans="1:4" x14ac:dyDescent="0.25">
      <c r="A10983" s="31"/>
      <c r="D10983" s="30"/>
    </row>
    <row r="10984" spans="1:4" x14ac:dyDescent="0.25">
      <c r="A10984" s="31"/>
      <c r="D10984" s="30"/>
    </row>
    <row r="10985" spans="1:4" x14ac:dyDescent="0.25">
      <c r="A10985" s="31"/>
      <c r="D10985" s="30"/>
    </row>
    <row r="10986" spans="1:4" x14ac:dyDescent="0.25">
      <c r="A10986" s="31"/>
      <c r="D10986" s="30"/>
    </row>
    <row r="10987" spans="1:4" x14ac:dyDescent="0.25">
      <c r="A10987" s="31"/>
      <c r="D10987" s="30"/>
    </row>
    <row r="10988" spans="1:4" x14ac:dyDescent="0.25">
      <c r="A10988" s="31"/>
      <c r="D10988" s="30"/>
    </row>
    <row r="10989" spans="1:4" x14ac:dyDescent="0.25">
      <c r="A10989" s="31"/>
      <c r="D10989" s="30"/>
    </row>
    <row r="10990" spans="1:4" x14ac:dyDescent="0.25">
      <c r="A10990" s="31"/>
      <c r="D10990" s="30"/>
    </row>
    <row r="10991" spans="1:4" x14ac:dyDescent="0.25">
      <c r="A10991" s="31"/>
      <c r="D10991" s="30"/>
    </row>
    <row r="10992" spans="1:4" x14ac:dyDescent="0.25">
      <c r="A10992" s="31"/>
      <c r="D10992" s="30"/>
    </row>
    <row r="10993" spans="1:4" x14ac:dyDescent="0.25">
      <c r="A10993" s="31"/>
      <c r="D10993" s="30"/>
    </row>
    <row r="10994" spans="1:4" x14ac:dyDescent="0.25">
      <c r="A10994" s="31"/>
      <c r="D10994" s="30"/>
    </row>
    <row r="10995" spans="1:4" x14ac:dyDescent="0.25">
      <c r="A10995" s="31"/>
      <c r="D10995" s="30"/>
    </row>
    <row r="10996" spans="1:4" x14ac:dyDescent="0.25">
      <c r="A10996" s="31"/>
      <c r="D10996" s="30"/>
    </row>
    <row r="10997" spans="1:4" x14ac:dyDescent="0.25">
      <c r="A10997" s="31"/>
      <c r="D10997" s="30"/>
    </row>
    <row r="10998" spans="1:4" x14ac:dyDescent="0.25">
      <c r="A10998" s="31"/>
      <c r="D10998" s="30"/>
    </row>
    <row r="10999" spans="1:4" x14ac:dyDescent="0.25">
      <c r="A10999" s="31"/>
      <c r="D10999" s="30"/>
    </row>
    <row r="11000" spans="1:4" x14ac:dyDescent="0.25">
      <c r="A11000" s="31"/>
      <c r="D11000" s="30"/>
    </row>
    <row r="11001" spans="1:4" x14ac:dyDescent="0.25">
      <c r="A11001" s="31"/>
      <c r="D11001" s="30"/>
    </row>
    <row r="11002" spans="1:4" x14ac:dyDescent="0.25">
      <c r="A11002" s="31"/>
      <c r="D11002" s="30"/>
    </row>
    <row r="11003" spans="1:4" x14ac:dyDescent="0.25">
      <c r="A11003" s="31"/>
      <c r="D11003" s="30"/>
    </row>
    <row r="11004" spans="1:4" x14ac:dyDescent="0.25">
      <c r="A11004" s="31"/>
      <c r="D11004" s="30"/>
    </row>
    <row r="11005" spans="1:4" x14ac:dyDescent="0.25">
      <c r="A11005" s="31"/>
      <c r="D11005" s="30"/>
    </row>
    <row r="11006" spans="1:4" x14ac:dyDescent="0.25">
      <c r="A11006" s="31"/>
      <c r="D11006" s="30"/>
    </row>
    <row r="11007" spans="1:4" x14ac:dyDescent="0.25">
      <c r="A11007" s="31"/>
      <c r="D11007" s="30"/>
    </row>
    <row r="11008" spans="1:4" x14ac:dyDescent="0.25">
      <c r="A11008" s="31"/>
      <c r="D11008" s="30"/>
    </row>
    <row r="11009" spans="1:4" x14ac:dyDescent="0.25">
      <c r="A11009" s="31"/>
      <c r="D11009" s="30"/>
    </row>
    <row r="11010" spans="1:4" x14ac:dyDescent="0.25">
      <c r="A11010" s="31"/>
      <c r="D11010" s="30"/>
    </row>
    <row r="11011" spans="1:4" x14ac:dyDescent="0.25">
      <c r="A11011" s="31"/>
      <c r="D11011" s="30"/>
    </row>
    <row r="11012" spans="1:4" x14ac:dyDescent="0.25">
      <c r="A11012" s="31"/>
      <c r="D11012" s="30"/>
    </row>
    <row r="11013" spans="1:4" x14ac:dyDescent="0.25">
      <c r="A11013" s="31"/>
      <c r="D11013" s="30"/>
    </row>
    <row r="11014" spans="1:4" x14ac:dyDescent="0.25">
      <c r="A11014" s="31"/>
      <c r="D11014" s="30"/>
    </row>
    <row r="11015" spans="1:4" x14ac:dyDescent="0.25">
      <c r="A11015" s="31"/>
      <c r="D11015" s="30"/>
    </row>
    <row r="11016" spans="1:4" x14ac:dyDescent="0.25">
      <c r="A11016" s="31"/>
      <c r="D11016" s="30"/>
    </row>
    <row r="11017" spans="1:4" x14ac:dyDescent="0.25">
      <c r="A11017" s="31"/>
      <c r="D11017" s="30"/>
    </row>
    <row r="11018" spans="1:4" x14ac:dyDescent="0.25">
      <c r="A11018" s="31"/>
      <c r="D11018" s="30"/>
    </row>
    <row r="11019" spans="1:4" x14ac:dyDescent="0.25">
      <c r="A11019" s="31"/>
      <c r="D11019" s="30"/>
    </row>
    <row r="11020" spans="1:4" x14ac:dyDescent="0.25">
      <c r="A11020" s="31"/>
      <c r="D11020" s="30"/>
    </row>
    <row r="11021" spans="1:4" x14ac:dyDescent="0.25">
      <c r="A11021" s="31"/>
      <c r="D11021" s="30"/>
    </row>
    <row r="11022" spans="1:4" x14ac:dyDescent="0.25">
      <c r="A11022" s="31"/>
      <c r="D11022" s="30"/>
    </row>
    <row r="11023" spans="1:4" x14ac:dyDescent="0.25">
      <c r="A11023" s="31"/>
      <c r="D11023" s="30"/>
    </row>
    <row r="11024" spans="1:4" x14ac:dyDescent="0.25">
      <c r="A11024" s="31"/>
      <c r="D11024" s="30"/>
    </row>
    <row r="11025" spans="1:4" x14ac:dyDescent="0.25">
      <c r="A11025" s="31"/>
      <c r="D11025" s="30"/>
    </row>
    <row r="11026" spans="1:4" x14ac:dyDescent="0.25">
      <c r="A11026" s="31"/>
      <c r="D11026" s="30"/>
    </row>
    <row r="11027" spans="1:4" x14ac:dyDescent="0.25">
      <c r="A11027" s="31"/>
      <c r="D11027" s="30"/>
    </row>
    <row r="11028" spans="1:4" x14ac:dyDescent="0.25">
      <c r="A11028" s="31"/>
      <c r="D11028" s="30"/>
    </row>
    <row r="11029" spans="1:4" x14ac:dyDescent="0.25">
      <c r="A11029" s="31"/>
      <c r="D11029" s="30"/>
    </row>
    <row r="11030" spans="1:4" x14ac:dyDescent="0.25">
      <c r="A11030" s="31"/>
      <c r="D11030" s="30"/>
    </row>
    <row r="11031" spans="1:4" x14ac:dyDescent="0.25">
      <c r="A11031" s="31"/>
      <c r="D11031" s="30"/>
    </row>
    <row r="11032" spans="1:4" x14ac:dyDescent="0.25">
      <c r="A11032" s="31"/>
      <c r="D11032" s="30"/>
    </row>
    <row r="11033" spans="1:4" x14ac:dyDescent="0.25">
      <c r="A11033" s="31"/>
      <c r="D11033" s="30"/>
    </row>
    <row r="11034" spans="1:4" x14ac:dyDescent="0.25">
      <c r="A11034" s="31"/>
      <c r="D11034" s="30"/>
    </row>
    <row r="11035" spans="1:4" x14ac:dyDescent="0.25">
      <c r="A11035" s="31"/>
      <c r="D11035" s="30"/>
    </row>
    <row r="11036" spans="1:4" x14ac:dyDescent="0.25">
      <c r="A11036" s="31"/>
      <c r="D11036" s="30"/>
    </row>
    <row r="11037" spans="1:4" x14ac:dyDescent="0.25">
      <c r="A11037" s="31"/>
      <c r="D11037" s="30"/>
    </row>
    <row r="11038" spans="1:4" x14ac:dyDescent="0.25">
      <c r="A11038" s="31"/>
      <c r="D11038" s="30"/>
    </row>
    <row r="11039" spans="1:4" x14ac:dyDescent="0.25">
      <c r="A11039" s="31"/>
      <c r="D11039" s="30"/>
    </row>
    <row r="11040" spans="1:4" x14ac:dyDescent="0.25">
      <c r="A11040" s="31"/>
      <c r="D11040" s="30"/>
    </row>
    <row r="11041" spans="1:4" x14ac:dyDescent="0.25">
      <c r="A11041" s="31"/>
      <c r="D11041" s="30"/>
    </row>
    <row r="11042" spans="1:4" x14ac:dyDescent="0.25">
      <c r="A11042" s="31"/>
      <c r="D11042" s="30"/>
    </row>
    <row r="11043" spans="1:4" x14ac:dyDescent="0.25">
      <c r="A11043" s="31"/>
      <c r="D11043" s="30"/>
    </row>
    <row r="11044" spans="1:4" x14ac:dyDescent="0.25">
      <c r="A11044" s="31"/>
      <c r="D11044" s="30"/>
    </row>
    <row r="11045" spans="1:4" x14ac:dyDescent="0.25">
      <c r="A11045" s="31"/>
      <c r="D11045" s="30"/>
    </row>
    <row r="11046" spans="1:4" x14ac:dyDescent="0.25">
      <c r="A11046" s="31"/>
      <c r="D11046" s="30"/>
    </row>
    <row r="11047" spans="1:4" x14ac:dyDescent="0.25">
      <c r="A11047" s="31"/>
      <c r="D11047" s="30"/>
    </row>
    <row r="11048" spans="1:4" x14ac:dyDescent="0.25">
      <c r="A11048" s="31"/>
      <c r="D11048" s="30"/>
    </row>
    <row r="11049" spans="1:4" x14ac:dyDescent="0.25">
      <c r="A11049" s="31"/>
      <c r="D11049" s="30"/>
    </row>
    <row r="11050" spans="1:4" x14ac:dyDescent="0.25">
      <c r="A11050" s="31"/>
      <c r="D11050" s="30"/>
    </row>
    <row r="11051" spans="1:4" x14ac:dyDescent="0.25">
      <c r="A11051" s="31"/>
      <c r="D11051" s="30"/>
    </row>
    <row r="11052" spans="1:4" x14ac:dyDescent="0.25">
      <c r="A11052" s="31"/>
      <c r="D11052" s="30"/>
    </row>
    <row r="11053" spans="1:4" x14ac:dyDescent="0.25">
      <c r="A11053" s="31"/>
      <c r="D11053" s="30"/>
    </row>
    <row r="11054" spans="1:4" x14ac:dyDescent="0.25">
      <c r="A11054" s="31"/>
      <c r="D11054" s="30"/>
    </row>
    <row r="11055" spans="1:4" x14ac:dyDescent="0.25">
      <c r="A11055" s="31"/>
      <c r="D11055" s="30"/>
    </row>
    <row r="11056" spans="1:4" x14ac:dyDescent="0.25">
      <c r="A11056" s="31"/>
      <c r="D11056" s="30"/>
    </row>
    <row r="11057" spans="1:4" x14ac:dyDescent="0.25">
      <c r="A11057" s="31"/>
      <c r="D11057" s="30"/>
    </row>
    <row r="11058" spans="1:4" x14ac:dyDescent="0.25">
      <c r="A11058" s="31"/>
      <c r="D11058" s="30"/>
    </row>
    <row r="11059" spans="1:4" x14ac:dyDescent="0.25">
      <c r="A11059" s="31"/>
      <c r="D11059" s="30"/>
    </row>
    <row r="11060" spans="1:4" x14ac:dyDescent="0.25">
      <c r="A11060" s="31"/>
      <c r="D11060" s="30"/>
    </row>
    <row r="11061" spans="1:4" x14ac:dyDescent="0.25">
      <c r="A11061" s="31"/>
      <c r="D11061" s="30"/>
    </row>
    <row r="11062" spans="1:4" x14ac:dyDescent="0.25">
      <c r="A11062" s="31"/>
      <c r="D11062" s="30"/>
    </row>
    <row r="11063" spans="1:4" x14ac:dyDescent="0.25">
      <c r="A11063" s="31"/>
      <c r="D11063" s="30"/>
    </row>
    <row r="11064" spans="1:4" x14ac:dyDescent="0.25">
      <c r="A11064" s="31"/>
      <c r="D11064" s="30"/>
    </row>
    <row r="11065" spans="1:4" x14ac:dyDescent="0.25">
      <c r="A11065" s="31"/>
      <c r="D11065" s="30"/>
    </row>
    <row r="11066" spans="1:4" x14ac:dyDescent="0.25">
      <c r="A11066" s="31"/>
      <c r="D11066" s="30"/>
    </row>
    <row r="11067" spans="1:4" x14ac:dyDescent="0.25">
      <c r="A11067" s="31"/>
      <c r="D11067" s="30"/>
    </row>
    <row r="11068" spans="1:4" x14ac:dyDescent="0.25">
      <c r="A11068" s="31"/>
      <c r="D11068" s="30"/>
    </row>
    <row r="11069" spans="1:4" x14ac:dyDescent="0.25">
      <c r="A11069" s="31"/>
      <c r="D11069" s="30"/>
    </row>
    <row r="11070" spans="1:4" x14ac:dyDescent="0.25">
      <c r="A11070" s="31"/>
      <c r="D11070" s="30"/>
    </row>
    <row r="11071" spans="1:4" x14ac:dyDescent="0.25">
      <c r="A11071" s="31"/>
      <c r="D11071" s="30"/>
    </row>
    <row r="11072" spans="1:4" x14ac:dyDescent="0.25">
      <c r="A11072" s="31"/>
      <c r="D11072" s="30"/>
    </row>
    <row r="11073" spans="1:4" x14ac:dyDescent="0.25">
      <c r="A11073" s="31"/>
      <c r="D11073" s="30"/>
    </row>
    <row r="11074" spans="1:4" x14ac:dyDescent="0.25">
      <c r="A11074" s="31"/>
      <c r="D11074" s="30"/>
    </row>
    <row r="11075" spans="1:4" x14ac:dyDescent="0.25">
      <c r="A11075" s="31"/>
      <c r="D11075" s="30"/>
    </row>
    <row r="11076" spans="1:4" x14ac:dyDescent="0.25">
      <c r="A11076" s="31"/>
      <c r="D11076" s="30"/>
    </row>
    <row r="11077" spans="1:4" x14ac:dyDescent="0.25">
      <c r="A11077" s="31"/>
      <c r="D11077" s="30"/>
    </row>
    <row r="11078" spans="1:4" x14ac:dyDescent="0.25">
      <c r="A11078" s="31"/>
      <c r="D11078" s="30"/>
    </row>
    <row r="11079" spans="1:4" x14ac:dyDescent="0.25">
      <c r="A11079" s="31"/>
      <c r="D11079" s="30"/>
    </row>
    <row r="11080" spans="1:4" x14ac:dyDescent="0.25">
      <c r="A11080" s="31"/>
      <c r="D11080" s="30"/>
    </row>
    <row r="11081" spans="1:4" x14ac:dyDescent="0.25">
      <c r="A11081" s="31"/>
      <c r="D11081" s="30"/>
    </row>
    <row r="11082" spans="1:4" x14ac:dyDescent="0.25">
      <c r="A11082" s="31"/>
      <c r="D11082" s="30"/>
    </row>
    <row r="11083" spans="1:4" x14ac:dyDescent="0.25">
      <c r="A11083" s="31"/>
      <c r="D11083" s="30"/>
    </row>
    <row r="11084" spans="1:4" x14ac:dyDescent="0.25">
      <c r="A11084" s="31"/>
      <c r="D11084" s="30"/>
    </row>
    <row r="11085" spans="1:4" x14ac:dyDescent="0.25">
      <c r="A11085" s="31"/>
      <c r="D11085" s="30"/>
    </row>
    <row r="11086" spans="1:4" x14ac:dyDescent="0.25">
      <c r="A11086" s="31"/>
      <c r="D11086" s="30"/>
    </row>
    <row r="11087" spans="1:4" x14ac:dyDescent="0.25">
      <c r="A11087" s="31"/>
      <c r="D11087" s="30"/>
    </row>
    <row r="11088" spans="1:4" x14ac:dyDescent="0.25">
      <c r="A11088" s="31"/>
      <c r="D11088" s="30"/>
    </row>
    <row r="11089" spans="1:4" x14ac:dyDescent="0.25">
      <c r="A11089" s="31"/>
      <c r="D11089" s="30"/>
    </row>
    <row r="11090" spans="1:4" x14ac:dyDescent="0.25">
      <c r="A11090" s="31"/>
      <c r="D11090" s="30"/>
    </row>
    <row r="11091" spans="1:4" x14ac:dyDescent="0.25">
      <c r="A11091" s="31"/>
      <c r="D11091" s="30"/>
    </row>
    <row r="11092" spans="1:4" x14ac:dyDescent="0.25">
      <c r="A11092" s="31"/>
      <c r="D11092" s="30"/>
    </row>
    <row r="11093" spans="1:4" x14ac:dyDescent="0.25">
      <c r="A11093" s="31"/>
      <c r="D11093" s="30"/>
    </row>
    <row r="11094" spans="1:4" x14ac:dyDescent="0.25">
      <c r="A11094" s="31"/>
      <c r="D11094" s="30"/>
    </row>
    <row r="11095" spans="1:4" x14ac:dyDescent="0.25">
      <c r="A11095" s="31"/>
      <c r="D11095" s="30"/>
    </row>
    <row r="11096" spans="1:4" x14ac:dyDescent="0.25">
      <c r="A11096" s="31"/>
      <c r="D11096" s="30"/>
    </row>
    <row r="11097" spans="1:4" x14ac:dyDescent="0.25">
      <c r="A11097" s="31"/>
      <c r="D11097" s="30"/>
    </row>
    <row r="11098" spans="1:4" x14ac:dyDescent="0.25">
      <c r="A11098" s="31"/>
      <c r="D11098" s="30"/>
    </row>
    <row r="11099" spans="1:4" x14ac:dyDescent="0.25">
      <c r="A11099" s="31"/>
      <c r="D11099" s="30"/>
    </row>
    <row r="11100" spans="1:4" x14ac:dyDescent="0.25">
      <c r="A11100" s="31"/>
      <c r="D11100" s="30"/>
    </row>
    <row r="11101" spans="1:4" x14ac:dyDescent="0.25">
      <c r="A11101" s="31"/>
      <c r="D11101" s="30"/>
    </row>
    <row r="11102" spans="1:4" x14ac:dyDescent="0.25">
      <c r="A11102" s="31"/>
      <c r="D11102" s="30"/>
    </row>
    <row r="11103" spans="1:4" x14ac:dyDescent="0.25">
      <c r="A11103" s="31"/>
      <c r="D11103" s="30"/>
    </row>
    <row r="11104" spans="1:4" x14ac:dyDescent="0.25">
      <c r="A11104" s="31"/>
      <c r="D11104" s="30"/>
    </row>
    <row r="11105" spans="1:4" x14ac:dyDescent="0.25">
      <c r="A11105" s="31"/>
      <c r="D11105" s="30"/>
    </row>
    <row r="11106" spans="1:4" x14ac:dyDescent="0.25">
      <c r="A11106" s="31"/>
      <c r="D11106" s="30"/>
    </row>
    <row r="11107" spans="1:4" x14ac:dyDescent="0.25">
      <c r="A11107" s="31"/>
      <c r="D11107" s="30"/>
    </row>
    <row r="11108" spans="1:4" x14ac:dyDescent="0.25">
      <c r="A11108" s="31"/>
      <c r="D11108" s="30"/>
    </row>
    <row r="11109" spans="1:4" x14ac:dyDescent="0.25">
      <c r="A11109" s="31"/>
      <c r="D11109" s="30"/>
    </row>
    <row r="11110" spans="1:4" x14ac:dyDescent="0.25">
      <c r="A11110" s="31"/>
      <c r="D11110" s="30"/>
    </row>
    <row r="11111" spans="1:4" x14ac:dyDescent="0.25">
      <c r="A11111" s="31"/>
      <c r="D11111" s="30"/>
    </row>
    <row r="11112" spans="1:4" x14ac:dyDescent="0.25">
      <c r="A11112" s="31"/>
      <c r="D11112" s="30"/>
    </row>
    <row r="11113" spans="1:4" x14ac:dyDescent="0.25">
      <c r="A11113" s="31"/>
      <c r="D11113" s="30"/>
    </row>
    <row r="11114" spans="1:4" x14ac:dyDescent="0.25">
      <c r="A11114" s="31"/>
      <c r="D11114" s="30"/>
    </row>
    <row r="11115" spans="1:4" x14ac:dyDescent="0.25">
      <c r="A11115" s="31"/>
      <c r="D11115" s="30"/>
    </row>
    <row r="11116" spans="1:4" x14ac:dyDescent="0.25">
      <c r="A11116" s="31"/>
      <c r="D11116" s="30"/>
    </row>
    <row r="11117" spans="1:4" x14ac:dyDescent="0.25">
      <c r="A11117" s="31"/>
      <c r="D11117" s="30"/>
    </row>
    <row r="11118" spans="1:4" x14ac:dyDescent="0.25">
      <c r="A11118" s="31"/>
      <c r="D11118" s="30"/>
    </row>
    <row r="11119" spans="1:4" x14ac:dyDescent="0.25">
      <c r="A11119" s="31"/>
      <c r="D11119" s="30"/>
    </row>
    <row r="11120" spans="1:4" x14ac:dyDescent="0.25">
      <c r="A11120" s="31"/>
      <c r="D11120" s="30"/>
    </row>
    <row r="11121" spans="1:4" x14ac:dyDescent="0.25">
      <c r="A11121" s="31"/>
      <c r="D11121" s="30"/>
    </row>
    <row r="11122" spans="1:4" x14ac:dyDescent="0.25">
      <c r="A11122" s="31"/>
      <c r="D11122" s="30"/>
    </row>
    <row r="11123" spans="1:4" x14ac:dyDescent="0.25">
      <c r="A11123" s="31"/>
      <c r="D11123" s="30"/>
    </row>
    <row r="11124" spans="1:4" x14ac:dyDescent="0.25">
      <c r="A11124" s="31"/>
      <c r="D11124" s="30"/>
    </row>
    <row r="11125" spans="1:4" x14ac:dyDescent="0.25">
      <c r="A11125" s="31"/>
      <c r="D11125" s="30"/>
    </row>
    <row r="11126" spans="1:4" x14ac:dyDescent="0.25">
      <c r="A11126" s="31"/>
      <c r="D11126" s="30"/>
    </row>
    <row r="11127" spans="1:4" x14ac:dyDescent="0.25">
      <c r="A11127" s="31"/>
      <c r="D11127" s="30"/>
    </row>
    <row r="11128" spans="1:4" x14ac:dyDescent="0.25">
      <c r="A11128" s="31"/>
      <c r="D11128" s="30"/>
    </row>
    <row r="11129" spans="1:4" x14ac:dyDescent="0.25">
      <c r="A11129" s="31"/>
      <c r="D11129" s="30"/>
    </row>
    <row r="11130" spans="1:4" x14ac:dyDescent="0.25">
      <c r="A11130" s="31"/>
      <c r="D11130" s="30"/>
    </row>
    <row r="11131" spans="1:4" x14ac:dyDescent="0.25">
      <c r="A11131" s="31"/>
      <c r="D11131" s="30"/>
    </row>
    <row r="11132" spans="1:4" x14ac:dyDescent="0.25">
      <c r="A11132" s="31"/>
      <c r="D11132" s="30"/>
    </row>
    <row r="11133" spans="1:4" x14ac:dyDescent="0.25">
      <c r="A11133" s="31"/>
      <c r="D11133" s="30"/>
    </row>
    <row r="11134" spans="1:4" x14ac:dyDescent="0.25">
      <c r="A11134" s="31"/>
      <c r="D11134" s="30"/>
    </row>
    <row r="11135" spans="1:4" x14ac:dyDescent="0.25">
      <c r="A11135" s="31"/>
      <c r="D11135" s="30"/>
    </row>
    <row r="11136" spans="1:4" x14ac:dyDescent="0.25">
      <c r="A11136" s="31"/>
      <c r="D11136" s="30"/>
    </row>
    <row r="11137" spans="1:4" x14ac:dyDescent="0.25">
      <c r="A11137" s="31"/>
      <c r="D11137" s="30"/>
    </row>
    <row r="11138" spans="1:4" x14ac:dyDescent="0.25">
      <c r="A11138" s="31"/>
      <c r="D11138" s="30"/>
    </row>
    <row r="11139" spans="1:4" x14ac:dyDescent="0.25">
      <c r="A11139" s="31"/>
      <c r="D11139" s="30"/>
    </row>
    <row r="11140" spans="1:4" x14ac:dyDescent="0.25">
      <c r="A11140" s="31"/>
      <c r="D11140" s="30"/>
    </row>
    <row r="11141" spans="1:4" x14ac:dyDescent="0.25">
      <c r="A11141" s="31"/>
      <c r="D11141" s="30"/>
    </row>
    <row r="11142" spans="1:4" x14ac:dyDescent="0.25">
      <c r="A11142" s="31"/>
      <c r="D11142" s="30"/>
    </row>
    <row r="11143" spans="1:4" x14ac:dyDescent="0.25">
      <c r="A11143" s="31"/>
      <c r="D11143" s="30"/>
    </row>
    <row r="11144" spans="1:4" x14ac:dyDescent="0.25">
      <c r="A11144" s="31"/>
      <c r="D11144" s="30"/>
    </row>
    <row r="11145" spans="1:4" x14ac:dyDescent="0.25">
      <c r="A11145" s="31"/>
      <c r="D11145" s="30"/>
    </row>
    <row r="11146" spans="1:4" x14ac:dyDescent="0.25">
      <c r="A11146" s="31"/>
      <c r="D11146" s="30"/>
    </row>
    <row r="11147" spans="1:4" x14ac:dyDescent="0.25">
      <c r="A11147" s="31"/>
      <c r="D11147" s="30"/>
    </row>
    <row r="11148" spans="1:4" x14ac:dyDescent="0.25">
      <c r="A11148" s="31"/>
      <c r="D11148" s="30"/>
    </row>
    <row r="11149" spans="1:4" x14ac:dyDescent="0.25">
      <c r="A11149" s="31"/>
      <c r="D11149" s="30"/>
    </row>
    <row r="11150" spans="1:4" x14ac:dyDescent="0.25">
      <c r="A11150" s="31"/>
      <c r="D11150" s="30"/>
    </row>
    <row r="11151" spans="1:4" x14ac:dyDescent="0.25">
      <c r="A11151" s="31"/>
      <c r="D11151" s="30"/>
    </row>
    <row r="11152" spans="1:4" x14ac:dyDescent="0.25">
      <c r="A11152" s="31"/>
      <c r="D11152" s="30"/>
    </row>
    <row r="11153" spans="1:4" x14ac:dyDescent="0.25">
      <c r="A11153" s="31"/>
      <c r="D11153" s="30"/>
    </row>
    <row r="11154" spans="1:4" x14ac:dyDescent="0.25">
      <c r="A11154" s="31"/>
      <c r="D11154" s="30"/>
    </row>
    <row r="11155" spans="1:4" x14ac:dyDescent="0.25">
      <c r="A11155" s="31"/>
      <c r="D11155" s="30"/>
    </row>
    <row r="11156" spans="1:4" x14ac:dyDescent="0.25">
      <c r="A11156" s="31"/>
      <c r="D11156" s="30"/>
    </row>
    <row r="11157" spans="1:4" x14ac:dyDescent="0.25">
      <c r="A11157" s="31"/>
      <c r="D11157" s="30"/>
    </row>
    <row r="11158" spans="1:4" x14ac:dyDescent="0.25">
      <c r="A11158" s="31"/>
      <c r="D11158" s="30"/>
    </row>
    <row r="11159" spans="1:4" x14ac:dyDescent="0.25">
      <c r="A11159" s="31"/>
      <c r="D11159" s="30"/>
    </row>
    <row r="11160" spans="1:4" x14ac:dyDescent="0.25">
      <c r="A11160" s="31"/>
      <c r="D11160" s="30"/>
    </row>
    <row r="11161" spans="1:4" x14ac:dyDescent="0.25">
      <c r="A11161" s="31"/>
      <c r="D11161" s="30"/>
    </row>
    <row r="11162" spans="1:4" x14ac:dyDescent="0.25">
      <c r="A11162" s="31"/>
      <c r="D11162" s="30"/>
    </row>
    <row r="11163" spans="1:4" x14ac:dyDescent="0.25">
      <c r="A11163" s="31"/>
      <c r="D11163" s="30"/>
    </row>
    <row r="11164" spans="1:4" x14ac:dyDescent="0.25">
      <c r="A11164" s="31"/>
      <c r="D11164" s="30"/>
    </row>
    <row r="11165" spans="1:4" x14ac:dyDescent="0.25">
      <c r="A11165" s="31"/>
      <c r="D11165" s="30"/>
    </row>
    <row r="11166" spans="1:4" x14ac:dyDescent="0.25">
      <c r="A11166" s="31"/>
      <c r="D11166" s="30"/>
    </row>
    <row r="11167" spans="1:4" x14ac:dyDescent="0.25">
      <c r="A11167" s="31"/>
      <c r="D11167" s="30"/>
    </row>
    <row r="11168" spans="1:4" x14ac:dyDescent="0.25">
      <c r="A11168" s="31"/>
      <c r="D11168" s="30"/>
    </row>
    <row r="11169" spans="1:4" x14ac:dyDescent="0.25">
      <c r="A11169" s="31"/>
      <c r="D11169" s="30"/>
    </row>
    <row r="11170" spans="1:4" x14ac:dyDescent="0.25">
      <c r="A11170" s="31"/>
      <c r="D11170" s="30"/>
    </row>
    <row r="11171" spans="1:4" x14ac:dyDescent="0.25">
      <c r="A11171" s="31"/>
      <c r="D11171" s="30"/>
    </row>
    <row r="11172" spans="1:4" x14ac:dyDescent="0.25">
      <c r="A11172" s="31"/>
      <c r="D11172" s="30"/>
    </row>
    <row r="11173" spans="1:4" x14ac:dyDescent="0.25">
      <c r="A11173" s="31"/>
      <c r="D11173" s="30"/>
    </row>
    <row r="11174" spans="1:4" x14ac:dyDescent="0.25">
      <c r="A11174" s="31"/>
      <c r="D11174" s="30"/>
    </row>
    <row r="11175" spans="1:4" x14ac:dyDescent="0.25">
      <c r="A11175" s="31"/>
      <c r="D11175" s="30"/>
    </row>
    <row r="11176" spans="1:4" x14ac:dyDescent="0.25">
      <c r="A11176" s="31"/>
      <c r="D11176" s="30"/>
    </row>
    <row r="11177" spans="1:4" x14ac:dyDescent="0.25">
      <c r="A11177" s="31"/>
      <c r="D11177" s="30"/>
    </row>
    <row r="11178" spans="1:4" x14ac:dyDescent="0.25">
      <c r="A11178" s="31"/>
      <c r="D11178" s="30"/>
    </row>
    <row r="11179" spans="1:4" x14ac:dyDescent="0.25">
      <c r="A11179" s="31"/>
      <c r="D11179" s="30"/>
    </row>
    <row r="11180" spans="1:4" x14ac:dyDescent="0.25">
      <c r="A11180" s="31"/>
      <c r="D11180" s="30"/>
    </row>
    <row r="11181" spans="1:4" x14ac:dyDescent="0.25">
      <c r="A11181" s="31"/>
      <c r="D11181" s="30"/>
    </row>
    <row r="11182" spans="1:4" x14ac:dyDescent="0.25">
      <c r="A11182" s="31"/>
      <c r="D11182" s="30"/>
    </row>
    <row r="11183" spans="1:4" x14ac:dyDescent="0.25">
      <c r="A11183" s="31"/>
      <c r="D11183" s="30"/>
    </row>
    <row r="11184" spans="1:4" x14ac:dyDescent="0.25">
      <c r="A11184" s="31"/>
      <c r="D11184" s="30"/>
    </row>
    <row r="11185" spans="1:4" x14ac:dyDescent="0.25">
      <c r="A11185" s="31"/>
      <c r="D11185" s="30"/>
    </row>
    <row r="11186" spans="1:4" x14ac:dyDescent="0.25">
      <c r="A11186" s="31"/>
      <c r="D11186" s="30"/>
    </row>
    <row r="11187" spans="1:4" x14ac:dyDescent="0.25">
      <c r="A11187" s="31"/>
      <c r="D11187" s="30"/>
    </row>
    <row r="11188" spans="1:4" x14ac:dyDescent="0.25">
      <c r="A11188" s="31"/>
      <c r="D11188" s="30"/>
    </row>
    <row r="11189" spans="1:4" x14ac:dyDescent="0.25">
      <c r="A11189" s="31"/>
      <c r="D11189" s="30"/>
    </row>
    <row r="11190" spans="1:4" x14ac:dyDescent="0.25">
      <c r="A11190" s="31"/>
      <c r="D11190" s="30"/>
    </row>
    <row r="11191" spans="1:4" x14ac:dyDescent="0.25">
      <c r="A11191" s="31"/>
      <c r="D11191" s="30"/>
    </row>
    <row r="11192" spans="1:4" x14ac:dyDescent="0.25">
      <c r="A11192" s="31"/>
      <c r="D11192" s="30"/>
    </row>
    <row r="11193" spans="1:4" x14ac:dyDescent="0.25">
      <c r="A11193" s="31"/>
      <c r="D11193" s="30"/>
    </row>
    <row r="11194" spans="1:4" x14ac:dyDescent="0.25">
      <c r="A11194" s="31"/>
      <c r="D11194" s="30"/>
    </row>
    <row r="11195" spans="1:4" x14ac:dyDescent="0.25">
      <c r="A11195" s="31"/>
      <c r="D11195" s="30"/>
    </row>
    <row r="11196" spans="1:4" x14ac:dyDescent="0.25">
      <c r="A11196" s="31"/>
      <c r="D11196" s="30"/>
    </row>
    <row r="11197" spans="1:4" x14ac:dyDescent="0.25">
      <c r="A11197" s="31"/>
      <c r="D11197" s="30"/>
    </row>
    <row r="11198" spans="1:4" x14ac:dyDescent="0.25">
      <c r="A11198" s="31"/>
      <c r="D11198" s="30"/>
    </row>
    <row r="11199" spans="1:4" x14ac:dyDescent="0.25">
      <c r="A11199" s="31"/>
      <c r="D11199" s="30"/>
    </row>
    <row r="11200" spans="1:4" x14ac:dyDescent="0.25">
      <c r="A11200" s="31"/>
      <c r="D11200" s="30"/>
    </row>
    <row r="11201" spans="1:4" x14ac:dyDescent="0.25">
      <c r="A11201" s="31"/>
      <c r="D11201" s="30"/>
    </row>
    <row r="11202" spans="1:4" x14ac:dyDescent="0.25">
      <c r="A11202" s="31"/>
      <c r="D11202" s="30"/>
    </row>
    <row r="11203" spans="1:4" x14ac:dyDescent="0.25">
      <c r="A11203" s="31"/>
      <c r="D11203" s="30"/>
    </row>
    <row r="11204" spans="1:4" x14ac:dyDescent="0.25">
      <c r="A11204" s="31"/>
      <c r="D11204" s="30"/>
    </row>
    <row r="11205" spans="1:4" x14ac:dyDescent="0.25">
      <c r="A11205" s="31"/>
      <c r="D11205" s="30"/>
    </row>
    <row r="11206" spans="1:4" x14ac:dyDescent="0.25">
      <c r="A11206" s="31"/>
      <c r="D11206" s="30"/>
    </row>
    <row r="11207" spans="1:4" x14ac:dyDescent="0.25">
      <c r="A11207" s="31"/>
      <c r="D11207" s="30"/>
    </row>
    <row r="11208" spans="1:4" x14ac:dyDescent="0.25">
      <c r="A11208" s="31"/>
      <c r="D11208" s="30"/>
    </row>
    <row r="11209" spans="1:4" x14ac:dyDescent="0.25">
      <c r="A11209" s="31"/>
      <c r="D11209" s="30"/>
    </row>
    <row r="11210" spans="1:4" x14ac:dyDescent="0.25">
      <c r="A11210" s="31"/>
      <c r="D11210" s="30"/>
    </row>
    <row r="11211" spans="1:4" x14ac:dyDescent="0.25">
      <c r="A11211" s="31"/>
      <c r="D11211" s="30"/>
    </row>
    <row r="11212" spans="1:4" x14ac:dyDescent="0.25">
      <c r="A11212" s="31"/>
      <c r="D11212" s="30"/>
    </row>
    <row r="11213" spans="1:4" x14ac:dyDescent="0.25">
      <c r="A11213" s="31"/>
      <c r="D11213" s="30"/>
    </row>
    <row r="11214" spans="1:4" x14ac:dyDescent="0.25">
      <c r="A11214" s="31"/>
      <c r="D11214" s="30"/>
    </row>
    <row r="11215" spans="1:4" x14ac:dyDescent="0.25">
      <c r="A11215" s="31"/>
      <c r="D11215" s="30"/>
    </row>
    <row r="11216" spans="1:4" x14ac:dyDescent="0.25">
      <c r="A11216" s="31"/>
      <c r="D11216" s="30"/>
    </row>
    <row r="11217" spans="1:4" x14ac:dyDescent="0.25">
      <c r="A11217" s="31"/>
      <c r="D11217" s="30"/>
    </row>
    <row r="11218" spans="1:4" x14ac:dyDescent="0.25">
      <c r="A11218" s="31"/>
      <c r="D11218" s="30"/>
    </row>
    <row r="11219" spans="1:4" x14ac:dyDescent="0.25">
      <c r="A11219" s="31"/>
      <c r="D11219" s="30"/>
    </row>
    <row r="11220" spans="1:4" x14ac:dyDescent="0.25">
      <c r="A11220" s="31"/>
      <c r="D11220" s="30"/>
    </row>
    <row r="11221" spans="1:4" x14ac:dyDescent="0.25">
      <c r="A11221" s="31"/>
      <c r="D11221" s="30"/>
    </row>
    <row r="11222" spans="1:4" x14ac:dyDescent="0.25">
      <c r="A11222" s="31"/>
      <c r="D11222" s="30"/>
    </row>
    <row r="11223" spans="1:4" x14ac:dyDescent="0.25">
      <c r="A11223" s="31"/>
      <c r="D11223" s="30"/>
    </row>
    <row r="11224" spans="1:4" x14ac:dyDescent="0.25">
      <c r="A11224" s="31"/>
      <c r="D11224" s="30"/>
    </row>
    <row r="11225" spans="1:4" x14ac:dyDescent="0.25">
      <c r="A11225" s="31"/>
      <c r="D11225" s="30"/>
    </row>
    <row r="11226" spans="1:4" x14ac:dyDescent="0.25">
      <c r="A11226" s="31"/>
      <c r="D11226" s="30"/>
    </row>
    <row r="11227" spans="1:4" x14ac:dyDescent="0.25">
      <c r="A11227" s="31"/>
      <c r="D11227" s="30"/>
    </row>
    <row r="11228" spans="1:4" x14ac:dyDescent="0.25">
      <c r="A11228" s="31"/>
      <c r="D11228" s="30"/>
    </row>
    <row r="11229" spans="1:4" x14ac:dyDescent="0.25">
      <c r="A11229" s="31"/>
      <c r="D11229" s="30"/>
    </row>
    <row r="11230" spans="1:4" x14ac:dyDescent="0.25">
      <c r="A11230" s="31"/>
      <c r="D11230" s="30"/>
    </row>
    <row r="11231" spans="1:4" x14ac:dyDescent="0.25">
      <c r="A11231" s="31"/>
      <c r="D11231" s="30"/>
    </row>
    <row r="11232" spans="1:4" x14ac:dyDescent="0.25">
      <c r="A11232" s="31"/>
      <c r="D11232" s="30"/>
    </row>
    <row r="11233" spans="1:4" x14ac:dyDescent="0.25">
      <c r="A11233" s="31"/>
      <c r="D11233" s="30"/>
    </row>
    <row r="11234" spans="1:4" x14ac:dyDescent="0.25">
      <c r="A11234" s="31"/>
      <c r="D11234" s="30"/>
    </row>
    <row r="11235" spans="1:4" x14ac:dyDescent="0.25">
      <c r="A11235" s="31"/>
      <c r="D11235" s="30"/>
    </row>
    <row r="11236" spans="1:4" x14ac:dyDescent="0.25">
      <c r="A11236" s="31"/>
      <c r="D11236" s="30"/>
    </row>
    <row r="11237" spans="1:4" x14ac:dyDescent="0.25">
      <c r="A11237" s="31"/>
      <c r="D11237" s="30"/>
    </row>
    <row r="11238" spans="1:4" x14ac:dyDescent="0.25">
      <c r="A11238" s="31"/>
      <c r="D11238" s="30"/>
    </row>
    <row r="11239" spans="1:4" x14ac:dyDescent="0.25">
      <c r="A11239" s="31"/>
      <c r="D11239" s="30"/>
    </row>
    <row r="11240" spans="1:4" x14ac:dyDescent="0.25">
      <c r="A11240" s="31"/>
      <c r="D11240" s="30"/>
    </row>
    <row r="11241" spans="1:4" x14ac:dyDescent="0.25">
      <c r="A11241" s="31"/>
      <c r="D11241" s="30"/>
    </row>
    <row r="11242" spans="1:4" x14ac:dyDescent="0.25">
      <c r="A11242" s="31"/>
      <c r="D11242" s="30"/>
    </row>
    <row r="11243" spans="1:4" x14ac:dyDescent="0.25">
      <c r="A11243" s="31"/>
      <c r="D11243" s="30"/>
    </row>
    <row r="11244" spans="1:4" x14ac:dyDescent="0.25">
      <c r="A11244" s="31"/>
      <c r="D11244" s="30"/>
    </row>
    <row r="11245" spans="1:4" x14ac:dyDescent="0.25">
      <c r="A11245" s="31"/>
      <c r="D11245" s="30"/>
    </row>
    <row r="11246" spans="1:4" x14ac:dyDescent="0.25">
      <c r="A11246" s="31"/>
      <c r="D11246" s="30"/>
    </row>
    <row r="11247" spans="1:4" x14ac:dyDescent="0.25">
      <c r="A11247" s="31"/>
      <c r="D11247" s="30"/>
    </row>
    <row r="11248" spans="1:4" x14ac:dyDescent="0.25">
      <c r="A11248" s="31"/>
      <c r="D11248" s="30"/>
    </row>
    <row r="11249" spans="1:4" x14ac:dyDescent="0.25">
      <c r="A11249" s="31"/>
      <c r="D11249" s="30"/>
    </row>
    <row r="11250" spans="1:4" x14ac:dyDescent="0.25">
      <c r="A11250" s="31"/>
      <c r="D11250" s="30"/>
    </row>
    <row r="11251" spans="1:4" x14ac:dyDescent="0.25">
      <c r="A11251" s="31"/>
      <c r="D11251" s="30"/>
    </row>
    <row r="11252" spans="1:4" x14ac:dyDescent="0.25">
      <c r="A11252" s="31"/>
      <c r="D11252" s="30"/>
    </row>
    <row r="11253" spans="1:4" x14ac:dyDescent="0.25">
      <c r="A11253" s="31"/>
      <c r="D11253" s="30"/>
    </row>
    <row r="11254" spans="1:4" x14ac:dyDescent="0.25">
      <c r="A11254" s="31"/>
      <c r="D11254" s="30"/>
    </row>
    <row r="11255" spans="1:4" x14ac:dyDescent="0.25">
      <c r="A11255" s="31"/>
      <c r="D11255" s="30"/>
    </row>
    <row r="11256" spans="1:4" x14ac:dyDescent="0.25">
      <c r="A11256" s="31"/>
      <c r="D11256" s="30"/>
    </row>
    <row r="11257" spans="1:4" x14ac:dyDescent="0.25">
      <c r="A11257" s="31"/>
      <c r="D11257" s="30"/>
    </row>
    <row r="11258" spans="1:4" x14ac:dyDescent="0.25">
      <c r="A11258" s="31"/>
      <c r="D11258" s="30"/>
    </row>
    <row r="11259" spans="1:4" x14ac:dyDescent="0.25">
      <c r="A11259" s="31"/>
      <c r="D11259" s="30"/>
    </row>
    <row r="11260" spans="1:4" x14ac:dyDescent="0.25">
      <c r="A11260" s="31"/>
      <c r="D11260" s="30"/>
    </row>
    <row r="11261" spans="1:4" x14ac:dyDescent="0.25">
      <c r="A11261" s="31"/>
      <c r="D11261" s="30"/>
    </row>
    <row r="11262" spans="1:4" x14ac:dyDescent="0.25">
      <c r="A11262" s="31"/>
      <c r="D11262" s="30"/>
    </row>
    <row r="11263" spans="1:4" x14ac:dyDescent="0.25">
      <c r="A11263" s="31"/>
      <c r="D11263" s="30"/>
    </row>
    <row r="11264" spans="1:4" x14ac:dyDescent="0.25">
      <c r="A11264" s="31"/>
      <c r="D11264" s="30"/>
    </row>
    <row r="11265" spans="1:4" x14ac:dyDescent="0.25">
      <c r="A11265" s="31"/>
      <c r="D11265" s="30"/>
    </row>
    <row r="11266" spans="1:4" x14ac:dyDescent="0.25">
      <c r="A11266" s="31"/>
      <c r="D11266" s="30"/>
    </row>
    <row r="11267" spans="1:4" x14ac:dyDescent="0.25">
      <c r="A11267" s="31"/>
      <c r="D11267" s="30"/>
    </row>
    <row r="11268" spans="1:4" x14ac:dyDescent="0.25">
      <c r="A11268" s="31"/>
      <c r="D11268" s="30"/>
    </row>
    <row r="11269" spans="1:4" x14ac:dyDescent="0.25">
      <c r="A11269" s="31"/>
      <c r="D11269" s="30"/>
    </row>
    <row r="11270" spans="1:4" x14ac:dyDescent="0.25">
      <c r="A11270" s="31"/>
      <c r="D11270" s="30"/>
    </row>
    <row r="11271" spans="1:4" x14ac:dyDescent="0.25">
      <c r="A11271" s="31"/>
      <c r="D11271" s="30"/>
    </row>
    <row r="11272" spans="1:4" x14ac:dyDescent="0.25">
      <c r="A11272" s="31"/>
      <c r="D11272" s="30"/>
    </row>
    <row r="11273" spans="1:4" x14ac:dyDescent="0.25">
      <c r="A11273" s="31"/>
      <c r="D11273" s="30"/>
    </row>
    <row r="11274" spans="1:4" x14ac:dyDescent="0.25">
      <c r="A11274" s="31"/>
      <c r="D11274" s="30"/>
    </row>
    <row r="11275" spans="1:4" x14ac:dyDescent="0.25">
      <c r="A11275" s="31"/>
      <c r="D11275" s="30"/>
    </row>
    <row r="11276" spans="1:4" x14ac:dyDescent="0.25">
      <c r="A11276" s="31"/>
      <c r="D11276" s="30"/>
    </row>
    <row r="11277" spans="1:4" x14ac:dyDescent="0.25">
      <c r="A11277" s="31"/>
      <c r="D11277" s="30"/>
    </row>
    <row r="11278" spans="1:4" x14ac:dyDescent="0.25">
      <c r="A11278" s="31"/>
      <c r="D11278" s="30"/>
    </row>
    <row r="11279" spans="1:4" x14ac:dyDescent="0.25">
      <c r="A11279" s="31"/>
      <c r="D11279" s="30"/>
    </row>
    <row r="11280" spans="1:4" x14ac:dyDescent="0.25">
      <c r="A11280" s="31"/>
      <c r="D11280" s="30"/>
    </row>
    <row r="11281" spans="1:4" x14ac:dyDescent="0.25">
      <c r="A11281" s="31"/>
      <c r="D11281" s="30"/>
    </row>
    <row r="11282" spans="1:4" x14ac:dyDescent="0.25">
      <c r="A11282" s="31"/>
      <c r="D11282" s="30"/>
    </row>
    <row r="11283" spans="1:4" x14ac:dyDescent="0.25">
      <c r="A11283" s="31"/>
      <c r="D11283" s="30"/>
    </row>
    <row r="11284" spans="1:4" x14ac:dyDescent="0.25">
      <c r="A11284" s="31"/>
      <c r="D11284" s="30"/>
    </row>
    <row r="11285" spans="1:4" x14ac:dyDescent="0.25">
      <c r="A11285" s="31"/>
      <c r="D11285" s="30"/>
    </row>
    <row r="11286" spans="1:4" x14ac:dyDescent="0.25">
      <c r="A11286" s="31"/>
      <c r="D11286" s="30"/>
    </row>
    <row r="11287" spans="1:4" x14ac:dyDescent="0.25">
      <c r="A11287" s="31"/>
      <c r="D11287" s="30"/>
    </row>
    <row r="11288" spans="1:4" x14ac:dyDescent="0.25">
      <c r="A11288" s="31"/>
      <c r="D11288" s="30"/>
    </row>
    <row r="11289" spans="1:4" x14ac:dyDescent="0.25">
      <c r="A11289" s="31"/>
      <c r="D11289" s="30"/>
    </row>
    <row r="11290" spans="1:4" x14ac:dyDescent="0.25">
      <c r="A11290" s="31"/>
      <c r="D11290" s="30"/>
    </row>
    <row r="11291" spans="1:4" x14ac:dyDescent="0.25">
      <c r="A11291" s="31"/>
      <c r="D11291" s="30"/>
    </row>
    <row r="11292" spans="1:4" x14ac:dyDescent="0.25">
      <c r="A11292" s="31"/>
      <c r="D11292" s="30"/>
    </row>
    <row r="11293" spans="1:4" x14ac:dyDescent="0.25">
      <c r="A11293" s="31"/>
      <c r="D11293" s="30"/>
    </row>
    <row r="11294" spans="1:4" x14ac:dyDescent="0.25">
      <c r="A11294" s="31"/>
      <c r="D11294" s="30"/>
    </row>
    <row r="11295" spans="1:4" x14ac:dyDescent="0.25">
      <c r="A11295" s="31"/>
      <c r="D11295" s="30"/>
    </row>
    <row r="11296" spans="1:4" x14ac:dyDescent="0.25">
      <c r="A11296" s="31"/>
      <c r="D11296" s="30"/>
    </row>
    <row r="11297" spans="1:4" x14ac:dyDescent="0.25">
      <c r="A11297" s="31"/>
      <c r="D11297" s="30"/>
    </row>
    <row r="11298" spans="1:4" x14ac:dyDescent="0.25">
      <c r="A11298" s="31"/>
      <c r="D11298" s="30"/>
    </row>
    <row r="11299" spans="1:4" x14ac:dyDescent="0.25">
      <c r="A11299" s="31"/>
      <c r="D11299" s="30"/>
    </row>
    <row r="11300" spans="1:4" x14ac:dyDescent="0.25">
      <c r="A11300" s="31"/>
      <c r="D11300" s="30"/>
    </row>
    <row r="11301" spans="1:4" x14ac:dyDescent="0.25">
      <c r="A11301" s="31"/>
      <c r="D11301" s="30"/>
    </row>
    <row r="11302" spans="1:4" x14ac:dyDescent="0.25">
      <c r="A11302" s="31"/>
      <c r="D11302" s="30"/>
    </row>
    <row r="11303" spans="1:4" x14ac:dyDescent="0.25">
      <c r="A11303" s="31"/>
      <c r="D11303" s="30"/>
    </row>
    <row r="11304" spans="1:4" x14ac:dyDescent="0.25">
      <c r="A11304" s="31"/>
      <c r="D11304" s="30"/>
    </row>
    <row r="11305" spans="1:4" x14ac:dyDescent="0.25">
      <c r="A11305" s="31"/>
      <c r="D11305" s="30"/>
    </row>
    <row r="11306" spans="1:4" x14ac:dyDescent="0.25">
      <c r="A11306" s="31"/>
      <c r="D11306" s="30"/>
    </row>
    <row r="11307" spans="1:4" x14ac:dyDescent="0.25">
      <c r="A11307" s="31"/>
      <c r="D11307" s="30"/>
    </row>
    <row r="11308" spans="1:4" x14ac:dyDescent="0.25">
      <c r="A11308" s="31"/>
      <c r="D11308" s="30"/>
    </row>
    <row r="11309" spans="1:4" x14ac:dyDescent="0.25">
      <c r="A11309" s="31"/>
      <c r="D11309" s="30"/>
    </row>
    <row r="11310" spans="1:4" x14ac:dyDescent="0.25">
      <c r="A11310" s="31"/>
      <c r="D11310" s="30"/>
    </row>
    <row r="11311" spans="1:4" x14ac:dyDescent="0.25">
      <c r="A11311" s="31"/>
      <c r="D11311" s="30"/>
    </row>
    <row r="11312" spans="1:4" x14ac:dyDescent="0.25">
      <c r="A11312" s="31"/>
      <c r="D11312" s="30"/>
    </row>
    <row r="11313" spans="1:4" x14ac:dyDescent="0.25">
      <c r="A11313" s="31"/>
      <c r="D11313" s="30"/>
    </row>
    <row r="11314" spans="1:4" x14ac:dyDescent="0.25">
      <c r="A11314" s="31"/>
      <c r="D11314" s="30"/>
    </row>
    <row r="11315" spans="1:4" x14ac:dyDescent="0.25">
      <c r="A11315" s="31"/>
      <c r="D11315" s="30"/>
    </row>
    <row r="11316" spans="1:4" x14ac:dyDescent="0.25">
      <c r="A11316" s="31"/>
      <c r="D11316" s="30"/>
    </row>
    <row r="11317" spans="1:4" x14ac:dyDescent="0.25">
      <c r="A11317" s="31"/>
      <c r="D11317" s="30"/>
    </row>
    <row r="11318" spans="1:4" x14ac:dyDescent="0.25">
      <c r="A11318" s="31"/>
      <c r="D11318" s="30"/>
    </row>
    <row r="11319" spans="1:4" x14ac:dyDescent="0.25">
      <c r="A11319" s="31"/>
      <c r="D11319" s="30"/>
    </row>
    <row r="11320" spans="1:4" x14ac:dyDescent="0.25">
      <c r="A11320" s="31"/>
      <c r="D11320" s="30"/>
    </row>
    <row r="11321" spans="1:4" x14ac:dyDescent="0.25">
      <c r="A11321" s="31"/>
      <c r="D11321" s="30"/>
    </row>
    <row r="11322" spans="1:4" x14ac:dyDescent="0.25">
      <c r="A11322" s="31"/>
      <c r="D11322" s="30"/>
    </row>
    <row r="11323" spans="1:4" x14ac:dyDescent="0.25">
      <c r="A11323" s="31"/>
      <c r="D11323" s="30"/>
    </row>
    <row r="11324" spans="1:4" x14ac:dyDescent="0.25">
      <c r="A11324" s="31"/>
      <c r="D11324" s="30"/>
    </row>
    <row r="11325" spans="1:4" x14ac:dyDescent="0.25">
      <c r="A11325" s="31"/>
      <c r="D11325" s="30"/>
    </row>
    <row r="11326" spans="1:4" x14ac:dyDescent="0.25">
      <c r="A11326" s="31"/>
      <c r="D11326" s="30"/>
    </row>
    <row r="11327" spans="1:4" x14ac:dyDescent="0.25">
      <c r="A11327" s="31"/>
      <c r="D11327" s="30"/>
    </row>
    <row r="11328" spans="1:4" x14ac:dyDescent="0.25">
      <c r="A11328" s="31"/>
      <c r="D11328" s="30"/>
    </row>
    <row r="11329" spans="1:4" x14ac:dyDescent="0.25">
      <c r="A11329" s="31"/>
      <c r="D11329" s="30"/>
    </row>
    <row r="11330" spans="1:4" x14ac:dyDescent="0.25">
      <c r="A11330" s="31"/>
      <c r="D11330" s="30"/>
    </row>
    <row r="11331" spans="1:4" x14ac:dyDescent="0.25">
      <c r="A11331" s="31"/>
      <c r="D11331" s="30"/>
    </row>
    <row r="11332" spans="1:4" x14ac:dyDescent="0.25">
      <c r="A11332" s="31"/>
      <c r="D11332" s="30"/>
    </row>
    <row r="11333" spans="1:4" x14ac:dyDescent="0.25">
      <c r="A11333" s="31"/>
      <c r="D11333" s="30"/>
    </row>
    <row r="11334" spans="1:4" x14ac:dyDescent="0.25">
      <c r="A11334" s="31"/>
      <c r="D11334" s="30"/>
    </row>
    <row r="11335" spans="1:4" x14ac:dyDescent="0.25">
      <c r="A11335" s="31"/>
      <c r="D11335" s="30"/>
    </row>
    <row r="11336" spans="1:4" x14ac:dyDescent="0.25">
      <c r="A11336" s="31"/>
      <c r="D11336" s="30"/>
    </row>
    <row r="11337" spans="1:4" x14ac:dyDescent="0.25">
      <c r="A11337" s="31"/>
      <c r="D11337" s="30"/>
    </row>
    <row r="11338" spans="1:4" x14ac:dyDescent="0.25">
      <c r="A11338" s="31"/>
      <c r="D11338" s="30"/>
    </row>
    <row r="11339" spans="1:4" x14ac:dyDescent="0.25">
      <c r="A11339" s="31"/>
      <c r="D11339" s="30"/>
    </row>
    <row r="11340" spans="1:4" x14ac:dyDescent="0.25">
      <c r="A11340" s="31"/>
      <c r="D11340" s="30"/>
    </row>
    <row r="11341" spans="1:4" x14ac:dyDescent="0.25">
      <c r="A11341" s="31"/>
      <c r="D11341" s="30"/>
    </row>
    <row r="11342" spans="1:4" x14ac:dyDescent="0.25">
      <c r="A11342" s="31"/>
      <c r="D11342" s="30"/>
    </row>
    <row r="11343" spans="1:4" x14ac:dyDescent="0.25">
      <c r="A11343" s="31"/>
      <c r="D11343" s="30"/>
    </row>
    <row r="11344" spans="1:4" x14ac:dyDescent="0.25">
      <c r="A11344" s="31"/>
      <c r="D11344" s="30"/>
    </row>
    <row r="11345" spans="1:4" x14ac:dyDescent="0.25">
      <c r="A11345" s="31"/>
      <c r="D11345" s="30"/>
    </row>
    <row r="11346" spans="1:4" x14ac:dyDescent="0.25">
      <c r="A11346" s="31"/>
      <c r="D11346" s="30"/>
    </row>
    <row r="11347" spans="1:4" x14ac:dyDescent="0.25">
      <c r="A11347" s="31"/>
      <c r="D11347" s="30"/>
    </row>
    <row r="11348" spans="1:4" x14ac:dyDescent="0.25">
      <c r="A11348" s="31"/>
      <c r="D11348" s="30"/>
    </row>
    <row r="11349" spans="1:4" x14ac:dyDescent="0.25">
      <c r="A11349" s="31"/>
      <c r="D11349" s="30"/>
    </row>
    <row r="11350" spans="1:4" x14ac:dyDescent="0.25">
      <c r="A11350" s="31"/>
      <c r="D11350" s="30"/>
    </row>
    <row r="11351" spans="1:4" x14ac:dyDescent="0.25">
      <c r="A11351" s="31"/>
      <c r="D11351" s="30"/>
    </row>
    <row r="11352" spans="1:4" x14ac:dyDescent="0.25">
      <c r="A11352" s="31"/>
      <c r="D11352" s="30"/>
    </row>
    <row r="11353" spans="1:4" x14ac:dyDescent="0.25">
      <c r="A11353" s="31"/>
      <c r="D11353" s="30"/>
    </row>
    <row r="11354" spans="1:4" x14ac:dyDescent="0.25">
      <c r="A11354" s="31"/>
      <c r="D11354" s="30"/>
    </row>
    <row r="11355" spans="1:4" x14ac:dyDescent="0.25">
      <c r="A11355" s="31"/>
      <c r="D11355" s="30"/>
    </row>
    <row r="11356" spans="1:4" x14ac:dyDescent="0.25">
      <c r="A11356" s="31"/>
      <c r="D11356" s="30"/>
    </row>
    <row r="11357" spans="1:4" x14ac:dyDescent="0.25">
      <c r="A11357" s="31"/>
      <c r="D11357" s="30"/>
    </row>
    <row r="11358" spans="1:4" x14ac:dyDescent="0.25">
      <c r="A11358" s="31"/>
      <c r="D11358" s="30"/>
    </row>
    <row r="11359" spans="1:4" x14ac:dyDescent="0.25">
      <c r="A11359" s="31"/>
      <c r="D11359" s="30"/>
    </row>
    <row r="11360" spans="1:4" x14ac:dyDescent="0.25">
      <c r="A11360" s="31"/>
      <c r="D11360" s="30"/>
    </row>
    <row r="11361" spans="1:4" x14ac:dyDescent="0.25">
      <c r="A11361" s="31"/>
      <c r="D11361" s="30"/>
    </row>
    <row r="11362" spans="1:4" x14ac:dyDescent="0.25">
      <c r="A11362" s="31"/>
      <c r="D11362" s="30"/>
    </row>
    <row r="11363" spans="1:4" x14ac:dyDescent="0.25">
      <c r="A11363" s="31"/>
      <c r="D11363" s="30"/>
    </row>
    <row r="11364" spans="1:4" x14ac:dyDescent="0.25">
      <c r="A11364" s="31"/>
      <c r="D11364" s="30"/>
    </row>
    <row r="11365" spans="1:4" x14ac:dyDescent="0.25">
      <c r="A11365" s="31"/>
      <c r="D11365" s="30"/>
    </row>
    <row r="11366" spans="1:4" x14ac:dyDescent="0.25">
      <c r="A11366" s="31"/>
      <c r="D11366" s="30"/>
    </row>
    <row r="11367" spans="1:4" x14ac:dyDescent="0.25">
      <c r="A11367" s="31"/>
      <c r="D11367" s="30"/>
    </row>
    <row r="11368" spans="1:4" x14ac:dyDescent="0.25">
      <c r="A11368" s="31"/>
      <c r="D11368" s="30"/>
    </row>
    <row r="11369" spans="1:4" x14ac:dyDescent="0.25">
      <c r="A11369" s="31"/>
      <c r="D11369" s="30"/>
    </row>
    <row r="11370" spans="1:4" x14ac:dyDescent="0.25">
      <c r="A11370" s="31"/>
      <c r="D11370" s="30"/>
    </row>
    <row r="11371" spans="1:4" x14ac:dyDescent="0.25">
      <c r="A11371" s="31"/>
      <c r="D11371" s="30"/>
    </row>
    <row r="11372" spans="1:4" x14ac:dyDescent="0.25">
      <c r="A11372" s="31"/>
      <c r="D11372" s="30"/>
    </row>
    <row r="11373" spans="1:4" x14ac:dyDescent="0.25">
      <c r="A11373" s="31"/>
      <c r="D11373" s="30"/>
    </row>
    <row r="11374" spans="1:4" x14ac:dyDescent="0.25">
      <c r="A11374" s="31"/>
      <c r="D11374" s="30"/>
    </row>
    <row r="11375" spans="1:4" x14ac:dyDescent="0.25">
      <c r="A11375" s="31"/>
      <c r="D11375" s="30"/>
    </row>
    <row r="11376" spans="1:4" x14ac:dyDescent="0.25">
      <c r="A11376" s="31"/>
      <c r="D11376" s="30"/>
    </row>
    <row r="11377" spans="1:4" x14ac:dyDescent="0.25">
      <c r="A11377" s="31"/>
      <c r="D11377" s="30"/>
    </row>
    <row r="11378" spans="1:4" x14ac:dyDescent="0.25">
      <c r="A11378" s="31"/>
      <c r="D11378" s="30"/>
    </row>
    <row r="11379" spans="1:4" x14ac:dyDescent="0.25">
      <c r="A11379" s="31"/>
      <c r="D11379" s="30"/>
    </row>
    <row r="11380" spans="1:4" x14ac:dyDescent="0.25">
      <c r="A11380" s="31"/>
      <c r="D11380" s="30"/>
    </row>
    <row r="11381" spans="1:4" x14ac:dyDescent="0.25">
      <c r="A11381" s="31"/>
      <c r="D11381" s="30"/>
    </row>
    <row r="11382" spans="1:4" x14ac:dyDescent="0.25">
      <c r="A11382" s="31"/>
      <c r="D11382" s="30"/>
    </row>
    <row r="11383" spans="1:4" x14ac:dyDescent="0.25">
      <c r="A11383" s="31"/>
      <c r="D11383" s="30"/>
    </row>
    <row r="11384" spans="1:4" x14ac:dyDescent="0.25">
      <c r="A11384" s="31"/>
      <c r="D11384" s="30"/>
    </row>
    <row r="11385" spans="1:4" x14ac:dyDescent="0.25">
      <c r="A11385" s="31"/>
      <c r="D11385" s="30"/>
    </row>
    <row r="11386" spans="1:4" x14ac:dyDescent="0.25">
      <c r="A11386" s="31"/>
      <c r="D11386" s="30"/>
    </row>
    <row r="11387" spans="1:4" x14ac:dyDescent="0.25">
      <c r="A11387" s="31"/>
      <c r="D11387" s="30"/>
    </row>
    <row r="11388" spans="1:4" x14ac:dyDescent="0.25">
      <c r="A11388" s="31"/>
      <c r="D11388" s="30"/>
    </row>
    <row r="11389" spans="1:4" x14ac:dyDescent="0.25">
      <c r="A11389" s="31"/>
      <c r="D11389" s="30"/>
    </row>
    <row r="11390" spans="1:4" x14ac:dyDescent="0.25">
      <c r="A11390" s="31"/>
      <c r="D11390" s="30"/>
    </row>
    <row r="11391" spans="1:4" x14ac:dyDescent="0.25">
      <c r="A11391" s="31"/>
      <c r="D11391" s="30"/>
    </row>
    <row r="11392" spans="1:4" x14ac:dyDescent="0.25">
      <c r="A11392" s="31"/>
      <c r="D11392" s="30"/>
    </row>
    <row r="11393" spans="1:4" x14ac:dyDescent="0.25">
      <c r="A11393" s="31"/>
      <c r="D11393" s="30"/>
    </row>
    <row r="11394" spans="1:4" x14ac:dyDescent="0.25">
      <c r="A11394" s="31"/>
      <c r="D11394" s="30"/>
    </row>
    <row r="11395" spans="1:4" x14ac:dyDescent="0.25">
      <c r="A11395" s="31"/>
      <c r="D11395" s="30"/>
    </row>
    <row r="11396" spans="1:4" x14ac:dyDescent="0.25">
      <c r="A11396" s="31"/>
      <c r="D11396" s="30"/>
    </row>
    <row r="11397" spans="1:4" x14ac:dyDescent="0.25">
      <c r="A11397" s="31"/>
      <c r="D11397" s="30"/>
    </row>
    <row r="11398" spans="1:4" x14ac:dyDescent="0.25">
      <c r="A11398" s="31"/>
      <c r="D11398" s="30"/>
    </row>
    <row r="11399" spans="1:4" x14ac:dyDescent="0.25">
      <c r="A11399" s="31"/>
      <c r="D11399" s="30"/>
    </row>
    <row r="11400" spans="1:4" x14ac:dyDescent="0.25">
      <c r="A11400" s="31"/>
      <c r="D11400" s="30"/>
    </row>
    <row r="11401" spans="1:4" x14ac:dyDescent="0.25">
      <c r="A11401" s="31"/>
      <c r="D11401" s="30"/>
    </row>
    <row r="11402" spans="1:4" x14ac:dyDescent="0.25">
      <c r="A11402" s="31"/>
      <c r="D11402" s="30"/>
    </row>
    <row r="11403" spans="1:4" x14ac:dyDescent="0.25">
      <c r="A11403" s="31"/>
      <c r="D11403" s="30"/>
    </row>
    <row r="11404" spans="1:4" x14ac:dyDescent="0.25">
      <c r="A11404" s="31"/>
      <c r="D11404" s="30"/>
    </row>
    <row r="11405" spans="1:4" x14ac:dyDescent="0.25">
      <c r="A11405" s="31"/>
      <c r="D11405" s="30"/>
    </row>
    <row r="11406" spans="1:4" x14ac:dyDescent="0.25">
      <c r="A11406" s="31"/>
      <c r="D11406" s="30"/>
    </row>
    <row r="11407" spans="1:4" x14ac:dyDescent="0.25">
      <c r="A11407" s="31"/>
      <c r="D11407" s="30"/>
    </row>
    <row r="11408" spans="1:4" x14ac:dyDescent="0.25">
      <c r="A11408" s="31"/>
      <c r="D11408" s="30"/>
    </row>
    <row r="11409" spans="1:4" x14ac:dyDescent="0.25">
      <c r="A11409" s="31"/>
      <c r="D11409" s="30"/>
    </row>
    <row r="11410" spans="1:4" x14ac:dyDescent="0.25">
      <c r="A11410" s="31"/>
      <c r="D11410" s="30"/>
    </row>
    <row r="11411" spans="1:4" x14ac:dyDescent="0.25">
      <c r="A11411" s="31"/>
      <c r="D11411" s="30"/>
    </row>
    <row r="11412" spans="1:4" x14ac:dyDescent="0.25">
      <c r="A11412" s="31"/>
      <c r="D11412" s="30"/>
    </row>
    <row r="11413" spans="1:4" x14ac:dyDescent="0.25">
      <c r="A11413" s="31"/>
      <c r="D11413" s="30"/>
    </row>
    <row r="11414" spans="1:4" x14ac:dyDescent="0.25">
      <c r="A11414" s="31"/>
      <c r="D11414" s="30"/>
    </row>
    <row r="11415" spans="1:4" x14ac:dyDescent="0.25">
      <c r="A11415" s="31"/>
      <c r="D11415" s="30"/>
    </row>
    <row r="11416" spans="1:4" x14ac:dyDescent="0.25">
      <c r="A11416" s="31"/>
      <c r="D11416" s="30"/>
    </row>
    <row r="11417" spans="1:4" x14ac:dyDescent="0.25">
      <c r="A11417" s="31"/>
      <c r="D11417" s="30"/>
    </row>
    <row r="11418" spans="1:4" x14ac:dyDescent="0.25">
      <c r="A11418" s="31"/>
      <c r="D11418" s="30"/>
    </row>
    <row r="11419" spans="1:4" x14ac:dyDescent="0.25">
      <c r="A11419" s="31"/>
      <c r="D11419" s="30"/>
    </row>
    <row r="11420" spans="1:4" x14ac:dyDescent="0.25">
      <c r="A11420" s="31"/>
      <c r="D11420" s="30"/>
    </row>
    <row r="11421" spans="1:4" x14ac:dyDescent="0.25">
      <c r="A11421" s="31"/>
      <c r="D11421" s="30"/>
    </row>
    <row r="11422" spans="1:4" x14ac:dyDescent="0.25">
      <c r="A11422" s="31"/>
      <c r="D11422" s="30"/>
    </row>
    <row r="11423" spans="1:4" x14ac:dyDescent="0.25">
      <c r="A11423" s="31"/>
      <c r="D11423" s="30"/>
    </row>
    <row r="11424" spans="1:4" x14ac:dyDescent="0.25">
      <c r="A11424" s="31"/>
      <c r="D11424" s="30"/>
    </row>
    <row r="11425" spans="1:4" x14ac:dyDescent="0.25">
      <c r="A11425" s="31"/>
      <c r="D11425" s="30"/>
    </row>
    <row r="11426" spans="1:4" x14ac:dyDescent="0.25">
      <c r="A11426" s="31"/>
      <c r="D11426" s="30"/>
    </row>
    <row r="11427" spans="1:4" x14ac:dyDescent="0.25">
      <c r="A11427" s="31"/>
      <c r="D11427" s="30"/>
    </row>
    <row r="11428" spans="1:4" x14ac:dyDescent="0.25">
      <c r="A11428" s="31"/>
      <c r="D11428" s="30"/>
    </row>
    <row r="11429" spans="1:4" x14ac:dyDescent="0.25">
      <c r="A11429" s="31"/>
      <c r="D11429" s="30"/>
    </row>
    <row r="11430" spans="1:4" x14ac:dyDescent="0.25">
      <c r="A11430" s="31"/>
      <c r="D11430" s="30"/>
    </row>
    <row r="11431" spans="1:4" x14ac:dyDescent="0.25">
      <c r="A11431" s="31"/>
      <c r="D11431" s="30"/>
    </row>
    <row r="11432" spans="1:4" x14ac:dyDescent="0.25">
      <c r="A11432" s="31"/>
      <c r="D11432" s="30"/>
    </row>
    <row r="11433" spans="1:4" x14ac:dyDescent="0.25">
      <c r="A11433" s="31"/>
      <c r="D11433" s="30"/>
    </row>
    <row r="11434" spans="1:4" x14ac:dyDescent="0.25">
      <c r="A11434" s="31"/>
      <c r="D11434" s="30"/>
    </row>
    <row r="11435" spans="1:4" x14ac:dyDescent="0.25">
      <c r="A11435" s="31"/>
      <c r="D11435" s="30"/>
    </row>
    <row r="11436" spans="1:4" x14ac:dyDescent="0.25">
      <c r="A11436" s="31"/>
      <c r="D11436" s="30"/>
    </row>
    <row r="11437" spans="1:4" x14ac:dyDescent="0.25">
      <c r="A11437" s="31"/>
      <c r="D11437" s="30"/>
    </row>
    <row r="11438" spans="1:4" x14ac:dyDescent="0.25">
      <c r="A11438" s="31"/>
      <c r="D11438" s="30"/>
    </row>
    <row r="11439" spans="1:4" x14ac:dyDescent="0.25">
      <c r="A11439" s="31"/>
      <c r="D11439" s="30"/>
    </row>
    <row r="11440" spans="1:4" x14ac:dyDescent="0.25">
      <c r="A11440" s="31"/>
      <c r="D11440" s="30"/>
    </row>
    <row r="11441" spans="1:4" x14ac:dyDescent="0.25">
      <c r="A11441" s="31"/>
      <c r="D11441" s="30"/>
    </row>
    <row r="11442" spans="1:4" x14ac:dyDescent="0.25">
      <c r="A11442" s="31"/>
      <c r="D11442" s="30"/>
    </row>
    <row r="11443" spans="1:4" x14ac:dyDescent="0.25">
      <c r="A11443" s="31"/>
      <c r="D11443" s="30"/>
    </row>
    <row r="11444" spans="1:4" x14ac:dyDescent="0.25">
      <c r="A11444" s="31"/>
      <c r="D11444" s="30"/>
    </row>
    <row r="11445" spans="1:4" x14ac:dyDescent="0.25">
      <c r="A11445" s="31"/>
      <c r="D11445" s="30"/>
    </row>
    <row r="11446" spans="1:4" x14ac:dyDescent="0.25">
      <c r="A11446" s="31"/>
      <c r="D11446" s="30"/>
    </row>
    <row r="11447" spans="1:4" x14ac:dyDescent="0.25">
      <c r="A11447" s="31"/>
      <c r="D11447" s="30"/>
    </row>
    <row r="11448" spans="1:4" x14ac:dyDescent="0.25">
      <c r="A11448" s="31"/>
      <c r="D11448" s="30"/>
    </row>
    <row r="11449" spans="1:4" x14ac:dyDescent="0.25">
      <c r="A11449" s="31"/>
      <c r="D11449" s="30"/>
    </row>
    <row r="11450" spans="1:4" x14ac:dyDescent="0.25">
      <c r="A11450" s="31"/>
      <c r="D11450" s="30"/>
    </row>
    <row r="11451" spans="1:4" x14ac:dyDescent="0.25">
      <c r="A11451" s="31"/>
      <c r="D11451" s="30"/>
    </row>
    <row r="11452" spans="1:4" x14ac:dyDescent="0.25">
      <c r="A11452" s="31"/>
      <c r="D11452" s="30"/>
    </row>
    <row r="11453" spans="1:4" x14ac:dyDescent="0.25">
      <c r="A11453" s="31"/>
      <c r="D11453" s="30"/>
    </row>
    <row r="11454" spans="1:4" x14ac:dyDescent="0.25">
      <c r="A11454" s="31"/>
      <c r="D11454" s="30"/>
    </row>
    <row r="11455" spans="1:4" x14ac:dyDescent="0.25">
      <c r="A11455" s="31"/>
      <c r="D11455" s="30"/>
    </row>
    <row r="11456" spans="1:4" x14ac:dyDescent="0.25">
      <c r="A11456" s="31"/>
      <c r="D11456" s="30"/>
    </row>
    <row r="11457" spans="1:4" x14ac:dyDescent="0.25">
      <c r="A11457" s="31"/>
      <c r="D11457" s="30"/>
    </row>
    <row r="11458" spans="1:4" x14ac:dyDescent="0.25">
      <c r="A11458" s="31"/>
      <c r="D11458" s="30"/>
    </row>
    <row r="11459" spans="1:4" x14ac:dyDescent="0.25">
      <c r="A11459" s="31"/>
      <c r="D11459" s="30"/>
    </row>
    <row r="11460" spans="1:4" x14ac:dyDescent="0.25">
      <c r="A11460" s="31"/>
      <c r="D11460" s="30"/>
    </row>
    <row r="11461" spans="1:4" x14ac:dyDescent="0.25">
      <c r="A11461" s="31"/>
      <c r="D11461" s="30"/>
    </row>
    <row r="11462" spans="1:4" x14ac:dyDescent="0.25">
      <c r="A11462" s="31"/>
      <c r="D11462" s="30"/>
    </row>
    <row r="11463" spans="1:4" x14ac:dyDescent="0.25">
      <c r="A11463" s="31"/>
      <c r="D11463" s="30"/>
    </row>
    <row r="11464" spans="1:4" x14ac:dyDescent="0.25">
      <c r="A11464" s="31"/>
      <c r="D11464" s="30"/>
    </row>
    <row r="11465" spans="1:4" x14ac:dyDescent="0.25">
      <c r="A11465" s="31"/>
      <c r="D11465" s="30"/>
    </row>
    <row r="11466" spans="1:4" x14ac:dyDescent="0.25">
      <c r="A11466" s="31"/>
      <c r="D11466" s="30"/>
    </row>
    <row r="11467" spans="1:4" x14ac:dyDescent="0.25">
      <c r="A11467" s="31"/>
      <c r="D11467" s="30"/>
    </row>
    <row r="11468" spans="1:4" x14ac:dyDescent="0.25">
      <c r="A11468" s="31"/>
      <c r="D11468" s="30"/>
    </row>
    <row r="11469" spans="1:4" x14ac:dyDescent="0.25">
      <c r="A11469" s="31"/>
      <c r="D11469" s="30"/>
    </row>
    <row r="11470" spans="1:4" x14ac:dyDescent="0.25">
      <c r="A11470" s="31"/>
      <c r="D11470" s="30"/>
    </row>
    <row r="11471" spans="1:4" x14ac:dyDescent="0.25">
      <c r="A11471" s="31"/>
      <c r="D11471" s="30"/>
    </row>
    <row r="11472" spans="1:4" x14ac:dyDescent="0.25">
      <c r="A11472" s="31"/>
      <c r="D11472" s="30"/>
    </row>
    <row r="11473" spans="1:4" x14ac:dyDescent="0.25">
      <c r="A11473" s="31"/>
      <c r="D11473" s="30"/>
    </row>
    <row r="11474" spans="1:4" x14ac:dyDescent="0.25">
      <c r="A11474" s="31"/>
      <c r="D11474" s="30"/>
    </row>
    <row r="11475" spans="1:4" x14ac:dyDescent="0.25">
      <c r="A11475" s="31"/>
      <c r="D11475" s="30"/>
    </row>
    <row r="11476" spans="1:4" x14ac:dyDescent="0.25">
      <c r="A11476" s="31"/>
      <c r="D11476" s="30"/>
    </row>
    <row r="11477" spans="1:4" x14ac:dyDescent="0.25">
      <c r="A11477" s="31"/>
      <c r="D11477" s="30"/>
    </row>
    <row r="11478" spans="1:4" x14ac:dyDescent="0.25">
      <c r="A11478" s="31"/>
      <c r="D11478" s="30"/>
    </row>
    <row r="11479" spans="1:4" x14ac:dyDescent="0.25">
      <c r="A11479" s="31"/>
      <c r="D11479" s="30"/>
    </row>
    <row r="11480" spans="1:4" x14ac:dyDescent="0.25">
      <c r="A11480" s="31"/>
      <c r="D11480" s="30"/>
    </row>
    <row r="11481" spans="1:4" x14ac:dyDescent="0.25">
      <c r="A11481" s="31"/>
      <c r="D11481" s="30"/>
    </row>
    <row r="11482" spans="1:4" x14ac:dyDescent="0.25">
      <c r="A11482" s="31"/>
      <c r="D11482" s="30"/>
    </row>
    <row r="11483" spans="1:4" x14ac:dyDescent="0.25">
      <c r="A11483" s="31"/>
      <c r="D11483" s="30"/>
    </row>
    <row r="11484" spans="1:4" x14ac:dyDescent="0.25">
      <c r="A11484" s="31"/>
      <c r="D11484" s="30"/>
    </row>
    <row r="11485" spans="1:4" x14ac:dyDescent="0.25">
      <c r="A11485" s="31"/>
      <c r="D11485" s="30"/>
    </row>
    <row r="11486" spans="1:4" x14ac:dyDescent="0.25">
      <c r="A11486" s="31"/>
      <c r="D11486" s="30"/>
    </row>
    <row r="11487" spans="1:4" x14ac:dyDescent="0.25">
      <c r="A11487" s="31"/>
      <c r="D11487" s="30"/>
    </row>
    <row r="11488" spans="1:4" x14ac:dyDescent="0.25">
      <c r="A11488" s="31"/>
      <c r="D11488" s="30"/>
    </row>
    <row r="11489" spans="1:4" x14ac:dyDescent="0.25">
      <c r="A11489" s="31"/>
      <c r="D11489" s="30"/>
    </row>
    <row r="11490" spans="1:4" x14ac:dyDescent="0.25">
      <c r="A11490" s="31"/>
      <c r="D11490" s="30"/>
    </row>
    <row r="11491" spans="1:4" x14ac:dyDescent="0.25">
      <c r="A11491" s="31"/>
      <c r="D11491" s="30"/>
    </row>
    <row r="11492" spans="1:4" x14ac:dyDescent="0.25">
      <c r="A11492" s="31"/>
      <c r="D11492" s="30"/>
    </row>
    <row r="11493" spans="1:4" x14ac:dyDescent="0.25">
      <c r="A11493" s="31"/>
      <c r="D11493" s="30"/>
    </row>
    <row r="11494" spans="1:4" x14ac:dyDescent="0.25">
      <c r="A11494" s="31"/>
      <c r="D11494" s="30"/>
    </row>
    <row r="11495" spans="1:4" x14ac:dyDescent="0.25">
      <c r="A11495" s="31"/>
      <c r="D11495" s="30"/>
    </row>
    <row r="11496" spans="1:4" x14ac:dyDescent="0.25">
      <c r="A11496" s="31"/>
      <c r="D11496" s="30"/>
    </row>
    <row r="11497" spans="1:4" x14ac:dyDescent="0.25">
      <c r="A11497" s="31"/>
      <c r="D11497" s="30"/>
    </row>
    <row r="11498" spans="1:4" x14ac:dyDescent="0.25">
      <c r="A11498" s="31"/>
      <c r="D11498" s="30"/>
    </row>
    <row r="11499" spans="1:4" x14ac:dyDescent="0.25">
      <c r="A11499" s="31"/>
      <c r="D11499" s="30"/>
    </row>
    <row r="11500" spans="1:4" x14ac:dyDescent="0.25">
      <c r="A11500" s="31"/>
      <c r="D11500" s="30"/>
    </row>
    <row r="11501" spans="1:4" x14ac:dyDescent="0.25">
      <c r="A11501" s="31"/>
      <c r="D11501" s="30"/>
    </row>
    <row r="11502" spans="1:4" x14ac:dyDescent="0.25">
      <c r="A11502" s="31"/>
      <c r="D11502" s="30"/>
    </row>
    <row r="11503" spans="1:4" x14ac:dyDescent="0.25">
      <c r="A11503" s="31"/>
      <c r="D11503" s="30"/>
    </row>
    <row r="11504" spans="1:4" x14ac:dyDescent="0.25">
      <c r="A11504" s="31"/>
      <c r="D11504" s="30"/>
    </row>
    <row r="11505" spans="1:4" x14ac:dyDescent="0.25">
      <c r="A11505" s="31"/>
      <c r="D11505" s="30"/>
    </row>
    <row r="11506" spans="1:4" x14ac:dyDescent="0.25">
      <c r="A11506" s="31"/>
      <c r="D11506" s="30"/>
    </row>
    <row r="11507" spans="1:4" x14ac:dyDescent="0.25">
      <c r="A11507" s="31"/>
      <c r="D11507" s="30"/>
    </row>
    <row r="11508" spans="1:4" x14ac:dyDescent="0.25">
      <c r="A11508" s="31"/>
      <c r="D11508" s="30"/>
    </row>
    <row r="11509" spans="1:4" x14ac:dyDescent="0.25">
      <c r="A11509" s="31"/>
      <c r="D11509" s="30"/>
    </row>
    <row r="11510" spans="1:4" x14ac:dyDescent="0.25">
      <c r="A11510" s="31"/>
      <c r="D11510" s="30"/>
    </row>
    <row r="11511" spans="1:4" x14ac:dyDescent="0.25">
      <c r="A11511" s="31"/>
      <c r="D11511" s="30"/>
    </row>
    <row r="11512" spans="1:4" x14ac:dyDescent="0.25">
      <c r="A11512" s="31"/>
      <c r="D11512" s="30"/>
    </row>
    <row r="11513" spans="1:4" x14ac:dyDescent="0.25">
      <c r="A11513" s="31"/>
      <c r="D11513" s="30"/>
    </row>
    <row r="11514" spans="1:4" x14ac:dyDescent="0.25">
      <c r="A11514" s="31"/>
      <c r="D11514" s="30"/>
    </row>
    <row r="11515" spans="1:4" x14ac:dyDescent="0.25">
      <c r="A11515" s="31"/>
      <c r="D11515" s="30"/>
    </row>
    <row r="11516" spans="1:4" x14ac:dyDescent="0.25">
      <c r="A11516" s="31"/>
      <c r="D11516" s="30"/>
    </row>
    <row r="11517" spans="1:4" x14ac:dyDescent="0.25">
      <c r="A11517" s="31"/>
      <c r="D11517" s="30"/>
    </row>
    <row r="11518" spans="1:4" x14ac:dyDescent="0.25">
      <c r="A11518" s="31"/>
      <c r="D11518" s="30"/>
    </row>
    <row r="11519" spans="1:4" x14ac:dyDescent="0.25">
      <c r="A11519" s="31"/>
      <c r="D11519" s="30"/>
    </row>
    <row r="11520" spans="1:4" x14ac:dyDescent="0.25">
      <c r="A11520" s="31"/>
      <c r="D11520" s="30"/>
    </row>
    <row r="11521" spans="1:4" x14ac:dyDescent="0.25">
      <c r="A11521" s="31"/>
      <c r="D11521" s="30"/>
    </row>
    <row r="11522" spans="1:4" x14ac:dyDescent="0.25">
      <c r="A11522" s="31"/>
      <c r="D11522" s="30"/>
    </row>
    <row r="11523" spans="1:4" x14ac:dyDescent="0.25">
      <c r="A11523" s="31"/>
      <c r="D11523" s="30"/>
    </row>
    <row r="11524" spans="1:4" x14ac:dyDescent="0.25">
      <c r="A11524" s="31"/>
      <c r="D11524" s="30"/>
    </row>
    <row r="11525" spans="1:4" x14ac:dyDescent="0.25">
      <c r="A11525" s="31"/>
      <c r="D11525" s="30"/>
    </row>
    <row r="11526" spans="1:4" x14ac:dyDescent="0.25">
      <c r="A11526" s="31"/>
      <c r="D11526" s="30"/>
    </row>
    <row r="11527" spans="1:4" x14ac:dyDescent="0.25">
      <c r="A11527" s="31"/>
      <c r="D11527" s="30"/>
    </row>
    <row r="11528" spans="1:4" x14ac:dyDescent="0.25">
      <c r="A11528" s="31"/>
      <c r="D11528" s="30"/>
    </row>
    <row r="11529" spans="1:4" x14ac:dyDescent="0.25">
      <c r="A11529" s="31"/>
      <c r="D11529" s="30"/>
    </row>
    <row r="11530" spans="1:4" x14ac:dyDescent="0.25">
      <c r="A11530" s="31"/>
      <c r="D11530" s="30"/>
    </row>
    <row r="11531" spans="1:4" x14ac:dyDescent="0.25">
      <c r="A11531" s="31"/>
      <c r="D11531" s="30"/>
    </row>
    <row r="11532" spans="1:4" x14ac:dyDescent="0.25">
      <c r="A11532" s="31"/>
      <c r="D11532" s="30"/>
    </row>
    <row r="11533" spans="1:4" x14ac:dyDescent="0.25">
      <c r="A11533" s="31"/>
      <c r="D11533" s="30"/>
    </row>
    <row r="11534" spans="1:4" x14ac:dyDescent="0.25">
      <c r="A11534" s="31"/>
      <c r="D11534" s="30"/>
    </row>
    <row r="11535" spans="1:4" x14ac:dyDescent="0.25">
      <c r="A11535" s="31"/>
      <c r="D11535" s="30"/>
    </row>
    <row r="11536" spans="1:4" x14ac:dyDescent="0.25">
      <c r="A11536" s="31"/>
      <c r="D11536" s="30"/>
    </row>
    <row r="11537" spans="1:4" x14ac:dyDescent="0.25">
      <c r="A11537" s="31"/>
      <c r="D11537" s="30"/>
    </row>
    <row r="11538" spans="1:4" x14ac:dyDescent="0.25">
      <c r="A11538" s="31"/>
      <c r="D11538" s="30"/>
    </row>
    <row r="11539" spans="1:4" x14ac:dyDescent="0.25">
      <c r="A11539" s="31"/>
      <c r="D11539" s="30"/>
    </row>
    <row r="11540" spans="1:4" x14ac:dyDescent="0.25">
      <c r="A11540" s="31"/>
      <c r="D11540" s="30"/>
    </row>
    <row r="11541" spans="1:4" x14ac:dyDescent="0.25">
      <c r="A11541" s="31"/>
      <c r="D11541" s="30"/>
    </row>
    <row r="11542" spans="1:4" x14ac:dyDescent="0.25">
      <c r="A11542" s="31"/>
      <c r="D11542" s="30"/>
    </row>
    <row r="11543" spans="1:4" x14ac:dyDescent="0.25">
      <c r="A11543" s="31"/>
      <c r="D11543" s="30"/>
    </row>
    <row r="11544" spans="1:4" x14ac:dyDescent="0.25">
      <c r="A11544" s="31"/>
      <c r="D11544" s="30"/>
    </row>
    <row r="11545" spans="1:4" x14ac:dyDescent="0.25">
      <c r="A11545" s="31"/>
      <c r="D11545" s="30"/>
    </row>
    <row r="11546" spans="1:4" x14ac:dyDescent="0.25">
      <c r="A11546" s="31"/>
      <c r="D11546" s="30"/>
    </row>
    <row r="11547" spans="1:4" x14ac:dyDescent="0.25">
      <c r="A11547" s="31"/>
      <c r="D11547" s="30"/>
    </row>
    <row r="11548" spans="1:4" x14ac:dyDescent="0.25">
      <c r="A11548" s="31"/>
      <c r="D11548" s="30"/>
    </row>
    <row r="11549" spans="1:4" x14ac:dyDescent="0.25">
      <c r="A11549" s="31"/>
      <c r="D11549" s="30"/>
    </row>
    <row r="11550" spans="1:4" x14ac:dyDescent="0.25">
      <c r="A11550" s="31"/>
      <c r="D11550" s="30"/>
    </row>
    <row r="11551" spans="1:4" x14ac:dyDescent="0.25">
      <c r="A11551" s="31"/>
      <c r="D11551" s="30"/>
    </row>
    <row r="11552" spans="1:4" x14ac:dyDescent="0.25">
      <c r="A11552" s="31"/>
      <c r="D11552" s="30"/>
    </row>
    <row r="11553" spans="1:4" x14ac:dyDescent="0.25">
      <c r="A11553" s="31"/>
      <c r="D11553" s="30"/>
    </row>
    <row r="11554" spans="1:4" x14ac:dyDescent="0.25">
      <c r="A11554" s="31"/>
      <c r="D11554" s="30"/>
    </row>
    <row r="11555" spans="1:4" x14ac:dyDescent="0.25">
      <c r="A11555" s="31"/>
      <c r="D11555" s="30"/>
    </row>
    <row r="11556" spans="1:4" x14ac:dyDescent="0.25">
      <c r="A11556" s="31"/>
      <c r="D11556" s="30"/>
    </row>
    <row r="11557" spans="1:4" x14ac:dyDescent="0.25">
      <c r="A11557" s="31"/>
      <c r="D11557" s="30"/>
    </row>
    <row r="11558" spans="1:4" x14ac:dyDescent="0.25">
      <c r="A11558" s="31"/>
      <c r="D11558" s="30"/>
    </row>
    <row r="11559" spans="1:4" x14ac:dyDescent="0.25">
      <c r="A11559" s="31"/>
      <c r="D11559" s="30"/>
    </row>
    <row r="11560" spans="1:4" x14ac:dyDescent="0.25">
      <c r="A11560" s="31"/>
      <c r="D11560" s="30"/>
    </row>
    <row r="11561" spans="1:4" x14ac:dyDescent="0.25">
      <c r="A11561" s="31"/>
      <c r="D11561" s="30"/>
    </row>
    <row r="11562" spans="1:4" x14ac:dyDescent="0.25">
      <c r="A11562" s="31"/>
      <c r="D11562" s="30"/>
    </row>
    <row r="11563" spans="1:4" x14ac:dyDescent="0.25">
      <c r="A11563" s="31"/>
      <c r="D11563" s="30"/>
    </row>
    <row r="11564" spans="1:4" x14ac:dyDescent="0.25">
      <c r="A11564" s="31"/>
      <c r="D11564" s="30"/>
    </row>
    <row r="11565" spans="1:4" x14ac:dyDescent="0.25">
      <c r="A11565" s="31"/>
      <c r="D11565" s="30"/>
    </row>
    <row r="11566" spans="1:4" x14ac:dyDescent="0.25">
      <c r="A11566" s="31"/>
      <c r="D11566" s="30"/>
    </row>
    <row r="11567" spans="1:4" x14ac:dyDescent="0.25">
      <c r="A11567" s="31"/>
      <c r="D11567" s="30"/>
    </row>
    <row r="11568" spans="1:4" x14ac:dyDescent="0.25">
      <c r="A11568" s="31"/>
      <c r="D11568" s="30"/>
    </row>
    <row r="11569" spans="1:4" x14ac:dyDescent="0.25">
      <c r="A11569" s="31"/>
      <c r="D11569" s="30"/>
    </row>
    <row r="11570" spans="1:4" x14ac:dyDescent="0.25">
      <c r="A11570" s="31"/>
      <c r="D11570" s="30"/>
    </row>
    <row r="11571" spans="1:4" x14ac:dyDescent="0.25">
      <c r="A11571" s="31"/>
      <c r="D11571" s="30"/>
    </row>
    <row r="11572" spans="1:4" x14ac:dyDescent="0.25">
      <c r="A11572" s="31"/>
      <c r="D11572" s="30"/>
    </row>
    <row r="11573" spans="1:4" x14ac:dyDescent="0.25">
      <c r="A11573" s="31"/>
      <c r="D11573" s="30"/>
    </row>
    <row r="11574" spans="1:4" x14ac:dyDescent="0.25">
      <c r="A11574" s="31"/>
      <c r="D11574" s="30"/>
    </row>
    <row r="11575" spans="1:4" x14ac:dyDescent="0.25">
      <c r="A11575" s="31"/>
      <c r="D11575" s="30"/>
    </row>
    <row r="11576" spans="1:4" x14ac:dyDescent="0.25">
      <c r="A11576" s="31"/>
      <c r="D11576" s="30"/>
    </row>
    <row r="11577" spans="1:4" x14ac:dyDescent="0.25">
      <c r="A11577" s="31"/>
      <c r="D11577" s="30"/>
    </row>
    <row r="11578" spans="1:4" x14ac:dyDescent="0.25">
      <c r="A11578" s="31"/>
      <c r="D11578" s="30"/>
    </row>
    <row r="11579" spans="1:4" x14ac:dyDescent="0.25">
      <c r="A11579" s="31"/>
      <c r="D11579" s="30"/>
    </row>
    <row r="11580" spans="1:4" x14ac:dyDescent="0.25">
      <c r="A11580" s="31"/>
      <c r="D11580" s="30"/>
    </row>
    <row r="11581" spans="1:4" x14ac:dyDescent="0.25">
      <c r="A11581" s="31"/>
      <c r="D11581" s="30"/>
    </row>
    <row r="11582" spans="1:4" x14ac:dyDescent="0.25">
      <c r="A11582" s="31"/>
      <c r="D11582" s="30"/>
    </row>
    <row r="11583" spans="1:4" x14ac:dyDescent="0.25">
      <c r="A11583" s="31"/>
      <c r="D11583" s="30"/>
    </row>
    <row r="11584" spans="1:4" x14ac:dyDescent="0.25">
      <c r="A11584" s="31"/>
      <c r="D11584" s="30"/>
    </row>
    <row r="11585" spans="1:4" x14ac:dyDescent="0.25">
      <c r="A11585" s="31"/>
      <c r="D11585" s="30"/>
    </row>
    <row r="11586" spans="1:4" x14ac:dyDescent="0.25">
      <c r="A11586" s="31"/>
      <c r="D11586" s="30"/>
    </row>
    <row r="11587" spans="1:4" x14ac:dyDescent="0.25">
      <c r="A11587" s="31"/>
      <c r="D11587" s="30"/>
    </row>
    <row r="11588" spans="1:4" x14ac:dyDescent="0.25">
      <c r="A11588" s="31"/>
      <c r="D11588" s="30"/>
    </row>
    <row r="11589" spans="1:4" x14ac:dyDescent="0.25">
      <c r="A11589" s="31"/>
      <c r="D11589" s="30"/>
    </row>
    <row r="11590" spans="1:4" x14ac:dyDescent="0.25">
      <c r="A11590" s="31"/>
      <c r="D11590" s="30"/>
    </row>
    <row r="11591" spans="1:4" x14ac:dyDescent="0.25">
      <c r="A11591" s="31"/>
      <c r="D11591" s="30"/>
    </row>
    <row r="11592" spans="1:4" x14ac:dyDescent="0.25">
      <c r="A11592" s="31"/>
      <c r="D11592" s="30"/>
    </row>
    <row r="11593" spans="1:4" x14ac:dyDescent="0.25">
      <c r="A11593" s="31"/>
      <c r="D11593" s="30"/>
    </row>
    <row r="11594" spans="1:4" x14ac:dyDescent="0.25">
      <c r="A11594" s="31"/>
      <c r="D11594" s="30"/>
    </row>
    <row r="11595" spans="1:4" x14ac:dyDescent="0.25">
      <c r="A11595" s="31"/>
      <c r="D11595" s="30"/>
    </row>
    <row r="11596" spans="1:4" x14ac:dyDescent="0.25">
      <c r="A11596" s="31"/>
      <c r="D11596" s="30"/>
    </row>
    <row r="11597" spans="1:4" x14ac:dyDescent="0.25">
      <c r="A11597" s="31"/>
      <c r="D11597" s="30"/>
    </row>
    <row r="11598" spans="1:4" x14ac:dyDescent="0.25">
      <c r="A11598" s="31"/>
      <c r="D11598" s="30"/>
    </row>
    <row r="11599" spans="1:4" x14ac:dyDescent="0.25">
      <c r="A11599" s="31"/>
      <c r="D11599" s="30"/>
    </row>
    <row r="11600" spans="1:4" x14ac:dyDescent="0.25">
      <c r="A11600" s="31"/>
      <c r="D11600" s="30"/>
    </row>
    <row r="11601" spans="1:4" x14ac:dyDescent="0.25">
      <c r="A11601" s="31"/>
      <c r="D11601" s="30"/>
    </row>
    <row r="11602" spans="1:4" x14ac:dyDescent="0.25">
      <c r="A11602" s="31"/>
      <c r="D11602" s="30"/>
    </row>
    <row r="11603" spans="1:4" x14ac:dyDescent="0.25">
      <c r="A11603" s="31"/>
      <c r="D11603" s="30"/>
    </row>
    <row r="11604" spans="1:4" x14ac:dyDescent="0.25">
      <c r="A11604" s="31"/>
      <c r="D11604" s="30"/>
    </row>
    <row r="11605" spans="1:4" x14ac:dyDescent="0.25">
      <c r="A11605" s="31"/>
      <c r="D11605" s="30"/>
    </row>
    <row r="11606" spans="1:4" x14ac:dyDescent="0.25">
      <c r="A11606" s="31"/>
      <c r="D11606" s="30"/>
    </row>
    <row r="11607" spans="1:4" x14ac:dyDescent="0.25">
      <c r="A11607" s="31"/>
      <c r="D11607" s="30"/>
    </row>
    <row r="11608" spans="1:4" x14ac:dyDescent="0.25">
      <c r="A11608" s="31"/>
      <c r="D11608" s="30"/>
    </row>
    <row r="11609" spans="1:4" x14ac:dyDescent="0.25">
      <c r="A11609" s="31"/>
      <c r="D11609" s="30"/>
    </row>
    <row r="11610" spans="1:4" x14ac:dyDescent="0.25">
      <c r="A11610" s="31"/>
      <c r="D11610" s="30"/>
    </row>
    <row r="11611" spans="1:4" x14ac:dyDescent="0.25">
      <c r="A11611" s="31"/>
      <c r="D11611" s="30"/>
    </row>
    <row r="11612" spans="1:4" x14ac:dyDescent="0.25">
      <c r="A11612" s="31"/>
      <c r="D11612" s="30"/>
    </row>
    <row r="11613" spans="1:4" x14ac:dyDescent="0.25">
      <c r="A11613" s="31"/>
      <c r="D11613" s="30"/>
    </row>
    <row r="11614" spans="1:4" x14ac:dyDescent="0.25">
      <c r="A11614" s="31"/>
      <c r="D11614" s="30"/>
    </row>
    <row r="11615" spans="1:4" x14ac:dyDescent="0.25">
      <c r="A11615" s="31"/>
      <c r="D11615" s="30"/>
    </row>
    <row r="11616" spans="1:4" x14ac:dyDescent="0.25">
      <c r="A11616" s="31"/>
      <c r="D11616" s="30"/>
    </row>
    <row r="11617" spans="1:4" x14ac:dyDescent="0.25">
      <c r="A11617" s="31"/>
      <c r="D11617" s="30"/>
    </row>
    <row r="11618" spans="1:4" x14ac:dyDescent="0.25">
      <c r="A11618" s="31"/>
      <c r="D11618" s="30"/>
    </row>
    <row r="11619" spans="1:4" x14ac:dyDescent="0.25">
      <c r="A11619" s="31"/>
      <c r="D11619" s="30"/>
    </row>
    <row r="11620" spans="1:4" x14ac:dyDescent="0.25">
      <c r="A11620" s="31"/>
      <c r="D11620" s="30"/>
    </row>
    <row r="11621" spans="1:4" x14ac:dyDescent="0.25">
      <c r="A11621" s="31"/>
      <c r="D11621" s="30"/>
    </row>
    <row r="11622" spans="1:4" x14ac:dyDescent="0.25">
      <c r="A11622" s="31"/>
      <c r="D11622" s="30"/>
    </row>
    <row r="11623" spans="1:4" x14ac:dyDescent="0.25">
      <c r="A11623" s="31"/>
      <c r="D11623" s="30"/>
    </row>
    <row r="11624" spans="1:4" x14ac:dyDescent="0.25">
      <c r="A11624" s="31"/>
      <c r="D11624" s="30"/>
    </row>
    <row r="11625" spans="1:4" x14ac:dyDescent="0.25">
      <c r="A11625" s="31"/>
      <c r="D11625" s="30"/>
    </row>
    <row r="11626" spans="1:4" x14ac:dyDescent="0.25">
      <c r="A11626" s="31"/>
      <c r="D11626" s="30"/>
    </row>
    <row r="11627" spans="1:4" x14ac:dyDescent="0.25">
      <c r="A11627" s="31"/>
      <c r="D11627" s="30"/>
    </row>
    <row r="11628" spans="1:4" x14ac:dyDescent="0.25">
      <c r="A11628" s="31"/>
      <c r="D11628" s="30"/>
    </row>
    <row r="11629" spans="1:4" x14ac:dyDescent="0.25">
      <c r="A11629" s="31"/>
      <c r="D11629" s="30"/>
    </row>
    <row r="11630" spans="1:4" x14ac:dyDescent="0.25">
      <c r="A11630" s="31"/>
      <c r="D11630" s="30"/>
    </row>
    <row r="11631" spans="1:4" x14ac:dyDescent="0.25">
      <c r="A11631" s="31"/>
      <c r="D11631" s="30"/>
    </row>
    <row r="11632" spans="1:4" x14ac:dyDescent="0.25">
      <c r="A11632" s="31"/>
      <c r="D11632" s="30"/>
    </row>
    <row r="11633" spans="1:4" x14ac:dyDescent="0.25">
      <c r="A11633" s="31"/>
      <c r="D11633" s="30"/>
    </row>
    <row r="11634" spans="1:4" x14ac:dyDescent="0.25">
      <c r="A11634" s="31"/>
      <c r="D11634" s="30"/>
    </row>
    <row r="11635" spans="1:4" x14ac:dyDescent="0.25">
      <c r="A11635" s="31"/>
      <c r="D11635" s="30"/>
    </row>
    <row r="11636" spans="1:4" x14ac:dyDescent="0.25">
      <c r="A11636" s="31"/>
      <c r="D11636" s="30"/>
    </row>
    <row r="11637" spans="1:4" x14ac:dyDescent="0.25">
      <c r="A11637" s="31"/>
      <c r="D11637" s="30"/>
    </row>
    <row r="11638" spans="1:4" x14ac:dyDescent="0.25">
      <c r="A11638" s="31"/>
      <c r="D11638" s="30"/>
    </row>
    <row r="11639" spans="1:4" x14ac:dyDescent="0.25">
      <c r="A11639" s="31"/>
      <c r="D11639" s="30"/>
    </row>
    <row r="11640" spans="1:4" x14ac:dyDescent="0.25">
      <c r="A11640" s="31"/>
      <c r="D11640" s="30"/>
    </row>
    <row r="11641" spans="1:4" x14ac:dyDescent="0.25">
      <c r="A11641" s="31"/>
      <c r="D11641" s="30"/>
    </row>
    <row r="11642" spans="1:4" x14ac:dyDescent="0.25">
      <c r="A11642" s="31"/>
      <c r="D11642" s="30"/>
    </row>
    <row r="11643" spans="1:4" x14ac:dyDescent="0.25">
      <c r="A11643" s="31"/>
      <c r="D11643" s="30"/>
    </row>
    <row r="11644" spans="1:4" x14ac:dyDescent="0.25">
      <c r="A11644" s="31"/>
      <c r="D11644" s="30"/>
    </row>
    <row r="11645" spans="1:4" x14ac:dyDescent="0.25">
      <c r="A11645" s="31"/>
      <c r="D11645" s="30"/>
    </row>
    <row r="11646" spans="1:4" x14ac:dyDescent="0.25">
      <c r="A11646" s="31"/>
      <c r="D11646" s="30"/>
    </row>
    <row r="11647" spans="1:4" x14ac:dyDescent="0.25">
      <c r="A11647" s="31"/>
      <c r="D11647" s="30"/>
    </row>
    <row r="11648" spans="1:4" x14ac:dyDescent="0.25">
      <c r="A11648" s="31"/>
      <c r="D11648" s="30"/>
    </row>
    <row r="11649" spans="1:4" x14ac:dyDescent="0.25">
      <c r="A11649" s="31"/>
      <c r="D11649" s="30"/>
    </row>
    <row r="11650" spans="1:4" x14ac:dyDescent="0.25">
      <c r="A11650" s="31"/>
      <c r="D11650" s="30"/>
    </row>
    <row r="11651" spans="1:4" x14ac:dyDescent="0.25">
      <c r="A11651" s="31"/>
      <c r="D11651" s="30"/>
    </row>
    <row r="11652" spans="1:4" x14ac:dyDescent="0.25">
      <c r="A11652" s="31"/>
      <c r="D11652" s="30"/>
    </row>
    <row r="11653" spans="1:4" x14ac:dyDescent="0.25">
      <c r="A11653" s="31"/>
      <c r="D11653" s="30"/>
    </row>
    <row r="11654" spans="1:4" x14ac:dyDescent="0.25">
      <c r="A11654" s="31"/>
      <c r="D11654" s="30"/>
    </row>
    <row r="11655" spans="1:4" x14ac:dyDescent="0.25">
      <c r="A11655" s="31"/>
      <c r="D11655" s="30"/>
    </row>
    <row r="11656" spans="1:4" x14ac:dyDescent="0.25">
      <c r="A11656" s="31"/>
      <c r="D11656" s="30"/>
    </row>
    <row r="11657" spans="1:4" x14ac:dyDescent="0.25">
      <c r="A11657" s="31"/>
      <c r="D11657" s="30"/>
    </row>
    <row r="11658" spans="1:4" x14ac:dyDescent="0.25">
      <c r="A11658" s="31"/>
      <c r="D11658" s="30"/>
    </row>
    <row r="11659" spans="1:4" x14ac:dyDescent="0.25">
      <c r="A11659" s="31"/>
      <c r="D11659" s="30"/>
    </row>
    <row r="11660" spans="1:4" x14ac:dyDescent="0.25">
      <c r="A11660" s="31"/>
      <c r="D11660" s="30"/>
    </row>
    <row r="11661" spans="1:4" x14ac:dyDescent="0.25">
      <c r="A11661" s="31"/>
      <c r="D11661" s="30"/>
    </row>
    <row r="11662" spans="1:4" x14ac:dyDescent="0.25">
      <c r="A11662" s="31"/>
      <c r="D11662" s="30"/>
    </row>
    <row r="11663" spans="1:4" x14ac:dyDescent="0.25">
      <c r="A11663" s="31"/>
      <c r="D11663" s="30"/>
    </row>
    <row r="11664" spans="1:4" x14ac:dyDescent="0.25">
      <c r="A11664" s="31"/>
      <c r="D11664" s="30"/>
    </row>
    <row r="11665" spans="1:4" x14ac:dyDescent="0.25">
      <c r="A11665" s="31"/>
      <c r="D11665" s="30"/>
    </row>
    <row r="11666" spans="1:4" x14ac:dyDescent="0.25">
      <c r="A11666" s="31"/>
      <c r="D11666" s="30"/>
    </row>
    <row r="11667" spans="1:4" x14ac:dyDescent="0.25">
      <c r="A11667" s="31"/>
      <c r="D11667" s="30"/>
    </row>
    <row r="11668" spans="1:4" x14ac:dyDescent="0.25">
      <c r="A11668" s="31"/>
      <c r="D11668" s="30"/>
    </row>
    <row r="11669" spans="1:4" x14ac:dyDescent="0.25">
      <c r="A11669" s="31"/>
      <c r="D11669" s="30"/>
    </row>
    <row r="11670" spans="1:4" x14ac:dyDescent="0.25">
      <c r="A11670" s="31"/>
      <c r="D11670" s="30"/>
    </row>
    <row r="11671" spans="1:4" x14ac:dyDescent="0.25">
      <c r="A11671" s="31"/>
      <c r="D11671" s="30"/>
    </row>
    <row r="11672" spans="1:4" x14ac:dyDescent="0.25">
      <c r="A11672" s="31"/>
      <c r="D11672" s="30"/>
    </row>
    <row r="11673" spans="1:4" x14ac:dyDescent="0.25">
      <c r="A11673" s="31"/>
      <c r="D11673" s="30"/>
    </row>
    <row r="11674" spans="1:4" x14ac:dyDescent="0.25">
      <c r="A11674" s="31"/>
      <c r="D11674" s="30"/>
    </row>
    <row r="11675" spans="1:4" x14ac:dyDescent="0.25">
      <c r="A11675" s="31"/>
      <c r="D11675" s="30"/>
    </row>
    <row r="11676" spans="1:4" x14ac:dyDescent="0.25">
      <c r="A11676" s="31"/>
      <c r="D11676" s="30"/>
    </row>
    <row r="11677" spans="1:4" x14ac:dyDescent="0.25">
      <c r="A11677" s="31"/>
      <c r="D11677" s="30"/>
    </row>
    <row r="11678" spans="1:4" x14ac:dyDescent="0.25">
      <c r="A11678" s="31"/>
      <c r="D11678" s="30"/>
    </row>
    <row r="11679" spans="1:4" x14ac:dyDescent="0.25">
      <c r="A11679" s="31"/>
      <c r="D11679" s="30"/>
    </row>
    <row r="11680" spans="1:4" x14ac:dyDescent="0.25">
      <c r="A11680" s="31"/>
      <c r="D11680" s="30"/>
    </row>
    <row r="11681" spans="1:4" x14ac:dyDescent="0.25">
      <c r="A11681" s="31"/>
      <c r="D11681" s="30"/>
    </row>
    <row r="11682" spans="1:4" x14ac:dyDescent="0.25">
      <c r="A11682" s="31"/>
      <c r="D11682" s="30"/>
    </row>
    <row r="11683" spans="1:4" x14ac:dyDescent="0.25">
      <c r="A11683" s="31"/>
      <c r="D11683" s="30"/>
    </row>
    <row r="11684" spans="1:4" x14ac:dyDescent="0.25">
      <c r="A11684" s="31"/>
      <c r="D11684" s="30"/>
    </row>
    <row r="11685" spans="1:4" x14ac:dyDescent="0.25">
      <c r="A11685" s="31"/>
      <c r="D11685" s="30"/>
    </row>
    <row r="11686" spans="1:4" x14ac:dyDescent="0.25">
      <c r="A11686" s="31"/>
      <c r="D11686" s="30"/>
    </row>
    <row r="11687" spans="1:4" x14ac:dyDescent="0.25">
      <c r="A11687" s="31"/>
      <c r="D11687" s="30"/>
    </row>
    <row r="11688" spans="1:4" x14ac:dyDescent="0.25">
      <c r="A11688" s="31"/>
      <c r="D11688" s="30"/>
    </row>
    <row r="11689" spans="1:4" x14ac:dyDescent="0.25">
      <c r="A11689" s="31"/>
      <c r="D11689" s="30"/>
    </row>
    <row r="11690" spans="1:4" x14ac:dyDescent="0.25">
      <c r="A11690" s="31"/>
      <c r="D11690" s="30"/>
    </row>
    <row r="11691" spans="1:4" x14ac:dyDescent="0.25">
      <c r="A11691" s="31"/>
      <c r="D11691" s="30"/>
    </row>
    <row r="11692" spans="1:4" x14ac:dyDescent="0.25">
      <c r="A11692" s="31"/>
      <c r="D11692" s="30"/>
    </row>
    <row r="11693" spans="1:4" x14ac:dyDescent="0.25">
      <c r="A11693" s="31"/>
      <c r="D11693" s="30"/>
    </row>
    <row r="11694" spans="1:4" x14ac:dyDescent="0.25">
      <c r="A11694" s="31"/>
      <c r="D11694" s="30"/>
    </row>
    <row r="11695" spans="1:4" x14ac:dyDescent="0.25">
      <c r="A11695" s="31"/>
      <c r="D11695" s="30"/>
    </row>
    <row r="11696" spans="1:4" x14ac:dyDescent="0.25">
      <c r="A11696" s="31"/>
      <c r="D11696" s="30"/>
    </row>
    <row r="11697" spans="1:4" x14ac:dyDescent="0.25">
      <c r="A11697" s="31"/>
      <c r="D11697" s="30"/>
    </row>
    <row r="11698" spans="1:4" x14ac:dyDescent="0.25">
      <c r="A11698" s="31"/>
      <c r="D11698" s="30"/>
    </row>
    <row r="11699" spans="1:4" x14ac:dyDescent="0.25">
      <c r="A11699" s="31"/>
      <c r="D11699" s="30"/>
    </row>
    <row r="11700" spans="1:4" x14ac:dyDescent="0.25">
      <c r="A11700" s="31"/>
      <c r="D11700" s="30"/>
    </row>
    <row r="11701" spans="1:4" x14ac:dyDescent="0.25">
      <c r="A11701" s="31"/>
      <c r="D11701" s="30"/>
    </row>
    <row r="11702" spans="1:4" x14ac:dyDescent="0.25">
      <c r="A11702" s="31"/>
      <c r="D11702" s="30"/>
    </row>
    <row r="11703" spans="1:4" x14ac:dyDescent="0.25">
      <c r="A11703" s="31"/>
      <c r="D11703" s="30"/>
    </row>
    <row r="11704" spans="1:4" x14ac:dyDescent="0.25">
      <c r="A11704" s="31"/>
      <c r="D11704" s="30"/>
    </row>
    <row r="11705" spans="1:4" x14ac:dyDescent="0.25">
      <c r="A11705" s="31"/>
      <c r="D11705" s="30"/>
    </row>
    <row r="11706" spans="1:4" x14ac:dyDescent="0.25">
      <c r="A11706" s="31"/>
      <c r="D11706" s="30"/>
    </row>
    <row r="11707" spans="1:4" x14ac:dyDescent="0.25">
      <c r="A11707" s="31"/>
      <c r="D11707" s="30"/>
    </row>
    <row r="11708" spans="1:4" x14ac:dyDescent="0.25">
      <c r="A11708" s="31"/>
      <c r="D11708" s="30"/>
    </row>
    <row r="11709" spans="1:4" x14ac:dyDescent="0.25">
      <c r="A11709" s="31"/>
      <c r="D11709" s="30"/>
    </row>
    <row r="11710" spans="1:4" x14ac:dyDescent="0.25">
      <c r="A11710" s="31"/>
      <c r="D11710" s="30"/>
    </row>
    <row r="11711" spans="1:4" x14ac:dyDescent="0.25">
      <c r="A11711" s="31"/>
      <c r="D11711" s="30"/>
    </row>
    <row r="11712" spans="1:4" x14ac:dyDescent="0.25">
      <c r="A11712" s="31"/>
      <c r="D11712" s="30"/>
    </row>
    <row r="11713" spans="1:4" x14ac:dyDescent="0.25">
      <c r="A11713" s="31"/>
      <c r="D11713" s="30"/>
    </row>
    <row r="11714" spans="1:4" x14ac:dyDescent="0.25">
      <c r="A11714" s="31"/>
      <c r="D11714" s="30"/>
    </row>
    <row r="11715" spans="1:4" x14ac:dyDescent="0.25">
      <c r="A11715" s="31"/>
      <c r="D11715" s="30"/>
    </row>
    <row r="11716" spans="1:4" x14ac:dyDescent="0.25">
      <c r="A11716" s="31"/>
      <c r="D11716" s="30"/>
    </row>
    <row r="11717" spans="1:4" x14ac:dyDescent="0.25">
      <c r="A11717" s="31"/>
      <c r="D11717" s="30"/>
    </row>
    <row r="11718" spans="1:4" x14ac:dyDescent="0.25">
      <c r="A11718" s="31"/>
      <c r="D11718" s="30"/>
    </row>
    <row r="11719" spans="1:4" x14ac:dyDescent="0.25">
      <c r="A11719" s="31"/>
      <c r="D11719" s="30"/>
    </row>
    <row r="11720" spans="1:4" x14ac:dyDescent="0.25">
      <c r="A11720" s="31"/>
      <c r="D11720" s="30"/>
    </row>
    <row r="11721" spans="1:4" x14ac:dyDescent="0.25">
      <c r="A11721" s="31"/>
      <c r="D11721" s="30"/>
    </row>
    <row r="11722" spans="1:4" x14ac:dyDescent="0.25">
      <c r="A11722" s="31"/>
      <c r="D11722" s="30"/>
    </row>
    <row r="11723" spans="1:4" x14ac:dyDescent="0.25">
      <c r="A11723" s="31"/>
      <c r="D11723" s="30"/>
    </row>
    <row r="11724" spans="1:4" x14ac:dyDescent="0.25">
      <c r="A11724" s="31"/>
      <c r="D11724" s="30"/>
    </row>
    <row r="11725" spans="1:4" x14ac:dyDescent="0.25">
      <c r="A11725" s="31"/>
      <c r="D11725" s="30"/>
    </row>
    <row r="11726" spans="1:4" x14ac:dyDescent="0.25">
      <c r="A11726" s="31"/>
      <c r="D11726" s="30"/>
    </row>
    <row r="11727" spans="1:4" x14ac:dyDescent="0.25">
      <c r="A11727" s="31"/>
      <c r="D11727" s="30"/>
    </row>
    <row r="11728" spans="1:4" x14ac:dyDescent="0.25">
      <c r="A11728" s="31"/>
      <c r="D11728" s="30"/>
    </row>
    <row r="11729" spans="1:4" x14ac:dyDescent="0.25">
      <c r="A11729" s="31"/>
      <c r="D11729" s="30"/>
    </row>
    <row r="11730" spans="1:4" x14ac:dyDescent="0.25">
      <c r="A11730" s="31"/>
      <c r="D11730" s="30"/>
    </row>
    <row r="11731" spans="1:4" x14ac:dyDescent="0.25">
      <c r="A11731" s="31"/>
      <c r="D11731" s="30"/>
    </row>
    <row r="11732" spans="1:4" x14ac:dyDescent="0.25">
      <c r="A11732" s="31"/>
      <c r="D11732" s="30"/>
    </row>
    <row r="11733" spans="1:4" x14ac:dyDescent="0.25">
      <c r="A11733" s="31"/>
      <c r="D11733" s="30"/>
    </row>
    <row r="11734" spans="1:4" x14ac:dyDescent="0.25">
      <c r="A11734" s="31"/>
      <c r="D11734" s="30"/>
    </row>
    <row r="11735" spans="1:4" x14ac:dyDescent="0.25">
      <c r="A11735" s="31"/>
      <c r="D11735" s="30"/>
    </row>
    <row r="11736" spans="1:4" x14ac:dyDescent="0.25">
      <c r="A11736" s="31"/>
      <c r="D11736" s="30"/>
    </row>
    <row r="11737" spans="1:4" x14ac:dyDescent="0.25">
      <c r="A11737" s="31"/>
      <c r="D11737" s="30"/>
    </row>
    <row r="11738" spans="1:4" x14ac:dyDescent="0.25">
      <c r="A11738" s="31"/>
      <c r="D11738" s="30"/>
    </row>
    <row r="11739" spans="1:4" x14ac:dyDescent="0.25">
      <c r="A11739" s="31"/>
      <c r="D11739" s="30"/>
    </row>
    <row r="11740" spans="1:4" x14ac:dyDescent="0.25">
      <c r="A11740" s="31"/>
      <c r="D11740" s="30"/>
    </row>
    <row r="11741" spans="1:4" x14ac:dyDescent="0.25">
      <c r="A11741" s="31"/>
      <c r="D11741" s="30"/>
    </row>
    <row r="11742" spans="1:4" x14ac:dyDescent="0.25">
      <c r="A11742" s="31"/>
      <c r="D11742" s="30"/>
    </row>
    <row r="11743" spans="1:4" x14ac:dyDescent="0.25">
      <c r="A11743" s="31"/>
      <c r="D11743" s="30"/>
    </row>
    <row r="11744" spans="1:4" x14ac:dyDescent="0.25">
      <c r="A11744" s="31"/>
      <c r="D11744" s="30"/>
    </row>
    <row r="11745" spans="1:4" x14ac:dyDescent="0.25">
      <c r="A11745" s="31"/>
      <c r="D11745" s="30"/>
    </row>
    <row r="11746" spans="1:4" x14ac:dyDescent="0.25">
      <c r="A11746" s="31"/>
      <c r="D11746" s="30"/>
    </row>
    <row r="11747" spans="1:4" x14ac:dyDescent="0.25">
      <c r="A11747" s="31"/>
      <c r="D11747" s="30"/>
    </row>
    <row r="11748" spans="1:4" x14ac:dyDescent="0.25">
      <c r="A11748" s="31"/>
      <c r="D11748" s="30"/>
    </row>
    <row r="11749" spans="1:4" x14ac:dyDescent="0.25">
      <c r="A11749" s="31"/>
      <c r="D11749" s="30"/>
    </row>
    <row r="11750" spans="1:4" x14ac:dyDescent="0.25">
      <c r="A11750" s="31"/>
      <c r="D11750" s="30"/>
    </row>
    <row r="11751" spans="1:4" x14ac:dyDescent="0.25">
      <c r="A11751" s="31"/>
      <c r="D11751" s="30"/>
    </row>
    <row r="11752" spans="1:4" x14ac:dyDescent="0.25">
      <c r="A11752" s="31"/>
      <c r="D11752" s="30"/>
    </row>
    <row r="11753" spans="1:4" x14ac:dyDescent="0.25">
      <c r="A11753" s="31"/>
      <c r="D11753" s="30"/>
    </row>
    <row r="11754" spans="1:4" x14ac:dyDescent="0.25">
      <c r="A11754" s="31"/>
      <c r="D11754" s="30"/>
    </row>
    <row r="11755" spans="1:4" x14ac:dyDescent="0.25">
      <c r="A11755" s="31"/>
      <c r="D11755" s="30"/>
    </row>
    <row r="11756" spans="1:4" x14ac:dyDescent="0.25">
      <c r="A11756" s="31"/>
      <c r="D11756" s="30"/>
    </row>
    <row r="11757" spans="1:4" x14ac:dyDescent="0.25">
      <c r="A11757" s="31"/>
      <c r="D11757" s="30"/>
    </row>
    <row r="11758" spans="1:4" x14ac:dyDescent="0.25">
      <c r="A11758" s="31"/>
      <c r="D11758" s="30"/>
    </row>
    <row r="11759" spans="1:4" x14ac:dyDescent="0.25">
      <c r="A11759" s="31"/>
      <c r="D11759" s="30"/>
    </row>
    <row r="11760" spans="1:4" x14ac:dyDescent="0.25">
      <c r="A11760" s="31"/>
      <c r="D11760" s="30"/>
    </row>
    <row r="11761" spans="1:4" x14ac:dyDescent="0.25">
      <c r="A11761" s="31"/>
      <c r="D11761" s="30"/>
    </row>
    <row r="11762" spans="1:4" x14ac:dyDescent="0.25">
      <c r="A11762" s="31"/>
      <c r="D11762" s="30"/>
    </row>
    <row r="11763" spans="1:4" x14ac:dyDescent="0.25">
      <c r="A11763" s="31"/>
      <c r="D11763" s="30"/>
    </row>
    <row r="11764" spans="1:4" x14ac:dyDescent="0.25">
      <c r="A11764" s="31"/>
      <c r="D11764" s="30"/>
    </row>
    <row r="11765" spans="1:4" x14ac:dyDescent="0.25">
      <c r="A11765" s="31"/>
      <c r="D11765" s="30"/>
    </row>
    <row r="11766" spans="1:4" x14ac:dyDescent="0.25">
      <c r="A11766" s="31"/>
      <c r="D11766" s="30"/>
    </row>
    <row r="11767" spans="1:4" x14ac:dyDescent="0.25">
      <c r="A11767" s="31"/>
      <c r="D11767" s="30"/>
    </row>
    <row r="11768" spans="1:4" x14ac:dyDescent="0.25">
      <c r="A11768" s="31"/>
      <c r="D11768" s="30"/>
    </row>
    <row r="11769" spans="1:4" x14ac:dyDescent="0.25">
      <c r="A11769" s="31"/>
      <c r="D11769" s="30"/>
    </row>
    <row r="11770" spans="1:4" x14ac:dyDescent="0.25">
      <c r="A11770" s="31"/>
      <c r="D11770" s="30"/>
    </row>
    <row r="11771" spans="1:4" x14ac:dyDescent="0.25">
      <c r="A11771" s="31"/>
      <c r="D11771" s="30"/>
    </row>
    <row r="11772" spans="1:4" x14ac:dyDescent="0.25">
      <c r="A11772" s="31"/>
      <c r="D11772" s="30"/>
    </row>
    <row r="11773" spans="1:4" x14ac:dyDescent="0.25">
      <c r="A11773" s="31"/>
      <c r="D11773" s="30"/>
    </row>
    <row r="11774" spans="1:4" x14ac:dyDescent="0.25">
      <c r="A11774" s="31"/>
      <c r="D11774" s="30"/>
    </row>
    <row r="11775" spans="1:4" x14ac:dyDescent="0.25">
      <c r="A11775" s="31"/>
      <c r="D11775" s="30"/>
    </row>
    <row r="11776" spans="1:4" x14ac:dyDescent="0.25">
      <c r="A11776" s="31"/>
      <c r="D11776" s="30"/>
    </row>
    <row r="11777" spans="1:4" x14ac:dyDescent="0.25">
      <c r="A11777" s="31"/>
      <c r="D11777" s="30"/>
    </row>
    <row r="11778" spans="1:4" x14ac:dyDescent="0.25">
      <c r="A11778" s="31"/>
      <c r="D11778" s="30"/>
    </row>
    <row r="11779" spans="1:4" x14ac:dyDescent="0.25">
      <c r="A11779" s="31"/>
      <c r="D11779" s="30"/>
    </row>
    <row r="11780" spans="1:4" x14ac:dyDescent="0.25">
      <c r="A11780" s="31"/>
      <c r="D11780" s="30"/>
    </row>
    <row r="11781" spans="1:4" x14ac:dyDescent="0.25">
      <c r="A11781" s="31"/>
      <c r="D11781" s="30"/>
    </row>
    <row r="11782" spans="1:4" x14ac:dyDescent="0.25">
      <c r="A11782" s="31"/>
      <c r="D11782" s="30"/>
    </row>
    <row r="11783" spans="1:4" x14ac:dyDescent="0.25">
      <c r="A11783" s="31"/>
      <c r="D11783" s="30"/>
    </row>
    <row r="11784" spans="1:4" x14ac:dyDescent="0.25">
      <c r="A11784" s="31"/>
      <c r="D11784" s="30"/>
    </row>
    <row r="11785" spans="1:4" x14ac:dyDescent="0.25">
      <c r="A11785" s="31"/>
      <c r="D11785" s="30"/>
    </row>
    <row r="11786" spans="1:4" x14ac:dyDescent="0.25">
      <c r="A11786" s="31"/>
      <c r="D11786" s="30"/>
    </row>
    <row r="11787" spans="1:4" x14ac:dyDescent="0.25">
      <c r="A11787" s="31"/>
      <c r="D11787" s="30"/>
    </row>
    <row r="11788" spans="1:4" x14ac:dyDescent="0.25">
      <c r="A11788" s="31"/>
      <c r="D11788" s="30"/>
    </row>
    <row r="11789" spans="1:4" x14ac:dyDescent="0.25">
      <c r="A11789" s="31"/>
      <c r="D11789" s="30"/>
    </row>
    <row r="11790" spans="1:4" x14ac:dyDescent="0.25">
      <c r="A11790" s="31"/>
      <c r="D11790" s="30"/>
    </row>
    <row r="11791" spans="1:4" x14ac:dyDescent="0.25">
      <c r="A11791" s="31"/>
      <c r="D11791" s="30"/>
    </row>
    <row r="11792" spans="1:4" x14ac:dyDescent="0.25">
      <c r="A11792" s="31"/>
      <c r="D11792" s="30"/>
    </row>
    <row r="11793" spans="1:4" x14ac:dyDescent="0.25">
      <c r="A11793" s="31"/>
      <c r="D11793" s="30"/>
    </row>
    <row r="11794" spans="1:4" x14ac:dyDescent="0.25">
      <c r="A11794" s="31"/>
      <c r="D11794" s="30"/>
    </row>
    <row r="11795" spans="1:4" x14ac:dyDescent="0.25">
      <c r="A11795" s="31"/>
      <c r="D11795" s="30"/>
    </row>
    <row r="11796" spans="1:4" x14ac:dyDescent="0.25">
      <c r="A11796" s="31"/>
      <c r="D11796" s="30"/>
    </row>
    <row r="11797" spans="1:4" x14ac:dyDescent="0.25">
      <c r="A11797" s="31"/>
      <c r="D11797" s="30"/>
    </row>
    <row r="11798" spans="1:4" x14ac:dyDescent="0.25">
      <c r="A11798" s="31"/>
      <c r="D11798" s="30"/>
    </row>
    <row r="11799" spans="1:4" x14ac:dyDescent="0.25">
      <c r="A11799" s="31"/>
      <c r="D11799" s="30"/>
    </row>
    <row r="11800" spans="1:4" x14ac:dyDescent="0.25">
      <c r="A11800" s="31"/>
      <c r="D11800" s="30"/>
    </row>
    <row r="11801" spans="1:4" x14ac:dyDescent="0.25">
      <c r="A11801" s="31"/>
      <c r="D11801" s="30"/>
    </row>
    <row r="11802" spans="1:4" x14ac:dyDescent="0.25">
      <c r="A11802" s="31"/>
      <c r="D11802" s="30"/>
    </row>
    <row r="11803" spans="1:4" x14ac:dyDescent="0.25">
      <c r="A11803" s="31"/>
      <c r="D11803" s="30"/>
    </row>
    <row r="11804" spans="1:4" x14ac:dyDescent="0.25">
      <c r="A11804" s="31"/>
      <c r="D11804" s="30"/>
    </row>
    <row r="11805" spans="1:4" x14ac:dyDescent="0.25">
      <c r="A11805" s="31"/>
      <c r="D11805" s="30"/>
    </row>
    <row r="11806" spans="1:4" x14ac:dyDescent="0.25">
      <c r="A11806" s="31"/>
      <c r="D11806" s="30"/>
    </row>
    <row r="11807" spans="1:4" x14ac:dyDescent="0.25">
      <c r="A11807" s="31"/>
      <c r="D11807" s="30"/>
    </row>
    <row r="11808" spans="1:4" x14ac:dyDescent="0.25">
      <c r="A11808" s="31"/>
      <c r="D11808" s="30"/>
    </row>
    <row r="11809" spans="1:4" x14ac:dyDescent="0.25">
      <c r="A11809" s="31"/>
      <c r="D11809" s="30"/>
    </row>
    <row r="11810" spans="1:4" x14ac:dyDescent="0.25">
      <c r="A11810" s="31"/>
      <c r="D11810" s="30"/>
    </row>
    <row r="11811" spans="1:4" x14ac:dyDescent="0.25">
      <c r="A11811" s="31"/>
      <c r="D11811" s="30"/>
    </row>
    <row r="11812" spans="1:4" x14ac:dyDescent="0.25">
      <c r="A11812" s="31"/>
      <c r="D11812" s="30"/>
    </row>
    <row r="11813" spans="1:4" x14ac:dyDescent="0.25">
      <c r="A11813" s="31"/>
      <c r="D11813" s="30"/>
    </row>
    <row r="11814" spans="1:4" x14ac:dyDescent="0.25">
      <c r="A11814" s="31"/>
      <c r="D11814" s="30"/>
    </row>
    <row r="11815" spans="1:4" x14ac:dyDescent="0.25">
      <c r="A11815" s="31"/>
      <c r="D11815" s="30"/>
    </row>
    <row r="11816" spans="1:4" x14ac:dyDescent="0.25">
      <c r="A11816" s="31"/>
      <c r="D11816" s="30"/>
    </row>
    <row r="11817" spans="1:4" x14ac:dyDescent="0.25">
      <c r="A11817" s="31"/>
      <c r="D11817" s="30"/>
    </row>
    <row r="11818" spans="1:4" x14ac:dyDescent="0.25">
      <c r="A11818" s="31"/>
      <c r="D11818" s="30"/>
    </row>
    <row r="11819" spans="1:4" x14ac:dyDescent="0.25">
      <c r="A11819" s="31"/>
      <c r="D11819" s="30"/>
    </row>
    <row r="11820" spans="1:4" x14ac:dyDescent="0.25">
      <c r="A11820" s="31"/>
      <c r="D11820" s="30"/>
    </row>
    <row r="11821" spans="1:4" x14ac:dyDescent="0.25">
      <c r="A11821" s="31"/>
      <c r="D11821" s="30"/>
    </row>
    <row r="11822" spans="1:4" x14ac:dyDescent="0.25">
      <c r="A11822" s="31"/>
      <c r="D11822" s="30"/>
    </row>
    <row r="11823" spans="1:4" x14ac:dyDescent="0.25">
      <c r="A11823" s="31"/>
      <c r="D11823" s="30"/>
    </row>
    <row r="11824" spans="1:4" x14ac:dyDescent="0.25">
      <c r="A11824" s="31"/>
      <c r="D11824" s="30"/>
    </row>
    <row r="11825" spans="1:4" x14ac:dyDescent="0.25">
      <c r="A11825" s="31"/>
      <c r="D11825" s="30"/>
    </row>
    <row r="11826" spans="1:4" x14ac:dyDescent="0.25">
      <c r="A11826" s="31"/>
      <c r="D11826" s="30"/>
    </row>
    <row r="11827" spans="1:4" x14ac:dyDescent="0.25">
      <c r="A11827" s="31"/>
      <c r="D11827" s="30"/>
    </row>
    <row r="11828" spans="1:4" x14ac:dyDescent="0.25">
      <c r="A11828" s="31"/>
      <c r="D11828" s="30"/>
    </row>
    <row r="11829" spans="1:4" x14ac:dyDescent="0.25">
      <c r="A11829" s="31"/>
      <c r="D11829" s="30"/>
    </row>
    <row r="11830" spans="1:4" x14ac:dyDescent="0.25">
      <c r="A11830" s="31"/>
      <c r="D11830" s="30"/>
    </row>
    <row r="11831" spans="1:4" x14ac:dyDescent="0.25">
      <c r="A11831" s="31"/>
      <c r="D11831" s="30"/>
    </row>
    <row r="11832" spans="1:4" x14ac:dyDescent="0.25">
      <c r="A11832" s="31"/>
      <c r="D11832" s="30"/>
    </row>
    <row r="11833" spans="1:4" x14ac:dyDescent="0.25">
      <c r="A11833" s="31"/>
      <c r="D11833" s="30"/>
    </row>
    <row r="11834" spans="1:4" x14ac:dyDescent="0.25">
      <c r="A11834" s="31"/>
      <c r="D11834" s="30"/>
    </row>
    <row r="11835" spans="1:4" x14ac:dyDescent="0.25">
      <c r="A11835" s="31"/>
      <c r="D11835" s="30"/>
    </row>
    <row r="11836" spans="1:4" x14ac:dyDescent="0.25">
      <c r="A11836" s="31"/>
      <c r="D11836" s="30"/>
    </row>
    <row r="11837" spans="1:4" x14ac:dyDescent="0.25">
      <c r="A11837" s="31"/>
      <c r="D11837" s="30"/>
    </row>
    <row r="11838" spans="1:4" x14ac:dyDescent="0.25">
      <c r="A11838" s="31"/>
      <c r="D11838" s="30"/>
    </row>
    <row r="11839" spans="1:4" x14ac:dyDescent="0.25">
      <c r="A11839" s="31"/>
      <c r="D11839" s="30"/>
    </row>
    <row r="11840" spans="1:4" x14ac:dyDescent="0.25">
      <c r="A11840" s="31"/>
      <c r="D11840" s="30"/>
    </row>
    <row r="11841" spans="1:4" x14ac:dyDescent="0.25">
      <c r="A11841" s="31"/>
      <c r="D11841" s="30"/>
    </row>
    <row r="11842" spans="1:4" x14ac:dyDescent="0.25">
      <c r="A11842" s="31"/>
      <c r="D11842" s="30"/>
    </row>
    <row r="11843" spans="1:4" x14ac:dyDescent="0.25">
      <c r="A11843" s="31"/>
      <c r="D11843" s="30"/>
    </row>
    <row r="11844" spans="1:4" x14ac:dyDescent="0.25">
      <c r="A11844" s="31"/>
      <c r="D11844" s="30"/>
    </row>
    <row r="11845" spans="1:4" x14ac:dyDescent="0.25">
      <c r="A11845" s="31"/>
      <c r="D11845" s="30"/>
    </row>
    <row r="11846" spans="1:4" x14ac:dyDescent="0.25">
      <c r="A11846" s="31"/>
      <c r="D11846" s="30"/>
    </row>
    <row r="11847" spans="1:4" x14ac:dyDescent="0.25">
      <c r="A11847" s="31"/>
      <c r="D11847" s="30"/>
    </row>
    <row r="11848" spans="1:4" x14ac:dyDescent="0.25">
      <c r="A11848" s="31"/>
      <c r="D11848" s="30"/>
    </row>
    <row r="11849" spans="1:4" x14ac:dyDescent="0.25">
      <c r="A11849" s="31"/>
      <c r="D11849" s="30"/>
    </row>
    <row r="11850" spans="1:4" x14ac:dyDescent="0.25">
      <c r="A11850" s="31"/>
      <c r="D11850" s="30"/>
    </row>
    <row r="11851" spans="1:4" x14ac:dyDescent="0.25">
      <c r="A11851" s="31"/>
      <c r="D11851" s="30"/>
    </row>
    <row r="11852" spans="1:4" x14ac:dyDescent="0.25">
      <c r="A11852" s="31"/>
      <c r="D11852" s="30"/>
    </row>
    <row r="11853" spans="1:4" x14ac:dyDescent="0.25">
      <c r="A11853" s="31"/>
      <c r="D11853" s="30"/>
    </row>
    <row r="11854" spans="1:4" x14ac:dyDescent="0.25">
      <c r="A11854" s="31"/>
      <c r="D11854" s="30"/>
    </row>
    <row r="11855" spans="1:4" x14ac:dyDescent="0.25">
      <c r="A11855" s="31"/>
      <c r="D11855" s="30"/>
    </row>
    <row r="11856" spans="1:4" x14ac:dyDescent="0.25">
      <c r="A11856" s="31"/>
      <c r="D11856" s="30"/>
    </row>
    <row r="11857" spans="1:4" x14ac:dyDescent="0.25">
      <c r="A11857" s="31"/>
      <c r="D11857" s="30"/>
    </row>
    <row r="11858" spans="1:4" x14ac:dyDescent="0.25">
      <c r="A11858" s="31"/>
      <c r="D11858" s="30"/>
    </row>
    <row r="11859" spans="1:4" x14ac:dyDescent="0.25">
      <c r="A11859" s="31"/>
      <c r="D11859" s="30"/>
    </row>
    <row r="11860" spans="1:4" x14ac:dyDescent="0.25">
      <c r="A11860" s="31"/>
      <c r="D11860" s="30"/>
    </row>
    <row r="11861" spans="1:4" x14ac:dyDescent="0.25">
      <c r="A11861" s="31"/>
      <c r="D11861" s="30"/>
    </row>
    <row r="11862" spans="1:4" x14ac:dyDescent="0.25">
      <c r="A11862" s="31"/>
      <c r="D11862" s="30"/>
    </row>
    <row r="11863" spans="1:4" x14ac:dyDescent="0.25">
      <c r="A11863" s="31"/>
      <c r="D11863" s="30"/>
    </row>
    <row r="11864" spans="1:4" x14ac:dyDescent="0.25">
      <c r="A11864" s="31"/>
      <c r="D11864" s="30"/>
    </row>
    <row r="11865" spans="1:4" x14ac:dyDescent="0.25">
      <c r="A11865" s="31"/>
      <c r="D11865" s="30"/>
    </row>
    <row r="11866" spans="1:4" x14ac:dyDescent="0.25">
      <c r="A11866" s="31"/>
      <c r="D11866" s="30"/>
    </row>
    <row r="11867" spans="1:4" x14ac:dyDescent="0.25">
      <c r="A11867" s="31"/>
      <c r="D11867" s="30"/>
    </row>
    <row r="11868" spans="1:4" x14ac:dyDescent="0.25">
      <c r="A11868" s="31"/>
      <c r="D11868" s="30"/>
    </row>
    <row r="11869" spans="1:4" x14ac:dyDescent="0.25">
      <c r="A11869" s="31"/>
      <c r="D11869" s="30"/>
    </row>
    <row r="11870" spans="1:4" x14ac:dyDescent="0.25">
      <c r="A11870" s="31"/>
      <c r="D11870" s="30"/>
    </row>
    <row r="11871" spans="1:4" x14ac:dyDescent="0.25">
      <c r="A11871" s="31"/>
      <c r="D11871" s="30"/>
    </row>
    <row r="11872" spans="1:4" x14ac:dyDescent="0.25">
      <c r="A11872" s="31"/>
      <c r="D11872" s="30"/>
    </row>
    <row r="11873" spans="1:4" x14ac:dyDescent="0.25">
      <c r="A11873" s="31"/>
      <c r="D11873" s="30"/>
    </row>
    <row r="11874" spans="1:4" x14ac:dyDescent="0.25">
      <c r="A11874" s="31"/>
      <c r="D11874" s="30"/>
    </row>
    <row r="11875" spans="1:4" x14ac:dyDescent="0.25">
      <c r="A11875" s="31"/>
      <c r="D11875" s="30"/>
    </row>
    <row r="11876" spans="1:4" x14ac:dyDescent="0.25">
      <c r="A11876" s="31"/>
      <c r="D11876" s="30"/>
    </row>
    <row r="11877" spans="1:4" x14ac:dyDescent="0.25">
      <c r="A11877" s="31"/>
      <c r="D11877" s="30"/>
    </row>
    <row r="11878" spans="1:4" x14ac:dyDescent="0.25">
      <c r="A11878" s="31"/>
      <c r="D11878" s="30"/>
    </row>
    <row r="11879" spans="1:4" x14ac:dyDescent="0.25">
      <c r="A11879" s="31"/>
      <c r="D11879" s="30"/>
    </row>
    <row r="11880" spans="1:4" x14ac:dyDescent="0.25">
      <c r="A11880" s="31"/>
      <c r="D11880" s="30"/>
    </row>
    <row r="11881" spans="1:4" x14ac:dyDescent="0.25">
      <c r="A11881" s="31"/>
      <c r="D11881" s="30"/>
    </row>
    <row r="11882" spans="1:4" x14ac:dyDescent="0.25">
      <c r="A11882" s="31"/>
      <c r="D11882" s="30"/>
    </row>
    <row r="11883" spans="1:4" x14ac:dyDescent="0.25">
      <c r="A11883" s="31"/>
      <c r="D11883" s="30"/>
    </row>
    <row r="11884" spans="1:4" x14ac:dyDescent="0.25">
      <c r="A11884" s="31"/>
      <c r="D11884" s="30"/>
    </row>
    <row r="11885" spans="1:4" x14ac:dyDescent="0.25">
      <c r="A11885" s="31"/>
      <c r="D11885" s="30"/>
    </row>
    <row r="11886" spans="1:4" x14ac:dyDescent="0.25">
      <c r="A11886" s="31"/>
      <c r="D11886" s="30"/>
    </row>
    <row r="11887" spans="1:4" x14ac:dyDescent="0.25">
      <c r="A11887" s="31"/>
      <c r="D11887" s="30"/>
    </row>
    <row r="11888" spans="1:4" x14ac:dyDescent="0.25">
      <c r="A11888" s="31"/>
      <c r="D11888" s="30"/>
    </row>
    <row r="11889" spans="1:4" x14ac:dyDescent="0.25">
      <c r="A11889" s="31"/>
      <c r="D11889" s="30"/>
    </row>
    <row r="11890" spans="1:4" x14ac:dyDescent="0.25">
      <c r="A11890" s="31"/>
      <c r="D11890" s="30"/>
    </row>
    <row r="11891" spans="1:4" x14ac:dyDescent="0.25">
      <c r="A11891" s="31"/>
      <c r="D11891" s="30"/>
    </row>
    <row r="11892" spans="1:4" x14ac:dyDescent="0.25">
      <c r="A11892" s="31"/>
      <c r="D11892" s="30"/>
    </row>
    <row r="11893" spans="1:4" x14ac:dyDescent="0.25">
      <c r="A11893" s="31"/>
      <c r="D11893" s="30"/>
    </row>
    <row r="11894" spans="1:4" x14ac:dyDescent="0.25">
      <c r="A11894" s="31"/>
      <c r="D11894" s="30"/>
    </row>
    <row r="11895" spans="1:4" x14ac:dyDescent="0.25">
      <c r="A11895" s="31"/>
      <c r="D11895" s="30"/>
    </row>
    <row r="11896" spans="1:4" x14ac:dyDescent="0.25">
      <c r="A11896" s="31"/>
      <c r="D11896" s="30"/>
    </row>
    <row r="11897" spans="1:4" x14ac:dyDescent="0.25">
      <c r="A11897" s="31"/>
      <c r="D11897" s="30"/>
    </row>
    <row r="11898" spans="1:4" x14ac:dyDescent="0.25">
      <c r="A11898" s="31"/>
      <c r="D11898" s="30"/>
    </row>
    <row r="11899" spans="1:4" x14ac:dyDescent="0.25">
      <c r="A11899" s="31"/>
      <c r="D11899" s="30"/>
    </row>
    <row r="11900" spans="1:4" x14ac:dyDescent="0.25">
      <c r="A11900" s="31"/>
      <c r="D11900" s="30"/>
    </row>
    <row r="11901" spans="1:4" x14ac:dyDescent="0.25">
      <c r="A11901" s="31"/>
      <c r="D11901" s="30"/>
    </row>
    <row r="11902" spans="1:4" x14ac:dyDescent="0.25">
      <c r="A11902" s="31"/>
      <c r="D11902" s="30"/>
    </row>
    <row r="11903" spans="1:4" x14ac:dyDescent="0.25">
      <c r="A11903" s="31"/>
      <c r="D11903" s="30"/>
    </row>
    <row r="11904" spans="1:4" x14ac:dyDescent="0.25">
      <c r="A11904" s="31"/>
      <c r="D11904" s="30"/>
    </row>
    <row r="11905" spans="1:4" x14ac:dyDescent="0.25">
      <c r="A11905" s="31"/>
      <c r="D11905" s="30"/>
    </row>
    <row r="11906" spans="1:4" x14ac:dyDescent="0.25">
      <c r="A11906" s="31"/>
      <c r="D11906" s="30"/>
    </row>
    <row r="11907" spans="1:4" x14ac:dyDescent="0.25">
      <c r="A11907" s="31"/>
      <c r="D11907" s="30"/>
    </row>
    <row r="11908" spans="1:4" x14ac:dyDescent="0.25">
      <c r="A11908" s="31"/>
      <c r="D11908" s="30"/>
    </row>
    <row r="11909" spans="1:4" x14ac:dyDescent="0.25">
      <c r="A11909" s="31"/>
      <c r="D11909" s="30"/>
    </row>
    <row r="11910" spans="1:4" x14ac:dyDescent="0.25">
      <c r="A11910" s="31"/>
      <c r="D11910" s="30"/>
    </row>
    <row r="11911" spans="1:4" x14ac:dyDescent="0.25">
      <c r="A11911" s="31"/>
      <c r="D11911" s="30"/>
    </row>
    <row r="11912" spans="1:4" x14ac:dyDescent="0.25">
      <c r="A11912" s="31"/>
      <c r="D11912" s="30"/>
    </row>
    <row r="11913" spans="1:4" x14ac:dyDescent="0.25">
      <c r="A11913" s="31"/>
      <c r="D11913" s="30"/>
    </row>
    <row r="11914" spans="1:4" x14ac:dyDescent="0.25">
      <c r="A11914" s="31"/>
      <c r="D11914" s="30"/>
    </row>
    <row r="11915" spans="1:4" x14ac:dyDescent="0.25">
      <c r="A11915" s="31"/>
      <c r="D11915" s="30"/>
    </row>
    <row r="11916" spans="1:4" x14ac:dyDescent="0.25">
      <c r="A11916" s="31"/>
      <c r="D11916" s="30"/>
    </row>
    <row r="11917" spans="1:4" x14ac:dyDescent="0.25">
      <c r="A11917" s="31"/>
      <c r="D11917" s="30"/>
    </row>
    <row r="11918" spans="1:4" x14ac:dyDescent="0.25">
      <c r="A11918" s="31"/>
      <c r="D11918" s="30"/>
    </row>
    <row r="11919" spans="1:4" x14ac:dyDescent="0.25">
      <c r="A11919" s="31"/>
      <c r="D11919" s="30"/>
    </row>
    <row r="11920" spans="1:4" x14ac:dyDescent="0.25">
      <c r="A11920" s="31"/>
      <c r="D11920" s="30"/>
    </row>
    <row r="11921" spans="1:4" x14ac:dyDescent="0.25">
      <c r="A11921" s="31"/>
      <c r="D11921" s="30"/>
    </row>
    <row r="11922" spans="1:4" x14ac:dyDescent="0.25">
      <c r="A11922" s="31"/>
      <c r="D11922" s="30"/>
    </row>
    <row r="11923" spans="1:4" x14ac:dyDescent="0.25">
      <c r="A11923" s="31"/>
      <c r="D11923" s="30"/>
    </row>
    <row r="11924" spans="1:4" x14ac:dyDescent="0.25">
      <c r="A11924" s="31"/>
      <c r="D11924" s="30"/>
    </row>
    <row r="11925" spans="1:4" x14ac:dyDescent="0.25">
      <c r="A11925" s="31"/>
      <c r="D11925" s="30"/>
    </row>
    <row r="11926" spans="1:4" x14ac:dyDescent="0.25">
      <c r="A11926" s="31"/>
      <c r="D11926" s="30"/>
    </row>
    <row r="11927" spans="1:4" x14ac:dyDescent="0.25">
      <c r="A11927" s="31"/>
      <c r="D11927" s="30"/>
    </row>
    <row r="11928" spans="1:4" x14ac:dyDescent="0.25">
      <c r="A11928" s="31"/>
      <c r="D11928" s="30"/>
    </row>
    <row r="11929" spans="1:4" x14ac:dyDescent="0.25">
      <c r="A11929" s="31"/>
      <c r="D11929" s="30"/>
    </row>
    <row r="11930" spans="1:4" x14ac:dyDescent="0.25">
      <c r="A11930" s="31"/>
      <c r="D11930" s="30"/>
    </row>
    <row r="11931" spans="1:4" x14ac:dyDescent="0.25">
      <c r="A11931" s="31"/>
      <c r="D11931" s="30"/>
    </row>
    <row r="11932" spans="1:4" x14ac:dyDescent="0.25">
      <c r="A11932" s="31"/>
      <c r="D11932" s="30"/>
    </row>
    <row r="11933" spans="1:4" x14ac:dyDescent="0.25">
      <c r="A11933" s="31"/>
      <c r="D11933" s="30"/>
    </row>
    <row r="11934" spans="1:4" x14ac:dyDescent="0.25">
      <c r="A11934" s="31"/>
      <c r="D11934" s="30"/>
    </row>
    <row r="11935" spans="1:4" x14ac:dyDescent="0.25">
      <c r="A11935" s="31"/>
      <c r="D11935" s="30"/>
    </row>
    <row r="11936" spans="1:4" x14ac:dyDescent="0.25">
      <c r="A11936" s="31"/>
      <c r="D11936" s="30"/>
    </row>
    <row r="11937" spans="1:4" x14ac:dyDescent="0.25">
      <c r="A11937" s="31"/>
      <c r="D11937" s="30"/>
    </row>
    <row r="11938" spans="1:4" x14ac:dyDescent="0.25">
      <c r="A11938" s="31"/>
      <c r="D11938" s="30"/>
    </row>
    <row r="11939" spans="1:4" x14ac:dyDescent="0.25">
      <c r="A11939" s="31"/>
      <c r="D11939" s="30"/>
    </row>
    <row r="11940" spans="1:4" x14ac:dyDescent="0.25">
      <c r="A11940" s="31"/>
      <c r="D11940" s="30"/>
    </row>
    <row r="11941" spans="1:4" x14ac:dyDescent="0.25">
      <c r="A11941" s="31"/>
      <c r="D11941" s="30"/>
    </row>
    <row r="11942" spans="1:4" x14ac:dyDescent="0.25">
      <c r="A11942" s="31"/>
      <c r="D11942" s="30"/>
    </row>
    <row r="11943" spans="1:4" x14ac:dyDescent="0.25">
      <c r="A11943" s="31"/>
      <c r="D11943" s="30"/>
    </row>
    <row r="11944" spans="1:4" x14ac:dyDescent="0.25">
      <c r="A11944" s="31"/>
      <c r="D11944" s="30"/>
    </row>
    <row r="11945" spans="1:4" x14ac:dyDescent="0.25">
      <c r="A11945" s="31"/>
      <c r="D11945" s="30"/>
    </row>
    <row r="11946" spans="1:4" x14ac:dyDescent="0.25">
      <c r="A11946" s="31"/>
      <c r="D11946" s="30"/>
    </row>
    <row r="11947" spans="1:4" x14ac:dyDescent="0.25">
      <c r="A11947" s="31"/>
      <c r="D11947" s="30"/>
    </row>
    <row r="11948" spans="1:4" x14ac:dyDescent="0.25">
      <c r="A11948" s="31"/>
      <c r="D11948" s="30"/>
    </row>
    <row r="11949" spans="1:4" x14ac:dyDescent="0.25">
      <c r="A11949" s="31"/>
      <c r="D11949" s="30"/>
    </row>
    <row r="11950" spans="1:4" x14ac:dyDescent="0.25">
      <c r="A11950" s="31"/>
      <c r="D11950" s="30"/>
    </row>
    <row r="11951" spans="1:4" x14ac:dyDescent="0.25">
      <c r="A11951" s="31"/>
      <c r="D11951" s="30"/>
    </row>
    <row r="11952" spans="1:4" x14ac:dyDescent="0.25">
      <c r="A11952" s="31"/>
      <c r="D11952" s="30"/>
    </row>
    <row r="11953" spans="1:4" x14ac:dyDescent="0.25">
      <c r="A11953" s="31"/>
      <c r="D11953" s="30"/>
    </row>
    <row r="11954" spans="1:4" x14ac:dyDescent="0.25">
      <c r="A11954" s="31"/>
      <c r="D11954" s="30"/>
    </row>
    <row r="11955" spans="1:4" x14ac:dyDescent="0.25">
      <c r="A11955" s="31"/>
      <c r="D11955" s="30"/>
    </row>
    <row r="11956" spans="1:4" x14ac:dyDescent="0.25">
      <c r="A11956" s="31"/>
      <c r="D11956" s="30"/>
    </row>
    <row r="11957" spans="1:4" x14ac:dyDescent="0.25">
      <c r="A11957" s="31"/>
      <c r="D11957" s="30"/>
    </row>
    <row r="11958" spans="1:4" x14ac:dyDescent="0.25">
      <c r="A11958" s="31"/>
      <c r="D11958" s="30"/>
    </row>
    <row r="11959" spans="1:4" x14ac:dyDescent="0.25">
      <c r="A11959" s="31"/>
      <c r="D11959" s="30"/>
    </row>
    <row r="11960" spans="1:4" x14ac:dyDescent="0.25">
      <c r="A11960" s="31"/>
      <c r="D11960" s="30"/>
    </row>
    <row r="11961" spans="1:4" x14ac:dyDescent="0.25">
      <c r="A11961" s="31"/>
      <c r="D11961" s="30"/>
    </row>
    <row r="11962" spans="1:4" x14ac:dyDescent="0.25">
      <c r="A11962" s="31"/>
      <c r="D11962" s="30"/>
    </row>
    <row r="11963" spans="1:4" x14ac:dyDescent="0.25">
      <c r="A11963" s="31"/>
      <c r="D11963" s="30"/>
    </row>
    <row r="11964" spans="1:4" x14ac:dyDescent="0.25">
      <c r="A11964" s="31"/>
      <c r="D11964" s="30"/>
    </row>
    <row r="11965" spans="1:4" x14ac:dyDescent="0.25">
      <c r="A11965" s="31"/>
      <c r="D11965" s="30"/>
    </row>
    <row r="11966" spans="1:4" x14ac:dyDescent="0.25">
      <c r="A11966" s="31"/>
      <c r="D11966" s="30"/>
    </row>
    <row r="11967" spans="1:4" x14ac:dyDescent="0.25">
      <c r="A11967" s="31"/>
      <c r="D11967" s="30"/>
    </row>
    <row r="11968" spans="1:4" x14ac:dyDescent="0.25">
      <c r="A11968" s="31"/>
      <c r="D11968" s="30"/>
    </row>
    <row r="11969" spans="1:4" x14ac:dyDescent="0.25">
      <c r="A11969" s="31"/>
      <c r="D11969" s="30"/>
    </row>
    <row r="11970" spans="1:4" x14ac:dyDescent="0.25">
      <c r="A11970" s="31"/>
      <c r="D11970" s="30"/>
    </row>
    <row r="11971" spans="1:4" x14ac:dyDescent="0.25">
      <c r="A11971" s="31"/>
      <c r="D11971" s="30"/>
    </row>
    <row r="11972" spans="1:4" x14ac:dyDescent="0.25">
      <c r="A11972" s="31"/>
      <c r="D11972" s="30"/>
    </row>
    <row r="11973" spans="1:4" x14ac:dyDescent="0.25">
      <c r="A11973" s="31"/>
      <c r="D11973" s="30"/>
    </row>
    <row r="11974" spans="1:4" x14ac:dyDescent="0.25">
      <c r="A11974" s="31"/>
      <c r="D11974" s="30"/>
    </row>
    <row r="11975" spans="1:4" x14ac:dyDescent="0.25">
      <c r="A11975" s="31"/>
      <c r="D11975" s="30"/>
    </row>
    <row r="11976" spans="1:4" x14ac:dyDescent="0.25">
      <c r="A11976" s="31"/>
      <c r="D11976" s="30"/>
    </row>
    <row r="11977" spans="1:4" x14ac:dyDescent="0.25">
      <c r="A11977" s="31"/>
      <c r="D11977" s="30"/>
    </row>
    <row r="11978" spans="1:4" x14ac:dyDescent="0.25">
      <c r="A11978" s="31"/>
      <c r="D11978" s="30"/>
    </row>
    <row r="11979" spans="1:4" x14ac:dyDescent="0.25">
      <c r="A11979" s="31"/>
      <c r="D11979" s="30"/>
    </row>
    <row r="11980" spans="1:4" x14ac:dyDescent="0.25">
      <c r="A11980" s="31"/>
      <c r="D11980" s="30"/>
    </row>
    <row r="11981" spans="1:4" x14ac:dyDescent="0.25">
      <c r="A11981" s="31"/>
      <c r="D11981" s="30"/>
    </row>
    <row r="11982" spans="1:4" x14ac:dyDescent="0.25">
      <c r="A11982" s="31"/>
      <c r="D11982" s="30"/>
    </row>
    <row r="11983" spans="1:4" x14ac:dyDescent="0.25">
      <c r="A11983" s="31"/>
      <c r="D11983" s="30"/>
    </row>
    <row r="11984" spans="1:4" x14ac:dyDescent="0.25">
      <c r="A11984" s="31"/>
      <c r="D11984" s="30"/>
    </row>
    <row r="11985" spans="1:4" x14ac:dyDescent="0.25">
      <c r="A11985" s="31"/>
      <c r="D11985" s="30"/>
    </row>
    <row r="11986" spans="1:4" x14ac:dyDescent="0.25">
      <c r="A11986" s="31"/>
      <c r="D11986" s="30"/>
    </row>
    <row r="11987" spans="1:4" x14ac:dyDescent="0.25">
      <c r="A11987" s="31"/>
      <c r="D11987" s="30"/>
    </row>
    <row r="11988" spans="1:4" x14ac:dyDescent="0.25">
      <c r="A11988" s="31"/>
      <c r="D11988" s="30"/>
    </row>
    <row r="11989" spans="1:4" x14ac:dyDescent="0.25">
      <c r="A11989" s="31"/>
      <c r="D11989" s="30"/>
    </row>
    <row r="11990" spans="1:4" x14ac:dyDescent="0.25">
      <c r="A11990" s="31"/>
      <c r="D11990" s="30"/>
    </row>
    <row r="11991" spans="1:4" x14ac:dyDescent="0.25">
      <c r="A11991" s="31"/>
      <c r="D11991" s="30"/>
    </row>
    <row r="11992" spans="1:4" x14ac:dyDescent="0.25">
      <c r="A11992" s="31"/>
      <c r="D11992" s="30"/>
    </row>
    <row r="11993" spans="1:4" x14ac:dyDescent="0.25">
      <c r="A11993" s="31"/>
      <c r="D11993" s="30"/>
    </row>
    <row r="11994" spans="1:4" x14ac:dyDescent="0.25">
      <c r="A11994" s="31"/>
      <c r="D11994" s="30"/>
    </row>
    <row r="11995" spans="1:4" x14ac:dyDescent="0.25">
      <c r="A11995" s="31"/>
      <c r="D11995" s="30"/>
    </row>
    <row r="11996" spans="1:4" x14ac:dyDescent="0.25">
      <c r="A11996" s="31"/>
      <c r="D11996" s="30"/>
    </row>
    <row r="11997" spans="1:4" x14ac:dyDescent="0.25">
      <c r="A11997" s="31"/>
      <c r="D11997" s="30"/>
    </row>
    <row r="11998" spans="1:4" x14ac:dyDescent="0.25">
      <c r="A11998" s="31"/>
      <c r="D11998" s="30"/>
    </row>
    <row r="11999" spans="1:4" x14ac:dyDescent="0.25">
      <c r="A11999" s="31"/>
      <c r="D11999" s="30"/>
    </row>
    <row r="12000" spans="1:4" x14ac:dyDescent="0.25">
      <c r="A12000" s="31"/>
      <c r="D12000" s="30"/>
    </row>
    <row r="12001" spans="1:4" x14ac:dyDescent="0.25">
      <c r="A12001" s="31"/>
      <c r="D12001" s="30"/>
    </row>
    <row r="12002" spans="1:4" x14ac:dyDescent="0.25">
      <c r="A12002" s="31"/>
      <c r="D12002" s="30"/>
    </row>
    <row r="12003" spans="1:4" x14ac:dyDescent="0.25">
      <c r="A12003" s="31"/>
      <c r="D12003" s="30"/>
    </row>
    <row r="12004" spans="1:4" x14ac:dyDescent="0.25">
      <c r="A12004" s="31"/>
      <c r="D12004" s="30"/>
    </row>
    <row r="12005" spans="1:4" x14ac:dyDescent="0.25">
      <c r="A12005" s="31"/>
      <c r="D12005" s="30"/>
    </row>
    <row r="12006" spans="1:4" x14ac:dyDescent="0.25">
      <c r="A12006" s="31"/>
      <c r="D12006" s="30"/>
    </row>
    <row r="12007" spans="1:4" x14ac:dyDescent="0.25">
      <c r="A12007" s="31"/>
      <c r="D12007" s="30"/>
    </row>
    <row r="12008" spans="1:4" x14ac:dyDescent="0.25">
      <c r="A12008" s="31"/>
      <c r="D12008" s="30"/>
    </row>
    <row r="12009" spans="1:4" x14ac:dyDescent="0.25">
      <c r="A12009" s="31"/>
      <c r="D12009" s="30"/>
    </row>
    <row r="12010" spans="1:4" x14ac:dyDescent="0.25">
      <c r="A12010" s="31"/>
      <c r="D12010" s="30"/>
    </row>
    <row r="12011" spans="1:4" x14ac:dyDescent="0.25">
      <c r="A12011" s="31"/>
      <c r="D12011" s="30"/>
    </row>
    <row r="12012" spans="1:4" x14ac:dyDescent="0.25">
      <c r="A12012" s="31"/>
      <c r="D12012" s="30"/>
    </row>
    <row r="12013" spans="1:4" x14ac:dyDescent="0.25">
      <c r="A12013" s="31"/>
      <c r="D12013" s="30"/>
    </row>
    <row r="12014" spans="1:4" x14ac:dyDescent="0.25">
      <c r="A12014" s="31"/>
      <c r="D12014" s="30"/>
    </row>
    <row r="12015" spans="1:4" x14ac:dyDescent="0.25">
      <c r="A12015" s="31"/>
      <c r="D12015" s="30"/>
    </row>
    <row r="12016" spans="1:4" x14ac:dyDescent="0.25">
      <c r="A12016" s="31"/>
      <c r="D12016" s="30"/>
    </row>
    <row r="12017" spans="1:4" x14ac:dyDescent="0.25">
      <c r="A12017" s="31"/>
      <c r="D12017" s="30"/>
    </row>
    <row r="12018" spans="1:4" x14ac:dyDescent="0.25">
      <c r="A12018" s="31"/>
      <c r="D12018" s="30"/>
    </row>
    <row r="12019" spans="1:4" x14ac:dyDescent="0.25">
      <c r="A12019" s="31"/>
      <c r="D12019" s="30"/>
    </row>
    <row r="12020" spans="1:4" x14ac:dyDescent="0.25">
      <c r="A12020" s="31"/>
      <c r="D12020" s="30"/>
    </row>
    <row r="12021" spans="1:4" x14ac:dyDescent="0.25">
      <c r="A12021" s="31"/>
      <c r="D12021" s="30"/>
    </row>
    <row r="12022" spans="1:4" x14ac:dyDescent="0.25">
      <c r="A12022" s="31"/>
      <c r="D12022" s="30"/>
    </row>
    <row r="12023" spans="1:4" x14ac:dyDescent="0.25">
      <c r="A12023" s="31"/>
      <c r="D12023" s="30"/>
    </row>
    <row r="12024" spans="1:4" x14ac:dyDescent="0.25">
      <c r="A12024" s="31"/>
      <c r="D12024" s="30"/>
    </row>
    <row r="12025" spans="1:4" x14ac:dyDescent="0.25">
      <c r="A12025" s="31"/>
      <c r="D12025" s="30"/>
    </row>
    <row r="12026" spans="1:4" x14ac:dyDescent="0.25">
      <c r="A12026" s="31"/>
      <c r="D12026" s="30"/>
    </row>
    <row r="12027" spans="1:4" x14ac:dyDescent="0.25">
      <c r="A12027" s="31"/>
      <c r="D12027" s="30"/>
    </row>
    <row r="12028" spans="1:4" x14ac:dyDescent="0.25">
      <c r="A12028" s="31"/>
      <c r="D12028" s="30"/>
    </row>
    <row r="12029" spans="1:4" x14ac:dyDescent="0.25">
      <c r="A12029" s="31"/>
      <c r="D12029" s="30"/>
    </row>
    <row r="12030" spans="1:4" x14ac:dyDescent="0.25">
      <c r="A12030" s="31"/>
      <c r="D12030" s="30"/>
    </row>
    <row r="12031" spans="1:4" x14ac:dyDescent="0.25">
      <c r="A12031" s="31"/>
      <c r="D12031" s="30"/>
    </row>
    <row r="12032" spans="1:4" x14ac:dyDescent="0.25">
      <c r="A12032" s="31"/>
      <c r="D12032" s="30"/>
    </row>
    <row r="12033" spans="1:4" x14ac:dyDescent="0.25">
      <c r="A12033" s="31"/>
      <c r="D12033" s="30"/>
    </row>
    <row r="12034" spans="1:4" x14ac:dyDescent="0.25">
      <c r="A12034" s="31"/>
      <c r="D12034" s="30"/>
    </row>
    <row r="12035" spans="1:4" x14ac:dyDescent="0.25">
      <c r="A12035" s="31"/>
      <c r="D12035" s="30"/>
    </row>
    <row r="12036" spans="1:4" x14ac:dyDescent="0.25">
      <c r="A12036" s="31"/>
      <c r="D12036" s="30"/>
    </row>
    <row r="12037" spans="1:4" x14ac:dyDescent="0.25">
      <c r="A12037" s="31"/>
      <c r="D12037" s="30"/>
    </row>
    <row r="12038" spans="1:4" x14ac:dyDescent="0.25">
      <c r="A12038" s="31"/>
      <c r="D12038" s="30"/>
    </row>
    <row r="12039" spans="1:4" x14ac:dyDescent="0.25">
      <c r="A12039" s="31"/>
      <c r="D12039" s="30"/>
    </row>
    <row r="12040" spans="1:4" x14ac:dyDescent="0.25">
      <c r="A12040" s="31"/>
      <c r="D12040" s="30"/>
    </row>
    <row r="12041" spans="1:4" x14ac:dyDescent="0.25">
      <c r="A12041" s="31"/>
      <c r="D12041" s="30"/>
    </row>
    <row r="12042" spans="1:4" x14ac:dyDescent="0.25">
      <c r="A12042" s="31"/>
      <c r="D12042" s="30"/>
    </row>
    <row r="12043" spans="1:4" x14ac:dyDescent="0.25">
      <c r="A12043" s="31"/>
      <c r="D12043" s="30"/>
    </row>
    <row r="12044" spans="1:4" x14ac:dyDescent="0.25">
      <c r="A12044" s="31"/>
      <c r="D12044" s="30"/>
    </row>
    <row r="12045" spans="1:4" x14ac:dyDescent="0.25">
      <c r="A12045" s="31"/>
      <c r="D12045" s="30"/>
    </row>
    <row r="12046" spans="1:4" x14ac:dyDescent="0.25">
      <c r="A12046" s="31"/>
      <c r="D12046" s="30"/>
    </row>
    <row r="12047" spans="1:4" x14ac:dyDescent="0.25">
      <c r="A12047" s="31"/>
      <c r="D12047" s="30"/>
    </row>
    <row r="12048" spans="1:4" x14ac:dyDescent="0.25">
      <c r="A12048" s="31"/>
      <c r="D12048" s="30"/>
    </row>
    <row r="12049" spans="1:4" x14ac:dyDescent="0.25">
      <c r="A12049" s="31"/>
      <c r="D12049" s="30"/>
    </row>
    <row r="12050" spans="1:4" x14ac:dyDescent="0.25">
      <c r="A12050" s="31"/>
      <c r="D12050" s="30"/>
    </row>
    <row r="12051" spans="1:4" x14ac:dyDescent="0.25">
      <c r="A12051" s="31"/>
      <c r="D12051" s="30"/>
    </row>
    <row r="12052" spans="1:4" x14ac:dyDescent="0.25">
      <c r="A12052" s="31"/>
      <c r="D12052" s="30"/>
    </row>
    <row r="12053" spans="1:4" x14ac:dyDescent="0.25">
      <c r="A12053" s="31"/>
      <c r="D12053" s="30"/>
    </row>
    <row r="12054" spans="1:4" x14ac:dyDescent="0.25">
      <c r="A12054" s="31"/>
      <c r="D12054" s="30"/>
    </row>
    <row r="12055" spans="1:4" x14ac:dyDescent="0.25">
      <c r="A12055" s="31"/>
      <c r="D12055" s="30"/>
    </row>
    <row r="12056" spans="1:4" x14ac:dyDescent="0.25">
      <c r="A12056" s="31"/>
      <c r="D12056" s="30"/>
    </row>
    <row r="12057" spans="1:4" x14ac:dyDescent="0.25">
      <c r="A12057" s="31"/>
      <c r="D12057" s="30"/>
    </row>
    <row r="12058" spans="1:4" x14ac:dyDescent="0.25">
      <c r="A12058" s="31"/>
      <c r="D12058" s="30"/>
    </row>
    <row r="12059" spans="1:4" x14ac:dyDescent="0.25">
      <c r="A12059" s="31"/>
      <c r="D12059" s="30"/>
    </row>
    <row r="12060" spans="1:4" x14ac:dyDescent="0.25">
      <c r="A12060" s="31"/>
      <c r="D12060" s="30"/>
    </row>
    <row r="12061" spans="1:4" x14ac:dyDescent="0.25">
      <c r="A12061" s="31"/>
      <c r="D12061" s="30"/>
    </row>
    <row r="12062" spans="1:4" x14ac:dyDescent="0.25">
      <c r="A12062" s="31"/>
      <c r="D12062" s="30"/>
    </row>
    <row r="12063" spans="1:4" x14ac:dyDescent="0.25">
      <c r="A12063" s="31"/>
      <c r="D12063" s="30"/>
    </row>
    <row r="12064" spans="1:4" x14ac:dyDescent="0.25">
      <c r="A12064" s="31"/>
      <c r="D12064" s="30"/>
    </row>
    <row r="12065" spans="1:4" x14ac:dyDescent="0.25">
      <c r="A12065" s="31"/>
      <c r="D12065" s="30"/>
    </row>
    <row r="12066" spans="1:4" x14ac:dyDescent="0.25">
      <c r="A12066" s="31"/>
      <c r="D12066" s="30"/>
    </row>
    <row r="12067" spans="1:4" x14ac:dyDescent="0.25">
      <c r="A12067" s="31"/>
      <c r="D12067" s="30"/>
    </row>
    <row r="12068" spans="1:4" x14ac:dyDescent="0.25">
      <c r="A12068" s="31"/>
      <c r="D12068" s="30"/>
    </row>
    <row r="12069" spans="1:4" x14ac:dyDescent="0.25">
      <c r="A12069" s="31"/>
      <c r="D12069" s="30"/>
    </row>
    <row r="12070" spans="1:4" x14ac:dyDescent="0.25">
      <c r="A12070" s="31"/>
      <c r="D12070" s="30"/>
    </row>
    <row r="12071" spans="1:4" x14ac:dyDescent="0.25">
      <c r="A12071" s="31"/>
      <c r="D12071" s="30"/>
    </row>
    <row r="12072" spans="1:4" x14ac:dyDescent="0.25">
      <c r="A12072" s="31"/>
      <c r="D12072" s="30"/>
    </row>
    <row r="12073" spans="1:4" x14ac:dyDescent="0.25">
      <c r="A12073" s="31"/>
      <c r="D12073" s="30"/>
    </row>
    <row r="12074" spans="1:4" x14ac:dyDescent="0.25">
      <c r="A12074" s="31"/>
      <c r="D12074" s="30"/>
    </row>
    <row r="12075" spans="1:4" x14ac:dyDescent="0.25">
      <c r="A12075" s="31"/>
      <c r="D12075" s="30"/>
    </row>
    <row r="12076" spans="1:4" x14ac:dyDescent="0.25">
      <c r="A12076" s="31"/>
      <c r="D12076" s="30"/>
    </row>
    <row r="12077" spans="1:4" x14ac:dyDescent="0.25">
      <c r="A12077" s="31"/>
      <c r="D12077" s="30"/>
    </row>
    <row r="12078" spans="1:4" x14ac:dyDescent="0.25">
      <c r="A12078" s="31"/>
      <c r="D12078" s="30"/>
    </row>
    <row r="12079" spans="1:4" x14ac:dyDescent="0.25">
      <c r="A12079" s="31"/>
      <c r="D12079" s="30"/>
    </row>
    <row r="12080" spans="1:4" x14ac:dyDescent="0.25">
      <c r="A12080" s="31"/>
      <c r="D12080" s="30"/>
    </row>
    <row r="12081" spans="1:4" x14ac:dyDescent="0.25">
      <c r="A12081" s="31"/>
      <c r="D12081" s="30"/>
    </row>
    <row r="12082" spans="1:4" x14ac:dyDescent="0.25">
      <c r="A12082" s="31"/>
      <c r="D12082" s="30"/>
    </row>
    <row r="12083" spans="1:4" x14ac:dyDescent="0.25">
      <c r="A12083" s="31"/>
      <c r="D12083" s="30"/>
    </row>
    <row r="12084" spans="1:4" x14ac:dyDescent="0.25">
      <c r="A12084" s="31"/>
      <c r="D12084" s="30"/>
    </row>
    <row r="12085" spans="1:4" x14ac:dyDescent="0.25">
      <c r="A12085" s="31"/>
      <c r="D12085" s="30"/>
    </row>
    <row r="12086" spans="1:4" x14ac:dyDescent="0.25">
      <c r="A12086" s="31"/>
      <c r="D12086" s="30"/>
    </row>
    <row r="12087" spans="1:4" x14ac:dyDescent="0.25">
      <c r="A12087" s="31"/>
      <c r="D12087" s="30"/>
    </row>
    <row r="12088" spans="1:4" x14ac:dyDescent="0.25">
      <c r="A12088" s="31"/>
      <c r="D12088" s="30"/>
    </row>
    <row r="12089" spans="1:4" x14ac:dyDescent="0.25">
      <c r="A12089" s="31"/>
      <c r="D12089" s="30"/>
    </row>
    <row r="12090" spans="1:4" x14ac:dyDescent="0.25">
      <c r="A12090" s="31"/>
      <c r="D12090" s="30"/>
    </row>
    <row r="12091" spans="1:4" x14ac:dyDescent="0.25">
      <c r="A12091" s="31"/>
      <c r="D12091" s="30"/>
    </row>
    <row r="12092" spans="1:4" x14ac:dyDescent="0.25">
      <c r="A12092" s="31"/>
      <c r="D12092" s="30"/>
    </row>
    <row r="12093" spans="1:4" x14ac:dyDescent="0.25">
      <c r="A12093" s="31"/>
      <c r="D12093" s="30"/>
    </row>
    <row r="12094" spans="1:4" x14ac:dyDescent="0.25">
      <c r="A12094" s="31"/>
      <c r="D12094" s="30"/>
    </row>
    <row r="12095" spans="1:4" x14ac:dyDescent="0.25">
      <c r="A12095" s="31"/>
      <c r="D12095" s="30"/>
    </row>
    <row r="12096" spans="1:4" x14ac:dyDescent="0.25">
      <c r="A12096" s="31"/>
      <c r="D12096" s="30"/>
    </row>
    <row r="12097" spans="1:4" x14ac:dyDescent="0.25">
      <c r="A12097" s="31"/>
      <c r="D12097" s="30"/>
    </row>
    <row r="12098" spans="1:4" x14ac:dyDescent="0.25">
      <c r="A12098" s="31"/>
      <c r="D12098" s="30"/>
    </row>
    <row r="12099" spans="1:4" x14ac:dyDescent="0.25">
      <c r="A12099" s="31"/>
      <c r="D12099" s="30"/>
    </row>
    <row r="12100" spans="1:4" x14ac:dyDescent="0.25">
      <c r="A12100" s="31"/>
      <c r="D12100" s="30"/>
    </row>
    <row r="12101" spans="1:4" x14ac:dyDescent="0.25">
      <c r="A12101" s="31"/>
      <c r="D12101" s="30"/>
    </row>
    <row r="12102" spans="1:4" x14ac:dyDescent="0.25">
      <c r="A12102" s="31"/>
      <c r="D12102" s="30"/>
    </row>
    <row r="12103" spans="1:4" x14ac:dyDescent="0.25">
      <c r="A12103" s="31"/>
      <c r="D12103" s="30"/>
    </row>
    <row r="12104" spans="1:4" x14ac:dyDescent="0.25">
      <c r="A12104" s="31"/>
      <c r="D12104" s="30"/>
    </row>
    <row r="12105" spans="1:4" x14ac:dyDescent="0.25">
      <c r="A12105" s="31"/>
      <c r="D12105" s="30"/>
    </row>
    <row r="12106" spans="1:4" x14ac:dyDescent="0.25">
      <c r="A12106" s="31"/>
      <c r="D12106" s="30"/>
    </row>
    <row r="12107" spans="1:4" x14ac:dyDescent="0.25">
      <c r="A12107" s="31"/>
      <c r="D12107" s="30"/>
    </row>
    <row r="12108" spans="1:4" x14ac:dyDescent="0.25">
      <c r="A12108" s="31"/>
      <c r="D12108" s="30"/>
    </row>
    <row r="12109" spans="1:4" x14ac:dyDescent="0.25">
      <c r="A12109" s="31"/>
      <c r="D12109" s="30"/>
    </row>
    <row r="12110" spans="1:4" x14ac:dyDescent="0.25">
      <c r="A12110" s="31"/>
      <c r="D12110" s="30"/>
    </row>
    <row r="12111" spans="1:4" x14ac:dyDescent="0.25">
      <c r="A12111" s="31"/>
      <c r="D12111" s="30"/>
    </row>
    <row r="12112" spans="1:4" x14ac:dyDescent="0.25">
      <c r="A12112" s="31"/>
      <c r="D12112" s="30"/>
    </row>
    <row r="12113" spans="1:4" x14ac:dyDescent="0.25">
      <c r="A12113" s="31"/>
      <c r="D12113" s="30"/>
    </row>
    <row r="12114" spans="1:4" x14ac:dyDescent="0.25">
      <c r="A12114" s="31"/>
      <c r="D12114" s="30"/>
    </row>
    <row r="12115" spans="1:4" x14ac:dyDescent="0.25">
      <c r="A12115" s="31"/>
      <c r="D12115" s="30"/>
    </row>
    <row r="12116" spans="1:4" x14ac:dyDescent="0.25">
      <c r="A12116" s="31"/>
      <c r="D12116" s="30"/>
    </row>
    <row r="12117" spans="1:4" x14ac:dyDescent="0.25">
      <c r="A12117" s="31"/>
      <c r="D12117" s="30"/>
    </row>
    <row r="12118" spans="1:4" x14ac:dyDescent="0.25">
      <c r="A12118" s="31"/>
      <c r="D12118" s="30"/>
    </row>
    <row r="12119" spans="1:4" x14ac:dyDescent="0.25">
      <c r="A12119" s="31"/>
      <c r="D12119" s="30"/>
    </row>
    <row r="12120" spans="1:4" x14ac:dyDescent="0.25">
      <c r="A12120" s="31"/>
      <c r="D12120" s="30"/>
    </row>
    <row r="12121" spans="1:4" x14ac:dyDescent="0.25">
      <c r="A12121" s="31"/>
      <c r="D12121" s="30"/>
    </row>
    <row r="12122" spans="1:4" x14ac:dyDescent="0.25">
      <c r="A12122" s="31"/>
      <c r="D12122" s="30"/>
    </row>
    <row r="12123" spans="1:4" x14ac:dyDescent="0.25">
      <c r="A12123" s="31"/>
      <c r="D12123" s="30"/>
    </row>
    <row r="12124" spans="1:4" x14ac:dyDescent="0.25">
      <c r="A12124" s="31"/>
      <c r="D12124" s="30"/>
    </row>
    <row r="12125" spans="1:4" x14ac:dyDescent="0.25">
      <c r="A12125" s="31"/>
      <c r="D12125" s="30"/>
    </row>
    <row r="12126" spans="1:4" x14ac:dyDescent="0.25">
      <c r="A12126" s="31"/>
      <c r="D12126" s="30"/>
    </row>
    <row r="12127" spans="1:4" x14ac:dyDescent="0.25">
      <c r="A12127" s="31"/>
      <c r="D12127" s="30"/>
    </row>
    <row r="12128" spans="1:4" x14ac:dyDescent="0.25">
      <c r="A12128" s="31"/>
      <c r="D12128" s="30"/>
    </row>
    <row r="12129" spans="1:4" x14ac:dyDescent="0.25">
      <c r="A12129" s="31"/>
      <c r="D12129" s="30"/>
    </row>
    <row r="12130" spans="1:4" x14ac:dyDescent="0.25">
      <c r="A12130" s="31"/>
      <c r="D12130" s="30"/>
    </row>
    <row r="12131" spans="1:4" x14ac:dyDescent="0.25">
      <c r="A12131" s="31"/>
      <c r="D12131" s="30"/>
    </row>
    <row r="12132" spans="1:4" x14ac:dyDescent="0.25">
      <c r="A12132" s="31"/>
      <c r="D12132" s="30"/>
    </row>
    <row r="12133" spans="1:4" x14ac:dyDescent="0.25">
      <c r="A12133" s="31"/>
      <c r="D12133" s="30"/>
    </row>
    <row r="12134" spans="1:4" x14ac:dyDescent="0.25">
      <c r="A12134" s="31"/>
      <c r="D12134" s="30"/>
    </row>
    <row r="12135" spans="1:4" x14ac:dyDescent="0.25">
      <c r="A12135" s="31"/>
      <c r="D12135" s="30"/>
    </row>
    <row r="12136" spans="1:4" x14ac:dyDescent="0.25">
      <c r="A12136" s="31"/>
      <c r="D12136" s="30"/>
    </row>
    <row r="12137" spans="1:4" x14ac:dyDescent="0.25">
      <c r="A12137" s="31"/>
      <c r="D12137" s="30"/>
    </row>
    <row r="12138" spans="1:4" x14ac:dyDescent="0.25">
      <c r="A12138" s="31"/>
      <c r="D12138" s="30"/>
    </row>
    <row r="12139" spans="1:4" x14ac:dyDescent="0.25">
      <c r="A12139" s="31"/>
      <c r="D12139" s="30"/>
    </row>
    <row r="12140" spans="1:4" x14ac:dyDescent="0.25">
      <c r="A12140" s="31"/>
      <c r="D12140" s="30"/>
    </row>
    <row r="12141" spans="1:4" x14ac:dyDescent="0.25">
      <c r="A12141" s="31"/>
      <c r="D12141" s="30"/>
    </row>
    <row r="12142" spans="1:4" x14ac:dyDescent="0.25">
      <c r="A12142" s="31"/>
      <c r="D12142" s="30"/>
    </row>
    <row r="12143" spans="1:4" x14ac:dyDescent="0.25">
      <c r="A12143" s="31"/>
      <c r="D12143" s="30"/>
    </row>
    <row r="12144" spans="1:4" x14ac:dyDescent="0.25">
      <c r="A12144" s="31"/>
      <c r="D12144" s="30"/>
    </row>
    <row r="12145" spans="1:4" x14ac:dyDescent="0.25">
      <c r="A12145" s="31"/>
      <c r="D12145" s="30"/>
    </row>
    <row r="12146" spans="1:4" x14ac:dyDescent="0.25">
      <c r="A12146" s="31"/>
      <c r="D12146" s="30"/>
    </row>
    <row r="12147" spans="1:4" x14ac:dyDescent="0.25">
      <c r="A12147" s="31"/>
      <c r="D12147" s="30"/>
    </row>
    <row r="12148" spans="1:4" x14ac:dyDescent="0.25">
      <c r="A12148" s="31"/>
      <c r="D12148" s="30"/>
    </row>
    <row r="12149" spans="1:4" x14ac:dyDescent="0.25">
      <c r="A12149" s="31"/>
      <c r="D12149" s="30"/>
    </row>
    <row r="12150" spans="1:4" x14ac:dyDescent="0.25">
      <c r="A12150" s="31"/>
      <c r="D12150" s="30"/>
    </row>
    <row r="12151" spans="1:4" x14ac:dyDescent="0.25">
      <c r="A12151" s="31"/>
      <c r="D12151" s="30"/>
    </row>
    <row r="12152" spans="1:4" x14ac:dyDescent="0.25">
      <c r="A12152" s="31"/>
      <c r="D12152" s="30"/>
    </row>
    <row r="12153" spans="1:4" x14ac:dyDescent="0.25">
      <c r="A12153" s="31"/>
      <c r="D12153" s="30"/>
    </row>
    <row r="12154" spans="1:4" x14ac:dyDescent="0.25">
      <c r="A12154" s="31"/>
      <c r="D12154" s="30"/>
    </row>
    <row r="12155" spans="1:4" x14ac:dyDescent="0.25">
      <c r="A12155" s="31"/>
      <c r="D12155" s="30"/>
    </row>
    <row r="12156" spans="1:4" x14ac:dyDescent="0.25">
      <c r="A12156" s="31"/>
      <c r="D12156" s="30"/>
    </row>
    <row r="12157" spans="1:4" x14ac:dyDescent="0.25">
      <c r="A12157" s="31"/>
      <c r="D12157" s="30"/>
    </row>
    <row r="12158" spans="1:4" x14ac:dyDescent="0.25">
      <c r="A12158" s="31"/>
      <c r="D12158" s="30"/>
    </row>
    <row r="12159" spans="1:4" x14ac:dyDescent="0.25">
      <c r="A12159" s="31"/>
      <c r="D12159" s="30"/>
    </row>
    <row r="12160" spans="1:4" x14ac:dyDescent="0.25">
      <c r="A12160" s="31"/>
      <c r="D12160" s="30"/>
    </row>
    <row r="12161" spans="1:4" x14ac:dyDescent="0.25">
      <c r="A12161" s="31"/>
      <c r="D12161" s="30"/>
    </row>
    <row r="12162" spans="1:4" x14ac:dyDescent="0.25">
      <c r="A12162" s="31"/>
      <c r="D12162" s="30"/>
    </row>
    <row r="12163" spans="1:4" x14ac:dyDescent="0.25">
      <c r="A12163" s="31"/>
      <c r="D12163" s="30"/>
    </row>
    <row r="12164" spans="1:4" x14ac:dyDescent="0.25">
      <c r="A12164" s="31"/>
      <c r="D12164" s="30"/>
    </row>
    <row r="12165" spans="1:4" x14ac:dyDescent="0.25">
      <c r="A12165" s="31"/>
      <c r="D12165" s="30"/>
    </row>
    <row r="12166" spans="1:4" x14ac:dyDescent="0.25">
      <c r="A12166" s="31"/>
      <c r="D12166" s="30"/>
    </row>
    <row r="12167" spans="1:4" x14ac:dyDescent="0.25">
      <c r="A12167" s="31"/>
      <c r="D12167" s="30"/>
    </row>
    <row r="12168" spans="1:4" x14ac:dyDescent="0.25">
      <c r="A12168" s="31"/>
      <c r="D12168" s="30"/>
    </row>
    <row r="12169" spans="1:4" x14ac:dyDescent="0.25">
      <c r="A12169" s="31"/>
      <c r="D12169" s="30"/>
    </row>
    <row r="12170" spans="1:4" x14ac:dyDescent="0.25">
      <c r="A12170" s="31"/>
      <c r="D12170" s="30"/>
    </row>
    <row r="12171" spans="1:4" x14ac:dyDescent="0.25">
      <c r="A12171" s="31"/>
      <c r="D12171" s="30"/>
    </row>
    <row r="12172" spans="1:4" x14ac:dyDescent="0.25">
      <c r="A12172" s="31"/>
      <c r="D12172" s="30"/>
    </row>
    <row r="12173" spans="1:4" x14ac:dyDescent="0.25">
      <c r="A12173" s="31"/>
      <c r="D12173" s="30"/>
    </row>
    <row r="12174" spans="1:4" x14ac:dyDescent="0.25">
      <c r="A12174" s="31"/>
      <c r="D12174" s="30"/>
    </row>
    <row r="12175" spans="1:4" x14ac:dyDescent="0.25">
      <c r="A12175" s="31"/>
      <c r="D12175" s="30"/>
    </row>
    <row r="12176" spans="1:4" x14ac:dyDescent="0.25">
      <c r="A12176" s="31"/>
      <c r="D12176" s="30"/>
    </row>
    <row r="12177" spans="1:4" x14ac:dyDescent="0.25">
      <c r="A12177" s="31"/>
      <c r="D12177" s="30"/>
    </row>
    <row r="12178" spans="1:4" x14ac:dyDescent="0.25">
      <c r="A12178" s="31"/>
      <c r="D12178" s="30"/>
    </row>
    <row r="12179" spans="1:4" x14ac:dyDescent="0.25">
      <c r="A12179" s="31"/>
      <c r="D12179" s="30"/>
    </row>
    <row r="12180" spans="1:4" x14ac:dyDescent="0.25">
      <c r="A12180" s="31"/>
      <c r="D12180" s="30"/>
    </row>
    <row r="12181" spans="1:4" x14ac:dyDescent="0.25">
      <c r="A12181" s="31"/>
      <c r="D12181" s="30"/>
    </row>
    <row r="12182" spans="1:4" x14ac:dyDescent="0.25">
      <c r="A12182" s="31"/>
      <c r="D12182" s="30"/>
    </row>
    <row r="12183" spans="1:4" x14ac:dyDescent="0.25">
      <c r="A12183" s="31"/>
      <c r="D12183" s="30"/>
    </row>
    <row r="12184" spans="1:4" x14ac:dyDescent="0.25">
      <c r="A12184" s="31"/>
      <c r="D12184" s="30"/>
    </row>
    <row r="12185" spans="1:4" x14ac:dyDescent="0.25">
      <c r="A12185" s="31"/>
      <c r="D12185" s="30"/>
    </row>
    <row r="12186" spans="1:4" x14ac:dyDescent="0.25">
      <c r="A12186" s="31"/>
      <c r="D12186" s="30"/>
    </row>
    <row r="12187" spans="1:4" x14ac:dyDescent="0.25">
      <c r="A12187" s="31"/>
      <c r="D12187" s="30"/>
    </row>
    <row r="12188" spans="1:4" x14ac:dyDescent="0.25">
      <c r="A12188" s="31"/>
      <c r="D12188" s="30"/>
    </row>
    <row r="12189" spans="1:4" x14ac:dyDescent="0.25">
      <c r="A12189" s="31"/>
      <c r="D12189" s="30"/>
    </row>
    <row r="12190" spans="1:4" x14ac:dyDescent="0.25">
      <c r="A12190" s="31"/>
      <c r="D12190" s="30"/>
    </row>
    <row r="12191" spans="1:4" x14ac:dyDescent="0.25">
      <c r="A12191" s="31"/>
      <c r="D12191" s="30"/>
    </row>
    <row r="12192" spans="1:4" x14ac:dyDescent="0.25">
      <c r="A12192" s="31"/>
      <c r="D12192" s="30"/>
    </row>
    <row r="12193" spans="1:4" x14ac:dyDescent="0.25">
      <c r="A12193" s="31"/>
      <c r="D12193" s="30"/>
    </row>
    <row r="12194" spans="1:4" x14ac:dyDescent="0.25">
      <c r="A12194" s="31"/>
      <c r="D12194" s="30"/>
    </row>
    <row r="12195" spans="1:4" x14ac:dyDescent="0.25">
      <c r="A12195" s="31"/>
      <c r="D12195" s="30"/>
    </row>
    <row r="12196" spans="1:4" x14ac:dyDescent="0.25">
      <c r="A12196" s="31"/>
      <c r="D12196" s="30"/>
    </row>
    <row r="12197" spans="1:4" x14ac:dyDescent="0.25">
      <c r="A12197" s="31"/>
      <c r="D12197" s="30"/>
    </row>
    <row r="12198" spans="1:4" x14ac:dyDescent="0.25">
      <c r="A12198" s="31"/>
      <c r="D12198" s="30"/>
    </row>
    <row r="12199" spans="1:4" x14ac:dyDescent="0.25">
      <c r="A12199" s="31"/>
      <c r="D12199" s="30"/>
    </row>
    <row r="12200" spans="1:4" x14ac:dyDescent="0.25">
      <c r="A12200" s="31"/>
      <c r="D12200" s="30"/>
    </row>
    <row r="12201" spans="1:4" x14ac:dyDescent="0.25">
      <c r="A12201" s="31"/>
      <c r="D12201" s="30"/>
    </row>
    <row r="12202" spans="1:4" x14ac:dyDescent="0.25">
      <c r="A12202" s="31"/>
      <c r="D12202" s="30"/>
    </row>
    <row r="12203" spans="1:4" x14ac:dyDescent="0.25">
      <c r="A12203" s="31"/>
      <c r="D12203" s="30"/>
    </row>
    <row r="12204" spans="1:4" x14ac:dyDescent="0.25">
      <c r="A12204" s="31"/>
      <c r="D12204" s="30"/>
    </row>
    <row r="12205" spans="1:4" x14ac:dyDescent="0.25">
      <c r="A12205" s="31"/>
      <c r="D12205" s="30"/>
    </row>
    <row r="12206" spans="1:4" x14ac:dyDescent="0.25">
      <c r="A12206" s="31"/>
      <c r="D12206" s="30"/>
    </row>
    <row r="12207" spans="1:4" x14ac:dyDescent="0.25">
      <c r="A12207" s="31"/>
      <c r="D12207" s="30"/>
    </row>
    <row r="12208" spans="1:4" x14ac:dyDescent="0.25">
      <c r="A12208" s="31"/>
      <c r="D12208" s="30"/>
    </row>
    <row r="12209" spans="1:4" x14ac:dyDescent="0.25">
      <c r="A12209" s="31"/>
      <c r="D12209" s="30"/>
    </row>
    <row r="12210" spans="1:4" x14ac:dyDescent="0.25">
      <c r="A12210" s="31"/>
      <c r="D12210" s="30"/>
    </row>
    <row r="12211" spans="1:4" x14ac:dyDescent="0.25">
      <c r="A12211" s="31"/>
      <c r="D12211" s="30"/>
    </row>
    <row r="12212" spans="1:4" x14ac:dyDescent="0.25">
      <c r="A12212" s="31"/>
      <c r="D12212" s="30"/>
    </row>
    <row r="12213" spans="1:4" x14ac:dyDescent="0.25">
      <c r="A12213" s="31"/>
      <c r="D12213" s="30"/>
    </row>
    <row r="12214" spans="1:4" x14ac:dyDescent="0.25">
      <c r="A12214" s="31"/>
      <c r="D12214" s="30"/>
    </row>
    <row r="12215" spans="1:4" x14ac:dyDescent="0.25">
      <c r="A12215" s="31"/>
      <c r="D12215" s="30"/>
    </row>
    <row r="12216" spans="1:4" x14ac:dyDescent="0.25">
      <c r="A12216" s="31"/>
      <c r="D12216" s="30"/>
    </row>
    <row r="12217" spans="1:4" x14ac:dyDescent="0.25">
      <c r="A12217" s="31"/>
      <c r="D12217" s="30"/>
    </row>
    <row r="12218" spans="1:4" x14ac:dyDescent="0.25">
      <c r="A12218" s="31"/>
      <c r="D12218" s="30"/>
    </row>
    <row r="12219" spans="1:4" x14ac:dyDescent="0.25">
      <c r="A12219" s="31"/>
      <c r="D12219" s="30"/>
    </row>
    <row r="12220" spans="1:4" x14ac:dyDescent="0.25">
      <c r="A12220" s="31"/>
      <c r="D12220" s="30"/>
    </row>
    <row r="12221" spans="1:4" x14ac:dyDescent="0.25">
      <c r="A12221" s="31"/>
      <c r="D12221" s="30"/>
    </row>
    <row r="12222" spans="1:4" x14ac:dyDescent="0.25">
      <c r="A12222" s="31"/>
      <c r="D12222" s="30"/>
    </row>
    <row r="12223" spans="1:4" x14ac:dyDescent="0.25">
      <c r="A12223" s="31"/>
      <c r="D12223" s="30"/>
    </row>
    <row r="12224" spans="1:4" x14ac:dyDescent="0.25">
      <c r="A12224" s="31"/>
      <c r="D12224" s="30"/>
    </row>
    <row r="12225" spans="1:4" x14ac:dyDescent="0.25">
      <c r="A12225" s="31"/>
      <c r="D12225" s="30"/>
    </row>
    <row r="12226" spans="1:4" x14ac:dyDescent="0.25">
      <c r="A12226" s="31"/>
      <c r="D12226" s="30"/>
    </row>
    <row r="12227" spans="1:4" x14ac:dyDescent="0.25">
      <c r="A12227" s="31"/>
      <c r="D12227" s="30"/>
    </row>
    <row r="12228" spans="1:4" x14ac:dyDescent="0.25">
      <c r="A12228" s="31"/>
      <c r="D12228" s="30"/>
    </row>
    <row r="12229" spans="1:4" x14ac:dyDescent="0.25">
      <c r="A12229" s="31"/>
      <c r="D12229" s="30"/>
    </row>
    <row r="12230" spans="1:4" x14ac:dyDescent="0.25">
      <c r="A12230" s="31"/>
      <c r="D12230" s="30"/>
    </row>
    <row r="12231" spans="1:4" x14ac:dyDescent="0.25">
      <c r="A12231" s="31"/>
      <c r="D12231" s="30"/>
    </row>
    <row r="12232" spans="1:4" x14ac:dyDescent="0.25">
      <c r="A12232" s="31"/>
      <c r="D12232" s="30"/>
    </row>
    <row r="12233" spans="1:4" x14ac:dyDescent="0.25">
      <c r="A12233" s="31"/>
      <c r="D12233" s="30"/>
    </row>
    <row r="12234" spans="1:4" x14ac:dyDescent="0.25">
      <c r="A12234" s="31"/>
      <c r="D12234" s="30"/>
    </row>
    <row r="12235" spans="1:4" x14ac:dyDescent="0.25">
      <c r="A12235" s="31"/>
      <c r="D12235" s="30"/>
    </row>
    <row r="12236" spans="1:4" x14ac:dyDescent="0.25">
      <c r="A12236" s="31"/>
      <c r="D12236" s="30"/>
    </row>
    <row r="12237" spans="1:4" x14ac:dyDescent="0.25">
      <c r="A12237" s="31"/>
      <c r="D12237" s="30"/>
    </row>
    <row r="12238" spans="1:4" x14ac:dyDescent="0.25">
      <c r="A12238" s="31"/>
      <c r="D12238" s="30"/>
    </row>
    <row r="12239" spans="1:4" x14ac:dyDescent="0.25">
      <c r="A12239" s="31"/>
      <c r="D12239" s="30"/>
    </row>
    <row r="12240" spans="1:4" x14ac:dyDescent="0.25">
      <c r="A12240" s="31"/>
      <c r="D12240" s="30"/>
    </row>
    <row r="12241" spans="1:4" x14ac:dyDescent="0.25">
      <c r="A12241" s="31"/>
      <c r="D12241" s="30"/>
    </row>
    <row r="12242" spans="1:4" x14ac:dyDescent="0.25">
      <c r="A12242" s="31"/>
      <c r="D12242" s="30"/>
    </row>
    <row r="12243" spans="1:4" x14ac:dyDescent="0.25">
      <c r="A12243" s="31"/>
      <c r="D12243" s="30"/>
    </row>
    <row r="12244" spans="1:4" x14ac:dyDescent="0.25">
      <c r="A12244" s="31"/>
      <c r="D12244" s="30"/>
    </row>
    <row r="12245" spans="1:4" x14ac:dyDescent="0.25">
      <c r="A12245" s="31"/>
      <c r="D12245" s="30"/>
    </row>
    <row r="12246" spans="1:4" x14ac:dyDescent="0.25">
      <c r="A12246" s="31"/>
      <c r="D12246" s="30"/>
    </row>
    <row r="12247" spans="1:4" x14ac:dyDescent="0.25">
      <c r="A12247" s="31"/>
      <c r="D12247" s="30"/>
    </row>
    <row r="12248" spans="1:4" x14ac:dyDescent="0.25">
      <c r="A12248" s="31"/>
      <c r="D12248" s="30"/>
    </row>
    <row r="12249" spans="1:4" x14ac:dyDescent="0.25">
      <c r="A12249" s="31"/>
      <c r="D12249" s="30"/>
    </row>
    <row r="12250" spans="1:4" x14ac:dyDescent="0.25">
      <c r="A12250" s="31"/>
      <c r="D12250" s="30"/>
    </row>
    <row r="12251" spans="1:4" x14ac:dyDescent="0.25">
      <c r="A12251" s="31"/>
      <c r="D12251" s="30"/>
    </row>
    <row r="12252" spans="1:4" x14ac:dyDescent="0.25">
      <c r="A12252" s="31"/>
      <c r="D12252" s="30"/>
    </row>
    <row r="12253" spans="1:4" x14ac:dyDescent="0.25">
      <c r="A12253" s="31"/>
      <c r="D12253" s="30"/>
    </row>
    <row r="12254" spans="1:4" x14ac:dyDescent="0.25">
      <c r="A12254" s="31"/>
      <c r="D12254" s="30"/>
    </row>
    <row r="12255" spans="1:4" x14ac:dyDescent="0.25">
      <c r="A12255" s="31"/>
      <c r="D12255" s="30"/>
    </row>
    <row r="12256" spans="1:4" x14ac:dyDescent="0.25">
      <c r="A12256" s="31"/>
      <c r="D12256" s="30"/>
    </row>
    <row r="12257" spans="1:4" x14ac:dyDescent="0.25">
      <c r="A12257" s="31"/>
      <c r="D12257" s="30"/>
    </row>
    <row r="12258" spans="1:4" x14ac:dyDescent="0.25">
      <c r="A12258" s="31"/>
      <c r="D12258" s="30"/>
    </row>
    <row r="12259" spans="1:4" x14ac:dyDescent="0.25">
      <c r="A12259" s="31"/>
      <c r="D12259" s="30"/>
    </row>
    <row r="12260" spans="1:4" x14ac:dyDescent="0.25">
      <c r="A12260" s="31"/>
      <c r="D12260" s="30"/>
    </row>
    <row r="12261" spans="1:4" x14ac:dyDescent="0.25">
      <c r="A12261" s="31"/>
      <c r="D12261" s="30"/>
    </row>
    <row r="12262" spans="1:4" x14ac:dyDescent="0.25">
      <c r="A12262" s="31"/>
      <c r="D12262" s="30"/>
    </row>
    <row r="12263" spans="1:4" x14ac:dyDescent="0.25">
      <c r="A12263" s="31"/>
      <c r="D12263" s="30"/>
    </row>
    <row r="12264" spans="1:4" x14ac:dyDescent="0.25">
      <c r="A12264" s="31"/>
      <c r="D12264" s="30"/>
    </row>
    <row r="12265" spans="1:4" x14ac:dyDescent="0.25">
      <c r="A12265" s="31"/>
      <c r="D12265" s="30"/>
    </row>
    <row r="12266" spans="1:4" x14ac:dyDescent="0.25">
      <c r="A12266" s="31"/>
      <c r="D12266" s="30"/>
    </row>
    <row r="12267" spans="1:4" x14ac:dyDescent="0.25">
      <c r="A12267" s="31"/>
      <c r="D12267" s="30"/>
    </row>
    <row r="12268" spans="1:4" x14ac:dyDescent="0.25">
      <c r="A12268" s="31"/>
      <c r="D12268" s="30"/>
    </row>
    <row r="12269" spans="1:4" x14ac:dyDescent="0.25">
      <c r="A12269" s="31"/>
      <c r="D12269" s="30"/>
    </row>
    <row r="12270" spans="1:4" x14ac:dyDescent="0.25">
      <c r="A12270" s="31"/>
      <c r="D12270" s="30"/>
    </row>
    <row r="12271" spans="1:4" x14ac:dyDescent="0.25">
      <c r="A12271" s="31"/>
      <c r="D12271" s="30"/>
    </row>
    <row r="12272" spans="1:4" x14ac:dyDescent="0.25">
      <c r="A12272" s="31"/>
      <c r="D12272" s="30"/>
    </row>
    <row r="12273" spans="1:4" x14ac:dyDescent="0.25">
      <c r="A12273" s="31"/>
      <c r="D12273" s="30"/>
    </row>
    <row r="12274" spans="1:4" x14ac:dyDescent="0.25">
      <c r="A12274" s="31"/>
      <c r="D12274" s="30"/>
    </row>
    <row r="12275" spans="1:4" x14ac:dyDescent="0.25">
      <c r="A12275" s="31"/>
      <c r="D12275" s="30"/>
    </row>
    <row r="12276" spans="1:4" x14ac:dyDescent="0.25">
      <c r="A12276" s="31"/>
      <c r="D12276" s="30"/>
    </row>
    <row r="12277" spans="1:4" x14ac:dyDescent="0.25">
      <c r="A12277" s="31"/>
      <c r="D12277" s="30"/>
    </row>
    <row r="12278" spans="1:4" x14ac:dyDescent="0.25">
      <c r="A12278" s="31"/>
      <c r="D12278" s="30"/>
    </row>
    <row r="12279" spans="1:4" x14ac:dyDescent="0.25">
      <c r="A12279" s="31"/>
      <c r="D12279" s="30"/>
    </row>
    <row r="12280" spans="1:4" x14ac:dyDescent="0.25">
      <c r="A12280" s="31"/>
      <c r="D12280" s="30"/>
    </row>
    <row r="12281" spans="1:4" x14ac:dyDescent="0.25">
      <c r="A12281" s="31"/>
      <c r="D12281" s="30"/>
    </row>
    <row r="12282" spans="1:4" x14ac:dyDescent="0.25">
      <c r="A12282" s="31"/>
      <c r="D12282" s="30"/>
    </row>
    <row r="12283" spans="1:4" x14ac:dyDescent="0.25">
      <c r="A12283" s="31"/>
      <c r="D12283" s="30"/>
    </row>
    <row r="12284" spans="1:4" x14ac:dyDescent="0.25">
      <c r="A12284" s="31"/>
      <c r="D12284" s="30"/>
    </row>
    <row r="12285" spans="1:4" x14ac:dyDescent="0.25">
      <c r="A12285" s="31"/>
      <c r="D12285" s="30"/>
    </row>
    <row r="12286" spans="1:4" x14ac:dyDescent="0.25">
      <c r="A12286" s="31"/>
      <c r="D12286" s="30"/>
    </row>
    <row r="12287" spans="1:4" x14ac:dyDescent="0.25">
      <c r="A12287" s="31"/>
      <c r="D12287" s="30"/>
    </row>
    <row r="12288" spans="1:4" x14ac:dyDescent="0.25">
      <c r="A12288" s="31"/>
      <c r="D12288" s="30"/>
    </row>
    <row r="12289" spans="1:4" x14ac:dyDescent="0.25">
      <c r="A12289" s="31"/>
      <c r="D12289" s="30"/>
    </row>
    <row r="12290" spans="1:4" x14ac:dyDescent="0.25">
      <c r="A12290" s="31"/>
      <c r="D12290" s="30"/>
    </row>
    <row r="12291" spans="1:4" x14ac:dyDescent="0.25">
      <c r="A12291" s="31"/>
      <c r="D12291" s="30"/>
    </row>
    <row r="12292" spans="1:4" x14ac:dyDescent="0.25">
      <c r="A12292" s="31"/>
      <c r="D12292" s="30"/>
    </row>
    <row r="12293" spans="1:4" x14ac:dyDescent="0.25">
      <c r="A12293" s="31"/>
      <c r="D12293" s="30"/>
    </row>
    <row r="12294" spans="1:4" x14ac:dyDescent="0.25">
      <c r="A12294" s="31"/>
      <c r="D12294" s="30"/>
    </row>
    <row r="12295" spans="1:4" x14ac:dyDescent="0.25">
      <c r="A12295" s="31"/>
      <c r="D12295" s="30"/>
    </row>
    <row r="12296" spans="1:4" x14ac:dyDescent="0.25">
      <c r="A12296" s="31"/>
      <c r="D12296" s="30"/>
    </row>
    <row r="12297" spans="1:4" x14ac:dyDescent="0.25">
      <c r="A12297" s="31"/>
      <c r="D12297" s="30"/>
    </row>
    <row r="12298" spans="1:4" x14ac:dyDescent="0.25">
      <c r="A12298" s="31"/>
      <c r="D12298" s="30"/>
    </row>
    <row r="12299" spans="1:4" x14ac:dyDescent="0.25">
      <c r="A12299" s="31"/>
      <c r="D12299" s="30"/>
    </row>
    <row r="12300" spans="1:4" x14ac:dyDescent="0.25">
      <c r="A12300" s="31"/>
      <c r="D12300" s="30"/>
    </row>
    <row r="12301" spans="1:4" x14ac:dyDescent="0.25">
      <c r="A12301" s="31"/>
      <c r="D12301" s="30"/>
    </row>
    <row r="12302" spans="1:4" x14ac:dyDescent="0.25">
      <c r="A12302" s="31"/>
      <c r="D12302" s="30"/>
    </row>
    <row r="12303" spans="1:4" x14ac:dyDescent="0.25">
      <c r="A12303" s="31"/>
      <c r="D12303" s="30"/>
    </row>
    <row r="12304" spans="1:4" x14ac:dyDescent="0.25">
      <c r="A12304" s="31"/>
      <c r="D12304" s="30"/>
    </row>
    <row r="12305" spans="1:4" x14ac:dyDescent="0.25">
      <c r="A12305" s="31"/>
      <c r="D12305" s="30"/>
    </row>
    <row r="12306" spans="1:4" x14ac:dyDescent="0.25">
      <c r="A12306" s="31"/>
      <c r="D12306" s="30"/>
    </row>
    <row r="12307" spans="1:4" x14ac:dyDescent="0.25">
      <c r="A12307" s="31"/>
      <c r="D12307" s="30"/>
    </row>
    <row r="12308" spans="1:4" x14ac:dyDescent="0.25">
      <c r="A12308" s="31"/>
      <c r="D12308" s="30"/>
    </row>
    <row r="12309" spans="1:4" x14ac:dyDescent="0.25">
      <c r="A12309" s="31"/>
      <c r="D12309" s="30"/>
    </row>
    <row r="12310" spans="1:4" x14ac:dyDescent="0.25">
      <c r="A12310" s="31"/>
      <c r="D12310" s="30"/>
    </row>
    <row r="12311" spans="1:4" x14ac:dyDescent="0.25">
      <c r="A12311" s="31"/>
      <c r="D12311" s="30"/>
    </row>
    <row r="12312" spans="1:4" x14ac:dyDescent="0.25">
      <c r="A12312" s="31"/>
      <c r="D12312" s="30"/>
    </row>
    <row r="12313" spans="1:4" x14ac:dyDescent="0.25">
      <c r="A12313" s="31"/>
      <c r="D12313" s="30"/>
    </row>
    <row r="12314" spans="1:4" x14ac:dyDescent="0.25">
      <c r="A12314" s="31"/>
      <c r="D12314" s="30"/>
    </row>
    <row r="12315" spans="1:4" x14ac:dyDescent="0.25">
      <c r="A12315" s="31"/>
      <c r="D12315" s="30"/>
    </row>
    <row r="12316" spans="1:4" x14ac:dyDescent="0.25">
      <c r="A12316" s="31"/>
      <c r="D12316" s="30"/>
    </row>
    <row r="12317" spans="1:4" x14ac:dyDescent="0.25">
      <c r="A12317" s="31"/>
      <c r="D12317" s="30"/>
    </row>
    <row r="12318" spans="1:4" x14ac:dyDescent="0.25">
      <c r="A12318" s="31"/>
      <c r="D12318" s="30"/>
    </row>
    <row r="12319" spans="1:4" x14ac:dyDescent="0.25">
      <c r="A12319" s="31"/>
      <c r="D12319" s="30"/>
    </row>
    <row r="12320" spans="1:4" x14ac:dyDescent="0.25">
      <c r="A12320" s="31"/>
      <c r="D12320" s="30"/>
    </row>
    <row r="12321" spans="1:4" x14ac:dyDescent="0.25">
      <c r="A12321" s="31"/>
      <c r="D12321" s="30"/>
    </row>
    <row r="12322" spans="1:4" x14ac:dyDescent="0.25">
      <c r="A12322" s="31"/>
      <c r="D12322" s="30"/>
    </row>
    <row r="12323" spans="1:4" x14ac:dyDescent="0.25">
      <c r="A12323" s="31"/>
      <c r="D12323" s="30"/>
    </row>
    <row r="12324" spans="1:4" x14ac:dyDescent="0.25">
      <c r="A12324" s="31"/>
      <c r="D12324" s="30"/>
    </row>
    <row r="12325" spans="1:4" x14ac:dyDescent="0.25">
      <c r="A12325" s="31"/>
      <c r="D12325" s="30"/>
    </row>
    <row r="12326" spans="1:4" x14ac:dyDescent="0.25">
      <c r="A12326" s="31"/>
      <c r="D12326" s="30"/>
    </row>
    <row r="12327" spans="1:4" x14ac:dyDescent="0.25">
      <c r="A12327" s="31"/>
      <c r="D12327" s="30"/>
    </row>
    <row r="12328" spans="1:4" x14ac:dyDescent="0.25">
      <c r="A12328" s="31"/>
      <c r="D12328" s="30"/>
    </row>
    <row r="12329" spans="1:4" x14ac:dyDescent="0.25">
      <c r="A12329" s="31"/>
      <c r="D12329" s="30"/>
    </row>
    <row r="12330" spans="1:4" x14ac:dyDescent="0.25">
      <c r="A12330" s="31"/>
      <c r="D12330" s="30"/>
    </row>
    <row r="12331" spans="1:4" x14ac:dyDescent="0.25">
      <c r="A12331" s="31"/>
      <c r="D12331" s="30"/>
    </row>
    <row r="12332" spans="1:4" x14ac:dyDescent="0.25">
      <c r="A12332" s="31"/>
      <c r="D12332" s="30"/>
    </row>
    <row r="12333" spans="1:4" x14ac:dyDescent="0.25">
      <c r="A12333" s="31"/>
      <c r="D12333" s="30"/>
    </row>
    <row r="12334" spans="1:4" x14ac:dyDescent="0.25">
      <c r="A12334" s="31"/>
      <c r="D12334" s="30"/>
    </row>
    <row r="12335" spans="1:4" x14ac:dyDescent="0.25">
      <c r="A12335" s="31"/>
      <c r="D12335" s="30"/>
    </row>
    <row r="12336" spans="1:4" x14ac:dyDescent="0.25">
      <c r="A12336" s="31"/>
      <c r="D12336" s="30"/>
    </row>
    <row r="12337" spans="1:4" x14ac:dyDescent="0.25">
      <c r="A12337" s="31"/>
      <c r="D12337" s="30"/>
    </row>
    <row r="12338" spans="1:4" x14ac:dyDescent="0.25">
      <c r="A12338" s="31"/>
      <c r="D12338" s="30"/>
    </row>
    <row r="12339" spans="1:4" x14ac:dyDescent="0.25">
      <c r="A12339" s="31"/>
      <c r="D12339" s="30"/>
    </row>
    <row r="12340" spans="1:4" x14ac:dyDescent="0.25">
      <c r="A12340" s="31"/>
      <c r="D12340" s="30"/>
    </row>
    <row r="12341" spans="1:4" x14ac:dyDescent="0.25">
      <c r="A12341" s="31"/>
      <c r="D12341" s="30"/>
    </row>
    <row r="12342" spans="1:4" x14ac:dyDescent="0.25">
      <c r="A12342" s="31"/>
      <c r="D12342" s="30"/>
    </row>
    <row r="12343" spans="1:4" x14ac:dyDescent="0.25">
      <c r="A12343" s="31"/>
      <c r="D12343" s="30"/>
    </row>
    <row r="12344" spans="1:4" x14ac:dyDescent="0.25">
      <c r="A12344" s="31"/>
      <c r="D12344" s="30"/>
    </row>
    <row r="12345" spans="1:4" x14ac:dyDescent="0.25">
      <c r="A12345" s="31"/>
      <c r="D12345" s="30"/>
    </row>
    <row r="12346" spans="1:4" x14ac:dyDescent="0.25">
      <c r="A12346" s="31"/>
      <c r="D12346" s="30"/>
    </row>
    <row r="12347" spans="1:4" x14ac:dyDescent="0.25">
      <c r="A12347" s="31"/>
      <c r="D12347" s="30"/>
    </row>
    <row r="12348" spans="1:4" x14ac:dyDescent="0.25">
      <c r="A12348" s="31"/>
      <c r="D12348" s="30"/>
    </row>
    <row r="12349" spans="1:4" x14ac:dyDescent="0.25">
      <c r="A12349" s="31"/>
      <c r="D12349" s="30"/>
    </row>
    <row r="12350" spans="1:4" x14ac:dyDescent="0.25">
      <c r="A12350" s="31"/>
      <c r="D12350" s="30"/>
    </row>
    <row r="12351" spans="1:4" x14ac:dyDescent="0.25">
      <c r="A12351" s="31"/>
      <c r="D12351" s="30"/>
    </row>
    <row r="12352" spans="1:4" x14ac:dyDescent="0.25">
      <c r="A12352" s="31"/>
      <c r="D12352" s="30"/>
    </row>
    <row r="12353" spans="1:4" x14ac:dyDescent="0.25">
      <c r="A12353" s="31"/>
      <c r="D12353" s="30"/>
    </row>
    <row r="12354" spans="1:4" x14ac:dyDescent="0.25">
      <c r="A12354" s="31"/>
      <c r="D12354" s="30"/>
    </row>
    <row r="12355" spans="1:4" x14ac:dyDescent="0.25">
      <c r="A12355" s="31"/>
      <c r="D12355" s="30"/>
    </row>
    <row r="12356" spans="1:4" x14ac:dyDescent="0.25">
      <c r="A12356" s="31"/>
      <c r="D12356" s="30"/>
    </row>
    <row r="12357" spans="1:4" x14ac:dyDescent="0.25">
      <c r="A12357" s="31"/>
      <c r="D12357" s="30"/>
    </row>
    <row r="12358" spans="1:4" x14ac:dyDescent="0.25">
      <c r="A12358" s="31"/>
      <c r="D12358" s="30"/>
    </row>
    <row r="12359" spans="1:4" x14ac:dyDescent="0.25">
      <c r="A12359" s="31"/>
      <c r="D12359" s="30"/>
    </row>
    <row r="12360" spans="1:4" x14ac:dyDescent="0.25">
      <c r="A12360" s="31"/>
      <c r="D12360" s="30"/>
    </row>
    <row r="12361" spans="1:4" x14ac:dyDescent="0.25">
      <c r="A12361" s="31"/>
      <c r="D12361" s="30"/>
    </row>
    <row r="12362" spans="1:4" x14ac:dyDescent="0.25">
      <c r="A12362" s="31"/>
      <c r="D12362" s="30"/>
    </row>
    <row r="12363" spans="1:4" x14ac:dyDescent="0.25">
      <c r="A12363" s="31"/>
      <c r="D12363" s="30"/>
    </row>
    <row r="12364" spans="1:4" x14ac:dyDescent="0.25">
      <c r="A12364" s="31"/>
      <c r="D12364" s="30"/>
    </row>
    <row r="12365" spans="1:4" x14ac:dyDescent="0.25">
      <c r="A12365" s="31"/>
      <c r="D12365" s="30"/>
    </row>
    <row r="12366" spans="1:4" x14ac:dyDescent="0.25">
      <c r="A12366" s="31"/>
      <c r="D12366" s="30"/>
    </row>
    <row r="12367" spans="1:4" x14ac:dyDescent="0.25">
      <c r="A12367" s="31"/>
      <c r="D12367" s="30"/>
    </row>
    <row r="12368" spans="1:4" x14ac:dyDescent="0.25">
      <c r="A12368" s="31"/>
      <c r="D12368" s="30"/>
    </row>
    <row r="12369" spans="1:4" x14ac:dyDescent="0.25">
      <c r="A12369" s="31"/>
      <c r="D12369" s="30"/>
    </row>
    <row r="12370" spans="1:4" x14ac:dyDescent="0.25">
      <c r="A12370" s="31"/>
      <c r="D12370" s="30"/>
    </row>
    <row r="12371" spans="1:4" x14ac:dyDescent="0.25">
      <c r="A12371" s="31"/>
      <c r="D12371" s="30"/>
    </row>
    <row r="12372" spans="1:4" x14ac:dyDescent="0.25">
      <c r="A12372" s="31"/>
      <c r="D12372" s="30"/>
    </row>
    <row r="12373" spans="1:4" x14ac:dyDescent="0.25">
      <c r="A12373" s="31"/>
      <c r="D12373" s="30"/>
    </row>
    <row r="12374" spans="1:4" x14ac:dyDescent="0.25">
      <c r="A12374" s="31"/>
      <c r="D12374" s="30"/>
    </row>
    <row r="12375" spans="1:4" x14ac:dyDescent="0.25">
      <c r="A12375" s="31"/>
      <c r="D12375" s="30"/>
    </row>
    <row r="12376" spans="1:4" x14ac:dyDescent="0.25">
      <c r="A12376" s="31"/>
      <c r="D12376" s="30"/>
    </row>
    <row r="12377" spans="1:4" x14ac:dyDescent="0.25">
      <c r="A12377" s="31"/>
      <c r="D12377" s="30"/>
    </row>
    <row r="12378" spans="1:4" x14ac:dyDescent="0.25">
      <c r="A12378" s="31"/>
      <c r="D12378" s="30"/>
    </row>
    <row r="12379" spans="1:4" x14ac:dyDescent="0.25">
      <c r="A12379" s="31"/>
      <c r="D12379" s="30"/>
    </row>
    <row r="12380" spans="1:4" x14ac:dyDescent="0.25">
      <c r="A12380" s="31"/>
      <c r="D12380" s="30"/>
    </row>
    <row r="12381" spans="1:4" x14ac:dyDescent="0.25">
      <c r="A12381" s="31"/>
      <c r="D12381" s="30"/>
    </row>
    <row r="12382" spans="1:4" x14ac:dyDescent="0.25">
      <c r="A12382" s="31"/>
      <c r="D12382" s="30"/>
    </row>
    <row r="12383" spans="1:4" x14ac:dyDescent="0.25">
      <c r="A12383" s="31"/>
      <c r="D12383" s="30"/>
    </row>
    <row r="12384" spans="1:4" x14ac:dyDescent="0.25">
      <c r="A12384" s="31"/>
      <c r="D12384" s="30"/>
    </row>
    <row r="12385" spans="1:4" x14ac:dyDescent="0.25">
      <c r="A12385" s="31"/>
      <c r="D12385" s="30"/>
    </row>
    <row r="12386" spans="1:4" x14ac:dyDescent="0.25">
      <c r="A12386" s="31"/>
      <c r="D12386" s="30"/>
    </row>
    <row r="12387" spans="1:4" x14ac:dyDescent="0.25">
      <c r="A12387" s="31"/>
      <c r="D12387" s="30"/>
    </row>
    <row r="12388" spans="1:4" x14ac:dyDescent="0.25">
      <c r="A12388" s="31"/>
      <c r="D12388" s="30"/>
    </row>
    <row r="12389" spans="1:4" x14ac:dyDescent="0.25">
      <c r="A12389" s="31"/>
      <c r="D12389" s="30"/>
    </row>
    <row r="12390" spans="1:4" x14ac:dyDescent="0.25">
      <c r="A12390" s="31"/>
      <c r="D12390" s="30"/>
    </row>
    <row r="12391" spans="1:4" x14ac:dyDescent="0.25">
      <c r="A12391" s="31"/>
      <c r="D12391" s="30"/>
    </row>
    <row r="12392" spans="1:4" x14ac:dyDescent="0.25">
      <c r="A12392" s="31"/>
      <c r="D12392" s="30"/>
    </row>
    <row r="12393" spans="1:4" x14ac:dyDescent="0.25">
      <c r="A12393" s="31"/>
      <c r="D12393" s="30"/>
    </row>
    <row r="12394" spans="1:4" x14ac:dyDescent="0.25">
      <c r="A12394" s="31"/>
      <c r="D12394" s="30"/>
    </row>
    <row r="12395" spans="1:4" x14ac:dyDescent="0.25">
      <c r="A12395" s="31"/>
      <c r="D12395" s="30"/>
    </row>
    <row r="12396" spans="1:4" x14ac:dyDescent="0.25">
      <c r="A12396" s="31"/>
      <c r="D12396" s="30"/>
    </row>
    <row r="12397" spans="1:4" x14ac:dyDescent="0.25">
      <c r="A12397" s="31"/>
      <c r="D12397" s="30"/>
    </row>
    <row r="12398" spans="1:4" x14ac:dyDescent="0.25">
      <c r="A12398" s="31"/>
      <c r="D12398" s="30"/>
    </row>
    <row r="12399" spans="1:4" x14ac:dyDescent="0.25">
      <c r="A12399" s="31"/>
      <c r="D12399" s="30"/>
    </row>
    <row r="12400" spans="1:4" x14ac:dyDescent="0.25">
      <c r="A12400" s="31"/>
      <c r="D12400" s="30"/>
    </row>
    <row r="12401" spans="1:4" x14ac:dyDescent="0.25">
      <c r="A12401" s="31"/>
      <c r="D12401" s="30"/>
    </row>
    <row r="12402" spans="1:4" x14ac:dyDescent="0.25">
      <c r="A12402" s="31"/>
      <c r="D12402" s="30"/>
    </row>
    <row r="12403" spans="1:4" x14ac:dyDescent="0.25">
      <c r="A12403" s="31"/>
      <c r="D12403" s="30"/>
    </row>
    <row r="12404" spans="1:4" x14ac:dyDescent="0.25">
      <c r="A12404" s="31"/>
      <c r="D12404" s="30"/>
    </row>
    <row r="12405" spans="1:4" x14ac:dyDescent="0.25">
      <c r="A12405" s="31"/>
      <c r="D12405" s="30"/>
    </row>
    <row r="12406" spans="1:4" x14ac:dyDescent="0.25">
      <c r="A12406" s="31"/>
      <c r="D12406" s="30"/>
    </row>
    <row r="12407" spans="1:4" x14ac:dyDescent="0.25">
      <c r="A12407" s="31"/>
      <c r="D12407" s="30"/>
    </row>
    <row r="12408" spans="1:4" x14ac:dyDescent="0.25">
      <c r="A12408" s="31"/>
      <c r="D12408" s="30"/>
    </row>
    <row r="12409" spans="1:4" x14ac:dyDescent="0.25">
      <c r="A12409" s="31"/>
      <c r="D12409" s="30"/>
    </row>
    <row r="12410" spans="1:4" x14ac:dyDescent="0.25">
      <c r="A12410" s="31"/>
      <c r="D12410" s="30"/>
    </row>
    <row r="12411" spans="1:4" x14ac:dyDescent="0.25">
      <c r="A12411" s="31"/>
      <c r="D12411" s="30"/>
    </row>
    <row r="12412" spans="1:4" x14ac:dyDescent="0.25">
      <c r="A12412" s="31"/>
      <c r="D12412" s="30"/>
    </row>
    <row r="12413" spans="1:4" x14ac:dyDescent="0.25">
      <c r="A12413" s="31"/>
      <c r="D12413" s="30"/>
    </row>
    <row r="12414" spans="1:4" x14ac:dyDescent="0.25">
      <c r="A12414" s="31"/>
      <c r="D12414" s="30"/>
    </row>
    <row r="12415" spans="1:4" x14ac:dyDescent="0.25">
      <c r="A12415" s="31"/>
      <c r="D12415" s="30"/>
    </row>
    <row r="12416" spans="1:4" x14ac:dyDescent="0.25">
      <c r="A12416" s="31"/>
      <c r="D12416" s="30"/>
    </row>
    <row r="12417" spans="1:4" x14ac:dyDescent="0.25">
      <c r="A12417" s="31"/>
      <c r="D12417" s="30"/>
    </row>
    <row r="12418" spans="1:4" x14ac:dyDescent="0.25">
      <c r="A12418" s="31"/>
      <c r="D12418" s="30"/>
    </row>
    <row r="12419" spans="1:4" x14ac:dyDescent="0.25">
      <c r="A12419" s="31"/>
      <c r="D12419" s="30"/>
    </row>
    <row r="12420" spans="1:4" x14ac:dyDescent="0.25">
      <c r="A12420" s="31"/>
      <c r="D12420" s="30"/>
    </row>
    <row r="12421" spans="1:4" x14ac:dyDescent="0.25">
      <c r="A12421" s="31"/>
      <c r="D12421" s="30"/>
    </row>
    <row r="12422" spans="1:4" x14ac:dyDescent="0.25">
      <c r="A12422" s="31"/>
      <c r="D12422" s="30"/>
    </row>
    <row r="12423" spans="1:4" x14ac:dyDescent="0.25">
      <c r="A12423" s="31"/>
      <c r="D12423" s="30"/>
    </row>
    <row r="12424" spans="1:4" x14ac:dyDescent="0.25">
      <c r="A12424" s="31"/>
      <c r="D12424" s="30"/>
    </row>
    <row r="12425" spans="1:4" x14ac:dyDescent="0.25">
      <c r="A12425" s="31"/>
      <c r="D12425" s="30"/>
    </row>
    <row r="12426" spans="1:4" x14ac:dyDescent="0.25">
      <c r="A12426" s="31"/>
      <c r="D12426" s="30"/>
    </row>
    <row r="12427" spans="1:4" x14ac:dyDescent="0.25">
      <c r="A12427" s="31"/>
      <c r="D12427" s="30"/>
    </row>
    <row r="12428" spans="1:4" x14ac:dyDescent="0.25">
      <c r="A12428" s="31"/>
      <c r="D12428" s="30"/>
    </row>
    <row r="12429" spans="1:4" x14ac:dyDescent="0.25">
      <c r="A12429" s="31"/>
      <c r="D12429" s="30"/>
    </row>
    <row r="12430" spans="1:4" x14ac:dyDescent="0.25">
      <c r="A12430" s="31"/>
      <c r="D12430" s="30"/>
    </row>
    <row r="12431" spans="1:4" x14ac:dyDescent="0.25">
      <c r="A12431" s="31"/>
      <c r="D12431" s="30"/>
    </row>
    <row r="12432" spans="1:4" x14ac:dyDescent="0.25">
      <c r="A12432" s="31"/>
      <c r="D12432" s="30"/>
    </row>
    <row r="12433" spans="1:4" x14ac:dyDescent="0.25">
      <c r="A12433" s="31"/>
      <c r="D12433" s="30"/>
    </row>
    <row r="12434" spans="1:4" x14ac:dyDescent="0.25">
      <c r="A12434" s="31"/>
      <c r="D12434" s="30"/>
    </row>
    <row r="12435" spans="1:4" x14ac:dyDescent="0.25">
      <c r="A12435" s="31"/>
      <c r="D12435" s="30"/>
    </row>
    <row r="12436" spans="1:4" x14ac:dyDescent="0.25">
      <c r="A12436" s="31"/>
      <c r="D12436" s="30"/>
    </row>
    <row r="12437" spans="1:4" x14ac:dyDescent="0.25">
      <c r="A12437" s="31"/>
      <c r="D12437" s="30"/>
    </row>
    <row r="12438" spans="1:4" x14ac:dyDescent="0.25">
      <c r="A12438" s="31"/>
      <c r="D12438" s="30"/>
    </row>
    <row r="12439" spans="1:4" x14ac:dyDescent="0.25">
      <c r="A12439" s="31"/>
      <c r="D12439" s="30"/>
    </row>
    <row r="12440" spans="1:4" x14ac:dyDescent="0.25">
      <c r="A12440" s="31"/>
      <c r="D12440" s="30"/>
    </row>
    <row r="12441" spans="1:4" x14ac:dyDescent="0.25">
      <c r="A12441" s="31"/>
      <c r="D12441" s="30"/>
    </row>
    <row r="12442" spans="1:4" x14ac:dyDescent="0.25">
      <c r="A12442" s="31"/>
      <c r="D12442" s="30"/>
    </row>
    <row r="12443" spans="1:4" x14ac:dyDescent="0.25">
      <c r="A12443" s="31"/>
      <c r="D12443" s="30"/>
    </row>
    <row r="12444" spans="1:4" x14ac:dyDescent="0.25">
      <c r="A12444" s="31"/>
      <c r="D12444" s="30"/>
    </row>
    <row r="12445" spans="1:4" x14ac:dyDescent="0.25">
      <c r="A12445" s="31"/>
      <c r="D12445" s="30"/>
    </row>
    <row r="12446" spans="1:4" x14ac:dyDescent="0.25">
      <c r="A12446" s="31"/>
      <c r="D12446" s="30"/>
    </row>
    <row r="12447" spans="1:4" x14ac:dyDescent="0.25">
      <c r="A12447" s="31"/>
      <c r="D12447" s="30"/>
    </row>
    <row r="12448" spans="1:4" x14ac:dyDescent="0.25">
      <c r="A12448" s="31"/>
      <c r="D12448" s="30"/>
    </row>
    <row r="12449" spans="1:4" x14ac:dyDescent="0.25">
      <c r="A12449" s="31"/>
      <c r="D12449" s="30"/>
    </row>
    <row r="12450" spans="1:4" x14ac:dyDescent="0.25">
      <c r="A12450" s="31"/>
      <c r="D12450" s="30"/>
    </row>
    <row r="12451" spans="1:4" x14ac:dyDescent="0.25">
      <c r="A12451" s="31"/>
      <c r="D12451" s="30"/>
    </row>
    <row r="12452" spans="1:4" x14ac:dyDescent="0.25">
      <c r="A12452" s="31"/>
      <c r="D12452" s="30"/>
    </row>
    <row r="12453" spans="1:4" x14ac:dyDescent="0.25">
      <c r="A12453" s="31"/>
      <c r="D12453" s="30"/>
    </row>
    <row r="12454" spans="1:4" x14ac:dyDescent="0.25">
      <c r="A12454" s="31"/>
      <c r="D12454" s="30"/>
    </row>
    <row r="12455" spans="1:4" x14ac:dyDescent="0.25">
      <c r="A12455" s="31"/>
      <c r="D12455" s="30"/>
    </row>
    <row r="12456" spans="1:4" x14ac:dyDescent="0.25">
      <c r="A12456" s="31"/>
      <c r="D12456" s="30"/>
    </row>
    <row r="12457" spans="1:4" x14ac:dyDescent="0.25">
      <c r="A12457" s="31"/>
      <c r="D12457" s="30"/>
    </row>
    <row r="12458" spans="1:4" x14ac:dyDescent="0.25">
      <c r="A12458" s="31"/>
      <c r="D12458" s="30"/>
    </row>
    <row r="12459" spans="1:4" x14ac:dyDescent="0.25">
      <c r="A12459" s="31"/>
      <c r="D12459" s="30"/>
    </row>
    <row r="12460" spans="1:4" x14ac:dyDescent="0.25">
      <c r="A12460" s="31"/>
      <c r="D12460" s="30"/>
    </row>
    <row r="12461" spans="1:4" x14ac:dyDescent="0.25">
      <c r="A12461" s="31"/>
      <c r="D12461" s="30"/>
    </row>
    <row r="12462" spans="1:4" x14ac:dyDescent="0.25">
      <c r="A12462" s="31"/>
      <c r="D12462" s="30"/>
    </row>
    <row r="12463" spans="1:4" x14ac:dyDescent="0.25">
      <c r="A12463" s="31"/>
      <c r="D12463" s="30"/>
    </row>
    <row r="12464" spans="1:4" x14ac:dyDescent="0.25">
      <c r="A12464" s="31"/>
      <c r="D12464" s="30"/>
    </row>
    <row r="12465" spans="1:4" x14ac:dyDescent="0.25">
      <c r="A12465" s="31"/>
      <c r="D12465" s="30"/>
    </row>
    <row r="12466" spans="1:4" x14ac:dyDescent="0.25">
      <c r="A12466" s="31"/>
      <c r="D12466" s="30"/>
    </row>
    <row r="12467" spans="1:4" x14ac:dyDescent="0.25">
      <c r="A12467" s="31"/>
      <c r="D12467" s="30"/>
    </row>
    <row r="12468" spans="1:4" x14ac:dyDescent="0.25">
      <c r="A12468" s="31"/>
      <c r="D12468" s="30"/>
    </row>
    <row r="12469" spans="1:4" x14ac:dyDescent="0.25">
      <c r="A12469" s="31"/>
      <c r="D12469" s="30"/>
    </row>
    <row r="12470" spans="1:4" x14ac:dyDescent="0.25">
      <c r="A12470" s="31"/>
      <c r="D12470" s="30"/>
    </row>
    <row r="12471" spans="1:4" x14ac:dyDescent="0.25">
      <c r="A12471" s="31"/>
      <c r="D12471" s="30"/>
    </row>
    <row r="12472" spans="1:4" x14ac:dyDescent="0.25">
      <c r="A12472" s="31"/>
      <c r="D12472" s="30"/>
    </row>
    <row r="12473" spans="1:4" x14ac:dyDescent="0.25">
      <c r="A12473" s="31"/>
      <c r="D12473" s="30"/>
    </row>
    <row r="12474" spans="1:4" x14ac:dyDescent="0.25">
      <c r="A12474" s="31"/>
      <c r="D12474" s="30"/>
    </row>
    <row r="12475" spans="1:4" x14ac:dyDescent="0.25">
      <c r="A12475" s="31"/>
      <c r="D12475" s="30"/>
    </row>
    <row r="12476" spans="1:4" x14ac:dyDescent="0.25">
      <c r="A12476" s="31"/>
      <c r="D12476" s="30"/>
    </row>
    <row r="12477" spans="1:4" x14ac:dyDescent="0.25">
      <c r="A12477" s="31"/>
      <c r="D12477" s="30"/>
    </row>
    <row r="12478" spans="1:4" x14ac:dyDescent="0.25">
      <c r="A12478" s="31"/>
      <c r="D12478" s="30"/>
    </row>
    <row r="12479" spans="1:4" x14ac:dyDescent="0.25">
      <c r="A12479" s="31"/>
      <c r="D12479" s="30"/>
    </row>
    <row r="12480" spans="1:4" x14ac:dyDescent="0.25">
      <c r="A12480" s="31"/>
      <c r="D12480" s="30"/>
    </row>
    <row r="12481" spans="1:4" x14ac:dyDescent="0.25">
      <c r="A12481" s="31"/>
      <c r="D12481" s="30"/>
    </row>
    <row r="12482" spans="1:4" x14ac:dyDescent="0.25">
      <c r="A12482" s="31"/>
      <c r="D12482" s="30"/>
    </row>
    <row r="12483" spans="1:4" x14ac:dyDescent="0.25">
      <c r="A12483" s="31"/>
      <c r="D12483" s="30"/>
    </row>
    <row r="12484" spans="1:4" x14ac:dyDescent="0.25">
      <c r="A12484" s="31"/>
      <c r="D12484" s="30"/>
    </row>
    <row r="12485" spans="1:4" x14ac:dyDescent="0.25">
      <c r="A12485" s="31"/>
      <c r="D12485" s="30"/>
    </row>
    <row r="12486" spans="1:4" x14ac:dyDescent="0.25">
      <c r="A12486" s="31"/>
      <c r="D12486" s="30"/>
    </row>
    <row r="12487" spans="1:4" x14ac:dyDescent="0.25">
      <c r="A12487" s="31"/>
      <c r="D12487" s="30"/>
    </row>
    <row r="12488" spans="1:4" x14ac:dyDescent="0.25">
      <c r="A12488" s="31"/>
      <c r="D12488" s="30"/>
    </row>
    <row r="12489" spans="1:4" x14ac:dyDescent="0.25">
      <c r="A12489" s="31"/>
      <c r="D12489" s="30"/>
    </row>
    <row r="12490" spans="1:4" x14ac:dyDescent="0.25">
      <c r="A12490" s="31"/>
      <c r="D12490" s="30"/>
    </row>
    <row r="12491" spans="1:4" x14ac:dyDescent="0.25">
      <c r="A12491" s="31"/>
      <c r="D12491" s="30"/>
    </row>
    <row r="12492" spans="1:4" x14ac:dyDescent="0.25">
      <c r="A12492" s="31"/>
      <c r="D12492" s="30"/>
    </row>
    <row r="12493" spans="1:4" x14ac:dyDescent="0.25">
      <c r="A12493" s="31"/>
      <c r="D12493" s="30"/>
    </row>
    <row r="12494" spans="1:4" x14ac:dyDescent="0.25">
      <c r="A12494" s="31"/>
      <c r="D12494" s="30"/>
    </row>
    <row r="12495" spans="1:4" x14ac:dyDescent="0.25">
      <c r="A12495" s="31"/>
      <c r="D12495" s="30"/>
    </row>
    <row r="12496" spans="1:4" x14ac:dyDescent="0.25">
      <c r="A12496" s="31"/>
      <c r="D12496" s="30"/>
    </row>
    <row r="12497" spans="1:4" x14ac:dyDescent="0.25">
      <c r="A12497" s="31"/>
      <c r="D12497" s="30"/>
    </row>
    <row r="12498" spans="1:4" x14ac:dyDescent="0.25">
      <c r="A12498" s="31"/>
      <c r="D12498" s="30"/>
    </row>
    <row r="12499" spans="1:4" x14ac:dyDescent="0.25">
      <c r="A12499" s="31"/>
      <c r="D12499" s="30"/>
    </row>
    <row r="12500" spans="1:4" x14ac:dyDescent="0.25">
      <c r="A12500" s="31"/>
      <c r="D12500" s="30"/>
    </row>
    <row r="12501" spans="1:4" x14ac:dyDescent="0.25">
      <c r="A12501" s="31"/>
      <c r="D12501" s="30"/>
    </row>
    <row r="12502" spans="1:4" x14ac:dyDescent="0.25">
      <c r="A12502" s="31"/>
      <c r="D12502" s="30"/>
    </row>
    <row r="12503" spans="1:4" x14ac:dyDescent="0.25">
      <c r="A12503" s="31"/>
      <c r="D12503" s="30"/>
    </row>
    <row r="12504" spans="1:4" x14ac:dyDescent="0.25">
      <c r="A12504" s="31"/>
      <c r="D12504" s="30"/>
    </row>
    <row r="12505" spans="1:4" x14ac:dyDescent="0.25">
      <c r="A12505" s="31"/>
      <c r="D12505" s="30"/>
    </row>
    <row r="12506" spans="1:4" x14ac:dyDescent="0.25">
      <c r="A12506" s="31"/>
      <c r="D12506" s="30"/>
    </row>
    <row r="12507" spans="1:4" x14ac:dyDescent="0.25">
      <c r="A12507" s="31"/>
      <c r="D12507" s="30"/>
    </row>
    <row r="12508" spans="1:4" x14ac:dyDescent="0.25">
      <c r="A12508" s="31"/>
      <c r="D12508" s="30"/>
    </row>
    <row r="12509" spans="1:4" x14ac:dyDescent="0.25">
      <c r="A12509" s="31"/>
      <c r="D12509" s="30"/>
    </row>
    <row r="12510" spans="1:4" x14ac:dyDescent="0.25">
      <c r="A12510" s="31"/>
      <c r="D12510" s="30"/>
    </row>
    <row r="12511" spans="1:4" x14ac:dyDescent="0.25">
      <c r="A12511" s="31"/>
      <c r="D12511" s="30"/>
    </row>
    <row r="12512" spans="1:4" x14ac:dyDescent="0.25">
      <c r="A12512" s="31"/>
      <c r="D12512" s="30"/>
    </row>
    <row r="12513" spans="1:4" x14ac:dyDescent="0.25">
      <c r="A12513" s="31"/>
      <c r="D12513" s="30"/>
    </row>
    <row r="12514" spans="1:4" x14ac:dyDescent="0.25">
      <c r="A12514" s="31"/>
      <c r="D12514" s="30"/>
    </row>
    <row r="12515" spans="1:4" x14ac:dyDescent="0.25">
      <c r="A12515" s="31"/>
      <c r="D12515" s="30"/>
    </row>
    <row r="12516" spans="1:4" x14ac:dyDescent="0.25">
      <c r="A12516" s="31"/>
      <c r="D12516" s="30"/>
    </row>
    <row r="12517" spans="1:4" x14ac:dyDescent="0.25">
      <c r="A12517" s="31"/>
      <c r="D12517" s="30"/>
    </row>
    <row r="12518" spans="1:4" x14ac:dyDescent="0.25">
      <c r="A12518" s="31"/>
      <c r="D12518" s="30"/>
    </row>
    <row r="12519" spans="1:4" x14ac:dyDescent="0.25">
      <c r="A12519" s="31"/>
      <c r="D12519" s="30"/>
    </row>
    <row r="12520" spans="1:4" x14ac:dyDescent="0.25">
      <c r="A12520" s="31"/>
      <c r="D12520" s="30"/>
    </row>
    <row r="12521" spans="1:4" x14ac:dyDescent="0.25">
      <c r="A12521" s="31"/>
      <c r="D12521" s="30"/>
    </row>
    <row r="12522" spans="1:4" x14ac:dyDescent="0.25">
      <c r="A12522" s="31"/>
      <c r="D12522" s="30"/>
    </row>
    <row r="12523" spans="1:4" x14ac:dyDescent="0.25">
      <c r="A12523" s="31"/>
      <c r="D12523" s="30"/>
    </row>
    <row r="12524" spans="1:4" x14ac:dyDescent="0.25">
      <c r="A12524" s="31"/>
      <c r="D12524" s="30"/>
    </row>
    <row r="12525" spans="1:4" x14ac:dyDescent="0.25">
      <c r="A12525" s="31"/>
      <c r="D12525" s="30"/>
    </row>
    <row r="12526" spans="1:4" x14ac:dyDescent="0.25">
      <c r="A12526" s="31"/>
      <c r="D12526" s="30"/>
    </row>
    <row r="12527" spans="1:4" x14ac:dyDescent="0.25">
      <c r="A12527" s="31"/>
      <c r="D12527" s="30"/>
    </row>
    <row r="12528" spans="1:4" x14ac:dyDescent="0.25">
      <c r="A12528" s="31"/>
      <c r="D12528" s="30"/>
    </row>
    <row r="12529" spans="1:4" x14ac:dyDescent="0.25">
      <c r="A12529" s="31"/>
      <c r="D12529" s="30"/>
    </row>
    <row r="12530" spans="1:4" x14ac:dyDescent="0.25">
      <c r="A12530" s="31"/>
      <c r="D12530" s="30"/>
    </row>
    <row r="12531" spans="1:4" x14ac:dyDescent="0.25">
      <c r="A12531" s="31"/>
      <c r="D12531" s="30"/>
    </row>
    <row r="12532" spans="1:4" x14ac:dyDescent="0.25">
      <c r="A12532" s="31"/>
      <c r="D12532" s="30"/>
    </row>
    <row r="12533" spans="1:4" x14ac:dyDescent="0.25">
      <c r="A12533" s="31"/>
      <c r="D12533" s="30"/>
    </row>
    <row r="12534" spans="1:4" x14ac:dyDescent="0.25">
      <c r="A12534" s="31"/>
      <c r="D12534" s="30"/>
    </row>
    <row r="12535" spans="1:4" x14ac:dyDescent="0.25">
      <c r="A12535" s="31"/>
      <c r="D12535" s="30"/>
    </row>
    <row r="12536" spans="1:4" x14ac:dyDescent="0.25">
      <c r="A12536" s="31"/>
      <c r="D12536" s="30"/>
    </row>
    <row r="12537" spans="1:4" x14ac:dyDescent="0.25">
      <c r="A12537" s="31"/>
      <c r="D12537" s="30"/>
    </row>
    <row r="12538" spans="1:4" x14ac:dyDescent="0.25">
      <c r="A12538" s="31"/>
      <c r="D12538" s="30"/>
    </row>
    <row r="12539" spans="1:4" x14ac:dyDescent="0.25">
      <c r="A12539" s="31"/>
      <c r="D12539" s="30"/>
    </row>
    <row r="12540" spans="1:4" x14ac:dyDescent="0.25">
      <c r="A12540" s="31"/>
      <c r="D12540" s="30"/>
    </row>
    <row r="12541" spans="1:4" x14ac:dyDescent="0.25">
      <c r="A12541" s="31"/>
      <c r="D12541" s="30"/>
    </row>
    <row r="12542" spans="1:4" x14ac:dyDescent="0.25">
      <c r="A12542" s="31"/>
      <c r="D12542" s="30"/>
    </row>
    <row r="12543" spans="1:4" x14ac:dyDescent="0.25">
      <c r="A12543" s="31"/>
      <c r="D12543" s="30"/>
    </row>
    <row r="12544" spans="1:4" x14ac:dyDescent="0.25">
      <c r="A12544" s="31"/>
      <c r="D12544" s="30"/>
    </row>
    <row r="12545" spans="1:4" x14ac:dyDescent="0.25">
      <c r="A12545" s="31"/>
      <c r="D12545" s="30"/>
    </row>
    <row r="12546" spans="1:4" x14ac:dyDescent="0.25">
      <c r="A12546" s="31"/>
      <c r="D12546" s="30"/>
    </row>
    <row r="12547" spans="1:4" x14ac:dyDescent="0.25">
      <c r="A12547" s="31"/>
      <c r="D12547" s="30"/>
    </row>
    <row r="12548" spans="1:4" x14ac:dyDescent="0.25">
      <c r="A12548" s="31"/>
      <c r="D12548" s="30"/>
    </row>
    <row r="12549" spans="1:4" x14ac:dyDescent="0.25">
      <c r="A12549" s="31"/>
      <c r="D12549" s="30"/>
    </row>
    <row r="12550" spans="1:4" x14ac:dyDescent="0.25">
      <c r="A12550" s="31"/>
      <c r="D12550" s="30"/>
    </row>
    <row r="12551" spans="1:4" x14ac:dyDescent="0.25">
      <c r="A12551" s="31"/>
      <c r="D12551" s="30"/>
    </row>
    <row r="12552" spans="1:4" x14ac:dyDescent="0.25">
      <c r="A12552" s="31"/>
      <c r="D12552" s="30"/>
    </row>
    <row r="12553" spans="1:4" x14ac:dyDescent="0.25">
      <c r="A12553" s="31"/>
      <c r="D12553" s="30"/>
    </row>
    <row r="12554" spans="1:4" x14ac:dyDescent="0.25">
      <c r="A12554" s="31"/>
      <c r="D12554" s="30"/>
    </row>
    <row r="12555" spans="1:4" x14ac:dyDescent="0.25">
      <c r="A12555" s="31"/>
      <c r="D12555" s="30"/>
    </row>
    <row r="12556" spans="1:4" x14ac:dyDescent="0.25">
      <c r="A12556" s="31"/>
      <c r="D12556" s="30"/>
    </row>
    <row r="12557" spans="1:4" x14ac:dyDescent="0.25">
      <c r="A12557" s="31"/>
      <c r="D12557" s="30"/>
    </row>
    <row r="12558" spans="1:4" x14ac:dyDescent="0.25">
      <c r="A12558" s="31"/>
      <c r="D12558" s="30"/>
    </row>
    <row r="12559" spans="1:4" x14ac:dyDescent="0.25">
      <c r="A12559" s="31"/>
      <c r="D12559" s="30"/>
    </row>
    <row r="12560" spans="1:4" x14ac:dyDescent="0.25">
      <c r="A12560" s="31"/>
      <c r="D12560" s="30"/>
    </row>
    <row r="12561" spans="1:4" x14ac:dyDescent="0.25">
      <c r="A12561" s="31"/>
      <c r="D12561" s="30"/>
    </row>
    <row r="12562" spans="1:4" x14ac:dyDescent="0.25">
      <c r="A12562" s="31"/>
      <c r="D12562" s="30"/>
    </row>
    <row r="12563" spans="1:4" x14ac:dyDescent="0.25">
      <c r="A12563" s="31"/>
      <c r="D12563" s="30"/>
    </row>
    <row r="12564" spans="1:4" x14ac:dyDescent="0.25">
      <c r="A12564" s="31"/>
      <c r="D12564" s="30"/>
    </row>
    <row r="12565" spans="1:4" x14ac:dyDescent="0.25">
      <c r="A12565" s="31"/>
      <c r="D12565" s="30"/>
    </row>
    <row r="12566" spans="1:4" x14ac:dyDescent="0.25">
      <c r="A12566" s="31"/>
      <c r="D12566" s="30"/>
    </row>
    <row r="12567" spans="1:4" x14ac:dyDescent="0.25">
      <c r="A12567" s="31"/>
      <c r="D12567" s="30"/>
    </row>
    <row r="12568" spans="1:4" x14ac:dyDescent="0.25">
      <c r="A12568" s="31"/>
      <c r="D12568" s="30"/>
    </row>
    <row r="12569" spans="1:4" x14ac:dyDescent="0.25">
      <c r="A12569" s="31"/>
      <c r="D12569" s="30"/>
    </row>
    <row r="12570" spans="1:4" x14ac:dyDescent="0.25">
      <c r="A12570" s="31"/>
      <c r="D12570" s="30"/>
    </row>
    <row r="12571" spans="1:4" x14ac:dyDescent="0.25">
      <c r="A12571" s="31"/>
      <c r="D12571" s="30"/>
    </row>
    <row r="12572" spans="1:4" x14ac:dyDescent="0.25">
      <c r="A12572" s="31"/>
      <c r="D12572" s="30"/>
    </row>
    <row r="12573" spans="1:4" x14ac:dyDescent="0.25">
      <c r="A12573" s="31"/>
      <c r="D12573" s="30"/>
    </row>
    <row r="12574" spans="1:4" x14ac:dyDescent="0.25">
      <c r="A12574" s="31"/>
      <c r="D12574" s="30"/>
    </row>
    <row r="12575" spans="1:4" x14ac:dyDescent="0.25">
      <c r="A12575" s="31"/>
      <c r="D12575" s="30"/>
    </row>
    <row r="12576" spans="1:4" x14ac:dyDescent="0.25">
      <c r="A12576" s="31"/>
      <c r="D12576" s="30"/>
    </row>
    <row r="12577" spans="1:4" x14ac:dyDescent="0.25">
      <c r="A12577" s="31"/>
      <c r="D12577" s="30"/>
    </row>
    <row r="12578" spans="1:4" x14ac:dyDescent="0.25">
      <c r="A12578" s="31"/>
      <c r="D12578" s="30"/>
    </row>
    <row r="12579" spans="1:4" x14ac:dyDescent="0.25">
      <c r="A12579" s="31"/>
      <c r="D12579" s="30"/>
    </row>
    <row r="12580" spans="1:4" x14ac:dyDescent="0.25">
      <c r="A12580" s="31"/>
      <c r="D12580" s="30"/>
    </row>
    <row r="12581" spans="1:4" x14ac:dyDescent="0.25">
      <c r="A12581" s="31"/>
      <c r="D12581" s="30"/>
    </row>
    <row r="12582" spans="1:4" x14ac:dyDescent="0.25">
      <c r="A12582" s="31"/>
      <c r="D12582" s="30"/>
    </row>
    <row r="12583" spans="1:4" x14ac:dyDescent="0.25">
      <c r="A12583" s="31"/>
      <c r="D12583" s="30"/>
    </row>
    <row r="12584" spans="1:4" x14ac:dyDescent="0.25">
      <c r="A12584" s="31"/>
      <c r="D12584" s="30"/>
    </row>
    <row r="12585" spans="1:4" x14ac:dyDescent="0.25">
      <c r="A12585" s="31"/>
      <c r="D12585" s="30"/>
    </row>
    <row r="12586" spans="1:4" x14ac:dyDescent="0.25">
      <c r="A12586" s="31"/>
      <c r="D12586" s="30"/>
    </row>
    <row r="12587" spans="1:4" x14ac:dyDescent="0.25">
      <c r="A12587" s="31"/>
      <c r="D12587" s="30"/>
    </row>
    <row r="12588" spans="1:4" x14ac:dyDescent="0.25">
      <c r="A12588" s="31"/>
      <c r="D12588" s="30"/>
    </row>
    <row r="12589" spans="1:4" x14ac:dyDescent="0.25">
      <c r="A12589" s="31"/>
      <c r="D12589" s="30"/>
    </row>
    <row r="12590" spans="1:4" x14ac:dyDescent="0.25">
      <c r="A12590" s="31"/>
      <c r="D12590" s="30"/>
    </row>
    <row r="12591" spans="1:4" x14ac:dyDescent="0.25">
      <c r="A12591" s="31"/>
      <c r="D12591" s="30"/>
    </row>
    <row r="12592" spans="1:4" x14ac:dyDescent="0.25">
      <c r="A12592" s="31"/>
      <c r="D12592" s="30"/>
    </row>
    <row r="12593" spans="1:4" x14ac:dyDescent="0.25">
      <c r="A12593" s="31"/>
      <c r="D12593" s="30"/>
    </row>
    <row r="12594" spans="1:4" x14ac:dyDescent="0.25">
      <c r="A12594" s="31"/>
      <c r="D12594" s="30"/>
    </row>
    <row r="12595" spans="1:4" x14ac:dyDescent="0.25">
      <c r="A12595" s="31"/>
      <c r="D12595" s="30"/>
    </row>
    <row r="12596" spans="1:4" x14ac:dyDescent="0.25">
      <c r="A12596" s="31"/>
      <c r="D12596" s="30"/>
    </row>
    <row r="12597" spans="1:4" x14ac:dyDescent="0.25">
      <c r="A12597" s="31"/>
      <c r="D12597" s="30"/>
    </row>
    <row r="12598" spans="1:4" x14ac:dyDescent="0.25">
      <c r="A12598" s="31"/>
      <c r="D12598" s="30"/>
    </row>
    <row r="12599" spans="1:4" x14ac:dyDescent="0.25">
      <c r="A12599" s="31"/>
      <c r="D12599" s="30"/>
    </row>
    <row r="12600" spans="1:4" x14ac:dyDescent="0.25">
      <c r="A12600" s="31"/>
      <c r="D12600" s="30"/>
    </row>
    <row r="12601" spans="1:4" x14ac:dyDescent="0.25">
      <c r="A12601" s="31"/>
      <c r="D12601" s="30"/>
    </row>
    <row r="12602" spans="1:4" x14ac:dyDescent="0.25">
      <c r="A12602" s="31"/>
      <c r="D12602" s="30"/>
    </row>
    <row r="12603" spans="1:4" x14ac:dyDescent="0.25">
      <c r="A12603" s="31"/>
      <c r="D12603" s="30"/>
    </row>
    <row r="12604" spans="1:4" x14ac:dyDescent="0.25">
      <c r="A12604" s="31"/>
      <c r="D12604" s="30"/>
    </row>
    <row r="12605" spans="1:4" x14ac:dyDescent="0.25">
      <c r="A12605" s="31"/>
      <c r="D12605" s="30"/>
    </row>
    <row r="12606" spans="1:4" x14ac:dyDescent="0.25">
      <c r="A12606" s="31"/>
      <c r="D12606" s="30"/>
    </row>
    <row r="12607" spans="1:4" x14ac:dyDescent="0.25">
      <c r="A12607" s="31"/>
      <c r="D12607" s="30"/>
    </row>
    <row r="12608" spans="1:4" x14ac:dyDescent="0.25">
      <c r="A12608" s="31"/>
      <c r="D12608" s="30"/>
    </row>
    <row r="12609" spans="1:4" x14ac:dyDescent="0.25">
      <c r="A12609" s="31"/>
      <c r="D12609" s="30"/>
    </row>
    <row r="12610" spans="1:4" x14ac:dyDescent="0.25">
      <c r="A12610" s="31"/>
      <c r="D12610" s="30"/>
    </row>
    <row r="12611" spans="1:4" x14ac:dyDescent="0.25">
      <c r="A12611" s="31"/>
      <c r="D12611" s="30"/>
    </row>
    <row r="12612" spans="1:4" x14ac:dyDescent="0.25">
      <c r="A12612" s="31"/>
      <c r="D12612" s="30"/>
    </row>
    <row r="12613" spans="1:4" x14ac:dyDescent="0.25">
      <c r="A12613" s="31"/>
      <c r="D12613" s="30"/>
    </row>
    <row r="12614" spans="1:4" x14ac:dyDescent="0.25">
      <c r="A12614" s="31"/>
      <c r="D12614" s="30"/>
    </row>
    <row r="12615" spans="1:4" x14ac:dyDescent="0.25">
      <c r="A12615" s="31"/>
      <c r="D12615" s="30"/>
    </row>
    <row r="12616" spans="1:4" x14ac:dyDescent="0.25">
      <c r="A12616" s="31"/>
      <c r="D12616" s="30"/>
    </row>
    <row r="12617" spans="1:4" x14ac:dyDescent="0.25">
      <c r="A12617" s="31"/>
      <c r="D12617" s="30"/>
    </row>
    <row r="12618" spans="1:4" x14ac:dyDescent="0.25">
      <c r="A12618" s="31"/>
      <c r="D12618" s="30"/>
    </row>
    <row r="12619" spans="1:4" x14ac:dyDescent="0.25">
      <c r="A12619" s="31"/>
      <c r="D12619" s="30"/>
    </row>
    <row r="12620" spans="1:4" x14ac:dyDescent="0.25">
      <c r="A12620" s="31"/>
      <c r="D12620" s="30"/>
    </row>
    <row r="12621" spans="1:4" x14ac:dyDescent="0.25">
      <c r="A12621" s="31"/>
      <c r="D12621" s="30"/>
    </row>
    <row r="12622" spans="1:4" x14ac:dyDescent="0.25">
      <c r="A12622" s="31"/>
      <c r="D12622" s="30"/>
    </row>
    <row r="12623" spans="1:4" x14ac:dyDescent="0.25">
      <c r="A12623" s="31"/>
      <c r="D12623" s="30"/>
    </row>
    <row r="12624" spans="1:4" x14ac:dyDescent="0.25">
      <c r="A12624" s="31"/>
      <c r="D12624" s="30"/>
    </row>
    <row r="12625" spans="1:4" x14ac:dyDescent="0.25">
      <c r="A12625" s="31"/>
      <c r="D12625" s="30"/>
    </row>
    <row r="12626" spans="1:4" x14ac:dyDescent="0.25">
      <c r="A12626" s="31"/>
      <c r="D12626" s="30"/>
    </row>
    <row r="12627" spans="1:4" x14ac:dyDescent="0.25">
      <c r="A12627" s="31"/>
      <c r="D12627" s="30"/>
    </row>
    <row r="12628" spans="1:4" x14ac:dyDescent="0.25">
      <c r="A12628" s="31"/>
      <c r="D12628" s="30"/>
    </row>
    <row r="12629" spans="1:4" x14ac:dyDescent="0.25">
      <c r="A12629" s="31"/>
      <c r="D12629" s="30"/>
    </row>
    <row r="12630" spans="1:4" x14ac:dyDescent="0.25">
      <c r="A12630" s="31"/>
      <c r="D12630" s="30"/>
    </row>
    <row r="12631" spans="1:4" x14ac:dyDescent="0.25">
      <c r="A12631" s="31"/>
      <c r="D12631" s="30"/>
    </row>
    <row r="12632" spans="1:4" x14ac:dyDescent="0.25">
      <c r="A12632" s="31"/>
      <c r="D12632" s="30"/>
    </row>
    <row r="12633" spans="1:4" x14ac:dyDescent="0.25">
      <c r="A12633" s="31"/>
      <c r="D12633" s="30"/>
    </row>
    <row r="12634" spans="1:4" x14ac:dyDescent="0.25">
      <c r="A12634" s="31"/>
      <c r="D12634" s="30"/>
    </row>
    <row r="12635" spans="1:4" x14ac:dyDescent="0.25">
      <c r="A12635" s="31"/>
      <c r="D12635" s="30"/>
    </row>
    <row r="12636" spans="1:4" x14ac:dyDescent="0.25">
      <c r="A12636" s="31"/>
      <c r="D12636" s="30"/>
    </row>
    <row r="12637" spans="1:4" x14ac:dyDescent="0.25">
      <c r="A12637" s="31"/>
      <c r="D12637" s="30"/>
    </row>
    <row r="12638" spans="1:4" x14ac:dyDescent="0.25">
      <c r="A12638" s="31"/>
      <c r="D12638" s="30"/>
    </row>
    <row r="12639" spans="1:4" x14ac:dyDescent="0.25">
      <c r="A12639" s="31"/>
      <c r="D12639" s="30"/>
    </row>
    <row r="12640" spans="1:4" x14ac:dyDescent="0.25">
      <c r="A12640" s="31"/>
      <c r="D12640" s="30"/>
    </row>
    <row r="12641" spans="1:4" x14ac:dyDescent="0.25">
      <c r="A12641" s="31"/>
      <c r="D12641" s="30"/>
    </row>
    <row r="12642" spans="1:4" x14ac:dyDescent="0.25">
      <c r="A12642" s="31"/>
      <c r="D12642" s="30"/>
    </row>
    <row r="12643" spans="1:4" x14ac:dyDescent="0.25">
      <c r="A12643" s="31"/>
      <c r="D12643" s="30"/>
    </row>
    <row r="12644" spans="1:4" x14ac:dyDescent="0.25">
      <c r="A12644" s="31"/>
      <c r="D12644" s="30"/>
    </row>
    <row r="12645" spans="1:4" x14ac:dyDescent="0.25">
      <c r="A12645" s="31"/>
      <c r="D12645" s="30"/>
    </row>
    <row r="12646" spans="1:4" x14ac:dyDescent="0.25">
      <c r="A12646" s="31"/>
      <c r="D12646" s="30"/>
    </row>
    <row r="12647" spans="1:4" x14ac:dyDescent="0.25">
      <c r="A12647" s="31"/>
      <c r="D12647" s="30"/>
    </row>
    <row r="12648" spans="1:4" x14ac:dyDescent="0.25">
      <c r="A12648" s="31"/>
      <c r="D12648" s="30"/>
    </row>
    <row r="12649" spans="1:4" x14ac:dyDescent="0.25">
      <c r="A12649" s="31"/>
      <c r="D12649" s="30"/>
    </row>
    <row r="12650" spans="1:4" x14ac:dyDescent="0.25">
      <c r="A12650" s="31"/>
      <c r="D12650" s="30"/>
    </row>
    <row r="12651" spans="1:4" x14ac:dyDescent="0.25">
      <c r="A12651" s="31"/>
      <c r="D12651" s="30"/>
    </row>
    <row r="12652" spans="1:4" x14ac:dyDescent="0.25">
      <c r="A12652" s="31"/>
      <c r="D12652" s="30"/>
    </row>
    <row r="12653" spans="1:4" x14ac:dyDescent="0.25">
      <c r="A12653" s="31"/>
      <c r="D12653" s="30"/>
    </row>
    <row r="12654" spans="1:4" x14ac:dyDescent="0.25">
      <c r="A12654" s="31"/>
      <c r="D12654" s="30"/>
    </row>
    <row r="12655" spans="1:4" x14ac:dyDescent="0.25">
      <c r="A12655" s="31"/>
      <c r="D12655" s="30"/>
    </row>
    <row r="12656" spans="1:4" x14ac:dyDescent="0.25">
      <c r="A12656" s="31"/>
      <c r="D12656" s="30"/>
    </row>
    <row r="12657" spans="1:4" x14ac:dyDescent="0.25">
      <c r="A12657" s="31"/>
      <c r="D12657" s="30"/>
    </row>
    <row r="12658" spans="1:4" x14ac:dyDescent="0.25">
      <c r="A12658" s="31"/>
      <c r="D12658" s="30"/>
    </row>
    <row r="12659" spans="1:4" x14ac:dyDescent="0.25">
      <c r="A12659" s="31"/>
      <c r="D12659" s="30"/>
    </row>
    <row r="12660" spans="1:4" x14ac:dyDescent="0.25">
      <c r="A12660" s="31"/>
      <c r="D12660" s="30"/>
    </row>
    <row r="12661" spans="1:4" x14ac:dyDescent="0.25">
      <c r="A12661" s="31"/>
      <c r="D12661" s="30"/>
    </row>
    <row r="12662" spans="1:4" x14ac:dyDescent="0.25">
      <c r="A12662" s="31"/>
      <c r="D12662" s="30"/>
    </row>
    <row r="12663" spans="1:4" x14ac:dyDescent="0.25">
      <c r="A12663" s="31"/>
      <c r="D12663" s="30"/>
    </row>
    <row r="12664" spans="1:4" x14ac:dyDescent="0.25">
      <c r="A12664" s="31"/>
      <c r="D12664" s="30"/>
    </row>
    <row r="12665" spans="1:4" x14ac:dyDescent="0.25">
      <c r="A12665" s="31"/>
      <c r="D12665" s="30"/>
    </row>
    <row r="12666" spans="1:4" x14ac:dyDescent="0.25">
      <c r="A12666" s="31"/>
      <c r="D12666" s="30"/>
    </row>
    <row r="12667" spans="1:4" x14ac:dyDescent="0.25">
      <c r="A12667" s="31"/>
      <c r="D12667" s="30"/>
    </row>
    <row r="12668" spans="1:4" x14ac:dyDescent="0.25">
      <c r="A12668" s="31"/>
      <c r="D12668" s="30"/>
    </row>
    <row r="12669" spans="1:4" x14ac:dyDescent="0.25">
      <c r="A12669" s="31"/>
      <c r="D12669" s="30"/>
    </row>
    <row r="12670" spans="1:4" x14ac:dyDescent="0.25">
      <c r="A12670" s="31"/>
      <c r="D12670" s="30"/>
    </row>
    <row r="12671" spans="1:4" x14ac:dyDescent="0.25">
      <c r="A12671" s="31"/>
      <c r="D12671" s="30"/>
    </row>
    <row r="12672" spans="1:4" x14ac:dyDescent="0.25">
      <c r="A12672" s="31"/>
      <c r="D12672" s="30"/>
    </row>
    <row r="12673" spans="1:4" x14ac:dyDescent="0.25">
      <c r="A12673" s="31"/>
      <c r="D12673" s="30"/>
    </row>
    <row r="12674" spans="1:4" x14ac:dyDescent="0.25">
      <c r="A12674" s="31"/>
      <c r="D12674" s="30"/>
    </row>
    <row r="12675" spans="1:4" x14ac:dyDescent="0.25">
      <c r="A12675" s="31"/>
      <c r="D12675" s="30"/>
    </row>
    <row r="12676" spans="1:4" x14ac:dyDescent="0.25">
      <c r="A12676" s="31"/>
      <c r="D12676" s="30"/>
    </row>
    <row r="12677" spans="1:4" x14ac:dyDescent="0.25">
      <c r="A12677" s="31"/>
      <c r="D12677" s="30"/>
    </row>
    <row r="12678" spans="1:4" x14ac:dyDescent="0.25">
      <c r="A12678" s="31"/>
      <c r="D12678" s="30"/>
    </row>
    <row r="12679" spans="1:4" x14ac:dyDescent="0.25">
      <c r="A12679" s="31"/>
      <c r="D12679" s="30"/>
    </row>
    <row r="12680" spans="1:4" x14ac:dyDescent="0.25">
      <c r="A12680" s="31"/>
      <c r="D12680" s="30"/>
    </row>
    <row r="12681" spans="1:4" x14ac:dyDescent="0.25">
      <c r="A12681" s="31"/>
      <c r="D12681" s="30"/>
    </row>
    <row r="12682" spans="1:4" x14ac:dyDescent="0.25">
      <c r="A12682" s="31"/>
      <c r="D12682" s="30"/>
    </row>
    <row r="12683" spans="1:4" x14ac:dyDescent="0.25">
      <c r="A12683" s="31"/>
      <c r="D12683" s="30"/>
    </row>
    <row r="12684" spans="1:4" x14ac:dyDescent="0.25">
      <c r="A12684" s="31"/>
      <c r="D12684" s="30"/>
    </row>
    <row r="12685" spans="1:4" x14ac:dyDescent="0.25">
      <c r="A12685" s="31"/>
      <c r="D12685" s="30"/>
    </row>
    <row r="12686" spans="1:4" x14ac:dyDescent="0.25">
      <c r="A12686" s="31"/>
      <c r="D12686" s="30"/>
    </row>
    <row r="12687" spans="1:4" x14ac:dyDescent="0.25">
      <c r="A12687" s="31"/>
      <c r="D12687" s="30"/>
    </row>
    <row r="12688" spans="1:4" x14ac:dyDescent="0.25">
      <c r="A12688" s="31"/>
      <c r="D12688" s="30"/>
    </row>
    <row r="12689" spans="1:4" x14ac:dyDescent="0.25">
      <c r="A12689" s="31"/>
      <c r="D12689" s="30"/>
    </row>
    <row r="12690" spans="1:4" x14ac:dyDescent="0.25">
      <c r="A12690" s="31"/>
      <c r="D12690" s="30"/>
    </row>
    <row r="12691" spans="1:4" x14ac:dyDescent="0.25">
      <c r="A12691" s="31"/>
      <c r="D12691" s="30"/>
    </row>
    <row r="12692" spans="1:4" x14ac:dyDescent="0.25">
      <c r="A12692" s="31"/>
      <c r="D12692" s="30"/>
    </row>
    <row r="12693" spans="1:4" x14ac:dyDescent="0.25">
      <c r="A12693" s="31"/>
      <c r="D12693" s="30"/>
    </row>
    <row r="12694" spans="1:4" x14ac:dyDescent="0.25">
      <c r="A12694" s="31"/>
      <c r="D12694" s="30"/>
    </row>
    <row r="12695" spans="1:4" x14ac:dyDescent="0.25">
      <c r="A12695" s="31"/>
      <c r="D12695" s="30"/>
    </row>
    <row r="12696" spans="1:4" x14ac:dyDescent="0.25">
      <c r="A12696" s="31"/>
      <c r="D12696" s="30"/>
    </row>
    <row r="12697" spans="1:4" x14ac:dyDescent="0.25">
      <c r="A12697" s="31"/>
      <c r="D12697" s="30"/>
    </row>
    <row r="12698" spans="1:4" x14ac:dyDescent="0.25">
      <c r="A12698" s="31"/>
      <c r="D12698" s="30"/>
    </row>
    <row r="12699" spans="1:4" x14ac:dyDescent="0.25">
      <c r="A12699" s="31"/>
      <c r="D12699" s="30"/>
    </row>
    <row r="12700" spans="1:4" x14ac:dyDescent="0.25">
      <c r="A12700" s="31"/>
      <c r="D12700" s="30"/>
    </row>
    <row r="12701" spans="1:4" x14ac:dyDescent="0.25">
      <c r="A12701" s="31"/>
      <c r="D12701" s="30"/>
    </row>
    <row r="12702" spans="1:4" x14ac:dyDescent="0.25">
      <c r="A12702" s="31"/>
      <c r="D12702" s="30"/>
    </row>
    <row r="12703" spans="1:4" x14ac:dyDescent="0.25">
      <c r="A12703" s="31"/>
      <c r="D12703" s="30"/>
    </row>
    <row r="12704" spans="1:4" x14ac:dyDescent="0.25">
      <c r="A12704" s="31"/>
      <c r="D12704" s="30"/>
    </row>
    <row r="12705" spans="1:4" x14ac:dyDescent="0.25">
      <c r="A12705" s="31"/>
      <c r="D12705" s="30"/>
    </row>
    <row r="12706" spans="1:4" x14ac:dyDescent="0.25">
      <c r="A12706" s="31"/>
      <c r="D12706" s="30"/>
    </row>
    <row r="12707" spans="1:4" x14ac:dyDescent="0.25">
      <c r="A12707" s="31"/>
      <c r="D12707" s="30"/>
    </row>
    <row r="12708" spans="1:4" x14ac:dyDescent="0.25">
      <c r="A12708" s="31"/>
      <c r="D12708" s="30"/>
    </row>
    <row r="12709" spans="1:4" x14ac:dyDescent="0.25">
      <c r="A12709" s="31"/>
      <c r="D12709" s="30"/>
    </row>
    <row r="12710" spans="1:4" x14ac:dyDescent="0.25">
      <c r="A12710" s="31"/>
      <c r="D12710" s="30"/>
    </row>
    <row r="12711" spans="1:4" x14ac:dyDescent="0.25">
      <c r="A12711" s="31"/>
      <c r="D12711" s="30"/>
    </row>
    <row r="12712" spans="1:4" x14ac:dyDescent="0.25">
      <c r="A12712" s="31"/>
      <c r="D12712" s="30"/>
    </row>
    <row r="12713" spans="1:4" x14ac:dyDescent="0.25">
      <c r="A12713" s="31"/>
      <c r="D12713" s="30"/>
    </row>
    <row r="12714" spans="1:4" x14ac:dyDescent="0.25">
      <c r="A12714" s="31"/>
      <c r="D12714" s="30"/>
    </row>
    <row r="12715" spans="1:4" x14ac:dyDescent="0.25">
      <c r="A12715" s="31"/>
      <c r="D12715" s="30"/>
    </row>
    <row r="12716" spans="1:4" x14ac:dyDescent="0.25">
      <c r="A12716" s="31"/>
      <c r="D12716" s="30"/>
    </row>
    <row r="12717" spans="1:4" x14ac:dyDescent="0.25">
      <c r="A12717" s="31"/>
      <c r="D12717" s="30"/>
    </row>
    <row r="12718" spans="1:4" x14ac:dyDescent="0.25">
      <c r="A12718" s="31"/>
      <c r="D12718" s="30"/>
    </row>
    <row r="12719" spans="1:4" x14ac:dyDescent="0.25">
      <c r="A12719" s="31"/>
      <c r="D12719" s="30"/>
    </row>
    <row r="12720" spans="1:4" x14ac:dyDescent="0.25">
      <c r="A12720" s="31"/>
      <c r="D12720" s="30"/>
    </row>
    <row r="12721" spans="1:4" x14ac:dyDescent="0.25">
      <c r="A12721" s="31"/>
      <c r="D12721" s="30"/>
    </row>
    <row r="12722" spans="1:4" x14ac:dyDescent="0.25">
      <c r="A12722" s="31"/>
      <c r="D12722" s="30"/>
    </row>
    <row r="12723" spans="1:4" x14ac:dyDescent="0.25">
      <c r="A12723" s="31"/>
      <c r="D12723" s="30"/>
    </row>
    <row r="12724" spans="1:4" x14ac:dyDescent="0.25">
      <c r="A12724" s="31"/>
      <c r="D12724" s="30"/>
    </row>
    <row r="12725" spans="1:4" x14ac:dyDescent="0.25">
      <c r="A12725" s="31"/>
      <c r="D12725" s="30"/>
    </row>
    <row r="12726" spans="1:4" x14ac:dyDescent="0.25">
      <c r="A12726" s="31"/>
      <c r="D12726" s="30"/>
    </row>
    <row r="12727" spans="1:4" x14ac:dyDescent="0.25">
      <c r="A12727" s="31"/>
      <c r="D12727" s="30"/>
    </row>
    <row r="12728" spans="1:4" x14ac:dyDescent="0.25">
      <c r="A12728" s="31"/>
      <c r="D12728" s="30"/>
    </row>
    <row r="12729" spans="1:4" x14ac:dyDescent="0.25">
      <c r="A12729" s="31"/>
      <c r="D12729" s="30"/>
    </row>
    <row r="12730" spans="1:4" x14ac:dyDescent="0.25">
      <c r="A12730" s="31"/>
      <c r="D12730" s="30"/>
    </row>
    <row r="12731" spans="1:4" x14ac:dyDescent="0.25">
      <c r="A12731" s="31"/>
      <c r="D12731" s="30"/>
    </row>
    <row r="12732" spans="1:4" x14ac:dyDescent="0.25">
      <c r="A12732" s="31"/>
      <c r="D12732" s="30"/>
    </row>
    <row r="12733" spans="1:4" x14ac:dyDescent="0.25">
      <c r="A12733" s="31"/>
      <c r="D12733" s="30"/>
    </row>
    <row r="12734" spans="1:4" x14ac:dyDescent="0.25">
      <c r="A12734" s="31"/>
      <c r="D12734" s="30"/>
    </row>
    <row r="12735" spans="1:4" x14ac:dyDescent="0.25">
      <c r="A12735" s="31"/>
      <c r="D12735" s="30"/>
    </row>
    <row r="12736" spans="1:4" x14ac:dyDescent="0.25">
      <c r="A12736" s="31"/>
      <c r="D12736" s="30"/>
    </row>
    <row r="12737" spans="1:4" x14ac:dyDescent="0.25">
      <c r="A12737" s="31"/>
      <c r="D12737" s="30"/>
    </row>
    <row r="12738" spans="1:4" x14ac:dyDescent="0.25">
      <c r="A12738" s="31"/>
      <c r="D12738" s="30"/>
    </row>
    <row r="12739" spans="1:4" x14ac:dyDescent="0.25">
      <c r="A12739" s="31"/>
      <c r="D12739" s="30"/>
    </row>
    <row r="12740" spans="1:4" x14ac:dyDescent="0.25">
      <c r="A12740" s="31"/>
      <c r="D12740" s="30"/>
    </row>
    <row r="12741" spans="1:4" x14ac:dyDescent="0.25">
      <c r="A12741" s="31"/>
      <c r="D12741" s="30"/>
    </row>
    <row r="12742" spans="1:4" x14ac:dyDescent="0.25">
      <c r="A12742" s="31"/>
      <c r="D12742" s="30"/>
    </row>
    <row r="12743" spans="1:4" x14ac:dyDescent="0.25">
      <c r="A12743" s="31"/>
      <c r="D12743" s="30"/>
    </row>
    <row r="12744" spans="1:4" x14ac:dyDescent="0.25">
      <c r="A12744" s="31"/>
      <c r="D12744" s="30"/>
    </row>
    <row r="12745" spans="1:4" x14ac:dyDescent="0.25">
      <c r="A12745" s="31"/>
      <c r="D12745" s="30"/>
    </row>
    <row r="12746" spans="1:4" x14ac:dyDescent="0.25">
      <c r="A12746" s="31"/>
      <c r="D12746" s="30"/>
    </row>
    <row r="12747" spans="1:4" x14ac:dyDescent="0.25">
      <c r="A12747" s="31"/>
      <c r="D12747" s="30"/>
    </row>
    <row r="12748" spans="1:4" x14ac:dyDescent="0.25">
      <c r="A12748" s="31"/>
      <c r="D12748" s="30"/>
    </row>
    <row r="12749" spans="1:4" x14ac:dyDescent="0.25">
      <c r="A12749" s="31"/>
      <c r="D12749" s="30"/>
    </row>
    <row r="12750" spans="1:4" x14ac:dyDescent="0.25">
      <c r="A12750" s="31"/>
      <c r="D12750" s="30"/>
    </row>
    <row r="12751" spans="1:4" x14ac:dyDescent="0.25">
      <c r="A12751" s="31"/>
      <c r="D12751" s="30"/>
    </row>
    <row r="12752" spans="1:4" x14ac:dyDescent="0.25">
      <c r="A12752" s="31"/>
      <c r="D12752" s="30"/>
    </row>
    <row r="12753" spans="1:4" x14ac:dyDescent="0.25">
      <c r="A12753" s="31"/>
      <c r="D12753" s="30"/>
    </row>
    <row r="12754" spans="1:4" x14ac:dyDescent="0.25">
      <c r="A12754" s="31"/>
      <c r="D12754" s="30"/>
    </row>
    <row r="12755" spans="1:4" x14ac:dyDescent="0.25">
      <c r="A12755" s="31"/>
      <c r="D12755" s="30"/>
    </row>
    <row r="12756" spans="1:4" x14ac:dyDescent="0.25">
      <c r="A12756" s="31"/>
      <c r="D12756" s="30"/>
    </row>
    <row r="12757" spans="1:4" x14ac:dyDescent="0.25">
      <c r="A12757" s="31"/>
      <c r="D12757" s="30"/>
    </row>
    <row r="12758" spans="1:4" x14ac:dyDescent="0.25">
      <c r="A12758" s="31"/>
      <c r="D12758" s="30"/>
    </row>
    <row r="12759" spans="1:4" x14ac:dyDescent="0.25">
      <c r="A12759" s="31"/>
      <c r="D12759" s="30"/>
    </row>
    <row r="12760" spans="1:4" x14ac:dyDescent="0.25">
      <c r="A12760" s="31"/>
      <c r="D12760" s="30"/>
    </row>
    <row r="12761" spans="1:4" x14ac:dyDescent="0.25">
      <c r="A12761" s="31"/>
      <c r="D12761" s="30"/>
    </row>
    <row r="12762" spans="1:4" x14ac:dyDescent="0.25">
      <c r="A12762" s="31"/>
      <c r="D12762" s="30"/>
    </row>
    <row r="12763" spans="1:4" x14ac:dyDescent="0.25">
      <c r="A12763" s="31"/>
      <c r="D12763" s="30"/>
    </row>
    <row r="12764" spans="1:4" x14ac:dyDescent="0.25">
      <c r="A12764" s="31"/>
      <c r="D12764" s="30"/>
    </row>
    <row r="12765" spans="1:4" x14ac:dyDescent="0.25">
      <c r="A12765" s="31"/>
      <c r="D12765" s="30"/>
    </row>
    <row r="12766" spans="1:4" x14ac:dyDescent="0.25">
      <c r="A12766" s="31"/>
      <c r="D12766" s="30"/>
    </row>
    <row r="12767" spans="1:4" x14ac:dyDescent="0.25">
      <c r="A12767" s="31"/>
      <c r="D12767" s="30"/>
    </row>
    <row r="12768" spans="1:4" x14ac:dyDescent="0.25">
      <c r="A12768" s="31"/>
      <c r="D12768" s="30"/>
    </row>
    <row r="12769" spans="1:4" x14ac:dyDescent="0.25">
      <c r="A12769" s="31"/>
      <c r="D12769" s="30"/>
    </row>
    <row r="12770" spans="1:4" x14ac:dyDescent="0.25">
      <c r="A12770" s="31"/>
      <c r="D12770" s="30"/>
    </row>
    <row r="12771" spans="1:4" x14ac:dyDescent="0.25">
      <c r="A12771" s="31"/>
      <c r="D12771" s="30"/>
    </row>
    <row r="12772" spans="1:4" x14ac:dyDescent="0.25">
      <c r="A12772" s="31"/>
      <c r="D12772" s="30"/>
    </row>
    <row r="12773" spans="1:4" x14ac:dyDescent="0.25">
      <c r="A12773" s="31"/>
      <c r="D12773" s="30"/>
    </row>
    <row r="12774" spans="1:4" x14ac:dyDescent="0.25">
      <c r="A12774" s="31"/>
      <c r="D12774" s="30"/>
    </row>
    <row r="12775" spans="1:4" x14ac:dyDescent="0.25">
      <c r="A12775" s="31"/>
      <c r="D12775" s="30"/>
    </row>
    <row r="12776" spans="1:4" x14ac:dyDescent="0.25">
      <c r="A12776" s="31"/>
      <c r="D12776" s="30"/>
    </row>
    <row r="12777" spans="1:4" x14ac:dyDescent="0.25">
      <c r="A12777" s="31"/>
      <c r="D12777" s="30"/>
    </row>
    <row r="12778" spans="1:4" x14ac:dyDescent="0.25">
      <c r="A12778" s="31"/>
      <c r="D12778" s="30"/>
    </row>
    <row r="12779" spans="1:4" x14ac:dyDescent="0.25">
      <c r="A12779" s="31"/>
      <c r="D12779" s="30"/>
    </row>
    <row r="12780" spans="1:4" x14ac:dyDescent="0.25">
      <c r="A12780" s="31"/>
      <c r="D12780" s="30"/>
    </row>
    <row r="12781" spans="1:4" x14ac:dyDescent="0.25">
      <c r="A12781" s="31"/>
      <c r="D12781" s="30"/>
    </row>
    <row r="12782" spans="1:4" x14ac:dyDescent="0.25">
      <c r="A12782" s="31"/>
      <c r="D12782" s="30"/>
    </row>
    <row r="12783" spans="1:4" x14ac:dyDescent="0.25">
      <c r="A12783" s="31"/>
      <c r="D12783" s="30"/>
    </row>
    <row r="12784" spans="1:4" x14ac:dyDescent="0.25">
      <c r="A12784" s="31"/>
      <c r="D12784" s="30"/>
    </row>
    <row r="12785" spans="1:4" x14ac:dyDescent="0.25">
      <c r="A12785" s="31"/>
      <c r="D12785" s="30"/>
    </row>
    <row r="12786" spans="1:4" x14ac:dyDescent="0.25">
      <c r="A12786" s="31"/>
      <c r="D12786" s="30"/>
    </row>
    <row r="12787" spans="1:4" x14ac:dyDescent="0.25">
      <c r="A12787" s="31"/>
      <c r="D12787" s="30"/>
    </row>
    <row r="12788" spans="1:4" x14ac:dyDescent="0.25">
      <c r="A12788" s="31"/>
      <c r="D12788" s="30"/>
    </row>
    <row r="12789" spans="1:4" x14ac:dyDescent="0.25">
      <c r="A12789" s="31"/>
      <c r="D12789" s="30"/>
    </row>
    <row r="12790" spans="1:4" x14ac:dyDescent="0.25">
      <c r="A12790" s="31"/>
      <c r="D12790" s="30"/>
    </row>
    <row r="12791" spans="1:4" x14ac:dyDescent="0.25">
      <c r="A12791" s="31"/>
      <c r="D12791" s="30"/>
    </row>
    <row r="12792" spans="1:4" x14ac:dyDescent="0.25">
      <c r="A12792" s="31"/>
      <c r="D12792" s="30"/>
    </row>
    <row r="12793" spans="1:4" x14ac:dyDescent="0.25">
      <c r="A12793" s="31"/>
      <c r="D12793" s="30"/>
    </row>
    <row r="12794" spans="1:4" x14ac:dyDescent="0.25">
      <c r="A12794" s="31"/>
      <c r="D12794" s="30"/>
    </row>
    <row r="12795" spans="1:4" x14ac:dyDescent="0.25">
      <c r="A12795" s="31"/>
      <c r="D12795" s="30"/>
    </row>
    <row r="12796" spans="1:4" x14ac:dyDescent="0.25">
      <c r="A12796" s="31"/>
      <c r="D12796" s="30"/>
    </row>
    <row r="12797" spans="1:4" x14ac:dyDescent="0.25">
      <c r="A12797" s="31"/>
      <c r="D12797" s="30"/>
    </row>
    <row r="12798" spans="1:4" x14ac:dyDescent="0.25">
      <c r="A12798" s="31"/>
      <c r="D12798" s="30"/>
    </row>
    <row r="12799" spans="1:4" x14ac:dyDescent="0.25">
      <c r="A12799" s="31"/>
      <c r="D12799" s="30"/>
    </row>
    <row r="12800" spans="1:4" x14ac:dyDescent="0.25">
      <c r="A12800" s="31"/>
      <c r="D12800" s="30"/>
    </row>
    <row r="12801" spans="1:4" x14ac:dyDescent="0.25">
      <c r="A12801" s="31"/>
      <c r="D12801" s="30"/>
    </row>
    <row r="12802" spans="1:4" x14ac:dyDescent="0.25">
      <c r="A12802" s="31"/>
      <c r="D12802" s="30"/>
    </row>
    <row r="12803" spans="1:4" x14ac:dyDescent="0.25">
      <c r="A12803" s="31"/>
      <c r="D12803" s="30"/>
    </row>
    <row r="12804" spans="1:4" x14ac:dyDescent="0.25">
      <c r="A12804" s="31"/>
      <c r="D12804" s="30"/>
    </row>
    <row r="12805" spans="1:4" x14ac:dyDescent="0.25">
      <c r="A12805" s="31"/>
      <c r="D12805" s="30"/>
    </row>
    <row r="12806" spans="1:4" x14ac:dyDescent="0.25">
      <c r="A12806" s="31"/>
      <c r="D12806" s="30"/>
    </row>
    <row r="12807" spans="1:4" x14ac:dyDescent="0.25">
      <c r="A12807" s="31"/>
      <c r="D12807" s="30"/>
    </row>
    <row r="12808" spans="1:4" x14ac:dyDescent="0.25">
      <c r="A12808" s="31"/>
      <c r="D12808" s="30"/>
    </row>
    <row r="12809" spans="1:4" x14ac:dyDescent="0.25">
      <c r="A12809" s="31"/>
      <c r="D12809" s="30"/>
    </row>
    <row r="12810" spans="1:4" x14ac:dyDescent="0.25">
      <c r="A12810" s="31"/>
      <c r="D12810" s="30"/>
    </row>
    <row r="12811" spans="1:4" x14ac:dyDescent="0.25">
      <c r="A12811" s="31"/>
      <c r="D12811" s="30"/>
    </row>
    <row r="12812" spans="1:4" x14ac:dyDescent="0.25">
      <c r="A12812" s="31"/>
      <c r="D12812" s="30"/>
    </row>
    <row r="12813" spans="1:4" x14ac:dyDescent="0.25">
      <c r="A12813" s="31"/>
      <c r="D12813" s="30"/>
    </row>
    <row r="12814" spans="1:4" x14ac:dyDescent="0.25">
      <c r="A12814" s="31"/>
      <c r="D12814" s="30"/>
    </row>
    <row r="12815" spans="1:4" x14ac:dyDescent="0.25">
      <c r="A12815" s="31"/>
      <c r="D12815" s="30"/>
    </row>
    <row r="12816" spans="1:4" x14ac:dyDescent="0.25">
      <c r="A12816" s="31"/>
      <c r="D12816" s="30"/>
    </row>
    <row r="12817" spans="1:4" x14ac:dyDescent="0.25">
      <c r="A12817" s="31"/>
      <c r="D12817" s="30"/>
    </row>
    <row r="12818" spans="1:4" x14ac:dyDescent="0.25">
      <c r="A12818" s="31"/>
      <c r="D12818" s="30"/>
    </row>
    <row r="12819" spans="1:4" x14ac:dyDescent="0.25">
      <c r="A12819" s="31"/>
      <c r="D12819" s="30"/>
    </row>
    <row r="12820" spans="1:4" x14ac:dyDescent="0.25">
      <c r="A12820" s="31"/>
      <c r="D12820" s="30"/>
    </row>
    <row r="12821" spans="1:4" x14ac:dyDescent="0.25">
      <c r="A12821" s="31"/>
      <c r="D12821" s="30"/>
    </row>
    <row r="12822" spans="1:4" x14ac:dyDescent="0.25">
      <c r="A12822" s="31"/>
      <c r="D12822" s="30"/>
    </row>
    <row r="12823" spans="1:4" x14ac:dyDescent="0.25">
      <c r="A12823" s="31"/>
      <c r="D12823" s="30"/>
    </row>
    <row r="12824" spans="1:4" x14ac:dyDescent="0.25">
      <c r="A12824" s="31"/>
      <c r="D12824" s="30"/>
    </row>
    <row r="12825" spans="1:4" x14ac:dyDescent="0.25">
      <c r="A12825" s="31"/>
      <c r="D12825" s="30"/>
    </row>
    <row r="12826" spans="1:4" x14ac:dyDescent="0.25">
      <c r="A12826" s="31"/>
      <c r="D12826" s="30"/>
    </row>
    <row r="12827" spans="1:4" x14ac:dyDescent="0.25">
      <c r="A12827" s="31"/>
      <c r="D12827" s="30"/>
    </row>
    <row r="12828" spans="1:4" x14ac:dyDescent="0.25">
      <c r="A12828" s="31"/>
      <c r="D12828" s="30"/>
    </row>
    <row r="12829" spans="1:4" x14ac:dyDescent="0.25">
      <c r="A12829" s="31"/>
      <c r="D12829" s="30"/>
    </row>
    <row r="12830" spans="1:4" x14ac:dyDescent="0.25">
      <c r="A12830" s="31"/>
      <c r="D12830" s="30"/>
    </row>
    <row r="12831" spans="1:4" x14ac:dyDescent="0.25">
      <c r="A12831" s="31"/>
      <c r="D12831" s="30"/>
    </row>
    <row r="12832" spans="1:4" x14ac:dyDescent="0.25">
      <c r="A12832" s="31"/>
      <c r="D12832" s="30"/>
    </row>
    <row r="12833" spans="1:4" x14ac:dyDescent="0.25">
      <c r="A12833" s="31"/>
      <c r="D12833" s="30"/>
    </row>
    <row r="12834" spans="1:4" x14ac:dyDescent="0.25">
      <c r="A12834" s="31"/>
      <c r="D12834" s="30"/>
    </row>
    <row r="12835" spans="1:4" x14ac:dyDescent="0.25">
      <c r="A12835" s="31"/>
      <c r="D12835" s="30"/>
    </row>
    <row r="12836" spans="1:4" x14ac:dyDescent="0.25">
      <c r="A12836" s="31"/>
      <c r="D12836" s="30"/>
    </row>
    <row r="12837" spans="1:4" x14ac:dyDescent="0.25">
      <c r="A12837" s="31"/>
      <c r="D12837" s="30"/>
    </row>
    <row r="12838" spans="1:4" x14ac:dyDescent="0.25">
      <c r="A12838" s="31"/>
      <c r="D12838" s="30"/>
    </row>
    <row r="12839" spans="1:4" x14ac:dyDescent="0.25">
      <c r="A12839" s="31"/>
      <c r="D12839" s="30"/>
    </row>
    <row r="12840" spans="1:4" x14ac:dyDescent="0.25">
      <c r="A12840" s="31"/>
      <c r="D12840" s="30"/>
    </row>
    <row r="12841" spans="1:4" x14ac:dyDescent="0.25">
      <c r="A12841" s="31"/>
      <c r="D12841" s="30"/>
    </row>
    <row r="12842" spans="1:4" x14ac:dyDescent="0.25">
      <c r="A12842" s="31"/>
      <c r="D12842" s="30"/>
    </row>
    <row r="12843" spans="1:4" x14ac:dyDescent="0.25">
      <c r="A12843" s="31"/>
      <c r="D12843" s="30"/>
    </row>
    <row r="12844" spans="1:4" x14ac:dyDescent="0.25">
      <c r="A12844" s="31"/>
      <c r="D12844" s="30"/>
    </row>
    <row r="12845" spans="1:4" x14ac:dyDescent="0.25">
      <c r="A12845" s="31"/>
      <c r="D12845" s="30"/>
    </row>
    <row r="12846" spans="1:4" x14ac:dyDescent="0.25">
      <c r="A12846" s="31"/>
      <c r="D12846" s="30"/>
    </row>
    <row r="12847" spans="1:4" x14ac:dyDescent="0.25">
      <c r="A12847" s="31"/>
      <c r="D12847" s="30"/>
    </row>
    <row r="12848" spans="1:4" x14ac:dyDescent="0.25">
      <c r="A12848" s="31"/>
      <c r="D12848" s="30"/>
    </row>
    <row r="12849" spans="1:4" x14ac:dyDescent="0.25">
      <c r="A12849" s="31"/>
      <c r="D12849" s="30"/>
    </row>
    <row r="12850" spans="1:4" x14ac:dyDescent="0.25">
      <c r="A12850" s="31"/>
      <c r="D12850" s="30"/>
    </row>
    <row r="12851" spans="1:4" x14ac:dyDescent="0.25">
      <c r="A12851" s="31"/>
      <c r="D12851" s="30"/>
    </row>
    <row r="12852" spans="1:4" x14ac:dyDescent="0.25">
      <c r="A12852" s="31"/>
      <c r="D12852" s="30"/>
    </row>
    <row r="12853" spans="1:4" x14ac:dyDescent="0.25">
      <c r="A12853" s="31"/>
      <c r="D12853" s="30"/>
    </row>
    <row r="12854" spans="1:4" x14ac:dyDescent="0.25">
      <c r="A12854" s="31"/>
      <c r="D12854" s="30"/>
    </row>
    <row r="12855" spans="1:4" x14ac:dyDescent="0.25">
      <c r="A12855" s="31"/>
      <c r="D12855" s="30"/>
    </row>
    <row r="12856" spans="1:4" x14ac:dyDescent="0.25">
      <c r="A12856" s="31"/>
      <c r="D12856" s="30"/>
    </row>
    <row r="12857" spans="1:4" x14ac:dyDescent="0.25">
      <c r="A12857" s="31"/>
      <c r="D12857" s="30"/>
    </row>
    <row r="12858" spans="1:4" x14ac:dyDescent="0.25">
      <c r="A12858" s="31"/>
      <c r="D12858" s="30"/>
    </row>
    <row r="12859" spans="1:4" x14ac:dyDescent="0.25">
      <c r="A12859" s="31"/>
      <c r="D12859" s="30"/>
    </row>
    <row r="12860" spans="1:4" x14ac:dyDescent="0.25">
      <c r="A12860" s="31"/>
      <c r="D12860" s="30"/>
    </row>
    <row r="12861" spans="1:4" x14ac:dyDescent="0.25">
      <c r="A12861" s="31"/>
      <c r="D12861" s="30"/>
    </row>
    <row r="12862" spans="1:4" x14ac:dyDescent="0.25">
      <c r="A12862" s="31"/>
      <c r="D12862" s="30"/>
    </row>
    <row r="12863" spans="1:4" x14ac:dyDescent="0.25">
      <c r="A12863" s="31"/>
      <c r="D12863" s="30"/>
    </row>
    <row r="12864" spans="1:4" x14ac:dyDescent="0.25">
      <c r="A12864" s="31"/>
      <c r="D12864" s="30"/>
    </row>
    <row r="12865" spans="1:4" x14ac:dyDescent="0.25">
      <c r="A12865" s="31"/>
      <c r="D12865" s="30"/>
    </row>
    <row r="12866" spans="1:4" x14ac:dyDescent="0.25">
      <c r="A12866" s="31"/>
      <c r="D12866" s="30"/>
    </row>
    <row r="12867" spans="1:4" x14ac:dyDescent="0.25">
      <c r="A12867" s="31"/>
      <c r="D12867" s="30"/>
    </row>
    <row r="12868" spans="1:4" x14ac:dyDescent="0.25">
      <c r="A12868" s="31"/>
      <c r="D12868" s="30"/>
    </row>
    <row r="12869" spans="1:4" x14ac:dyDescent="0.25">
      <c r="A12869" s="31"/>
      <c r="D12869" s="30"/>
    </row>
    <row r="12870" spans="1:4" x14ac:dyDescent="0.25">
      <c r="A12870" s="31"/>
      <c r="D12870" s="30"/>
    </row>
    <row r="12871" spans="1:4" x14ac:dyDescent="0.25">
      <c r="A12871" s="31"/>
      <c r="D12871" s="30"/>
    </row>
    <row r="12872" spans="1:4" x14ac:dyDescent="0.25">
      <c r="A12872" s="31"/>
      <c r="D12872" s="30"/>
    </row>
    <row r="12873" spans="1:4" x14ac:dyDescent="0.25">
      <c r="A12873" s="31"/>
      <c r="D12873" s="30"/>
    </row>
    <row r="12874" spans="1:4" x14ac:dyDescent="0.25">
      <c r="A12874" s="31"/>
      <c r="D12874" s="30"/>
    </row>
    <row r="12875" spans="1:4" x14ac:dyDescent="0.25">
      <c r="A12875" s="31"/>
      <c r="D12875" s="30"/>
    </row>
    <row r="12876" spans="1:4" x14ac:dyDescent="0.25">
      <c r="A12876" s="31"/>
      <c r="D12876" s="30"/>
    </row>
    <row r="12877" spans="1:4" x14ac:dyDescent="0.25">
      <c r="A12877" s="31"/>
      <c r="D12877" s="30"/>
    </row>
    <row r="12878" spans="1:4" x14ac:dyDescent="0.25">
      <c r="A12878" s="31"/>
      <c r="D12878" s="30"/>
    </row>
    <row r="12879" spans="1:4" x14ac:dyDescent="0.25">
      <c r="A12879" s="31"/>
      <c r="D12879" s="30"/>
    </row>
    <row r="12880" spans="1:4" x14ac:dyDescent="0.25">
      <c r="A12880" s="31"/>
      <c r="D12880" s="30"/>
    </row>
    <row r="12881" spans="1:4" x14ac:dyDescent="0.25">
      <c r="A12881" s="31"/>
      <c r="D12881" s="30"/>
    </row>
    <row r="12882" spans="1:4" x14ac:dyDescent="0.25">
      <c r="A12882" s="31"/>
      <c r="D12882" s="30"/>
    </row>
    <row r="12883" spans="1:4" x14ac:dyDescent="0.25">
      <c r="A12883" s="31"/>
      <c r="D12883" s="30"/>
    </row>
    <row r="12884" spans="1:4" x14ac:dyDescent="0.25">
      <c r="A12884" s="31"/>
      <c r="D12884" s="30"/>
    </row>
    <row r="12885" spans="1:4" x14ac:dyDescent="0.25">
      <c r="A12885" s="31"/>
      <c r="D12885" s="30"/>
    </row>
    <row r="12886" spans="1:4" x14ac:dyDescent="0.25">
      <c r="A12886" s="31"/>
      <c r="D12886" s="30"/>
    </row>
    <row r="12887" spans="1:4" x14ac:dyDescent="0.25">
      <c r="A12887" s="31"/>
      <c r="D12887" s="30"/>
    </row>
    <row r="12888" spans="1:4" x14ac:dyDescent="0.25">
      <c r="A12888" s="31"/>
      <c r="D12888" s="30"/>
    </row>
    <row r="12889" spans="1:4" x14ac:dyDescent="0.25">
      <c r="A12889" s="31"/>
      <c r="D12889" s="30"/>
    </row>
    <row r="12890" spans="1:4" x14ac:dyDescent="0.25">
      <c r="A12890" s="31"/>
      <c r="D12890" s="30"/>
    </row>
    <row r="12891" spans="1:4" x14ac:dyDescent="0.25">
      <c r="A12891" s="31"/>
      <c r="D12891" s="30"/>
    </row>
    <row r="12892" spans="1:4" x14ac:dyDescent="0.25">
      <c r="A12892" s="31"/>
      <c r="D12892" s="30"/>
    </row>
    <row r="12893" spans="1:4" x14ac:dyDescent="0.25">
      <c r="A12893" s="31"/>
      <c r="D12893" s="30"/>
    </row>
    <row r="12894" spans="1:4" x14ac:dyDescent="0.25">
      <c r="A12894" s="31"/>
      <c r="D12894" s="30"/>
    </row>
    <row r="12895" spans="1:4" x14ac:dyDescent="0.25">
      <c r="A12895" s="31"/>
      <c r="D12895" s="30"/>
    </row>
    <row r="12896" spans="1:4" x14ac:dyDescent="0.25">
      <c r="A12896" s="31"/>
      <c r="D12896" s="30"/>
    </row>
    <row r="12897" spans="1:4" x14ac:dyDescent="0.25">
      <c r="A12897" s="31"/>
      <c r="D12897" s="30"/>
    </row>
    <row r="12898" spans="1:4" x14ac:dyDescent="0.25">
      <c r="A12898" s="31"/>
      <c r="D12898" s="30"/>
    </row>
    <row r="12899" spans="1:4" x14ac:dyDescent="0.25">
      <c r="A12899" s="31"/>
      <c r="D12899" s="30"/>
    </row>
    <row r="12900" spans="1:4" x14ac:dyDescent="0.25">
      <c r="A12900" s="31"/>
      <c r="D12900" s="30"/>
    </row>
    <row r="12901" spans="1:4" x14ac:dyDescent="0.25">
      <c r="A12901" s="31"/>
      <c r="D12901" s="30"/>
    </row>
    <row r="12902" spans="1:4" x14ac:dyDescent="0.25">
      <c r="A12902" s="31"/>
      <c r="D12902" s="30"/>
    </row>
    <row r="12903" spans="1:4" x14ac:dyDescent="0.25">
      <c r="A12903" s="31"/>
      <c r="D12903" s="30"/>
    </row>
    <row r="12904" spans="1:4" x14ac:dyDescent="0.25">
      <c r="A12904" s="31"/>
      <c r="D12904" s="30"/>
    </row>
    <row r="12905" spans="1:4" x14ac:dyDescent="0.25">
      <c r="A12905" s="31"/>
      <c r="D12905" s="30"/>
    </row>
    <row r="12906" spans="1:4" x14ac:dyDescent="0.25">
      <c r="A12906" s="31"/>
      <c r="D12906" s="30"/>
    </row>
    <row r="12907" spans="1:4" x14ac:dyDescent="0.25">
      <c r="A12907" s="31"/>
      <c r="D12907" s="30"/>
    </row>
    <row r="12908" spans="1:4" x14ac:dyDescent="0.25">
      <c r="A12908" s="31"/>
      <c r="D12908" s="30"/>
    </row>
    <row r="12909" spans="1:4" x14ac:dyDescent="0.25">
      <c r="A12909" s="31"/>
      <c r="D12909" s="30"/>
    </row>
    <row r="12910" spans="1:4" x14ac:dyDescent="0.25">
      <c r="A12910" s="31"/>
      <c r="D12910" s="30"/>
    </row>
    <row r="12911" spans="1:4" x14ac:dyDescent="0.25">
      <c r="A12911" s="31"/>
      <c r="D12911" s="30"/>
    </row>
    <row r="12912" spans="1:4" x14ac:dyDescent="0.25">
      <c r="A12912" s="31"/>
      <c r="D12912" s="30"/>
    </row>
    <row r="12913" spans="1:4" x14ac:dyDescent="0.25">
      <c r="A12913" s="31"/>
      <c r="D12913" s="30"/>
    </row>
    <row r="12914" spans="1:4" x14ac:dyDescent="0.25">
      <c r="A12914" s="31"/>
      <c r="D12914" s="30"/>
    </row>
    <row r="12915" spans="1:4" x14ac:dyDescent="0.25">
      <c r="A12915" s="31"/>
      <c r="D12915" s="30"/>
    </row>
    <row r="12916" spans="1:4" x14ac:dyDescent="0.25">
      <c r="A12916" s="31"/>
      <c r="D12916" s="30"/>
    </row>
    <row r="12917" spans="1:4" x14ac:dyDescent="0.25">
      <c r="A12917" s="31"/>
      <c r="D12917" s="30"/>
    </row>
    <row r="12918" spans="1:4" x14ac:dyDescent="0.25">
      <c r="A12918" s="31"/>
      <c r="D12918" s="30"/>
    </row>
    <row r="12919" spans="1:4" x14ac:dyDescent="0.25">
      <c r="A12919" s="31"/>
      <c r="D12919" s="30"/>
    </row>
    <row r="12920" spans="1:4" x14ac:dyDescent="0.25">
      <c r="A12920" s="31"/>
      <c r="D12920" s="30"/>
    </row>
    <row r="12921" spans="1:4" x14ac:dyDescent="0.25">
      <c r="A12921" s="31"/>
      <c r="D12921" s="30"/>
    </row>
    <row r="12922" spans="1:4" x14ac:dyDescent="0.25">
      <c r="A12922" s="31"/>
      <c r="D12922" s="30"/>
    </row>
    <row r="12923" spans="1:4" x14ac:dyDescent="0.25">
      <c r="A12923" s="31"/>
      <c r="D12923" s="30"/>
    </row>
    <row r="12924" spans="1:4" x14ac:dyDescent="0.25">
      <c r="A12924" s="31"/>
      <c r="D12924" s="30"/>
    </row>
    <row r="12925" spans="1:4" x14ac:dyDescent="0.25">
      <c r="A12925" s="31"/>
      <c r="D12925" s="30"/>
    </row>
    <row r="12926" spans="1:4" x14ac:dyDescent="0.25">
      <c r="A12926" s="31"/>
      <c r="D12926" s="30"/>
    </row>
    <row r="12927" spans="1:4" x14ac:dyDescent="0.25">
      <c r="A12927" s="31"/>
      <c r="D12927" s="30"/>
    </row>
    <row r="12928" spans="1:4" x14ac:dyDescent="0.25">
      <c r="A12928" s="31"/>
      <c r="D12928" s="30"/>
    </row>
    <row r="12929" spans="1:4" x14ac:dyDescent="0.25">
      <c r="A12929" s="31"/>
      <c r="D12929" s="30"/>
    </row>
    <row r="12930" spans="1:4" x14ac:dyDescent="0.25">
      <c r="A12930" s="31"/>
      <c r="D12930" s="30"/>
    </row>
    <row r="12931" spans="1:4" x14ac:dyDescent="0.25">
      <c r="A12931" s="31"/>
      <c r="D12931" s="30"/>
    </row>
    <row r="12932" spans="1:4" x14ac:dyDescent="0.25">
      <c r="A12932" s="31"/>
      <c r="D12932" s="30"/>
    </row>
    <row r="12933" spans="1:4" x14ac:dyDescent="0.25">
      <c r="A12933" s="31"/>
      <c r="D12933" s="30"/>
    </row>
    <row r="12934" spans="1:4" x14ac:dyDescent="0.25">
      <c r="A12934" s="31"/>
      <c r="D12934" s="30"/>
    </row>
    <row r="12935" spans="1:4" x14ac:dyDescent="0.25">
      <c r="A12935" s="31"/>
      <c r="D12935" s="30"/>
    </row>
    <row r="12936" spans="1:4" x14ac:dyDescent="0.25">
      <c r="A12936" s="31"/>
      <c r="D12936" s="30"/>
    </row>
    <row r="12937" spans="1:4" x14ac:dyDescent="0.25">
      <c r="A12937" s="31"/>
      <c r="D12937" s="30"/>
    </row>
    <row r="12938" spans="1:4" x14ac:dyDescent="0.25">
      <c r="A12938" s="31"/>
      <c r="D12938" s="30"/>
    </row>
    <row r="12939" spans="1:4" x14ac:dyDescent="0.25">
      <c r="A12939" s="31"/>
      <c r="D12939" s="30"/>
    </row>
    <row r="12940" spans="1:4" x14ac:dyDescent="0.25">
      <c r="A12940" s="31"/>
      <c r="D12940" s="30"/>
    </row>
    <row r="12941" spans="1:4" x14ac:dyDescent="0.25">
      <c r="A12941" s="31"/>
      <c r="D12941" s="30"/>
    </row>
    <row r="12942" spans="1:4" x14ac:dyDescent="0.25">
      <c r="A12942" s="31"/>
      <c r="D12942" s="30"/>
    </row>
    <row r="12943" spans="1:4" x14ac:dyDescent="0.25">
      <c r="A12943" s="31"/>
      <c r="D12943" s="30"/>
    </row>
    <row r="12944" spans="1:4" x14ac:dyDescent="0.25">
      <c r="A12944" s="31"/>
      <c r="D12944" s="30"/>
    </row>
    <row r="12945" spans="1:4" x14ac:dyDescent="0.25">
      <c r="A12945" s="31"/>
      <c r="D12945" s="30"/>
    </row>
    <row r="12946" spans="1:4" x14ac:dyDescent="0.25">
      <c r="A12946" s="31"/>
      <c r="D12946" s="30"/>
    </row>
    <row r="12947" spans="1:4" x14ac:dyDescent="0.25">
      <c r="A12947" s="31"/>
      <c r="D12947" s="30"/>
    </row>
    <row r="12948" spans="1:4" x14ac:dyDescent="0.25">
      <c r="A12948" s="31"/>
      <c r="D12948" s="30"/>
    </row>
    <row r="12949" spans="1:4" x14ac:dyDescent="0.25">
      <c r="A12949" s="31"/>
      <c r="D12949" s="30"/>
    </row>
    <row r="12950" spans="1:4" x14ac:dyDescent="0.25">
      <c r="A12950" s="31"/>
      <c r="D12950" s="30"/>
    </row>
    <row r="12951" spans="1:4" x14ac:dyDescent="0.25">
      <c r="A12951" s="31"/>
      <c r="D12951" s="30"/>
    </row>
    <row r="12952" spans="1:4" x14ac:dyDescent="0.25">
      <c r="A12952" s="31"/>
      <c r="D12952" s="30"/>
    </row>
    <row r="12953" spans="1:4" x14ac:dyDescent="0.25">
      <c r="A12953" s="31"/>
      <c r="D12953" s="30"/>
    </row>
    <row r="12954" spans="1:4" x14ac:dyDescent="0.25">
      <c r="A12954" s="31"/>
      <c r="D12954" s="30"/>
    </row>
    <row r="12955" spans="1:4" x14ac:dyDescent="0.25">
      <c r="A12955" s="31"/>
      <c r="D12955" s="30"/>
    </row>
    <row r="12956" spans="1:4" x14ac:dyDescent="0.25">
      <c r="A12956" s="31"/>
      <c r="D12956" s="30"/>
    </row>
    <row r="12957" spans="1:4" x14ac:dyDescent="0.25">
      <c r="A12957" s="31"/>
      <c r="D12957" s="30"/>
    </row>
    <row r="12958" spans="1:4" x14ac:dyDescent="0.25">
      <c r="A12958" s="31"/>
      <c r="D12958" s="30"/>
    </row>
    <row r="12959" spans="1:4" x14ac:dyDescent="0.25">
      <c r="A12959" s="31"/>
      <c r="D12959" s="30"/>
    </row>
    <row r="12960" spans="1:4" x14ac:dyDescent="0.25">
      <c r="A12960" s="31"/>
      <c r="D12960" s="30"/>
    </row>
    <row r="12961" spans="1:4" x14ac:dyDescent="0.25">
      <c r="A12961" s="31"/>
      <c r="D12961" s="30"/>
    </row>
    <row r="12962" spans="1:4" x14ac:dyDescent="0.25">
      <c r="A12962" s="31"/>
      <c r="D12962" s="30"/>
    </row>
    <row r="12963" spans="1:4" x14ac:dyDescent="0.25">
      <c r="A12963" s="31"/>
      <c r="D12963" s="30"/>
    </row>
    <row r="12964" spans="1:4" x14ac:dyDescent="0.25">
      <c r="A12964" s="31"/>
      <c r="D12964" s="30"/>
    </row>
    <row r="12965" spans="1:4" x14ac:dyDescent="0.25">
      <c r="A12965" s="31"/>
      <c r="D12965" s="30"/>
    </row>
    <row r="12966" spans="1:4" x14ac:dyDescent="0.25">
      <c r="A12966" s="31"/>
      <c r="D12966" s="30"/>
    </row>
    <row r="12967" spans="1:4" x14ac:dyDescent="0.25">
      <c r="A12967" s="31"/>
      <c r="D12967" s="30"/>
    </row>
    <row r="12968" spans="1:4" x14ac:dyDescent="0.25">
      <c r="A12968" s="31"/>
      <c r="D12968" s="30"/>
    </row>
    <row r="12969" spans="1:4" x14ac:dyDescent="0.25">
      <c r="A12969" s="31"/>
      <c r="D12969" s="30"/>
    </row>
    <row r="12970" spans="1:4" x14ac:dyDescent="0.25">
      <c r="A12970" s="31"/>
      <c r="D12970" s="30"/>
    </row>
    <row r="12971" spans="1:4" x14ac:dyDescent="0.25">
      <c r="A12971" s="31"/>
      <c r="D12971" s="30"/>
    </row>
    <row r="12972" spans="1:4" x14ac:dyDescent="0.25">
      <c r="A12972" s="31"/>
      <c r="D12972" s="30"/>
    </row>
    <row r="12973" spans="1:4" x14ac:dyDescent="0.25">
      <c r="A12973" s="31"/>
      <c r="D12973" s="30"/>
    </row>
    <row r="12974" spans="1:4" x14ac:dyDescent="0.25">
      <c r="A12974" s="31"/>
      <c r="D12974" s="30"/>
    </row>
    <row r="12975" spans="1:4" x14ac:dyDescent="0.25">
      <c r="A12975" s="31"/>
      <c r="D12975" s="30"/>
    </row>
    <row r="12976" spans="1:4" x14ac:dyDescent="0.25">
      <c r="A12976" s="31"/>
      <c r="D12976" s="30"/>
    </row>
    <row r="12977" spans="1:4" x14ac:dyDescent="0.25">
      <c r="A12977" s="31"/>
      <c r="D12977" s="30"/>
    </row>
    <row r="12978" spans="1:4" x14ac:dyDescent="0.25">
      <c r="A12978" s="31"/>
      <c r="D12978" s="30"/>
    </row>
    <row r="12979" spans="1:4" x14ac:dyDescent="0.25">
      <c r="A12979" s="31"/>
      <c r="D12979" s="30"/>
    </row>
    <row r="12980" spans="1:4" x14ac:dyDescent="0.25">
      <c r="A12980" s="31"/>
      <c r="D12980" s="30"/>
    </row>
    <row r="12981" spans="1:4" x14ac:dyDescent="0.25">
      <c r="A12981" s="31"/>
      <c r="D12981" s="30"/>
    </row>
    <row r="12982" spans="1:4" x14ac:dyDescent="0.25">
      <c r="A12982" s="31"/>
      <c r="D12982" s="30"/>
    </row>
    <row r="12983" spans="1:4" x14ac:dyDescent="0.25">
      <c r="A12983" s="31"/>
      <c r="D12983" s="30"/>
    </row>
    <row r="12984" spans="1:4" x14ac:dyDescent="0.25">
      <c r="A12984" s="31"/>
      <c r="D12984" s="30"/>
    </row>
    <row r="12985" spans="1:4" x14ac:dyDescent="0.25">
      <c r="A12985" s="31"/>
      <c r="D12985" s="30"/>
    </row>
    <row r="12986" spans="1:4" x14ac:dyDescent="0.25">
      <c r="A12986" s="31"/>
      <c r="D12986" s="30"/>
    </row>
    <row r="12987" spans="1:4" x14ac:dyDescent="0.25">
      <c r="A12987" s="31"/>
      <c r="D12987" s="30"/>
    </row>
    <row r="12988" spans="1:4" x14ac:dyDescent="0.25">
      <c r="A12988" s="31"/>
      <c r="D12988" s="30"/>
    </row>
    <row r="12989" spans="1:4" x14ac:dyDescent="0.25">
      <c r="A12989" s="31"/>
      <c r="D12989" s="30"/>
    </row>
    <row r="12990" spans="1:4" x14ac:dyDescent="0.25">
      <c r="A12990" s="31"/>
      <c r="D12990" s="30"/>
    </row>
    <row r="12991" spans="1:4" x14ac:dyDescent="0.25">
      <c r="A12991" s="31"/>
      <c r="D12991" s="30"/>
    </row>
    <row r="12992" spans="1:4" x14ac:dyDescent="0.25">
      <c r="A12992" s="31"/>
      <c r="D12992" s="30"/>
    </row>
    <row r="12993" spans="1:4" x14ac:dyDescent="0.25">
      <c r="A12993" s="31"/>
      <c r="D12993" s="30"/>
    </row>
    <row r="12994" spans="1:4" x14ac:dyDescent="0.25">
      <c r="A12994" s="31"/>
      <c r="D12994" s="30"/>
    </row>
    <row r="12995" spans="1:4" x14ac:dyDescent="0.25">
      <c r="A12995" s="31"/>
      <c r="D12995" s="30"/>
    </row>
    <row r="12996" spans="1:4" x14ac:dyDescent="0.25">
      <c r="A12996" s="31"/>
      <c r="D12996" s="30"/>
    </row>
    <row r="12997" spans="1:4" x14ac:dyDescent="0.25">
      <c r="A12997" s="31"/>
      <c r="D12997" s="30"/>
    </row>
    <row r="12998" spans="1:4" x14ac:dyDescent="0.25">
      <c r="A12998" s="31"/>
      <c r="D12998" s="30"/>
    </row>
    <row r="12999" spans="1:4" x14ac:dyDescent="0.25">
      <c r="A12999" s="31"/>
      <c r="D12999" s="30"/>
    </row>
    <row r="13000" spans="1:4" x14ac:dyDescent="0.25">
      <c r="A13000" s="31"/>
      <c r="D13000" s="30"/>
    </row>
    <row r="13001" spans="1:4" x14ac:dyDescent="0.25">
      <c r="A13001" s="31"/>
      <c r="D13001" s="30"/>
    </row>
    <row r="13002" spans="1:4" x14ac:dyDescent="0.25">
      <c r="A13002" s="31"/>
      <c r="D13002" s="30"/>
    </row>
    <row r="13003" spans="1:4" x14ac:dyDescent="0.25">
      <c r="A13003" s="31"/>
      <c r="D13003" s="30"/>
    </row>
    <row r="13004" spans="1:4" x14ac:dyDescent="0.25">
      <c r="A13004" s="31"/>
      <c r="D13004" s="30"/>
    </row>
    <row r="13005" spans="1:4" x14ac:dyDescent="0.25">
      <c r="A13005" s="31"/>
      <c r="D13005" s="30"/>
    </row>
    <row r="13006" spans="1:4" x14ac:dyDescent="0.25">
      <c r="A13006" s="31"/>
      <c r="D13006" s="30"/>
    </row>
    <row r="13007" spans="1:4" x14ac:dyDescent="0.25">
      <c r="A13007" s="31"/>
      <c r="D13007" s="30"/>
    </row>
    <row r="13008" spans="1:4" x14ac:dyDescent="0.25">
      <c r="A13008" s="31"/>
      <c r="D13008" s="30"/>
    </row>
    <row r="13009" spans="1:4" x14ac:dyDescent="0.25">
      <c r="A13009" s="31"/>
      <c r="D13009" s="30"/>
    </row>
    <row r="13010" spans="1:4" x14ac:dyDescent="0.25">
      <c r="A13010" s="31"/>
      <c r="D13010" s="30"/>
    </row>
    <row r="13011" spans="1:4" x14ac:dyDescent="0.25">
      <c r="A13011" s="31"/>
      <c r="D13011" s="30"/>
    </row>
    <row r="13012" spans="1:4" x14ac:dyDescent="0.25">
      <c r="A13012" s="31"/>
      <c r="D13012" s="30"/>
    </row>
    <row r="13013" spans="1:4" x14ac:dyDescent="0.25">
      <c r="A13013" s="31"/>
      <c r="D13013" s="30"/>
    </row>
    <row r="13014" spans="1:4" x14ac:dyDescent="0.25">
      <c r="A13014" s="31"/>
      <c r="D13014" s="30"/>
    </row>
    <row r="13015" spans="1:4" x14ac:dyDescent="0.25">
      <c r="A13015" s="31"/>
      <c r="D13015" s="30"/>
    </row>
    <row r="13016" spans="1:4" x14ac:dyDescent="0.25">
      <c r="A13016" s="31"/>
      <c r="D13016" s="30"/>
    </row>
    <row r="13017" spans="1:4" x14ac:dyDescent="0.25">
      <c r="A13017" s="31"/>
      <c r="D13017" s="30"/>
    </row>
    <row r="13018" spans="1:4" x14ac:dyDescent="0.25">
      <c r="A13018" s="31"/>
      <c r="D13018" s="30"/>
    </row>
    <row r="13019" spans="1:4" x14ac:dyDescent="0.25">
      <c r="A13019" s="31"/>
      <c r="D13019" s="30"/>
    </row>
    <row r="13020" spans="1:4" x14ac:dyDescent="0.25">
      <c r="A13020" s="31"/>
      <c r="D13020" s="30"/>
    </row>
    <row r="13021" spans="1:4" x14ac:dyDescent="0.25">
      <c r="A13021" s="31"/>
      <c r="D13021" s="30"/>
    </row>
    <row r="13022" spans="1:4" x14ac:dyDescent="0.25">
      <c r="A13022" s="31"/>
      <c r="D13022" s="30"/>
    </row>
    <row r="13023" spans="1:4" x14ac:dyDescent="0.25">
      <c r="A13023" s="31"/>
      <c r="D13023" s="30"/>
    </row>
    <row r="13024" spans="1:4" x14ac:dyDescent="0.25">
      <c r="A13024" s="31"/>
      <c r="D13024" s="30"/>
    </row>
    <row r="13025" spans="1:4" x14ac:dyDescent="0.25">
      <c r="A13025" s="31"/>
      <c r="D13025" s="30"/>
    </row>
    <row r="13026" spans="1:4" x14ac:dyDescent="0.25">
      <c r="A13026" s="31"/>
      <c r="D13026" s="30"/>
    </row>
    <row r="13027" spans="1:4" x14ac:dyDescent="0.25">
      <c r="A13027" s="31"/>
      <c r="D13027" s="30"/>
    </row>
    <row r="13028" spans="1:4" x14ac:dyDescent="0.25">
      <c r="A13028" s="31"/>
      <c r="D13028" s="30"/>
    </row>
    <row r="13029" spans="1:4" x14ac:dyDescent="0.25">
      <c r="A13029" s="31"/>
      <c r="D13029" s="30"/>
    </row>
    <row r="13030" spans="1:4" x14ac:dyDescent="0.25">
      <c r="A13030" s="31"/>
      <c r="D13030" s="30"/>
    </row>
    <row r="13031" spans="1:4" x14ac:dyDescent="0.25">
      <c r="A13031" s="31"/>
      <c r="D13031" s="30"/>
    </row>
    <row r="13032" spans="1:4" x14ac:dyDescent="0.25">
      <c r="A13032" s="31"/>
      <c r="D13032" s="30"/>
    </row>
    <row r="13033" spans="1:4" x14ac:dyDescent="0.25">
      <c r="A13033" s="31"/>
      <c r="D13033" s="30"/>
    </row>
    <row r="13034" spans="1:4" x14ac:dyDescent="0.25">
      <c r="A13034" s="31"/>
      <c r="D13034" s="30"/>
    </row>
    <row r="13035" spans="1:4" x14ac:dyDescent="0.25">
      <c r="A13035" s="31"/>
      <c r="D13035" s="30"/>
    </row>
    <row r="13036" spans="1:4" x14ac:dyDescent="0.25">
      <c r="A13036" s="31"/>
      <c r="D13036" s="30"/>
    </row>
    <row r="13037" spans="1:4" x14ac:dyDescent="0.25">
      <c r="A13037" s="31"/>
      <c r="D13037" s="30"/>
    </row>
    <row r="13038" spans="1:4" x14ac:dyDescent="0.25">
      <c r="A13038" s="31"/>
      <c r="D13038" s="30"/>
    </row>
    <row r="13039" spans="1:4" x14ac:dyDescent="0.25">
      <c r="A13039" s="31"/>
      <c r="D13039" s="30"/>
    </row>
    <row r="13040" spans="1:4" x14ac:dyDescent="0.25">
      <c r="A13040" s="31"/>
      <c r="D13040" s="30"/>
    </row>
    <row r="13041" spans="1:4" x14ac:dyDescent="0.25">
      <c r="A13041" s="31"/>
      <c r="D13041" s="30"/>
    </row>
    <row r="13042" spans="1:4" x14ac:dyDescent="0.25">
      <c r="A13042" s="31"/>
      <c r="D13042" s="30"/>
    </row>
    <row r="13043" spans="1:4" x14ac:dyDescent="0.25">
      <c r="A13043" s="31"/>
      <c r="D13043" s="30"/>
    </row>
    <row r="13044" spans="1:4" x14ac:dyDescent="0.25">
      <c r="A13044" s="31"/>
      <c r="D13044" s="30"/>
    </row>
    <row r="13045" spans="1:4" x14ac:dyDescent="0.25">
      <c r="A13045" s="31"/>
      <c r="D13045" s="30"/>
    </row>
    <row r="13046" spans="1:4" x14ac:dyDescent="0.25">
      <c r="A13046" s="31"/>
      <c r="D13046" s="30"/>
    </row>
    <row r="13047" spans="1:4" x14ac:dyDescent="0.25">
      <c r="A13047" s="31"/>
      <c r="D13047" s="30"/>
    </row>
    <row r="13048" spans="1:4" x14ac:dyDescent="0.25">
      <c r="A13048" s="31"/>
      <c r="D13048" s="30"/>
    </row>
    <row r="13049" spans="1:4" x14ac:dyDescent="0.25">
      <c r="A13049" s="31"/>
      <c r="D13049" s="30"/>
    </row>
    <row r="13050" spans="1:4" x14ac:dyDescent="0.25">
      <c r="A13050" s="31"/>
      <c r="D13050" s="30"/>
    </row>
    <row r="13051" spans="1:4" x14ac:dyDescent="0.25">
      <c r="A13051" s="31"/>
      <c r="D13051" s="30"/>
    </row>
    <row r="13052" spans="1:4" x14ac:dyDescent="0.25">
      <c r="A13052" s="31"/>
      <c r="D13052" s="30"/>
    </row>
    <row r="13053" spans="1:4" x14ac:dyDescent="0.25">
      <c r="A13053" s="31"/>
      <c r="D13053" s="30"/>
    </row>
    <row r="13054" spans="1:4" x14ac:dyDescent="0.25">
      <c r="A13054" s="31"/>
      <c r="D13054" s="30"/>
    </row>
    <row r="13055" spans="1:4" x14ac:dyDescent="0.25">
      <c r="A13055" s="31"/>
      <c r="D13055" s="30"/>
    </row>
    <row r="13056" spans="1:4" x14ac:dyDescent="0.25">
      <c r="A13056" s="31"/>
      <c r="D13056" s="30"/>
    </row>
    <row r="13057" spans="1:4" x14ac:dyDescent="0.25">
      <c r="A13057" s="31"/>
      <c r="D13057" s="30"/>
    </row>
    <row r="13058" spans="1:4" x14ac:dyDescent="0.25">
      <c r="A13058" s="31"/>
      <c r="D13058" s="30"/>
    </row>
    <row r="13059" spans="1:4" x14ac:dyDescent="0.25">
      <c r="A13059" s="31"/>
      <c r="D13059" s="30"/>
    </row>
    <row r="13060" spans="1:4" x14ac:dyDescent="0.25">
      <c r="A13060" s="31"/>
      <c r="D13060" s="30"/>
    </row>
    <row r="13061" spans="1:4" x14ac:dyDescent="0.25">
      <c r="A13061" s="31"/>
      <c r="D13061" s="30"/>
    </row>
    <row r="13062" spans="1:4" x14ac:dyDescent="0.25">
      <c r="A13062" s="31"/>
      <c r="D13062" s="30"/>
    </row>
    <row r="13063" spans="1:4" x14ac:dyDescent="0.25">
      <c r="A13063" s="31"/>
      <c r="D13063" s="30"/>
    </row>
    <row r="13064" spans="1:4" x14ac:dyDescent="0.25">
      <c r="A13064" s="31"/>
      <c r="D13064" s="30"/>
    </row>
    <row r="13065" spans="1:4" x14ac:dyDescent="0.25">
      <c r="A13065" s="31"/>
      <c r="D13065" s="30"/>
    </row>
    <row r="13066" spans="1:4" x14ac:dyDescent="0.25">
      <c r="A13066" s="31"/>
      <c r="D13066" s="30"/>
    </row>
    <row r="13067" spans="1:4" x14ac:dyDescent="0.25">
      <c r="A13067" s="31"/>
      <c r="D13067" s="30"/>
    </row>
    <row r="13068" spans="1:4" x14ac:dyDescent="0.25">
      <c r="A13068" s="31"/>
      <c r="D13068" s="30"/>
    </row>
    <row r="13069" spans="1:4" x14ac:dyDescent="0.25">
      <c r="A13069" s="31"/>
      <c r="D13069" s="30"/>
    </row>
    <row r="13070" spans="1:4" x14ac:dyDescent="0.25">
      <c r="A13070" s="31"/>
      <c r="D13070" s="30"/>
    </row>
    <row r="13071" spans="1:4" x14ac:dyDescent="0.25">
      <c r="A13071" s="31"/>
      <c r="D13071" s="30"/>
    </row>
    <row r="13072" spans="1:4" x14ac:dyDescent="0.25">
      <c r="A13072" s="31"/>
      <c r="D13072" s="30"/>
    </row>
    <row r="13073" spans="1:4" x14ac:dyDescent="0.25">
      <c r="A13073" s="31"/>
      <c r="D13073" s="30"/>
    </row>
    <row r="13074" spans="1:4" x14ac:dyDescent="0.25">
      <c r="A13074" s="31"/>
      <c r="D13074" s="30"/>
    </row>
    <row r="13075" spans="1:4" x14ac:dyDescent="0.25">
      <c r="A13075" s="31"/>
      <c r="D13075" s="30"/>
    </row>
    <row r="13076" spans="1:4" x14ac:dyDescent="0.25">
      <c r="A13076" s="31"/>
      <c r="D13076" s="30"/>
    </row>
    <row r="13077" spans="1:4" x14ac:dyDescent="0.25">
      <c r="A13077" s="31"/>
      <c r="D13077" s="30"/>
    </row>
    <row r="13078" spans="1:4" x14ac:dyDescent="0.25">
      <c r="A13078" s="31"/>
      <c r="D13078" s="30"/>
    </row>
    <row r="13079" spans="1:4" x14ac:dyDescent="0.25">
      <c r="A13079" s="31"/>
      <c r="D13079" s="30"/>
    </row>
    <row r="13080" spans="1:4" x14ac:dyDescent="0.25">
      <c r="A13080" s="31"/>
      <c r="D13080" s="30"/>
    </row>
    <row r="13081" spans="1:4" x14ac:dyDescent="0.25">
      <c r="A13081" s="31"/>
      <c r="D13081" s="30"/>
    </row>
    <row r="13082" spans="1:4" x14ac:dyDescent="0.25">
      <c r="A13082" s="31"/>
      <c r="D13082" s="30"/>
    </row>
    <row r="13083" spans="1:4" x14ac:dyDescent="0.25">
      <c r="A13083" s="31"/>
      <c r="D13083" s="30"/>
    </row>
    <row r="13084" spans="1:4" x14ac:dyDescent="0.25">
      <c r="A13084" s="31"/>
      <c r="D13084" s="30"/>
    </row>
    <row r="13085" spans="1:4" x14ac:dyDescent="0.25">
      <c r="A13085" s="31"/>
      <c r="D13085" s="30"/>
    </row>
    <row r="13086" spans="1:4" x14ac:dyDescent="0.25">
      <c r="A13086" s="31"/>
      <c r="D13086" s="30"/>
    </row>
    <row r="13087" spans="1:4" x14ac:dyDescent="0.25">
      <c r="A13087" s="31"/>
      <c r="D13087" s="30"/>
    </row>
    <row r="13088" spans="1:4" x14ac:dyDescent="0.25">
      <c r="A13088" s="31"/>
      <c r="D13088" s="30"/>
    </row>
    <row r="13089" spans="1:4" x14ac:dyDescent="0.25">
      <c r="A13089" s="31"/>
      <c r="D13089" s="30"/>
    </row>
    <row r="13090" spans="1:4" x14ac:dyDescent="0.25">
      <c r="A13090" s="31"/>
      <c r="D13090" s="30"/>
    </row>
    <row r="13091" spans="1:4" x14ac:dyDescent="0.25">
      <c r="A13091" s="31"/>
      <c r="D13091" s="30"/>
    </row>
    <row r="13092" spans="1:4" x14ac:dyDescent="0.25">
      <c r="A13092" s="31"/>
      <c r="D13092" s="30"/>
    </row>
    <row r="13093" spans="1:4" x14ac:dyDescent="0.25">
      <c r="A13093" s="31"/>
      <c r="D13093" s="30"/>
    </row>
    <row r="13094" spans="1:4" x14ac:dyDescent="0.25">
      <c r="A13094" s="31"/>
      <c r="D13094" s="30"/>
    </row>
    <row r="13095" spans="1:4" x14ac:dyDescent="0.25">
      <c r="A13095" s="31"/>
      <c r="D13095" s="30"/>
    </row>
    <row r="13096" spans="1:4" x14ac:dyDescent="0.25">
      <c r="A13096" s="31"/>
      <c r="D13096" s="30"/>
    </row>
    <row r="13097" spans="1:4" x14ac:dyDescent="0.25">
      <c r="A13097" s="31"/>
      <c r="D13097" s="30"/>
    </row>
    <row r="13098" spans="1:4" x14ac:dyDescent="0.25">
      <c r="A13098" s="31"/>
      <c r="D13098" s="30"/>
    </row>
    <row r="13099" spans="1:4" x14ac:dyDescent="0.25">
      <c r="A13099" s="31"/>
      <c r="D13099" s="30"/>
    </row>
    <row r="13100" spans="1:4" x14ac:dyDescent="0.25">
      <c r="A13100" s="31"/>
      <c r="D13100" s="30"/>
    </row>
    <row r="13101" spans="1:4" x14ac:dyDescent="0.25">
      <c r="A13101" s="31"/>
      <c r="D13101" s="30"/>
    </row>
    <row r="13102" spans="1:4" x14ac:dyDescent="0.25">
      <c r="A13102" s="31"/>
      <c r="D13102" s="30"/>
    </row>
    <row r="13103" spans="1:4" x14ac:dyDescent="0.25">
      <c r="A13103" s="31"/>
      <c r="D13103" s="30"/>
    </row>
    <row r="13104" spans="1:4" x14ac:dyDescent="0.25">
      <c r="A13104" s="31"/>
      <c r="D13104" s="30"/>
    </row>
    <row r="13105" spans="1:4" x14ac:dyDescent="0.25">
      <c r="A13105" s="31"/>
      <c r="D13105" s="30"/>
    </row>
    <row r="13106" spans="1:4" x14ac:dyDescent="0.25">
      <c r="A13106" s="31"/>
      <c r="D13106" s="30"/>
    </row>
    <row r="13107" spans="1:4" x14ac:dyDescent="0.25">
      <c r="A13107" s="31"/>
      <c r="D13107" s="30"/>
    </row>
    <row r="13108" spans="1:4" x14ac:dyDescent="0.25">
      <c r="A13108" s="31"/>
      <c r="D13108" s="30"/>
    </row>
    <row r="13109" spans="1:4" x14ac:dyDescent="0.25">
      <c r="A13109" s="31"/>
      <c r="D13109" s="30"/>
    </row>
    <row r="13110" spans="1:4" x14ac:dyDescent="0.25">
      <c r="A13110" s="31"/>
      <c r="D13110" s="30"/>
    </row>
    <row r="13111" spans="1:4" x14ac:dyDescent="0.25">
      <c r="A13111" s="31"/>
      <c r="D13111" s="30"/>
    </row>
    <row r="13112" spans="1:4" x14ac:dyDescent="0.25">
      <c r="A13112" s="31"/>
      <c r="D13112" s="30"/>
    </row>
    <row r="13113" spans="1:4" x14ac:dyDescent="0.25">
      <c r="A13113" s="31"/>
      <c r="D13113" s="30"/>
    </row>
    <row r="13114" spans="1:4" x14ac:dyDescent="0.25">
      <c r="A13114" s="31"/>
      <c r="D13114" s="30"/>
    </row>
    <row r="13115" spans="1:4" x14ac:dyDescent="0.25">
      <c r="A13115" s="31"/>
      <c r="D13115" s="30"/>
    </row>
    <row r="13116" spans="1:4" x14ac:dyDescent="0.25">
      <c r="A13116" s="31"/>
      <c r="D13116" s="30"/>
    </row>
    <row r="13117" spans="1:4" x14ac:dyDescent="0.25">
      <c r="A13117" s="31"/>
      <c r="D13117" s="30"/>
    </row>
    <row r="13118" spans="1:4" x14ac:dyDescent="0.25">
      <c r="A13118" s="31"/>
      <c r="D13118" s="30"/>
    </row>
    <row r="13119" spans="1:4" x14ac:dyDescent="0.25">
      <c r="A13119" s="31"/>
      <c r="D13119" s="30"/>
    </row>
    <row r="13120" spans="1:4" x14ac:dyDescent="0.25">
      <c r="A13120" s="31"/>
      <c r="D13120" s="30"/>
    </row>
    <row r="13121" spans="1:4" x14ac:dyDescent="0.25">
      <c r="A13121" s="31"/>
      <c r="D13121" s="30"/>
    </row>
    <row r="13122" spans="1:4" x14ac:dyDescent="0.25">
      <c r="A13122" s="31"/>
      <c r="D13122" s="30"/>
    </row>
    <row r="13123" spans="1:4" x14ac:dyDescent="0.25">
      <c r="A13123" s="31"/>
      <c r="D13123" s="30"/>
    </row>
    <row r="13124" spans="1:4" x14ac:dyDescent="0.25">
      <c r="A13124" s="31"/>
      <c r="D13124" s="30"/>
    </row>
    <row r="13125" spans="1:4" x14ac:dyDescent="0.25">
      <c r="A13125" s="31"/>
      <c r="D13125" s="30"/>
    </row>
    <row r="13126" spans="1:4" x14ac:dyDescent="0.25">
      <c r="A13126" s="31"/>
      <c r="D13126" s="30"/>
    </row>
    <row r="13127" spans="1:4" x14ac:dyDescent="0.25">
      <c r="A13127" s="31"/>
      <c r="D13127" s="30"/>
    </row>
    <row r="13128" spans="1:4" x14ac:dyDescent="0.25">
      <c r="A13128" s="31"/>
      <c r="D13128" s="30"/>
    </row>
    <row r="13129" spans="1:4" x14ac:dyDescent="0.25">
      <c r="A13129" s="31"/>
      <c r="D13129" s="30"/>
    </row>
    <row r="13130" spans="1:4" x14ac:dyDescent="0.25">
      <c r="A13130" s="31"/>
      <c r="D13130" s="30"/>
    </row>
    <row r="13131" spans="1:4" x14ac:dyDescent="0.25">
      <c r="A13131" s="31"/>
      <c r="D13131" s="30"/>
    </row>
    <row r="13132" spans="1:4" x14ac:dyDescent="0.25">
      <c r="A13132" s="31"/>
      <c r="D13132" s="30"/>
    </row>
    <row r="13133" spans="1:4" x14ac:dyDescent="0.25">
      <c r="A13133" s="31"/>
      <c r="D13133" s="30"/>
    </row>
    <row r="13134" spans="1:4" x14ac:dyDescent="0.25">
      <c r="A13134" s="31"/>
      <c r="D13134" s="30"/>
    </row>
    <row r="13135" spans="1:4" x14ac:dyDescent="0.25">
      <c r="A13135" s="31"/>
      <c r="D13135" s="30"/>
    </row>
    <row r="13136" spans="1:4" x14ac:dyDescent="0.25">
      <c r="A13136" s="31"/>
      <c r="D13136" s="30"/>
    </row>
    <row r="13137" spans="1:4" x14ac:dyDescent="0.25">
      <c r="A13137" s="31"/>
      <c r="D13137" s="30"/>
    </row>
    <row r="13138" spans="1:4" x14ac:dyDescent="0.25">
      <c r="A13138" s="31"/>
      <c r="D13138" s="30"/>
    </row>
    <row r="13139" spans="1:4" x14ac:dyDescent="0.25">
      <c r="A13139" s="31"/>
      <c r="D13139" s="30"/>
    </row>
    <row r="13140" spans="1:4" x14ac:dyDescent="0.25">
      <c r="A13140" s="31"/>
      <c r="D13140" s="30"/>
    </row>
    <row r="13141" spans="1:4" x14ac:dyDescent="0.25">
      <c r="A13141" s="31"/>
      <c r="D13141" s="30"/>
    </row>
    <row r="13142" spans="1:4" x14ac:dyDescent="0.25">
      <c r="A13142" s="31"/>
      <c r="D13142" s="30"/>
    </row>
    <row r="13143" spans="1:4" x14ac:dyDescent="0.25">
      <c r="A13143" s="31"/>
      <c r="D13143" s="30"/>
    </row>
    <row r="13144" spans="1:4" x14ac:dyDescent="0.25">
      <c r="A13144" s="31"/>
      <c r="D13144" s="30"/>
    </row>
    <row r="13145" spans="1:4" x14ac:dyDescent="0.25">
      <c r="A13145" s="31"/>
      <c r="D13145" s="30"/>
    </row>
    <row r="13146" spans="1:4" x14ac:dyDescent="0.25">
      <c r="A13146" s="31"/>
      <c r="D13146" s="30"/>
    </row>
    <row r="13147" spans="1:4" x14ac:dyDescent="0.25">
      <c r="A13147" s="31"/>
      <c r="D13147" s="30"/>
    </row>
    <row r="13148" spans="1:4" x14ac:dyDescent="0.25">
      <c r="A13148" s="31"/>
      <c r="D13148" s="30"/>
    </row>
    <row r="13149" spans="1:4" x14ac:dyDescent="0.25">
      <c r="A13149" s="31"/>
      <c r="D13149" s="30"/>
    </row>
    <row r="13150" spans="1:4" x14ac:dyDescent="0.25">
      <c r="A13150" s="31"/>
      <c r="D13150" s="30"/>
    </row>
    <row r="13151" spans="1:4" x14ac:dyDescent="0.25">
      <c r="A13151" s="31"/>
      <c r="D13151" s="30"/>
    </row>
    <row r="13152" spans="1:4" x14ac:dyDescent="0.25">
      <c r="A13152" s="31"/>
      <c r="D13152" s="30"/>
    </row>
    <row r="13153" spans="1:4" x14ac:dyDescent="0.25">
      <c r="A13153" s="31"/>
      <c r="D13153" s="30"/>
    </row>
    <row r="13154" spans="1:4" x14ac:dyDescent="0.25">
      <c r="A13154" s="31"/>
      <c r="D13154" s="30"/>
    </row>
    <row r="13155" spans="1:4" x14ac:dyDescent="0.25">
      <c r="A13155" s="31"/>
      <c r="D13155" s="30"/>
    </row>
    <row r="13156" spans="1:4" x14ac:dyDescent="0.25">
      <c r="A13156" s="31"/>
      <c r="D13156" s="30"/>
    </row>
    <row r="13157" spans="1:4" x14ac:dyDescent="0.25">
      <c r="A13157" s="31"/>
      <c r="D13157" s="30"/>
    </row>
    <row r="13158" spans="1:4" x14ac:dyDescent="0.25">
      <c r="A13158" s="31"/>
      <c r="D13158" s="30"/>
    </row>
    <row r="13159" spans="1:4" x14ac:dyDescent="0.25">
      <c r="A13159" s="31"/>
      <c r="D13159" s="30"/>
    </row>
    <row r="13160" spans="1:4" x14ac:dyDescent="0.25">
      <c r="A13160" s="31"/>
      <c r="D13160" s="30"/>
    </row>
    <row r="13161" spans="1:4" x14ac:dyDescent="0.25">
      <c r="A13161" s="31"/>
      <c r="D13161" s="30"/>
    </row>
    <row r="13162" spans="1:4" x14ac:dyDescent="0.25">
      <c r="A13162" s="31"/>
      <c r="D13162" s="30"/>
    </row>
    <row r="13163" spans="1:4" x14ac:dyDescent="0.25">
      <c r="A13163" s="31"/>
      <c r="D13163" s="30"/>
    </row>
    <row r="13164" spans="1:4" x14ac:dyDescent="0.25">
      <c r="A13164" s="31"/>
      <c r="D13164" s="30"/>
    </row>
    <row r="13165" spans="1:4" x14ac:dyDescent="0.25">
      <c r="A13165" s="31"/>
      <c r="D13165" s="30"/>
    </row>
    <row r="13166" spans="1:4" x14ac:dyDescent="0.25">
      <c r="A13166" s="31"/>
      <c r="D13166" s="30"/>
    </row>
    <row r="13167" spans="1:4" x14ac:dyDescent="0.25">
      <c r="A13167" s="31"/>
      <c r="D13167" s="30"/>
    </row>
    <row r="13168" spans="1:4" x14ac:dyDescent="0.25">
      <c r="A13168" s="31"/>
      <c r="D13168" s="30"/>
    </row>
    <row r="13169" spans="1:4" x14ac:dyDescent="0.25">
      <c r="A13169" s="31"/>
      <c r="D13169" s="30"/>
    </row>
    <row r="13170" spans="1:4" x14ac:dyDescent="0.25">
      <c r="A13170" s="31"/>
      <c r="D13170" s="30"/>
    </row>
    <row r="13171" spans="1:4" x14ac:dyDescent="0.25">
      <c r="A13171" s="31"/>
      <c r="D13171" s="30"/>
    </row>
    <row r="13172" spans="1:4" x14ac:dyDescent="0.25">
      <c r="A13172" s="31"/>
      <c r="D13172" s="30"/>
    </row>
    <row r="13173" spans="1:4" x14ac:dyDescent="0.25">
      <c r="A13173" s="31"/>
      <c r="D13173" s="30"/>
    </row>
    <row r="13174" spans="1:4" x14ac:dyDescent="0.25">
      <c r="A13174" s="31"/>
      <c r="D13174" s="30"/>
    </row>
    <row r="13175" spans="1:4" x14ac:dyDescent="0.25">
      <c r="A13175" s="31"/>
      <c r="D13175" s="30"/>
    </row>
    <row r="13176" spans="1:4" x14ac:dyDescent="0.25">
      <c r="A13176" s="31"/>
      <c r="D13176" s="30"/>
    </row>
    <row r="13177" spans="1:4" x14ac:dyDescent="0.25">
      <c r="A13177" s="31"/>
      <c r="D13177" s="30"/>
    </row>
    <row r="13178" spans="1:4" x14ac:dyDescent="0.25">
      <c r="A13178" s="31"/>
      <c r="D13178" s="30"/>
    </row>
    <row r="13179" spans="1:4" x14ac:dyDescent="0.25">
      <c r="A13179" s="31"/>
      <c r="D13179" s="30"/>
    </row>
    <row r="13180" spans="1:4" x14ac:dyDescent="0.25">
      <c r="A13180" s="31"/>
      <c r="D13180" s="30"/>
    </row>
    <row r="13181" spans="1:4" x14ac:dyDescent="0.25">
      <c r="A13181" s="31"/>
      <c r="D13181" s="30"/>
    </row>
    <row r="13182" spans="1:4" x14ac:dyDescent="0.25">
      <c r="A13182" s="31"/>
      <c r="D13182" s="30"/>
    </row>
    <row r="13183" spans="1:4" x14ac:dyDescent="0.25">
      <c r="A13183" s="31"/>
      <c r="D13183" s="30"/>
    </row>
    <row r="13184" spans="1:4" x14ac:dyDescent="0.25">
      <c r="A13184" s="31"/>
      <c r="D13184" s="30"/>
    </row>
    <row r="13185" spans="1:4" x14ac:dyDescent="0.25">
      <c r="A13185" s="31"/>
      <c r="D13185" s="30"/>
    </row>
    <row r="13186" spans="1:4" x14ac:dyDescent="0.25">
      <c r="A13186" s="31"/>
      <c r="D13186" s="30"/>
    </row>
    <row r="13187" spans="1:4" x14ac:dyDescent="0.25">
      <c r="A13187" s="31"/>
      <c r="D13187" s="30"/>
    </row>
    <row r="13188" spans="1:4" x14ac:dyDescent="0.25">
      <c r="A13188" s="31"/>
      <c r="D13188" s="30"/>
    </row>
    <row r="13189" spans="1:4" x14ac:dyDescent="0.25">
      <c r="A13189" s="31"/>
      <c r="D13189" s="30"/>
    </row>
    <row r="13190" spans="1:4" x14ac:dyDescent="0.25">
      <c r="A13190" s="31"/>
      <c r="D13190" s="30"/>
    </row>
    <row r="13191" spans="1:4" x14ac:dyDescent="0.25">
      <c r="A13191" s="31"/>
      <c r="D13191" s="30"/>
    </row>
    <row r="13192" spans="1:4" x14ac:dyDescent="0.25">
      <c r="A13192" s="31"/>
      <c r="D13192" s="30"/>
    </row>
    <row r="13193" spans="1:4" x14ac:dyDescent="0.25">
      <c r="A13193" s="31"/>
      <c r="D13193" s="30"/>
    </row>
    <row r="13194" spans="1:4" x14ac:dyDescent="0.25">
      <c r="A13194" s="31"/>
      <c r="D13194" s="30"/>
    </row>
    <row r="13195" spans="1:4" x14ac:dyDescent="0.25">
      <c r="A13195" s="31"/>
      <c r="D13195" s="30"/>
    </row>
    <row r="13196" spans="1:4" x14ac:dyDescent="0.25">
      <c r="A13196" s="31"/>
      <c r="D13196" s="30"/>
    </row>
    <row r="13197" spans="1:4" x14ac:dyDescent="0.25">
      <c r="A13197" s="31"/>
      <c r="D13197" s="30"/>
    </row>
    <row r="13198" spans="1:4" x14ac:dyDescent="0.25">
      <c r="A13198" s="31"/>
      <c r="D13198" s="30"/>
    </row>
    <row r="13199" spans="1:4" x14ac:dyDescent="0.25">
      <c r="A13199" s="31"/>
      <c r="D13199" s="30"/>
    </row>
    <row r="13200" spans="1:4" x14ac:dyDescent="0.25">
      <c r="A13200" s="31"/>
      <c r="D13200" s="30"/>
    </row>
    <row r="13201" spans="1:4" x14ac:dyDescent="0.25">
      <c r="A13201" s="31"/>
      <c r="D13201" s="30"/>
    </row>
    <row r="13202" spans="1:4" x14ac:dyDescent="0.25">
      <c r="A13202" s="31"/>
      <c r="D13202" s="30"/>
    </row>
    <row r="13203" spans="1:4" x14ac:dyDescent="0.25">
      <c r="A13203" s="31"/>
      <c r="D13203" s="30"/>
    </row>
    <row r="13204" spans="1:4" x14ac:dyDescent="0.25">
      <c r="A13204" s="31"/>
      <c r="D13204" s="30"/>
    </row>
    <row r="13205" spans="1:4" x14ac:dyDescent="0.25">
      <c r="A13205" s="31"/>
      <c r="D13205" s="30"/>
    </row>
    <row r="13206" spans="1:4" x14ac:dyDescent="0.25">
      <c r="A13206" s="31"/>
      <c r="D13206" s="30"/>
    </row>
    <row r="13207" spans="1:4" x14ac:dyDescent="0.25">
      <c r="A13207" s="31"/>
      <c r="D13207" s="30"/>
    </row>
    <row r="13208" spans="1:4" x14ac:dyDescent="0.25">
      <c r="A13208" s="31"/>
      <c r="D13208" s="30"/>
    </row>
    <row r="13209" spans="1:4" x14ac:dyDescent="0.25">
      <c r="A13209" s="31"/>
      <c r="D13209" s="30"/>
    </row>
    <row r="13210" spans="1:4" x14ac:dyDescent="0.25">
      <c r="A13210" s="31"/>
      <c r="D13210" s="30"/>
    </row>
    <row r="13211" spans="1:4" x14ac:dyDescent="0.25">
      <c r="A13211" s="31"/>
      <c r="D13211" s="30"/>
    </row>
    <row r="13212" spans="1:4" x14ac:dyDescent="0.25">
      <c r="A13212" s="31"/>
      <c r="D13212" s="30"/>
    </row>
    <row r="13213" spans="1:4" x14ac:dyDescent="0.25">
      <c r="A13213" s="31"/>
      <c r="D13213" s="30"/>
    </row>
    <row r="13214" spans="1:4" x14ac:dyDescent="0.25">
      <c r="A13214" s="31"/>
      <c r="D13214" s="30"/>
    </row>
    <row r="13215" spans="1:4" x14ac:dyDescent="0.25">
      <c r="A13215" s="31"/>
      <c r="D13215" s="30"/>
    </row>
    <row r="13216" spans="1:4" x14ac:dyDescent="0.25">
      <c r="A13216" s="31"/>
      <c r="D13216" s="30"/>
    </row>
    <row r="13217" spans="1:4" x14ac:dyDescent="0.25">
      <c r="A13217" s="31"/>
      <c r="D13217" s="30"/>
    </row>
    <row r="13218" spans="1:4" x14ac:dyDescent="0.25">
      <c r="A13218" s="31"/>
      <c r="D13218" s="30"/>
    </row>
    <row r="13219" spans="1:4" x14ac:dyDescent="0.25">
      <c r="A13219" s="31"/>
      <c r="D13219" s="30"/>
    </row>
    <row r="13220" spans="1:4" x14ac:dyDescent="0.25">
      <c r="A13220" s="31"/>
      <c r="D13220" s="30"/>
    </row>
    <row r="13221" spans="1:4" x14ac:dyDescent="0.25">
      <c r="A13221" s="31"/>
      <c r="D13221" s="30"/>
    </row>
    <row r="13222" spans="1:4" x14ac:dyDescent="0.25">
      <c r="A13222" s="31"/>
      <c r="D13222" s="30"/>
    </row>
    <row r="13223" spans="1:4" x14ac:dyDescent="0.25">
      <c r="A13223" s="31"/>
      <c r="D13223" s="30"/>
    </row>
    <row r="13224" spans="1:4" x14ac:dyDescent="0.25">
      <c r="A13224" s="31"/>
      <c r="D13224" s="30"/>
    </row>
    <row r="13225" spans="1:4" x14ac:dyDescent="0.25">
      <c r="A13225" s="31"/>
      <c r="D13225" s="30"/>
    </row>
    <row r="13226" spans="1:4" x14ac:dyDescent="0.25">
      <c r="A13226" s="31"/>
      <c r="D13226" s="30"/>
    </row>
    <row r="13227" spans="1:4" x14ac:dyDescent="0.25">
      <c r="A13227" s="31"/>
      <c r="D13227" s="30"/>
    </row>
    <row r="13228" spans="1:4" x14ac:dyDescent="0.25">
      <c r="A13228" s="31"/>
      <c r="D13228" s="30"/>
    </row>
    <row r="13229" spans="1:4" x14ac:dyDescent="0.25">
      <c r="A13229" s="31"/>
      <c r="D13229" s="30"/>
    </row>
    <row r="13230" spans="1:4" x14ac:dyDescent="0.25">
      <c r="A13230" s="31"/>
      <c r="D13230" s="30"/>
    </row>
    <row r="13231" spans="1:4" x14ac:dyDescent="0.25">
      <c r="A13231" s="31"/>
      <c r="D13231" s="30"/>
    </row>
    <row r="13232" spans="1:4" x14ac:dyDescent="0.25">
      <c r="A13232" s="31"/>
      <c r="D13232" s="30"/>
    </row>
    <row r="13233" spans="1:4" x14ac:dyDescent="0.25">
      <c r="A13233" s="31"/>
      <c r="D13233" s="30"/>
    </row>
    <row r="13234" spans="1:4" x14ac:dyDescent="0.25">
      <c r="A13234" s="31"/>
      <c r="D13234" s="30"/>
    </row>
    <row r="13235" spans="1:4" x14ac:dyDescent="0.25">
      <c r="A13235" s="31"/>
      <c r="D13235" s="30"/>
    </row>
    <row r="13236" spans="1:4" x14ac:dyDescent="0.25">
      <c r="A13236" s="31"/>
      <c r="D13236" s="30"/>
    </row>
    <row r="13237" spans="1:4" x14ac:dyDescent="0.25">
      <c r="A13237" s="31"/>
      <c r="D13237" s="30"/>
    </row>
    <row r="13238" spans="1:4" x14ac:dyDescent="0.25">
      <c r="A13238" s="31"/>
      <c r="D13238" s="30"/>
    </row>
    <row r="13239" spans="1:4" x14ac:dyDescent="0.25">
      <c r="A13239" s="31"/>
      <c r="D13239" s="30"/>
    </row>
    <row r="13240" spans="1:4" x14ac:dyDescent="0.25">
      <c r="A13240" s="31"/>
      <c r="D13240" s="30"/>
    </row>
    <row r="13241" spans="1:4" x14ac:dyDescent="0.25">
      <c r="A13241" s="31"/>
      <c r="D13241" s="30"/>
    </row>
    <row r="13242" spans="1:4" x14ac:dyDescent="0.25">
      <c r="A13242" s="31"/>
      <c r="D13242" s="30"/>
    </row>
    <row r="13243" spans="1:4" x14ac:dyDescent="0.25">
      <c r="A13243" s="31"/>
      <c r="D13243" s="30"/>
    </row>
    <row r="13244" spans="1:4" x14ac:dyDescent="0.25">
      <c r="A13244" s="31"/>
      <c r="D13244" s="30"/>
    </row>
    <row r="13245" spans="1:4" x14ac:dyDescent="0.25">
      <c r="A13245" s="31"/>
      <c r="D13245" s="30"/>
    </row>
    <row r="13246" spans="1:4" x14ac:dyDescent="0.25">
      <c r="A13246" s="31"/>
      <c r="D13246" s="30"/>
    </row>
    <row r="13247" spans="1:4" x14ac:dyDescent="0.25">
      <c r="A13247" s="31"/>
      <c r="D13247" s="30"/>
    </row>
    <row r="13248" spans="1:4" x14ac:dyDescent="0.25">
      <c r="A13248" s="31"/>
      <c r="D13248" s="30"/>
    </row>
    <row r="13249" spans="1:4" x14ac:dyDescent="0.25">
      <c r="A13249" s="31"/>
      <c r="D13249" s="30"/>
    </row>
    <row r="13250" spans="1:4" x14ac:dyDescent="0.25">
      <c r="A13250" s="31"/>
      <c r="D13250" s="30"/>
    </row>
    <row r="13251" spans="1:4" x14ac:dyDescent="0.25">
      <c r="A13251" s="31"/>
      <c r="D13251" s="30"/>
    </row>
    <row r="13252" spans="1:4" x14ac:dyDescent="0.25">
      <c r="A13252" s="31"/>
      <c r="D13252" s="30"/>
    </row>
    <row r="13253" spans="1:4" x14ac:dyDescent="0.25">
      <c r="A13253" s="31"/>
      <c r="D13253" s="30"/>
    </row>
    <row r="13254" spans="1:4" x14ac:dyDescent="0.25">
      <c r="A13254" s="31"/>
      <c r="D13254" s="30"/>
    </row>
    <row r="13255" spans="1:4" x14ac:dyDescent="0.25">
      <c r="A13255" s="31"/>
      <c r="D13255" s="30"/>
    </row>
    <row r="13256" spans="1:4" x14ac:dyDescent="0.25">
      <c r="A13256" s="31"/>
      <c r="D13256" s="30"/>
    </row>
    <row r="13257" spans="1:4" x14ac:dyDescent="0.25">
      <c r="A13257" s="31"/>
      <c r="D13257" s="30"/>
    </row>
    <row r="13258" spans="1:4" x14ac:dyDescent="0.25">
      <c r="A13258" s="31"/>
      <c r="D13258" s="30"/>
    </row>
    <row r="13259" spans="1:4" x14ac:dyDescent="0.25">
      <c r="A13259" s="31"/>
      <c r="D13259" s="30"/>
    </row>
    <row r="13260" spans="1:4" x14ac:dyDescent="0.25">
      <c r="A13260" s="31"/>
      <c r="D13260" s="30"/>
    </row>
    <row r="13261" spans="1:4" x14ac:dyDescent="0.25">
      <c r="A13261" s="31"/>
      <c r="D13261" s="30"/>
    </row>
    <row r="13262" spans="1:4" x14ac:dyDescent="0.25">
      <c r="A13262" s="31"/>
      <c r="D13262" s="30"/>
    </row>
    <row r="13263" spans="1:4" x14ac:dyDescent="0.25">
      <c r="A13263" s="31"/>
      <c r="D13263" s="30"/>
    </row>
    <row r="13264" spans="1:4" x14ac:dyDescent="0.25">
      <c r="A13264" s="31"/>
      <c r="D13264" s="30"/>
    </row>
    <row r="13265" spans="1:4" x14ac:dyDescent="0.25">
      <c r="A13265" s="31"/>
      <c r="D13265" s="30"/>
    </row>
    <row r="13266" spans="1:4" x14ac:dyDescent="0.25">
      <c r="A13266" s="31"/>
      <c r="D13266" s="30"/>
    </row>
    <row r="13267" spans="1:4" x14ac:dyDescent="0.25">
      <c r="A13267" s="31"/>
      <c r="D13267" s="30"/>
    </row>
    <row r="13268" spans="1:4" x14ac:dyDescent="0.25">
      <c r="A13268" s="31"/>
      <c r="D13268" s="30"/>
    </row>
    <row r="13269" spans="1:4" x14ac:dyDescent="0.25">
      <c r="A13269" s="31"/>
      <c r="D13269" s="30"/>
    </row>
    <row r="13270" spans="1:4" x14ac:dyDescent="0.25">
      <c r="A13270" s="31"/>
      <c r="D13270" s="30"/>
    </row>
    <row r="13271" spans="1:4" x14ac:dyDescent="0.25">
      <c r="A13271" s="31"/>
      <c r="D13271" s="30"/>
    </row>
    <row r="13272" spans="1:4" x14ac:dyDescent="0.25">
      <c r="A13272" s="31"/>
      <c r="D13272" s="30"/>
    </row>
    <row r="13273" spans="1:4" x14ac:dyDescent="0.25">
      <c r="A13273" s="31"/>
      <c r="D13273" s="30"/>
    </row>
    <row r="13274" spans="1:4" x14ac:dyDescent="0.25">
      <c r="A13274" s="31"/>
      <c r="D13274" s="30"/>
    </row>
    <row r="13275" spans="1:4" x14ac:dyDescent="0.25">
      <c r="A13275" s="31"/>
      <c r="D13275" s="30"/>
    </row>
    <row r="13276" spans="1:4" x14ac:dyDescent="0.25">
      <c r="A13276" s="31"/>
      <c r="D13276" s="30"/>
    </row>
    <row r="13277" spans="1:4" x14ac:dyDescent="0.25">
      <c r="A13277" s="31"/>
      <c r="D13277" s="30"/>
    </row>
    <row r="13278" spans="1:4" x14ac:dyDescent="0.25">
      <c r="A13278" s="31"/>
      <c r="D13278" s="30"/>
    </row>
    <row r="13279" spans="1:4" x14ac:dyDescent="0.25">
      <c r="A13279" s="31"/>
      <c r="D13279" s="30"/>
    </row>
    <row r="13280" spans="1:4" x14ac:dyDescent="0.25">
      <c r="A13280" s="31"/>
      <c r="D13280" s="30"/>
    </row>
    <row r="13281" spans="1:4" x14ac:dyDescent="0.25">
      <c r="A13281" s="31"/>
      <c r="D13281" s="30"/>
    </row>
    <row r="13282" spans="1:4" x14ac:dyDescent="0.25">
      <c r="A13282" s="31"/>
      <c r="D13282" s="30"/>
    </row>
    <row r="13283" spans="1:4" x14ac:dyDescent="0.25">
      <c r="A13283" s="31"/>
      <c r="D13283" s="30"/>
    </row>
    <row r="13284" spans="1:4" x14ac:dyDescent="0.25">
      <c r="A13284" s="31"/>
      <c r="D13284" s="30"/>
    </row>
    <row r="13285" spans="1:4" x14ac:dyDescent="0.25">
      <c r="A13285" s="31"/>
      <c r="D13285" s="30"/>
    </row>
    <row r="13286" spans="1:4" x14ac:dyDescent="0.25">
      <c r="A13286" s="31"/>
      <c r="D13286" s="30"/>
    </row>
    <row r="13287" spans="1:4" x14ac:dyDescent="0.25">
      <c r="A13287" s="31"/>
      <c r="D13287" s="30"/>
    </row>
    <row r="13288" spans="1:4" x14ac:dyDescent="0.25">
      <c r="A13288" s="31"/>
      <c r="D13288" s="30"/>
    </row>
    <row r="13289" spans="1:4" x14ac:dyDescent="0.25">
      <c r="A13289" s="31"/>
      <c r="D13289" s="30"/>
    </row>
    <row r="13290" spans="1:4" x14ac:dyDescent="0.25">
      <c r="A13290" s="31"/>
      <c r="D13290" s="30"/>
    </row>
    <row r="13291" spans="1:4" x14ac:dyDescent="0.25">
      <c r="A13291" s="31"/>
      <c r="D13291" s="30"/>
    </row>
    <row r="13292" spans="1:4" x14ac:dyDescent="0.25">
      <c r="A13292" s="31"/>
      <c r="D13292" s="30"/>
    </row>
    <row r="13293" spans="1:4" x14ac:dyDescent="0.25">
      <c r="A13293" s="31"/>
      <c r="D13293" s="30"/>
    </row>
    <row r="13294" spans="1:4" x14ac:dyDescent="0.25">
      <c r="A13294" s="31"/>
      <c r="D13294" s="30"/>
    </row>
    <row r="13295" spans="1:4" x14ac:dyDescent="0.25">
      <c r="A13295" s="31"/>
      <c r="D13295" s="30"/>
    </row>
    <row r="13296" spans="1:4" x14ac:dyDescent="0.25">
      <c r="A13296" s="31"/>
      <c r="D13296" s="30"/>
    </row>
    <row r="13297" spans="1:4" x14ac:dyDescent="0.25">
      <c r="A13297" s="31"/>
      <c r="D13297" s="30"/>
    </row>
    <row r="13298" spans="1:4" x14ac:dyDescent="0.25">
      <c r="A13298" s="31"/>
      <c r="D13298" s="30"/>
    </row>
    <row r="13299" spans="1:4" x14ac:dyDescent="0.25">
      <c r="A13299" s="31"/>
      <c r="D13299" s="30"/>
    </row>
    <row r="13300" spans="1:4" x14ac:dyDescent="0.25">
      <c r="A13300" s="31"/>
      <c r="D13300" s="30"/>
    </row>
    <row r="13301" spans="1:4" x14ac:dyDescent="0.25">
      <c r="A13301" s="31"/>
      <c r="D13301" s="30"/>
    </row>
    <row r="13302" spans="1:4" x14ac:dyDescent="0.25">
      <c r="A13302" s="31"/>
      <c r="D13302" s="30"/>
    </row>
    <row r="13303" spans="1:4" x14ac:dyDescent="0.25">
      <c r="A13303" s="31"/>
      <c r="D13303" s="30"/>
    </row>
    <row r="13304" spans="1:4" x14ac:dyDescent="0.25">
      <c r="A13304" s="31"/>
      <c r="D13304" s="30"/>
    </row>
    <row r="13305" spans="1:4" x14ac:dyDescent="0.25">
      <c r="A13305" s="31"/>
      <c r="D13305" s="30"/>
    </row>
    <row r="13306" spans="1:4" x14ac:dyDescent="0.25">
      <c r="A13306" s="31"/>
      <c r="D13306" s="30"/>
    </row>
    <row r="13307" spans="1:4" x14ac:dyDescent="0.25">
      <c r="A13307" s="31"/>
      <c r="D13307" s="30"/>
    </row>
    <row r="13308" spans="1:4" x14ac:dyDescent="0.25">
      <c r="A13308" s="31"/>
      <c r="D13308" s="30"/>
    </row>
    <row r="13309" spans="1:4" x14ac:dyDescent="0.25">
      <c r="A13309" s="31"/>
      <c r="D13309" s="30"/>
    </row>
    <row r="13310" spans="1:4" x14ac:dyDescent="0.25">
      <c r="A13310" s="31"/>
      <c r="D13310" s="30"/>
    </row>
    <row r="13311" spans="1:4" x14ac:dyDescent="0.25">
      <c r="A13311" s="31"/>
      <c r="D13311" s="30"/>
    </row>
    <row r="13312" spans="1:4" x14ac:dyDescent="0.25">
      <c r="A13312" s="31"/>
      <c r="D13312" s="30"/>
    </row>
    <row r="13313" spans="1:4" x14ac:dyDescent="0.25">
      <c r="A13313" s="31"/>
      <c r="D13313" s="30"/>
    </row>
    <row r="13314" spans="1:4" x14ac:dyDescent="0.25">
      <c r="A13314" s="31"/>
      <c r="D13314" s="30"/>
    </row>
    <row r="13315" spans="1:4" x14ac:dyDescent="0.25">
      <c r="A13315" s="31"/>
      <c r="D13315" s="30"/>
    </row>
    <row r="13316" spans="1:4" x14ac:dyDescent="0.25">
      <c r="A13316" s="31"/>
      <c r="D13316" s="30"/>
    </row>
    <row r="13317" spans="1:4" x14ac:dyDescent="0.25">
      <c r="A13317" s="31"/>
      <c r="D13317" s="30"/>
    </row>
    <row r="13318" spans="1:4" x14ac:dyDescent="0.25">
      <c r="A13318" s="31"/>
      <c r="D13318" s="30"/>
    </row>
    <row r="13319" spans="1:4" x14ac:dyDescent="0.25">
      <c r="A13319" s="31"/>
      <c r="D13319" s="30"/>
    </row>
    <row r="13320" spans="1:4" x14ac:dyDescent="0.25">
      <c r="A13320" s="31"/>
      <c r="D13320" s="30"/>
    </row>
    <row r="13321" spans="1:4" x14ac:dyDescent="0.25">
      <c r="A13321" s="31"/>
      <c r="D13321" s="30"/>
    </row>
    <row r="13322" spans="1:4" x14ac:dyDescent="0.25">
      <c r="A13322" s="31"/>
      <c r="D13322" s="30"/>
    </row>
    <row r="13323" spans="1:4" x14ac:dyDescent="0.25">
      <c r="A13323" s="31"/>
      <c r="D13323" s="30"/>
    </row>
    <row r="13324" spans="1:4" x14ac:dyDescent="0.25">
      <c r="A13324" s="31"/>
      <c r="D13324" s="30"/>
    </row>
    <row r="13325" spans="1:4" x14ac:dyDescent="0.25">
      <c r="A13325" s="31"/>
      <c r="D13325" s="30"/>
    </row>
    <row r="13326" spans="1:4" x14ac:dyDescent="0.25">
      <c r="A13326" s="31"/>
      <c r="D13326" s="30"/>
    </row>
    <row r="13327" spans="1:4" x14ac:dyDescent="0.25">
      <c r="A13327" s="31"/>
      <c r="D13327" s="30"/>
    </row>
    <row r="13328" spans="1:4" x14ac:dyDescent="0.25">
      <c r="A13328" s="31"/>
      <c r="D13328" s="30"/>
    </row>
    <row r="13329" spans="1:4" x14ac:dyDescent="0.25">
      <c r="A13329" s="31"/>
      <c r="D13329" s="30"/>
    </row>
    <row r="13330" spans="1:4" x14ac:dyDescent="0.25">
      <c r="A13330" s="31"/>
      <c r="D13330" s="30"/>
    </row>
    <row r="13331" spans="1:4" x14ac:dyDescent="0.25">
      <c r="A13331" s="31"/>
      <c r="D13331" s="30"/>
    </row>
    <row r="13332" spans="1:4" x14ac:dyDescent="0.25">
      <c r="A13332" s="31"/>
      <c r="D13332" s="30"/>
    </row>
    <row r="13333" spans="1:4" x14ac:dyDescent="0.25">
      <c r="A13333" s="31"/>
      <c r="D13333" s="30"/>
    </row>
    <row r="13334" spans="1:4" x14ac:dyDescent="0.25">
      <c r="A13334" s="31"/>
      <c r="D13334" s="30"/>
    </row>
    <row r="13335" spans="1:4" x14ac:dyDescent="0.25">
      <c r="A13335" s="31"/>
      <c r="D13335" s="30"/>
    </row>
    <row r="13336" spans="1:4" x14ac:dyDescent="0.25">
      <c r="A13336" s="31"/>
      <c r="D13336" s="30"/>
    </row>
    <row r="13337" spans="1:4" x14ac:dyDescent="0.25">
      <c r="A13337" s="31"/>
      <c r="D13337" s="30"/>
    </row>
    <row r="13338" spans="1:4" x14ac:dyDescent="0.25">
      <c r="A13338" s="31"/>
      <c r="D13338" s="30"/>
    </row>
    <row r="13339" spans="1:4" x14ac:dyDescent="0.25">
      <c r="A13339" s="31"/>
      <c r="D13339" s="30"/>
    </row>
    <row r="13340" spans="1:4" x14ac:dyDescent="0.25">
      <c r="A13340" s="31"/>
      <c r="D13340" s="30"/>
    </row>
    <row r="13341" spans="1:4" x14ac:dyDescent="0.25">
      <c r="A13341" s="31"/>
      <c r="D13341" s="30"/>
    </row>
    <row r="13342" spans="1:4" x14ac:dyDescent="0.25">
      <c r="A13342" s="31"/>
      <c r="D13342" s="30"/>
    </row>
    <row r="13343" spans="1:4" x14ac:dyDescent="0.25">
      <c r="A13343" s="31"/>
      <c r="D13343" s="30"/>
    </row>
    <row r="13344" spans="1:4" x14ac:dyDescent="0.25">
      <c r="A13344" s="31"/>
      <c r="D13344" s="30"/>
    </row>
    <row r="13345" spans="1:4" x14ac:dyDescent="0.25">
      <c r="A13345" s="31"/>
      <c r="D13345" s="30"/>
    </row>
    <row r="13346" spans="1:4" x14ac:dyDescent="0.25">
      <c r="A13346" s="31"/>
      <c r="D13346" s="30"/>
    </row>
    <row r="13347" spans="1:4" x14ac:dyDescent="0.25">
      <c r="A13347" s="31"/>
      <c r="D13347" s="30"/>
    </row>
    <row r="13348" spans="1:4" x14ac:dyDescent="0.25">
      <c r="A13348" s="31"/>
      <c r="D13348" s="30"/>
    </row>
    <row r="13349" spans="1:4" x14ac:dyDescent="0.25">
      <c r="A13349" s="31"/>
      <c r="D13349" s="30"/>
    </row>
    <row r="13350" spans="1:4" x14ac:dyDescent="0.25">
      <c r="A13350" s="31"/>
      <c r="D13350" s="30"/>
    </row>
    <row r="13351" spans="1:4" x14ac:dyDescent="0.25">
      <c r="A13351" s="31"/>
      <c r="D13351" s="30"/>
    </row>
    <row r="13352" spans="1:4" x14ac:dyDescent="0.25">
      <c r="A13352" s="31"/>
      <c r="D13352" s="30"/>
    </row>
    <row r="13353" spans="1:4" x14ac:dyDescent="0.25">
      <c r="A13353" s="31"/>
      <c r="D13353" s="30"/>
    </row>
    <row r="13354" spans="1:4" x14ac:dyDescent="0.25">
      <c r="A13354" s="31"/>
      <c r="D13354" s="30"/>
    </row>
    <row r="13355" spans="1:4" x14ac:dyDescent="0.25">
      <c r="A13355" s="31"/>
      <c r="D13355" s="30"/>
    </row>
    <row r="13356" spans="1:4" x14ac:dyDescent="0.25">
      <c r="A13356" s="31"/>
      <c r="D13356" s="30"/>
    </row>
    <row r="13357" spans="1:4" x14ac:dyDescent="0.25">
      <c r="A13357" s="31"/>
      <c r="D13357" s="30"/>
    </row>
    <row r="13358" spans="1:4" x14ac:dyDescent="0.25">
      <c r="A13358" s="31"/>
      <c r="D13358" s="30"/>
    </row>
    <row r="13359" spans="1:4" x14ac:dyDescent="0.25">
      <c r="A13359" s="31"/>
      <c r="D13359" s="30"/>
    </row>
    <row r="13360" spans="1:4" x14ac:dyDescent="0.25">
      <c r="A13360" s="31"/>
      <c r="D13360" s="30"/>
    </row>
    <row r="13361" spans="1:4" x14ac:dyDescent="0.25">
      <c r="A13361" s="31"/>
      <c r="D13361" s="30"/>
    </row>
    <row r="13362" spans="1:4" x14ac:dyDescent="0.25">
      <c r="A13362" s="31"/>
      <c r="D13362" s="30"/>
    </row>
    <row r="13363" spans="1:4" x14ac:dyDescent="0.25">
      <c r="A13363" s="31"/>
      <c r="D13363" s="30"/>
    </row>
    <row r="13364" spans="1:4" x14ac:dyDescent="0.25">
      <c r="A13364" s="31"/>
      <c r="D13364" s="30"/>
    </row>
    <row r="13365" spans="1:4" x14ac:dyDescent="0.25">
      <c r="A13365" s="31"/>
      <c r="D13365" s="30"/>
    </row>
    <row r="13366" spans="1:4" x14ac:dyDescent="0.25">
      <c r="A13366" s="31"/>
      <c r="D13366" s="30"/>
    </row>
    <row r="13367" spans="1:4" x14ac:dyDescent="0.25">
      <c r="A13367" s="31"/>
      <c r="D13367" s="30"/>
    </row>
    <row r="13368" spans="1:4" x14ac:dyDescent="0.25">
      <c r="A13368" s="31"/>
      <c r="D13368" s="30"/>
    </row>
    <row r="13369" spans="1:4" x14ac:dyDescent="0.25">
      <c r="A13369" s="31"/>
      <c r="D13369" s="30"/>
    </row>
    <row r="13370" spans="1:4" x14ac:dyDescent="0.25">
      <c r="A13370" s="31"/>
      <c r="D13370" s="30"/>
    </row>
    <row r="13371" spans="1:4" x14ac:dyDescent="0.25">
      <c r="A13371" s="31"/>
      <c r="D13371" s="30"/>
    </row>
    <row r="13372" spans="1:4" x14ac:dyDescent="0.25">
      <c r="A13372" s="31"/>
      <c r="D13372" s="30"/>
    </row>
    <row r="13373" spans="1:4" x14ac:dyDescent="0.25">
      <c r="A13373" s="31"/>
      <c r="D13373" s="30"/>
    </row>
    <row r="13374" spans="1:4" x14ac:dyDescent="0.25">
      <c r="A13374" s="31"/>
      <c r="D13374" s="30"/>
    </row>
    <row r="13375" spans="1:4" x14ac:dyDescent="0.25">
      <c r="A13375" s="31"/>
      <c r="D13375" s="30"/>
    </row>
    <row r="13376" spans="1:4" x14ac:dyDescent="0.25">
      <c r="A13376" s="31"/>
      <c r="D13376" s="30"/>
    </row>
    <row r="13377" spans="1:4" x14ac:dyDescent="0.25">
      <c r="A13377" s="31"/>
      <c r="D13377" s="30"/>
    </row>
    <row r="13378" spans="1:4" x14ac:dyDescent="0.25">
      <c r="A13378" s="31"/>
      <c r="D13378" s="30"/>
    </row>
    <row r="13379" spans="1:4" x14ac:dyDescent="0.25">
      <c r="A13379" s="31"/>
      <c r="D13379" s="30"/>
    </row>
    <row r="13380" spans="1:4" x14ac:dyDescent="0.25">
      <c r="A13380" s="31"/>
      <c r="D13380" s="30"/>
    </row>
    <row r="13381" spans="1:4" x14ac:dyDescent="0.25">
      <c r="A13381" s="31"/>
      <c r="D13381" s="30"/>
    </row>
    <row r="13382" spans="1:4" x14ac:dyDescent="0.25">
      <c r="A13382" s="31"/>
      <c r="D13382" s="30"/>
    </row>
    <row r="13383" spans="1:4" x14ac:dyDescent="0.25">
      <c r="A13383" s="31"/>
      <c r="D13383" s="30"/>
    </row>
    <row r="13384" spans="1:4" x14ac:dyDescent="0.25">
      <c r="A13384" s="31"/>
      <c r="D13384" s="30"/>
    </row>
    <row r="13385" spans="1:4" x14ac:dyDescent="0.25">
      <c r="A13385" s="31"/>
      <c r="D13385" s="30"/>
    </row>
    <row r="13386" spans="1:4" x14ac:dyDescent="0.25">
      <c r="A13386" s="31"/>
      <c r="D13386" s="30"/>
    </row>
    <row r="13387" spans="1:4" x14ac:dyDescent="0.25">
      <c r="A13387" s="31"/>
      <c r="D13387" s="30"/>
    </row>
    <row r="13388" spans="1:4" x14ac:dyDescent="0.25">
      <c r="A13388" s="31"/>
      <c r="D13388" s="30"/>
    </row>
    <row r="13389" spans="1:4" x14ac:dyDescent="0.25">
      <c r="A13389" s="31"/>
      <c r="D13389" s="30"/>
    </row>
    <row r="13390" spans="1:4" x14ac:dyDescent="0.25">
      <c r="A13390" s="31"/>
      <c r="D13390" s="30"/>
    </row>
    <row r="13391" spans="1:4" x14ac:dyDescent="0.25">
      <c r="A13391" s="31"/>
      <c r="D13391" s="30"/>
    </row>
    <row r="13392" spans="1:4" x14ac:dyDescent="0.25">
      <c r="A13392" s="31"/>
      <c r="D13392" s="30"/>
    </row>
    <row r="13393" spans="1:4" x14ac:dyDescent="0.25">
      <c r="A13393" s="31"/>
      <c r="D13393" s="30"/>
    </row>
    <row r="13394" spans="1:4" x14ac:dyDescent="0.25">
      <c r="A13394" s="31"/>
      <c r="D13394" s="30"/>
    </row>
    <row r="13395" spans="1:4" x14ac:dyDescent="0.25">
      <c r="A13395" s="31"/>
      <c r="D13395" s="30"/>
    </row>
    <row r="13396" spans="1:4" x14ac:dyDescent="0.25">
      <c r="A13396" s="31"/>
      <c r="D13396" s="30"/>
    </row>
    <row r="13397" spans="1:4" x14ac:dyDescent="0.25">
      <c r="A13397" s="31"/>
      <c r="D13397" s="30"/>
    </row>
    <row r="13398" spans="1:4" x14ac:dyDescent="0.25">
      <c r="A13398" s="31"/>
      <c r="D13398" s="30"/>
    </row>
    <row r="13399" spans="1:4" x14ac:dyDescent="0.25">
      <c r="A13399" s="31"/>
      <c r="D13399" s="30"/>
    </row>
    <row r="13400" spans="1:4" x14ac:dyDescent="0.25">
      <c r="A13400" s="31"/>
      <c r="D13400" s="30"/>
    </row>
    <row r="13401" spans="1:4" x14ac:dyDescent="0.25">
      <c r="A13401" s="31"/>
      <c r="D13401" s="30"/>
    </row>
    <row r="13402" spans="1:4" x14ac:dyDescent="0.25">
      <c r="A13402" s="31"/>
      <c r="D13402" s="30"/>
    </row>
    <row r="13403" spans="1:4" x14ac:dyDescent="0.25">
      <c r="A13403" s="31"/>
      <c r="D13403" s="30"/>
    </row>
    <row r="13404" spans="1:4" x14ac:dyDescent="0.25">
      <c r="A13404" s="31"/>
      <c r="D13404" s="30"/>
    </row>
    <row r="13405" spans="1:4" x14ac:dyDescent="0.25">
      <c r="A13405" s="31"/>
      <c r="D13405" s="30"/>
    </row>
    <row r="13406" spans="1:4" x14ac:dyDescent="0.25">
      <c r="A13406" s="31"/>
      <c r="D13406" s="30"/>
    </row>
    <row r="13407" spans="1:4" x14ac:dyDescent="0.25">
      <c r="A13407" s="31"/>
      <c r="D13407" s="30"/>
    </row>
    <row r="13408" spans="1:4" x14ac:dyDescent="0.25">
      <c r="A13408" s="31"/>
      <c r="D13408" s="30"/>
    </row>
    <row r="13409" spans="1:4" x14ac:dyDescent="0.25">
      <c r="A13409" s="31"/>
      <c r="D13409" s="30"/>
    </row>
    <row r="13410" spans="1:4" x14ac:dyDescent="0.25">
      <c r="A13410" s="31"/>
      <c r="D13410" s="30"/>
    </row>
    <row r="13411" spans="1:4" x14ac:dyDescent="0.25">
      <c r="A13411" s="31"/>
      <c r="D13411" s="30"/>
    </row>
    <row r="13412" spans="1:4" x14ac:dyDescent="0.25">
      <c r="A13412" s="31"/>
      <c r="D13412" s="30"/>
    </row>
    <row r="13413" spans="1:4" x14ac:dyDescent="0.25">
      <c r="A13413" s="31"/>
      <c r="D13413" s="30"/>
    </row>
    <row r="13414" spans="1:4" x14ac:dyDescent="0.25">
      <c r="A13414" s="31"/>
      <c r="D13414" s="30"/>
    </row>
    <row r="13415" spans="1:4" x14ac:dyDescent="0.25">
      <c r="A13415" s="31"/>
      <c r="D13415" s="30"/>
    </row>
    <row r="13416" spans="1:4" x14ac:dyDescent="0.25">
      <c r="A13416" s="31"/>
      <c r="D13416" s="30"/>
    </row>
    <row r="13417" spans="1:4" x14ac:dyDescent="0.25">
      <c r="A13417" s="31"/>
      <c r="D13417" s="30"/>
    </row>
    <row r="13418" spans="1:4" x14ac:dyDescent="0.25">
      <c r="A13418" s="31"/>
      <c r="D13418" s="30"/>
    </row>
    <row r="13419" spans="1:4" x14ac:dyDescent="0.25">
      <c r="A13419" s="31"/>
      <c r="D13419" s="30"/>
    </row>
    <row r="13420" spans="1:4" x14ac:dyDescent="0.25">
      <c r="A13420" s="31"/>
      <c r="D13420" s="30"/>
    </row>
    <row r="13421" spans="1:4" x14ac:dyDescent="0.25">
      <c r="A13421" s="31"/>
      <c r="D13421" s="30"/>
    </row>
    <row r="13422" spans="1:4" x14ac:dyDescent="0.25">
      <c r="A13422" s="31"/>
      <c r="D13422" s="30"/>
    </row>
    <row r="13423" spans="1:4" x14ac:dyDescent="0.25">
      <c r="A13423" s="31"/>
      <c r="D13423" s="30"/>
    </row>
    <row r="13424" spans="1:4" x14ac:dyDescent="0.25">
      <c r="A13424" s="31"/>
      <c r="D13424" s="30"/>
    </row>
    <row r="13425" spans="1:4" x14ac:dyDescent="0.25">
      <c r="A13425" s="31"/>
      <c r="D13425" s="30"/>
    </row>
    <row r="13426" spans="1:4" x14ac:dyDescent="0.25">
      <c r="A13426" s="31"/>
      <c r="D13426" s="30"/>
    </row>
    <row r="13427" spans="1:4" x14ac:dyDescent="0.25">
      <c r="A13427" s="31"/>
      <c r="D13427" s="30"/>
    </row>
    <row r="13428" spans="1:4" x14ac:dyDescent="0.25">
      <c r="A13428" s="31"/>
      <c r="D13428" s="30"/>
    </row>
    <row r="13429" spans="1:4" x14ac:dyDescent="0.25">
      <c r="A13429" s="31"/>
      <c r="D13429" s="30"/>
    </row>
    <row r="13430" spans="1:4" x14ac:dyDescent="0.25">
      <c r="A13430" s="31"/>
      <c r="D13430" s="30"/>
    </row>
    <row r="13431" spans="1:4" x14ac:dyDescent="0.25">
      <c r="A13431" s="31"/>
      <c r="D13431" s="30"/>
    </row>
    <row r="13432" spans="1:4" x14ac:dyDescent="0.25">
      <c r="A13432" s="31"/>
      <c r="D13432" s="30"/>
    </row>
    <row r="13433" spans="1:4" x14ac:dyDescent="0.25">
      <c r="A13433" s="31"/>
      <c r="D13433" s="30"/>
    </row>
    <row r="13434" spans="1:4" x14ac:dyDescent="0.25">
      <c r="A13434" s="31"/>
      <c r="D13434" s="30"/>
    </row>
    <row r="13435" spans="1:4" x14ac:dyDescent="0.25">
      <c r="A13435" s="31"/>
      <c r="D13435" s="30"/>
    </row>
    <row r="13436" spans="1:4" x14ac:dyDescent="0.25">
      <c r="A13436" s="31"/>
      <c r="D13436" s="30"/>
    </row>
    <row r="13437" spans="1:4" x14ac:dyDescent="0.25">
      <c r="A13437" s="31"/>
      <c r="D13437" s="30"/>
    </row>
    <row r="13438" spans="1:4" x14ac:dyDescent="0.25">
      <c r="A13438" s="31"/>
      <c r="D13438" s="30"/>
    </row>
    <row r="13439" spans="1:4" x14ac:dyDescent="0.25">
      <c r="A13439" s="31"/>
      <c r="D13439" s="30"/>
    </row>
    <row r="13440" spans="1:4" x14ac:dyDescent="0.25">
      <c r="A13440" s="31"/>
      <c r="D13440" s="30"/>
    </row>
    <row r="13441" spans="1:4" x14ac:dyDescent="0.25">
      <c r="A13441" s="31"/>
      <c r="D13441" s="30"/>
    </row>
    <row r="13442" spans="1:4" x14ac:dyDescent="0.25">
      <c r="A13442" s="31"/>
      <c r="D13442" s="30"/>
    </row>
    <row r="13443" spans="1:4" x14ac:dyDescent="0.25">
      <c r="A13443" s="31"/>
      <c r="D13443" s="30"/>
    </row>
    <row r="13444" spans="1:4" x14ac:dyDescent="0.25">
      <c r="A13444" s="31"/>
      <c r="D13444" s="30"/>
    </row>
    <row r="13445" spans="1:4" x14ac:dyDescent="0.25">
      <c r="A13445" s="31"/>
      <c r="D13445" s="30"/>
    </row>
    <row r="13446" spans="1:4" x14ac:dyDescent="0.25">
      <c r="A13446" s="31"/>
      <c r="D13446" s="30"/>
    </row>
    <row r="13447" spans="1:4" x14ac:dyDescent="0.25">
      <c r="A13447" s="31"/>
      <c r="D13447" s="30"/>
    </row>
    <row r="13448" spans="1:4" x14ac:dyDescent="0.25">
      <c r="A13448" s="31"/>
      <c r="D13448" s="30"/>
    </row>
    <row r="13449" spans="1:4" x14ac:dyDescent="0.25">
      <c r="A13449" s="31"/>
      <c r="D13449" s="30"/>
    </row>
    <row r="13450" spans="1:4" x14ac:dyDescent="0.25">
      <c r="A13450" s="31"/>
      <c r="D13450" s="30"/>
    </row>
    <row r="13451" spans="1:4" x14ac:dyDescent="0.25">
      <c r="A13451" s="31"/>
      <c r="D13451" s="30"/>
    </row>
    <row r="13452" spans="1:4" x14ac:dyDescent="0.25">
      <c r="A13452" s="31"/>
      <c r="D13452" s="30"/>
    </row>
    <row r="13453" spans="1:4" x14ac:dyDescent="0.25">
      <c r="A13453" s="31"/>
      <c r="D13453" s="30"/>
    </row>
    <row r="13454" spans="1:4" x14ac:dyDescent="0.25">
      <c r="A13454" s="31"/>
      <c r="D13454" s="30"/>
    </row>
    <row r="13455" spans="1:4" x14ac:dyDescent="0.25">
      <c r="A13455" s="31"/>
      <c r="D13455" s="30"/>
    </row>
    <row r="13456" spans="1:4" x14ac:dyDescent="0.25">
      <c r="A13456" s="31"/>
      <c r="D13456" s="30"/>
    </row>
    <row r="13457" spans="1:4" x14ac:dyDescent="0.25">
      <c r="A13457" s="31"/>
      <c r="D13457" s="30"/>
    </row>
    <row r="13458" spans="1:4" x14ac:dyDescent="0.25">
      <c r="A13458" s="31"/>
      <c r="D13458" s="30"/>
    </row>
    <row r="13459" spans="1:4" x14ac:dyDescent="0.25">
      <c r="A13459" s="31"/>
      <c r="D13459" s="30"/>
    </row>
    <row r="13460" spans="1:4" x14ac:dyDescent="0.25">
      <c r="A13460" s="31"/>
      <c r="D13460" s="30"/>
    </row>
    <row r="13461" spans="1:4" x14ac:dyDescent="0.25">
      <c r="A13461" s="31"/>
      <c r="D13461" s="30"/>
    </row>
    <row r="13462" spans="1:4" x14ac:dyDescent="0.25">
      <c r="A13462" s="31"/>
      <c r="D13462" s="30"/>
    </row>
    <row r="13463" spans="1:4" x14ac:dyDescent="0.25">
      <c r="A13463" s="31"/>
      <c r="D13463" s="30"/>
    </row>
    <row r="13464" spans="1:4" x14ac:dyDescent="0.25">
      <c r="A13464" s="31"/>
      <c r="D13464" s="30"/>
    </row>
    <row r="13465" spans="1:4" x14ac:dyDescent="0.25">
      <c r="A13465" s="31"/>
      <c r="D13465" s="30"/>
    </row>
    <row r="13466" spans="1:4" x14ac:dyDescent="0.25">
      <c r="A13466" s="31"/>
      <c r="D13466" s="30"/>
    </row>
    <row r="13467" spans="1:4" x14ac:dyDescent="0.25">
      <c r="A13467" s="31"/>
      <c r="D13467" s="30"/>
    </row>
    <row r="13468" spans="1:4" x14ac:dyDescent="0.25">
      <c r="A13468" s="31"/>
      <c r="D13468" s="30"/>
    </row>
    <row r="13469" spans="1:4" x14ac:dyDescent="0.25">
      <c r="A13469" s="31"/>
      <c r="D13469" s="30"/>
    </row>
    <row r="13470" spans="1:4" x14ac:dyDescent="0.25">
      <c r="A13470" s="31"/>
      <c r="D13470" s="30"/>
    </row>
    <row r="13471" spans="1:4" x14ac:dyDescent="0.25">
      <c r="A13471" s="31"/>
      <c r="D13471" s="30"/>
    </row>
    <row r="13472" spans="1:4" x14ac:dyDescent="0.25">
      <c r="A13472" s="31"/>
      <c r="D13472" s="30"/>
    </row>
    <row r="13473" spans="1:4" x14ac:dyDescent="0.25">
      <c r="A13473" s="31"/>
      <c r="D13473" s="30"/>
    </row>
    <row r="13474" spans="1:4" x14ac:dyDescent="0.25">
      <c r="A13474" s="31"/>
      <c r="D13474" s="30"/>
    </row>
    <row r="13475" spans="1:4" x14ac:dyDescent="0.25">
      <c r="A13475" s="31"/>
      <c r="D13475" s="30"/>
    </row>
    <row r="13476" spans="1:4" x14ac:dyDescent="0.25">
      <c r="A13476" s="31"/>
      <c r="D13476" s="30"/>
    </row>
    <row r="13477" spans="1:4" x14ac:dyDescent="0.25">
      <c r="A13477" s="31"/>
      <c r="D13477" s="30"/>
    </row>
    <row r="13478" spans="1:4" x14ac:dyDescent="0.25">
      <c r="A13478" s="31"/>
      <c r="D13478" s="30"/>
    </row>
    <row r="13479" spans="1:4" x14ac:dyDescent="0.25">
      <c r="A13479" s="31"/>
      <c r="D13479" s="30"/>
    </row>
    <row r="13480" spans="1:4" x14ac:dyDescent="0.25">
      <c r="A13480" s="31"/>
      <c r="D13480" s="30"/>
    </row>
    <row r="13481" spans="1:4" x14ac:dyDescent="0.25">
      <c r="A13481" s="31"/>
      <c r="D13481" s="30"/>
    </row>
    <row r="13482" spans="1:4" x14ac:dyDescent="0.25">
      <c r="A13482" s="31"/>
      <c r="D13482" s="30"/>
    </row>
    <row r="13483" spans="1:4" x14ac:dyDescent="0.25">
      <c r="A13483" s="31"/>
      <c r="D13483" s="30"/>
    </row>
    <row r="13484" spans="1:4" x14ac:dyDescent="0.25">
      <c r="A13484" s="31"/>
      <c r="D13484" s="30"/>
    </row>
    <row r="13485" spans="1:4" x14ac:dyDescent="0.25">
      <c r="A13485" s="31"/>
      <c r="D13485" s="30"/>
    </row>
    <row r="13486" spans="1:4" x14ac:dyDescent="0.25">
      <c r="A13486" s="31"/>
      <c r="D13486" s="30"/>
    </row>
    <row r="13487" spans="1:4" x14ac:dyDescent="0.25">
      <c r="A13487" s="31"/>
      <c r="D13487" s="30"/>
    </row>
    <row r="13488" spans="1:4" x14ac:dyDescent="0.25">
      <c r="A13488" s="31"/>
      <c r="D13488" s="30"/>
    </row>
    <row r="13489" spans="1:4" x14ac:dyDescent="0.25">
      <c r="A13489" s="31"/>
      <c r="D13489" s="30"/>
    </row>
    <row r="13490" spans="1:4" x14ac:dyDescent="0.25">
      <c r="A13490" s="31"/>
      <c r="D13490" s="30"/>
    </row>
    <row r="13491" spans="1:4" x14ac:dyDescent="0.25">
      <c r="A13491" s="31"/>
      <c r="D13491" s="30"/>
    </row>
    <row r="13492" spans="1:4" x14ac:dyDescent="0.25">
      <c r="A13492" s="31"/>
      <c r="D13492" s="30"/>
    </row>
    <row r="13493" spans="1:4" x14ac:dyDescent="0.25">
      <c r="A13493" s="31"/>
      <c r="D13493" s="30"/>
    </row>
    <row r="13494" spans="1:4" x14ac:dyDescent="0.25">
      <c r="A13494" s="31"/>
      <c r="D13494" s="30"/>
    </row>
    <row r="13495" spans="1:4" x14ac:dyDescent="0.25">
      <c r="A13495" s="31"/>
      <c r="D13495" s="30"/>
    </row>
    <row r="13496" spans="1:4" x14ac:dyDescent="0.25">
      <c r="A13496" s="31"/>
      <c r="D13496" s="30"/>
    </row>
    <row r="13497" spans="1:4" x14ac:dyDescent="0.25">
      <c r="A13497" s="31"/>
      <c r="D13497" s="30"/>
    </row>
    <row r="13498" spans="1:4" x14ac:dyDescent="0.25">
      <c r="A13498" s="31"/>
      <c r="D13498" s="30"/>
    </row>
    <row r="13499" spans="1:4" x14ac:dyDescent="0.25">
      <c r="A13499" s="31"/>
      <c r="D13499" s="30"/>
    </row>
    <row r="13500" spans="1:4" x14ac:dyDescent="0.25">
      <c r="A13500" s="31"/>
      <c r="D13500" s="30"/>
    </row>
    <row r="13501" spans="1:4" x14ac:dyDescent="0.25">
      <c r="A13501" s="31"/>
      <c r="D13501" s="30"/>
    </row>
    <row r="13502" spans="1:4" x14ac:dyDescent="0.25">
      <c r="A13502" s="31"/>
      <c r="D13502" s="30"/>
    </row>
    <row r="13503" spans="1:4" x14ac:dyDescent="0.25">
      <c r="A13503" s="31"/>
      <c r="D13503" s="30"/>
    </row>
    <row r="13504" spans="1:4" x14ac:dyDescent="0.25">
      <c r="A13504" s="31"/>
      <c r="D13504" s="30"/>
    </row>
    <row r="13505" spans="1:4" x14ac:dyDescent="0.25">
      <c r="A13505" s="31"/>
      <c r="D13505" s="30"/>
    </row>
    <row r="13506" spans="1:4" x14ac:dyDescent="0.25">
      <c r="A13506" s="31"/>
      <c r="D13506" s="30"/>
    </row>
    <row r="13507" spans="1:4" x14ac:dyDescent="0.25">
      <c r="A13507" s="31"/>
      <c r="D13507" s="30"/>
    </row>
    <row r="13508" spans="1:4" x14ac:dyDescent="0.25">
      <c r="A13508" s="31"/>
      <c r="D13508" s="30"/>
    </row>
    <row r="13509" spans="1:4" x14ac:dyDescent="0.25">
      <c r="A13509" s="31"/>
      <c r="D13509" s="30"/>
    </row>
    <row r="13510" spans="1:4" x14ac:dyDescent="0.25">
      <c r="A13510" s="31"/>
      <c r="D13510" s="30"/>
    </row>
    <row r="13511" spans="1:4" x14ac:dyDescent="0.25">
      <c r="A13511" s="31"/>
      <c r="D13511" s="30"/>
    </row>
    <row r="13512" spans="1:4" x14ac:dyDescent="0.25">
      <c r="A13512" s="31"/>
      <c r="D13512" s="30"/>
    </row>
    <row r="13513" spans="1:4" x14ac:dyDescent="0.25">
      <c r="A13513" s="31"/>
      <c r="D13513" s="30"/>
    </row>
    <row r="13514" spans="1:4" x14ac:dyDescent="0.25">
      <c r="A13514" s="31"/>
      <c r="D13514" s="30"/>
    </row>
    <row r="13515" spans="1:4" x14ac:dyDescent="0.25">
      <c r="A13515" s="31"/>
      <c r="D13515" s="30"/>
    </row>
    <row r="13516" spans="1:4" x14ac:dyDescent="0.25">
      <c r="A13516" s="31"/>
      <c r="D13516" s="30"/>
    </row>
    <row r="13517" spans="1:4" x14ac:dyDescent="0.25">
      <c r="A13517" s="31"/>
      <c r="D13517" s="30"/>
    </row>
    <row r="13518" spans="1:4" x14ac:dyDescent="0.25">
      <c r="A13518" s="31"/>
      <c r="D13518" s="30"/>
    </row>
    <row r="13519" spans="1:4" x14ac:dyDescent="0.25">
      <c r="A13519" s="31"/>
      <c r="D13519" s="30"/>
    </row>
    <row r="13520" spans="1:4" x14ac:dyDescent="0.25">
      <c r="A13520" s="31"/>
      <c r="D13520" s="30"/>
    </row>
    <row r="13521" spans="1:4" x14ac:dyDescent="0.25">
      <c r="A13521" s="31"/>
      <c r="D13521" s="30"/>
    </row>
    <row r="13522" spans="1:4" x14ac:dyDescent="0.25">
      <c r="A13522" s="31"/>
      <c r="D13522" s="30"/>
    </row>
    <row r="13523" spans="1:4" x14ac:dyDescent="0.25">
      <c r="A13523" s="31"/>
      <c r="D13523" s="30"/>
    </row>
    <row r="13524" spans="1:4" x14ac:dyDescent="0.25">
      <c r="A13524" s="31"/>
      <c r="D13524" s="30"/>
    </row>
    <row r="13525" spans="1:4" x14ac:dyDescent="0.25">
      <c r="A13525" s="31"/>
      <c r="D13525" s="30"/>
    </row>
    <row r="13526" spans="1:4" x14ac:dyDescent="0.25">
      <c r="A13526" s="31"/>
      <c r="D13526" s="30"/>
    </row>
    <row r="13527" spans="1:4" x14ac:dyDescent="0.25">
      <c r="A13527" s="31"/>
      <c r="D13527" s="30"/>
    </row>
    <row r="13528" spans="1:4" x14ac:dyDescent="0.25">
      <c r="A13528" s="31"/>
      <c r="D13528" s="30"/>
    </row>
    <row r="13529" spans="1:4" x14ac:dyDescent="0.25">
      <c r="A13529" s="31"/>
      <c r="D13529" s="30"/>
    </row>
    <row r="13530" spans="1:4" x14ac:dyDescent="0.25">
      <c r="A13530" s="31"/>
      <c r="D13530" s="30"/>
    </row>
    <row r="13531" spans="1:4" x14ac:dyDescent="0.25">
      <c r="A13531" s="31"/>
      <c r="D13531" s="30"/>
    </row>
    <row r="13532" spans="1:4" x14ac:dyDescent="0.25">
      <c r="A13532" s="31"/>
      <c r="D13532" s="30"/>
    </row>
    <row r="13533" spans="1:4" x14ac:dyDescent="0.25">
      <c r="A13533" s="31"/>
      <c r="D13533" s="30"/>
    </row>
    <row r="13534" spans="1:4" x14ac:dyDescent="0.25">
      <c r="A13534" s="31"/>
      <c r="D13534" s="30"/>
    </row>
    <row r="13535" spans="1:4" x14ac:dyDescent="0.25">
      <c r="A13535" s="31"/>
      <c r="D13535" s="30"/>
    </row>
    <row r="13536" spans="1:4" x14ac:dyDescent="0.25">
      <c r="A13536" s="31"/>
      <c r="D13536" s="30"/>
    </row>
    <row r="13537" spans="1:4" x14ac:dyDescent="0.25">
      <c r="A13537" s="31"/>
      <c r="D13537" s="30"/>
    </row>
    <row r="13538" spans="1:4" x14ac:dyDescent="0.25">
      <c r="A13538" s="31"/>
      <c r="D13538" s="30"/>
    </row>
    <row r="13539" spans="1:4" x14ac:dyDescent="0.25">
      <c r="A13539" s="31"/>
      <c r="D13539" s="30"/>
    </row>
    <row r="13540" spans="1:4" x14ac:dyDescent="0.25">
      <c r="A13540" s="31"/>
      <c r="D13540" s="30"/>
    </row>
    <row r="13541" spans="1:4" x14ac:dyDescent="0.25">
      <c r="A13541" s="31"/>
      <c r="D13541" s="30"/>
    </row>
    <row r="13542" spans="1:4" x14ac:dyDescent="0.25">
      <c r="A13542" s="31"/>
      <c r="D13542" s="30"/>
    </row>
    <row r="13543" spans="1:4" x14ac:dyDescent="0.25">
      <c r="A13543" s="31"/>
      <c r="D13543" s="30"/>
    </row>
    <row r="13544" spans="1:4" x14ac:dyDescent="0.25">
      <c r="A13544" s="31"/>
      <c r="D13544" s="30"/>
    </row>
    <row r="13545" spans="1:4" x14ac:dyDescent="0.25">
      <c r="A13545" s="31"/>
      <c r="D13545" s="30"/>
    </row>
    <row r="13546" spans="1:4" x14ac:dyDescent="0.25">
      <c r="A13546" s="31"/>
      <c r="D13546" s="30"/>
    </row>
    <row r="13547" spans="1:4" x14ac:dyDescent="0.25">
      <c r="A13547" s="31"/>
      <c r="D13547" s="30"/>
    </row>
    <row r="13548" spans="1:4" x14ac:dyDescent="0.25">
      <c r="A13548" s="31"/>
      <c r="D13548" s="30"/>
    </row>
    <row r="13549" spans="1:4" x14ac:dyDescent="0.25">
      <c r="A13549" s="31"/>
      <c r="D13549" s="30"/>
    </row>
    <row r="13550" spans="1:4" x14ac:dyDescent="0.25">
      <c r="A13550" s="31"/>
      <c r="D13550" s="30"/>
    </row>
    <row r="13551" spans="1:4" x14ac:dyDescent="0.25">
      <c r="A13551" s="31"/>
      <c r="D13551" s="30"/>
    </row>
    <row r="13552" spans="1:4" x14ac:dyDescent="0.25">
      <c r="A13552" s="31"/>
      <c r="D13552" s="30"/>
    </row>
    <row r="13553" spans="1:4" x14ac:dyDescent="0.25">
      <c r="A13553" s="31"/>
      <c r="D13553" s="30"/>
    </row>
    <row r="13554" spans="1:4" x14ac:dyDescent="0.25">
      <c r="A13554" s="31"/>
      <c r="D13554" s="30"/>
    </row>
    <row r="13555" spans="1:4" x14ac:dyDescent="0.25">
      <c r="A13555" s="31"/>
      <c r="D13555" s="30"/>
    </row>
    <row r="13556" spans="1:4" x14ac:dyDescent="0.25">
      <c r="A13556" s="31"/>
      <c r="D13556" s="30"/>
    </row>
    <row r="13557" spans="1:4" x14ac:dyDescent="0.25">
      <c r="A13557" s="31"/>
      <c r="D13557" s="30"/>
    </row>
    <row r="13558" spans="1:4" x14ac:dyDescent="0.25">
      <c r="A13558" s="31"/>
      <c r="D13558" s="30"/>
    </row>
    <row r="13559" spans="1:4" x14ac:dyDescent="0.25">
      <c r="A13559" s="31"/>
      <c r="D13559" s="30"/>
    </row>
    <row r="13560" spans="1:4" x14ac:dyDescent="0.25">
      <c r="A13560" s="31"/>
      <c r="D13560" s="30"/>
    </row>
    <row r="13561" spans="1:4" x14ac:dyDescent="0.25">
      <c r="A13561" s="31"/>
      <c r="D13561" s="30"/>
    </row>
    <row r="13562" spans="1:4" x14ac:dyDescent="0.25">
      <c r="A13562" s="31"/>
      <c r="D13562" s="30"/>
    </row>
    <row r="13563" spans="1:4" x14ac:dyDescent="0.25">
      <c r="A13563" s="31"/>
      <c r="D13563" s="30"/>
    </row>
    <row r="13564" spans="1:4" x14ac:dyDescent="0.25">
      <c r="A13564" s="31"/>
      <c r="D13564" s="30"/>
    </row>
    <row r="13565" spans="1:4" x14ac:dyDescent="0.25">
      <c r="A13565" s="31"/>
      <c r="D13565" s="30"/>
    </row>
    <row r="13566" spans="1:4" x14ac:dyDescent="0.25">
      <c r="A13566" s="31"/>
      <c r="D13566" s="30"/>
    </row>
    <row r="13567" spans="1:4" x14ac:dyDescent="0.25">
      <c r="A13567" s="31"/>
      <c r="D13567" s="30"/>
    </row>
    <row r="13568" spans="1:4" x14ac:dyDescent="0.25">
      <c r="A13568" s="31"/>
      <c r="D13568" s="30"/>
    </row>
    <row r="13569" spans="1:4" x14ac:dyDescent="0.25">
      <c r="A13569" s="31"/>
      <c r="D13569" s="30"/>
    </row>
    <row r="13570" spans="1:4" x14ac:dyDescent="0.25">
      <c r="A13570" s="31"/>
      <c r="D13570" s="30"/>
    </row>
    <row r="13571" spans="1:4" x14ac:dyDescent="0.25">
      <c r="A13571" s="31"/>
      <c r="D13571" s="30"/>
    </row>
    <row r="13572" spans="1:4" x14ac:dyDescent="0.25">
      <c r="A13572" s="31"/>
      <c r="D13572" s="30"/>
    </row>
    <row r="13573" spans="1:4" x14ac:dyDescent="0.25">
      <c r="A13573" s="31"/>
      <c r="D13573" s="30"/>
    </row>
    <row r="13574" spans="1:4" x14ac:dyDescent="0.25">
      <c r="A13574" s="31"/>
      <c r="D13574" s="30"/>
    </row>
    <row r="13575" spans="1:4" x14ac:dyDescent="0.25">
      <c r="A13575" s="31"/>
      <c r="D13575" s="30"/>
    </row>
    <row r="13576" spans="1:4" x14ac:dyDescent="0.25">
      <c r="A13576" s="31"/>
      <c r="D13576" s="30"/>
    </row>
    <row r="13577" spans="1:4" x14ac:dyDescent="0.25">
      <c r="A13577" s="31"/>
      <c r="D13577" s="30"/>
    </row>
    <row r="13578" spans="1:4" x14ac:dyDescent="0.25">
      <c r="A13578" s="31"/>
      <c r="D13578" s="30"/>
    </row>
    <row r="13579" spans="1:4" x14ac:dyDescent="0.25">
      <c r="A13579" s="31"/>
      <c r="D13579" s="30"/>
    </row>
    <row r="13580" spans="1:4" x14ac:dyDescent="0.25">
      <c r="A13580" s="31"/>
      <c r="D13580" s="30"/>
    </row>
    <row r="13581" spans="1:4" x14ac:dyDescent="0.25">
      <c r="A13581" s="31"/>
      <c r="D13581" s="30"/>
    </row>
    <row r="13582" spans="1:4" x14ac:dyDescent="0.25">
      <c r="A13582" s="31"/>
      <c r="D13582" s="30"/>
    </row>
    <row r="13583" spans="1:4" x14ac:dyDescent="0.25">
      <c r="A13583" s="31"/>
      <c r="D13583" s="30"/>
    </row>
    <row r="13584" spans="1:4" x14ac:dyDescent="0.25">
      <c r="A13584" s="31"/>
      <c r="D13584" s="30"/>
    </row>
    <row r="13585" spans="1:4" x14ac:dyDescent="0.25">
      <c r="A13585" s="31"/>
      <c r="D13585" s="30"/>
    </row>
    <row r="13586" spans="1:4" x14ac:dyDescent="0.25">
      <c r="A13586" s="31"/>
      <c r="D13586" s="30"/>
    </row>
    <row r="13587" spans="1:4" x14ac:dyDescent="0.25">
      <c r="A13587" s="31"/>
      <c r="D13587" s="30"/>
    </row>
    <row r="13588" spans="1:4" x14ac:dyDescent="0.25">
      <c r="A13588" s="31"/>
      <c r="D13588" s="30"/>
    </row>
    <row r="13589" spans="1:4" x14ac:dyDescent="0.25">
      <c r="A13589" s="31"/>
      <c r="D13589" s="30"/>
    </row>
    <row r="13590" spans="1:4" x14ac:dyDescent="0.25">
      <c r="A13590" s="31"/>
      <c r="D13590" s="30"/>
    </row>
    <row r="13591" spans="1:4" x14ac:dyDescent="0.25">
      <c r="A13591" s="31"/>
      <c r="D13591" s="30"/>
    </row>
    <row r="13592" spans="1:4" x14ac:dyDescent="0.25">
      <c r="A13592" s="31"/>
      <c r="D13592" s="30"/>
    </row>
    <row r="13593" spans="1:4" x14ac:dyDescent="0.25">
      <c r="A13593" s="31"/>
      <c r="D13593" s="30"/>
    </row>
    <row r="13594" spans="1:4" x14ac:dyDescent="0.25">
      <c r="A13594" s="31"/>
      <c r="D13594" s="30"/>
    </row>
    <row r="13595" spans="1:4" x14ac:dyDescent="0.25">
      <c r="A13595" s="31"/>
      <c r="D13595" s="30"/>
    </row>
    <row r="13596" spans="1:4" x14ac:dyDescent="0.25">
      <c r="A13596" s="31"/>
      <c r="D13596" s="30"/>
    </row>
    <row r="13597" spans="1:4" x14ac:dyDescent="0.25">
      <c r="A13597" s="31"/>
      <c r="D13597" s="30"/>
    </row>
    <row r="13598" spans="1:4" x14ac:dyDescent="0.25">
      <c r="A13598" s="31"/>
      <c r="D13598" s="30"/>
    </row>
    <row r="13599" spans="1:4" x14ac:dyDescent="0.25">
      <c r="A13599" s="31"/>
      <c r="D13599" s="30"/>
    </row>
    <row r="13600" spans="1:4" x14ac:dyDescent="0.25">
      <c r="A13600" s="31"/>
      <c r="D13600" s="30"/>
    </row>
    <row r="13601" spans="1:4" x14ac:dyDescent="0.25">
      <c r="A13601" s="31"/>
      <c r="D13601" s="30"/>
    </row>
    <row r="13602" spans="1:4" x14ac:dyDescent="0.25">
      <c r="A13602" s="31"/>
      <c r="D13602" s="30"/>
    </row>
    <row r="13603" spans="1:4" x14ac:dyDescent="0.25">
      <c r="A13603" s="31"/>
      <c r="D13603" s="30"/>
    </row>
    <row r="13604" spans="1:4" x14ac:dyDescent="0.25">
      <c r="A13604" s="31"/>
      <c r="D13604" s="30"/>
    </row>
    <row r="13605" spans="1:4" x14ac:dyDescent="0.25">
      <c r="A13605" s="31"/>
      <c r="D13605" s="30"/>
    </row>
    <row r="13606" spans="1:4" x14ac:dyDescent="0.25">
      <c r="A13606" s="31"/>
      <c r="D13606" s="30"/>
    </row>
    <row r="13607" spans="1:4" x14ac:dyDescent="0.25">
      <c r="A13607" s="31"/>
      <c r="D13607" s="30"/>
    </row>
    <row r="13608" spans="1:4" x14ac:dyDescent="0.25">
      <c r="A13608" s="31"/>
      <c r="D13608" s="30"/>
    </row>
    <row r="13609" spans="1:4" x14ac:dyDescent="0.25">
      <c r="A13609" s="31"/>
      <c r="D13609" s="30"/>
    </row>
    <row r="13610" spans="1:4" x14ac:dyDescent="0.25">
      <c r="A13610" s="31"/>
      <c r="D13610" s="30"/>
    </row>
    <row r="13611" spans="1:4" x14ac:dyDescent="0.25">
      <c r="A13611" s="31"/>
      <c r="D13611" s="30"/>
    </row>
    <row r="13612" spans="1:4" x14ac:dyDescent="0.25">
      <c r="A13612" s="31"/>
      <c r="D13612" s="30"/>
    </row>
    <row r="13613" spans="1:4" x14ac:dyDescent="0.25">
      <c r="A13613" s="31"/>
      <c r="D13613" s="30"/>
    </row>
    <row r="13614" spans="1:4" x14ac:dyDescent="0.25">
      <c r="A13614" s="31"/>
      <c r="D13614" s="30"/>
    </row>
    <row r="13615" spans="1:4" x14ac:dyDescent="0.25">
      <c r="A13615" s="31"/>
      <c r="D13615" s="30"/>
    </row>
    <row r="13616" spans="1:4" x14ac:dyDescent="0.25">
      <c r="A13616" s="31"/>
      <c r="D13616" s="30"/>
    </row>
    <row r="13617" spans="1:4" x14ac:dyDescent="0.25">
      <c r="A13617" s="31"/>
      <c r="D13617" s="30"/>
    </row>
    <row r="13618" spans="1:4" x14ac:dyDescent="0.25">
      <c r="A13618" s="31"/>
      <c r="D13618" s="30"/>
    </row>
    <row r="13619" spans="1:4" x14ac:dyDescent="0.25">
      <c r="A13619" s="31"/>
      <c r="D13619" s="30"/>
    </row>
    <row r="13620" spans="1:4" x14ac:dyDescent="0.25">
      <c r="A13620" s="31"/>
      <c r="D13620" s="30"/>
    </row>
    <row r="13621" spans="1:4" x14ac:dyDescent="0.25">
      <c r="A13621" s="31"/>
      <c r="D13621" s="30"/>
    </row>
    <row r="13622" spans="1:4" x14ac:dyDescent="0.25">
      <c r="A13622" s="31"/>
      <c r="D13622" s="30"/>
    </row>
    <row r="13623" spans="1:4" x14ac:dyDescent="0.25">
      <c r="A13623" s="31"/>
      <c r="D13623" s="30"/>
    </row>
    <row r="13624" spans="1:4" x14ac:dyDescent="0.25">
      <c r="A13624" s="31"/>
      <c r="D13624" s="30"/>
    </row>
    <row r="13625" spans="1:4" x14ac:dyDescent="0.25">
      <c r="A13625" s="31"/>
      <c r="D13625" s="30"/>
    </row>
    <row r="13626" spans="1:4" x14ac:dyDescent="0.25">
      <c r="A13626" s="31"/>
      <c r="D13626" s="30"/>
    </row>
    <row r="13627" spans="1:4" x14ac:dyDescent="0.25">
      <c r="A13627" s="31"/>
      <c r="D13627" s="30"/>
    </row>
    <row r="13628" spans="1:4" x14ac:dyDescent="0.25">
      <c r="A13628" s="31"/>
      <c r="D13628" s="30"/>
    </row>
    <row r="13629" spans="1:4" x14ac:dyDescent="0.25">
      <c r="A13629" s="31"/>
      <c r="D13629" s="30"/>
    </row>
    <row r="13630" spans="1:4" x14ac:dyDescent="0.25">
      <c r="A13630" s="31"/>
      <c r="D13630" s="30"/>
    </row>
    <row r="13631" spans="1:4" x14ac:dyDescent="0.25">
      <c r="A13631" s="31"/>
      <c r="D13631" s="30"/>
    </row>
    <row r="13632" spans="1:4" x14ac:dyDescent="0.25">
      <c r="A13632" s="31"/>
      <c r="D13632" s="30"/>
    </row>
    <row r="13633" spans="1:4" x14ac:dyDescent="0.25">
      <c r="A13633" s="31"/>
      <c r="D13633" s="30"/>
    </row>
    <row r="13634" spans="1:4" x14ac:dyDescent="0.25">
      <c r="A13634" s="31"/>
      <c r="D13634" s="30"/>
    </row>
    <row r="13635" spans="1:4" x14ac:dyDescent="0.25">
      <c r="A13635" s="31"/>
      <c r="D13635" s="30"/>
    </row>
    <row r="13636" spans="1:4" x14ac:dyDescent="0.25">
      <c r="A13636" s="31"/>
      <c r="D13636" s="30"/>
    </row>
    <row r="13637" spans="1:4" x14ac:dyDescent="0.25">
      <c r="A13637" s="31"/>
      <c r="D13637" s="30"/>
    </row>
    <row r="13638" spans="1:4" x14ac:dyDescent="0.25">
      <c r="A13638" s="31"/>
      <c r="D13638" s="30"/>
    </row>
    <row r="13639" spans="1:4" x14ac:dyDescent="0.25">
      <c r="A13639" s="31"/>
      <c r="D13639" s="30"/>
    </row>
    <row r="13640" spans="1:4" x14ac:dyDescent="0.25">
      <c r="A13640" s="31"/>
      <c r="D13640" s="30"/>
    </row>
    <row r="13641" spans="1:4" x14ac:dyDescent="0.25">
      <c r="A13641" s="31"/>
      <c r="D13641" s="30"/>
    </row>
    <row r="13642" spans="1:4" x14ac:dyDescent="0.25">
      <c r="A13642" s="31"/>
      <c r="D13642" s="30"/>
    </row>
    <row r="13643" spans="1:4" x14ac:dyDescent="0.25">
      <c r="A13643" s="31"/>
      <c r="D13643" s="30"/>
    </row>
    <row r="13644" spans="1:4" x14ac:dyDescent="0.25">
      <c r="A13644" s="31"/>
      <c r="D13644" s="30"/>
    </row>
    <row r="13645" spans="1:4" x14ac:dyDescent="0.25">
      <c r="A13645" s="31"/>
      <c r="D13645" s="30"/>
    </row>
    <row r="13646" spans="1:4" x14ac:dyDescent="0.25">
      <c r="A13646" s="31"/>
      <c r="D13646" s="30"/>
    </row>
    <row r="13647" spans="1:4" x14ac:dyDescent="0.25">
      <c r="A13647" s="31"/>
      <c r="D13647" s="30"/>
    </row>
    <row r="13648" spans="1:4" x14ac:dyDescent="0.25">
      <c r="A13648" s="31"/>
      <c r="D13648" s="30"/>
    </row>
    <row r="13649" spans="1:4" x14ac:dyDescent="0.25">
      <c r="A13649" s="31"/>
      <c r="D13649" s="30"/>
    </row>
    <row r="13650" spans="1:4" x14ac:dyDescent="0.25">
      <c r="A13650" s="31"/>
      <c r="D13650" s="30"/>
    </row>
    <row r="13651" spans="1:4" x14ac:dyDescent="0.25">
      <c r="A13651" s="31"/>
      <c r="D13651" s="30"/>
    </row>
    <row r="13652" spans="1:4" x14ac:dyDescent="0.25">
      <c r="A13652" s="31"/>
      <c r="D13652" s="30"/>
    </row>
    <row r="13653" spans="1:4" x14ac:dyDescent="0.25">
      <c r="A13653" s="31"/>
      <c r="D13653" s="30"/>
    </row>
    <row r="13654" spans="1:4" x14ac:dyDescent="0.25">
      <c r="A13654" s="31"/>
      <c r="D13654" s="30"/>
    </row>
    <row r="13655" spans="1:4" x14ac:dyDescent="0.25">
      <c r="A13655" s="31"/>
      <c r="D13655" s="30"/>
    </row>
    <row r="13656" spans="1:4" x14ac:dyDescent="0.25">
      <c r="A13656" s="31"/>
      <c r="D13656" s="30"/>
    </row>
    <row r="13657" spans="1:4" x14ac:dyDescent="0.25">
      <c r="A13657" s="31"/>
      <c r="D13657" s="30"/>
    </row>
    <row r="13658" spans="1:4" x14ac:dyDescent="0.25">
      <c r="A13658" s="31"/>
      <c r="D13658" s="30"/>
    </row>
    <row r="13659" spans="1:4" x14ac:dyDescent="0.25">
      <c r="A13659" s="31"/>
      <c r="D13659" s="30"/>
    </row>
    <row r="13660" spans="1:4" x14ac:dyDescent="0.25">
      <c r="A13660" s="31"/>
      <c r="D13660" s="30"/>
    </row>
    <row r="13661" spans="1:4" x14ac:dyDescent="0.25">
      <c r="A13661" s="31"/>
      <c r="D13661" s="30"/>
    </row>
    <row r="13662" spans="1:4" x14ac:dyDescent="0.25">
      <c r="A13662" s="31"/>
      <c r="D13662" s="30"/>
    </row>
    <row r="13663" spans="1:4" x14ac:dyDescent="0.25">
      <c r="A13663" s="31"/>
      <c r="D13663" s="30"/>
    </row>
    <row r="13664" spans="1:4" x14ac:dyDescent="0.25">
      <c r="A13664" s="31"/>
      <c r="D13664" s="30"/>
    </row>
    <row r="13665" spans="1:4" x14ac:dyDescent="0.25">
      <c r="A13665" s="31"/>
      <c r="D13665" s="30"/>
    </row>
    <row r="13666" spans="1:4" x14ac:dyDescent="0.25">
      <c r="A13666" s="31"/>
      <c r="D13666" s="30"/>
    </row>
    <row r="13667" spans="1:4" x14ac:dyDescent="0.25">
      <c r="A13667" s="31"/>
      <c r="D13667" s="30"/>
    </row>
    <row r="13668" spans="1:4" x14ac:dyDescent="0.25">
      <c r="A13668" s="31"/>
      <c r="D13668" s="30"/>
    </row>
    <row r="13669" spans="1:4" x14ac:dyDescent="0.25">
      <c r="A13669" s="31"/>
      <c r="D13669" s="30"/>
    </row>
    <row r="13670" spans="1:4" x14ac:dyDescent="0.25">
      <c r="A13670" s="31"/>
      <c r="D13670" s="30"/>
    </row>
    <row r="13671" spans="1:4" x14ac:dyDescent="0.25">
      <c r="A13671" s="31"/>
      <c r="D13671" s="30"/>
    </row>
    <row r="13672" spans="1:4" x14ac:dyDescent="0.25">
      <c r="A13672" s="31"/>
      <c r="D13672" s="30"/>
    </row>
    <row r="13673" spans="1:4" x14ac:dyDescent="0.25">
      <c r="A13673" s="31"/>
      <c r="D13673" s="30"/>
    </row>
    <row r="13674" spans="1:4" x14ac:dyDescent="0.25">
      <c r="A13674" s="31"/>
      <c r="D13674" s="30"/>
    </row>
    <row r="13675" spans="1:4" x14ac:dyDescent="0.25">
      <c r="A13675" s="31"/>
      <c r="D13675" s="30"/>
    </row>
    <row r="13676" spans="1:4" x14ac:dyDescent="0.25">
      <c r="A13676" s="31"/>
      <c r="D13676" s="30"/>
    </row>
    <row r="13677" spans="1:4" x14ac:dyDescent="0.25">
      <c r="A13677" s="31"/>
      <c r="D13677" s="30"/>
    </row>
    <row r="13678" spans="1:4" x14ac:dyDescent="0.25">
      <c r="A13678" s="31"/>
      <c r="D13678" s="30"/>
    </row>
    <row r="13679" spans="1:4" x14ac:dyDescent="0.25">
      <c r="A13679" s="31"/>
      <c r="D13679" s="30"/>
    </row>
    <row r="13680" spans="1:4" x14ac:dyDescent="0.25">
      <c r="A13680" s="31"/>
      <c r="D13680" s="30"/>
    </row>
    <row r="13681" spans="1:4" x14ac:dyDescent="0.25">
      <c r="A13681" s="31"/>
      <c r="D13681" s="30"/>
    </row>
    <row r="13682" spans="1:4" x14ac:dyDescent="0.25">
      <c r="A13682" s="31"/>
      <c r="D13682" s="30"/>
    </row>
    <row r="13683" spans="1:4" x14ac:dyDescent="0.25">
      <c r="A13683" s="31"/>
      <c r="D13683" s="30"/>
    </row>
    <row r="13684" spans="1:4" x14ac:dyDescent="0.25">
      <c r="A13684" s="31"/>
      <c r="D13684" s="30"/>
    </row>
    <row r="13685" spans="1:4" x14ac:dyDescent="0.25">
      <c r="A13685" s="31"/>
      <c r="D13685" s="30"/>
    </row>
    <row r="13686" spans="1:4" x14ac:dyDescent="0.25">
      <c r="A13686" s="31"/>
      <c r="D13686" s="30"/>
    </row>
    <row r="13687" spans="1:4" x14ac:dyDescent="0.25">
      <c r="A13687" s="31"/>
      <c r="D13687" s="30"/>
    </row>
    <row r="13688" spans="1:4" x14ac:dyDescent="0.25">
      <c r="A13688" s="31"/>
      <c r="D13688" s="30"/>
    </row>
    <row r="13689" spans="1:4" x14ac:dyDescent="0.25">
      <c r="A13689" s="31"/>
      <c r="D13689" s="30"/>
    </row>
    <row r="13690" spans="1:4" x14ac:dyDescent="0.25">
      <c r="A13690" s="31"/>
      <c r="D13690" s="30"/>
    </row>
    <row r="13691" spans="1:4" x14ac:dyDescent="0.25">
      <c r="A13691" s="31"/>
      <c r="D13691" s="30"/>
    </row>
    <row r="13692" spans="1:4" x14ac:dyDescent="0.25">
      <c r="A13692" s="31"/>
      <c r="D13692" s="30"/>
    </row>
    <row r="13693" spans="1:4" x14ac:dyDescent="0.25">
      <c r="A13693" s="31"/>
      <c r="D13693" s="30"/>
    </row>
    <row r="13694" spans="1:4" x14ac:dyDescent="0.25">
      <c r="A13694" s="31"/>
      <c r="D13694" s="30"/>
    </row>
    <row r="13695" spans="1:4" x14ac:dyDescent="0.25">
      <c r="A13695" s="31"/>
      <c r="D13695" s="30"/>
    </row>
    <row r="13696" spans="1:4" x14ac:dyDescent="0.25">
      <c r="A13696" s="31"/>
      <c r="D13696" s="30"/>
    </row>
    <row r="13697" spans="1:4" x14ac:dyDescent="0.25">
      <c r="A13697" s="31"/>
      <c r="D13697" s="30"/>
    </row>
    <row r="13698" spans="1:4" x14ac:dyDescent="0.25">
      <c r="A13698" s="31"/>
      <c r="D13698" s="30"/>
    </row>
    <row r="13699" spans="1:4" x14ac:dyDescent="0.25">
      <c r="A13699" s="31"/>
      <c r="D13699" s="30"/>
    </row>
    <row r="13700" spans="1:4" x14ac:dyDescent="0.25">
      <c r="A13700" s="31"/>
      <c r="D13700" s="30"/>
    </row>
    <row r="13701" spans="1:4" x14ac:dyDescent="0.25">
      <c r="A13701" s="31"/>
      <c r="D13701" s="30"/>
    </row>
    <row r="13702" spans="1:4" x14ac:dyDescent="0.25">
      <c r="A13702" s="31"/>
      <c r="D13702" s="30"/>
    </row>
    <row r="13703" spans="1:4" x14ac:dyDescent="0.25">
      <c r="A13703" s="31"/>
      <c r="D13703" s="30"/>
    </row>
    <row r="13704" spans="1:4" x14ac:dyDescent="0.25">
      <c r="A13704" s="31"/>
      <c r="D13704" s="30"/>
    </row>
    <row r="13705" spans="1:4" x14ac:dyDescent="0.25">
      <c r="A13705" s="31"/>
      <c r="D13705" s="30"/>
    </row>
    <row r="13706" spans="1:4" x14ac:dyDescent="0.25">
      <c r="A13706" s="31"/>
      <c r="D13706" s="30"/>
    </row>
    <row r="13707" spans="1:4" x14ac:dyDescent="0.25">
      <c r="A13707" s="31"/>
      <c r="D13707" s="30"/>
    </row>
    <row r="13708" spans="1:4" x14ac:dyDescent="0.25">
      <c r="A13708" s="31"/>
      <c r="D13708" s="30"/>
    </row>
    <row r="13709" spans="1:4" x14ac:dyDescent="0.25">
      <c r="A13709" s="31"/>
      <c r="D13709" s="30"/>
    </row>
    <row r="13710" spans="1:4" x14ac:dyDescent="0.25">
      <c r="A13710" s="31"/>
      <c r="D13710" s="30"/>
    </row>
    <row r="13711" spans="1:4" x14ac:dyDescent="0.25">
      <c r="A13711" s="31"/>
      <c r="D13711" s="30"/>
    </row>
    <row r="13712" spans="1:4" x14ac:dyDescent="0.25">
      <c r="A13712" s="31"/>
      <c r="D13712" s="30"/>
    </row>
    <row r="13713" spans="1:4" x14ac:dyDescent="0.25">
      <c r="A13713" s="31"/>
      <c r="D13713" s="30"/>
    </row>
    <row r="13714" spans="1:4" x14ac:dyDescent="0.25">
      <c r="A13714" s="31"/>
      <c r="D13714" s="30"/>
    </row>
    <row r="13715" spans="1:4" x14ac:dyDescent="0.25">
      <c r="A13715" s="31"/>
      <c r="D13715" s="30"/>
    </row>
    <row r="13716" spans="1:4" x14ac:dyDescent="0.25">
      <c r="A13716" s="31"/>
      <c r="D13716" s="30"/>
    </row>
    <row r="13717" spans="1:4" x14ac:dyDescent="0.25">
      <c r="A13717" s="31"/>
      <c r="D13717" s="30"/>
    </row>
    <row r="13718" spans="1:4" x14ac:dyDescent="0.25">
      <c r="A13718" s="31"/>
      <c r="D13718" s="30"/>
    </row>
    <row r="13719" spans="1:4" x14ac:dyDescent="0.25">
      <c r="A13719" s="31"/>
      <c r="D13719" s="30"/>
    </row>
    <row r="13720" spans="1:4" x14ac:dyDescent="0.25">
      <c r="A13720" s="31"/>
      <c r="D13720" s="30"/>
    </row>
    <row r="13721" spans="1:4" x14ac:dyDescent="0.25">
      <c r="A13721" s="31"/>
      <c r="D13721" s="30"/>
    </row>
    <row r="13722" spans="1:4" x14ac:dyDescent="0.25">
      <c r="A13722" s="31"/>
      <c r="D13722" s="30"/>
    </row>
    <row r="13723" spans="1:4" x14ac:dyDescent="0.25">
      <c r="A13723" s="31"/>
      <c r="D13723" s="30"/>
    </row>
    <row r="13724" spans="1:4" x14ac:dyDescent="0.25">
      <c r="A13724" s="31"/>
      <c r="D13724" s="30"/>
    </row>
    <row r="13725" spans="1:4" x14ac:dyDescent="0.25">
      <c r="A13725" s="31"/>
      <c r="D13725" s="30"/>
    </row>
    <row r="13726" spans="1:4" x14ac:dyDescent="0.25">
      <c r="A13726" s="31"/>
      <c r="D13726" s="30"/>
    </row>
    <row r="13727" spans="1:4" x14ac:dyDescent="0.25">
      <c r="A13727" s="31"/>
      <c r="D13727" s="30"/>
    </row>
    <row r="13728" spans="1:4" x14ac:dyDescent="0.25">
      <c r="A13728" s="31"/>
      <c r="D13728" s="30"/>
    </row>
    <row r="13729" spans="1:4" x14ac:dyDescent="0.25">
      <c r="A13729" s="31"/>
      <c r="D13729" s="30"/>
    </row>
    <row r="13730" spans="1:4" x14ac:dyDescent="0.25">
      <c r="A13730" s="31"/>
      <c r="D13730" s="30"/>
    </row>
    <row r="13731" spans="1:4" x14ac:dyDescent="0.25">
      <c r="A13731" s="31"/>
      <c r="D13731" s="30"/>
    </row>
    <row r="13732" spans="1:4" x14ac:dyDescent="0.25">
      <c r="A13732" s="31"/>
      <c r="D13732" s="30"/>
    </row>
    <row r="13733" spans="1:4" x14ac:dyDescent="0.25">
      <c r="A13733" s="31"/>
      <c r="D13733" s="30"/>
    </row>
    <row r="13734" spans="1:4" x14ac:dyDescent="0.25">
      <c r="A13734" s="31"/>
      <c r="D13734" s="30"/>
    </row>
    <row r="13735" spans="1:4" x14ac:dyDescent="0.25">
      <c r="A13735" s="31"/>
      <c r="D13735" s="30"/>
    </row>
    <row r="13736" spans="1:4" x14ac:dyDescent="0.25">
      <c r="A13736" s="31"/>
      <c r="D13736" s="30"/>
    </row>
    <row r="13737" spans="1:4" x14ac:dyDescent="0.25">
      <c r="A13737" s="31"/>
      <c r="D13737" s="30"/>
    </row>
    <row r="13738" spans="1:4" x14ac:dyDescent="0.25">
      <c r="A13738" s="31"/>
      <c r="D13738" s="30"/>
    </row>
    <row r="13739" spans="1:4" x14ac:dyDescent="0.25">
      <c r="A13739" s="31"/>
      <c r="D13739" s="30"/>
    </row>
    <row r="13740" spans="1:4" x14ac:dyDescent="0.25">
      <c r="A13740" s="31"/>
      <c r="D13740" s="30"/>
    </row>
    <row r="13741" spans="1:4" x14ac:dyDescent="0.25">
      <c r="A13741" s="31"/>
      <c r="D13741" s="30"/>
    </row>
    <row r="13742" spans="1:4" x14ac:dyDescent="0.25">
      <c r="A13742" s="31"/>
      <c r="D13742" s="30"/>
    </row>
    <row r="13743" spans="1:4" x14ac:dyDescent="0.25">
      <c r="A13743" s="31"/>
      <c r="D13743" s="30"/>
    </row>
    <row r="13744" spans="1:4" x14ac:dyDescent="0.25">
      <c r="A13744" s="31"/>
      <c r="D13744" s="30"/>
    </row>
    <row r="13745" spans="1:4" x14ac:dyDescent="0.25">
      <c r="A13745" s="31"/>
      <c r="D13745" s="30"/>
    </row>
    <row r="13746" spans="1:4" x14ac:dyDescent="0.25">
      <c r="A13746" s="31"/>
      <c r="D13746" s="30"/>
    </row>
    <row r="13747" spans="1:4" x14ac:dyDescent="0.25">
      <c r="A13747" s="31"/>
      <c r="D13747" s="30"/>
    </row>
    <row r="13748" spans="1:4" x14ac:dyDescent="0.25">
      <c r="A13748" s="31"/>
      <c r="D13748" s="30"/>
    </row>
    <row r="13749" spans="1:4" x14ac:dyDescent="0.25">
      <c r="A13749" s="31"/>
      <c r="D13749" s="30"/>
    </row>
    <row r="13750" spans="1:4" x14ac:dyDescent="0.25">
      <c r="A13750" s="31"/>
      <c r="D13750" s="30"/>
    </row>
    <row r="13751" spans="1:4" x14ac:dyDescent="0.25">
      <c r="A13751" s="31"/>
      <c r="D13751" s="30"/>
    </row>
    <row r="13752" spans="1:4" x14ac:dyDescent="0.25">
      <c r="A13752" s="31"/>
      <c r="D13752" s="30"/>
    </row>
    <row r="13753" spans="1:4" x14ac:dyDescent="0.25">
      <c r="A13753" s="31"/>
      <c r="D13753" s="30"/>
    </row>
    <row r="13754" spans="1:4" x14ac:dyDescent="0.25">
      <c r="A13754" s="31"/>
      <c r="D13754" s="30"/>
    </row>
    <row r="13755" spans="1:4" x14ac:dyDescent="0.25">
      <c r="A13755" s="31"/>
      <c r="D13755" s="30"/>
    </row>
    <row r="13756" spans="1:4" x14ac:dyDescent="0.25">
      <c r="A13756" s="31"/>
      <c r="D13756" s="30"/>
    </row>
    <row r="13757" spans="1:4" x14ac:dyDescent="0.25">
      <c r="A13757" s="31"/>
      <c r="D13757" s="30"/>
    </row>
    <row r="13758" spans="1:4" x14ac:dyDescent="0.25">
      <c r="A13758" s="31"/>
      <c r="D13758" s="30"/>
    </row>
    <row r="13759" spans="1:4" x14ac:dyDescent="0.25">
      <c r="A13759" s="31"/>
      <c r="D13759" s="30"/>
    </row>
    <row r="13760" spans="1:4" x14ac:dyDescent="0.25">
      <c r="A13760" s="31"/>
      <c r="D13760" s="30"/>
    </row>
    <row r="13761" spans="1:4" x14ac:dyDescent="0.25">
      <c r="A13761" s="31"/>
      <c r="D13761" s="30"/>
    </row>
    <row r="13762" spans="1:4" x14ac:dyDescent="0.25">
      <c r="A13762" s="31"/>
      <c r="D13762" s="30"/>
    </row>
    <row r="13763" spans="1:4" x14ac:dyDescent="0.25">
      <c r="A13763" s="31"/>
      <c r="D13763" s="30"/>
    </row>
    <row r="13764" spans="1:4" x14ac:dyDescent="0.25">
      <c r="A13764" s="31"/>
      <c r="D13764" s="30"/>
    </row>
    <row r="13765" spans="1:4" x14ac:dyDescent="0.25">
      <c r="A13765" s="31"/>
      <c r="D13765" s="30"/>
    </row>
    <row r="13766" spans="1:4" x14ac:dyDescent="0.25">
      <c r="A13766" s="31"/>
      <c r="D13766" s="30"/>
    </row>
    <row r="13767" spans="1:4" x14ac:dyDescent="0.25">
      <c r="A13767" s="31"/>
      <c r="D13767" s="30"/>
    </row>
    <row r="13768" spans="1:4" x14ac:dyDescent="0.25">
      <c r="A13768" s="31"/>
      <c r="D13768" s="30"/>
    </row>
    <row r="13769" spans="1:4" x14ac:dyDescent="0.25">
      <c r="A13769" s="31"/>
      <c r="D13769" s="30"/>
    </row>
    <row r="13770" spans="1:4" x14ac:dyDescent="0.25">
      <c r="A13770" s="31"/>
      <c r="D13770" s="30"/>
    </row>
    <row r="13771" spans="1:4" x14ac:dyDescent="0.25">
      <c r="A13771" s="31"/>
      <c r="D13771" s="30"/>
    </row>
    <row r="13772" spans="1:4" x14ac:dyDescent="0.25">
      <c r="A13772" s="31"/>
      <c r="D13772" s="30"/>
    </row>
    <row r="13773" spans="1:4" x14ac:dyDescent="0.25">
      <c r="A13773" s="31"/>
      <c r="D13773" s="30"/>
    </row>
    <row r="13774" spans="1:4" x14ac:dyDescent="0.25">
      <c r="A13774" s="31"/>
      <c r="D13774" s="30"/>
    </row>
    <row r="13775" spans="1:4" x14ac:dyDescent="0.25">
      <c r="A13775" s="31"/>
      <c r="D13775" s="30"/>
    </row>
    <row r="13776" spans="1:4" x14ac:dyDescent="0.25">
      <c r="A13776" s="31"/>
      <c r="D13776" s="30"/>
    </row>
    <row r="13777" spans="1:4" x14ac:dyDescent="0.25">
      <c r="A13777" s="31"/>
      <c r="D13777" s="30"/>
    </row>
    <row r="13778" spans="1:4" x14ac:dyDescent="0.25">
      <c r="A13778" s="31"/>
      <c r="D13778" s="30"/>
    </row>
    <row r="13779" spans="1:4" x14ac:dyDescent="0.25">
      <c r="A13779" s="31"/>
      <c r="D13779" s="30"/>
    </row>
    <row r="13780" spans="1:4" x14ac:dyDescent="0.25">
      <c r="A13780" s="31"/>
      <c r="D13780" s="30"/>
    </row>
    <row r="13781" spans="1:4" x14ac:dyDescent="0.25">
      <c r="A13781" s="31"/>
      <c r="D13781" s="30"/>
    </row>
    <row r="13782" spans="1:4" x14ac:dyDescent="0.25">
      <c r="A13782" s="31"/>
      <c r="D13782" s="30"/>
    </row>
    <row r="13783" spans="1:4" x14ac:dyDescent="0.25">
      <c r="A13783" s="31"/>
      <c r="D13783" s="30"/>
    </row>
    <row r="13784" spans="1:4" x14ac:dyDescent="0.25">
      <c r="A13784" s="31"/>
      <c r="D13784" s="30"/>
    </row>
    <row r="13785" spans="1:4" x14ac:dyDescent="0.25">
      <c r="A13785" s="31"/>
      <c r="D13785" s="30"/>
    </row>
    <row r="13786" spans="1:4" x14ac:dyDescent="0.25">
      <c r="A13786" s="31"/>
      <c r="D13786" s="30"/>
    </row>
    <row r="13787" spans="1:4" x14ac:dyDescent="0.25">
      <c r="A13787" s="31"/>
      <c r="D13787" s="30"/>
    </row>
    <row r="13788" spans="1:4" x14ac:dyDescent="0.25">
      <c r="A13788" s="31"/>
      <c r="D13788" s="30"/>
    </row>
    <row r="13789" spans="1:4" x14ac:dyDescent="0.25">
      <c r="A13789" s="31"/>
      <c r="D13789" s="30"/>
    </row>
    <row r="13790" spans="1:4" x14ac:dyDescent="0.25">
      <c r="A13790" s="31"/>
      <c r="D13790" s="30"/>
    </row>
    <row r="13791" spans="1:4" x14ac:dyDescent="0.25">
      <c r="A13791" s="31"/>
      <c r="D13791" s="30"/>
    </row>
    <row r="13792" spans="1:4" x14ac:dyDescent="0.25">
      <c r="A13792" s="31"/>
      <c r="D13792" s="30"/>
    </row>
    <row r="13793" spans="1:4" x14ac:dyDescent="0.25">
      <c r="A13793" s="31"/>
      <c r="D13793" s="30"/>
    </row>
    <row r="13794" spans="1:4" x14ac:dyDescent="0.25">
      <c r="A13794" s="31"/>
      <c r="D13794" s="30"/>
    </row>
    <row r="13795" spans="1:4" x14ac:dyDescent="0.25">
      <c r="A13795" s="31"/>
      <c r="D13795" s="30"/>
    </row>
    <row r="13796" spans="1:4" x14ac:dyDescent="0.25">
      <c r="A13796" s="31"/>
      <c r="D13796" s="30"/>
    </row>
    <row r="13797" spans="1:4" x14ac:dyDescent="0.25">
      <c r="A13797" s="31"/>
      <c r="D13797" s="30"/>
    </row>
    <row r="13798" spans="1:4" x14ac:dyDescent="0.25">
      <c r="A13798" s="31"/>
      <c r="D13798" s="30"/>
    </row>
    <row r="13799" spans="1:4" x14ac:dyDescent="0.25">
      <c r="A13799" s="31"/>
      <c r="D13799" s="30"/>
    </row>
    <row r="13800" spans="1:4" x14ac:dyDescent="0.25">
      <c r="A13800" s="31"/>
      <c r="D13800" s="30"/>
    </row>
    <row r="13801" spans="1:4" x14ac:dyDescent="0.25">
      <c r="A13801" s="31"/>
      <c r="D13801" s="30"/>
    </row>
    <row r="13802" spans="1:4" x14ac:dyDescent="0.25">
      <c r="A13802" s="31"/>
      <c r="D13802" s="30"/>
    </row>
    <row r="13803" spans="1:4" x14ac:dyDescent="0.25">
      <c r="A13803" s="31"/>
      <c r="D13803" s="30"/>
    </row>
    <row r="13804" spans="1:4" x14ac:dyDescent="0.25">
      <c r="A13804" s="31"/>
      <c r="D13804" s="30"/>
    </row>
    <row r="13805" spans="1:4" x14ac:dyDescent="0.25">
      <c r="A13805" s="31"/>
      <c r="D13805" s="30"/>
    </row>
    <row r="13806" spans="1:4" x14ac:dyDescent="0.25">
      <c r="A13806" s="31"/>
      <c r="D13806" s="30"/>
    </row>
    <row r="13807" spans="1:4" x14ac:dyDescent="0.25">
      <c r="A13807" s="31"/>
      <c r="D13807" s="30"/>
    </row>
    <row r="13808" spans="1:4" x14ac:dyDescent="0.25">
      <c r="A13808" s="31"/>
      <c r="D13808" s="30"/>
    </row>
    <row r="13809" spans="1:4" x14ac:dyDescent="0.25">
      <c r="A13809" s="31"/>
      <c r="D13809" s="30"/>
    </row>
    <row r="13810" spans="1:4" x14ac:dyDescent="0.25">
      <c r="A13810" s="31"/>
      <c r="D13810" s="30"/>
    </row>
    <row r="13811" spans="1:4" x14ac:dyDescent="0.25">
      <c r="A13811" s="31"/>
      <c r="D13811" s="30"/>
    </row>
    <row r="13812" spans="1:4" x14ac:dyDescent="0.25">
      <c r="A13812" s="31"/>
      <c r="D13812" s="30"/>
    </row>
    <row r="13813" spans="1:4" x14ac:dyDescent="0.25">
      <c r="A13813" s="31"/>
      <c r="D13813" s="30"/>
    </row>
    <row r="13814" spans="1:4" x14ac:dyDescent="0.25">
      <c r="A13814" s="31"/>
      <c r="D13814" s="30"/>
    </row>
    <row r="13815" spans="1:4" x14ac:dyDescent="0.25">
      <c r="A13815" s="31"/>
      <c r="D13815" s="30"/>
    </row>
    <row r="13816" spans="1:4" x14ac:dyDescent="0.25">
      <c r="A13816" s="31"/>
      <c r="D13816" s="30"/>
    </row>
    <row r="13817" spans="1:4" x14ac:dyDescent="0.25">
      <c r="A13817" s="31"/>
      <c r="D13817" s="30"/>
    </row>
    <row r="13818" spans="1:4" x14ac:dyDescent="0.25">
      <c r="A13818" s="31"/>
      <c r="D13818" s="30"/>
    </row>
    <row r="13819" spans="1:4" x14ac:dyDescent="0.25">
      <c r="A13819" s="31"/>
      <c r="D13819" s="30"/>
    </row>
    <row r="13820" spans="1:4" x14ac:dyDescent="0.25">
      <c r="A13820" s="31"/>
      <c r="D13820" s="30"/>
    </row>
    <row r="13821" spans="1:4" x14ac:dyDescent="0.25">
      <c r="A13821" s="31"/>
      <c r="D13821" s="30"/>
    </row>
    <row r="13822" spans="1:4" x14ac:dyDescent="0.25">
      <c r="A13822" s="31"/>
      <c r="D13822" s="30"/>
    </row>
    <row r="13823" spans="1:4" x14ac:dyDescent="0.25">
      <c r="A13823" s="31"/>
      <c r="D13823" s="30"/>
    </row>
    <row r="13824" spans="1:4" x14ac:dyDescent="0.25">
      <c r="A13824" s="31"/>
      <c r="D13824" s="30"/>
    </row>
    <row r="13825" spans="1:4" x14ac:dyDescent="0.25">
      <c r="A13825" s="31"/>
      <c r="D13825" s="30"/>
    </row>
    <row r="13826" spans="1:4" x14ac:dyDescent="0.25">
      <c r="A13826" s="31"/>
      <c r="D13826" s="30"/>
    </row>
    <row r="13827" spans="1:4" x14ac:dyDescent="0.25">
      <c r="A13827" s="31"/>
      <c r="D13827" s="30"/>
    </row>
    <row r="13828" spans="1:4" x14ac:dyDescent="0.25">
      <c r="A13828" s="31"/>
      <c r="D13828" s="30"/>
    </row>
    <row r="13829" spans="1:4" x14ac:dyDescent="0.25">
      <c r="A13829" s="31"/>
      <c r="D13829" s="30"/>
    </row>
    <row r="13830" spans="1:4" x14ac:dyDescent="0.25">
      <c r="A13830" s="31"/>
      <c r="D13830" s="30"/>
    </row>
    <row r="13831" spans="1:4" x14ac:dyDescent="0.25">
      <c r="A13831" s="31"/>
      <c r="D13831" s="30"/>
    </row>
    <row r="13832" spans="1:4" x14ac:dyDescent="0.25">
      <c r="A13832" s="31"/>
      <c r="D13832" s="30"/>
    </row>
    <row r="13833" spans="1:4" x14ac:dyDescent="0.25">
      <c r="A13833" s="31"/>
      <c r="D13833" s="30"/>
    </row>
    <row r="13834" spans="1:4" x14ac:dyDescent="0.25">
      <c r="A13834" s="31"/>
      <c r="D13834" s="30"/>
    </row>
    <row r="13835" spans="1:4" x14ac:dyDescent="0.25">
      <c r="A13835" s="31"/>
      <c r="D13835" s="30"/>
    </row>
    <row r="13836" spans="1:4" x14ac:dyDescent="0.25">
      <c r="A13836" s="31"/>
      <c r="D13836" s="30"/>
    </row>
    <row r="13837" spans="1:4" x14ac:dyDescent="0.25">
      <c r="A13837" s="31"/>
      <c r="D13837" s="30"/>
    </row>
    <row r="13838" spans="1:4" x14ac:dyDescent="0.25">
      <c r="A13838" s="31"/>
      <c r="D13838" s="30"/>
    </row>
    <row r="13839" spans="1:4" x14ac:dyDescent="0.25">
      <c r="A13839" s="31"/>
      <c r="D13839" s="30"/>
    </row>
    <row r="13840" spans="1:4" x14ac:dyDescent="0.25">
      <c r="A13840" s="31"/>
      <c r="D13840" s="30"/>
    </row>
    <row r="13841" spans="1:4" x14ac:dyDescent="0.25">
      <c r="A13841" s="31"/>
      <c r="D13841" s="30"/>
    </row>
    <row r="13842" spans="1:4" x14ac:dyDescent="0.25">
      <c r="A13842" s="31"/>
      <c r="D13842" s="30"/>
    </row>
    <row r="13843" spans="1:4" x14ac:dyDescent="0.25">
      <c r="A13843" s="31"/>
      <c r="D13843" s="30"/>
    </row>
    <row r="13844" spans="1:4" x14ac:dyDescent="0.25">
      <c r="A13844" s="31"/>
      <c r="D13844" s="30"/>
    </row>
    <row r="13845" spans="1:4" x14ac:dyDescent="0.25">
      <c r="A13845" s="31"/>
      <c r="D13845" s="30"/>
    </row>
    <row r="13846" spans="1:4" x14ac:dyDescent="0.25">
      <c r="A13846" s="31"/>
      <c r="D13846" s="30"/>
    </row>
    <row r="13847" spans="1:4" x14ac:dyDescent="0.25">
      <c r="A13847" s="31"/>
      <c r="D13847" s="30"/>
    </row>
    <row r="13848" spans="1:4" x14ac:dyDescent="0.25">
      <c r="A13848" s="31"/>
      <c r="D13848" s="30"/>
    </row>
    <row r="13849" spans="1:4" x14ac:dyDescent="0.25">
      <c r="A13849" s="31"/>
      <c r="D13849" s="30"/>
    </row>
    <row r="13850" spans="1:4" x14ac:dyDescent="0.25">
      <c r="A13850" s="31"/>
      <c r="D13850" s="30"/>
    </row>
    <row r="13851" spans="1:4" x14ac:dyDescent="0.25">
      <c r="A13851" s="31"/>
      <c r="D13851" s="30"/>
    </row>
    <row r="13852" spans="1:4" x14ac:dyDescent="0.25">
      <c r="A13852" s="31"/>
      <c r="D13852" s="30"/>
    </row>
    <row r="13853" spans="1:4" x14ac:dyDescent="0.25">
      <c r="A13853" s="31"/>
      <c r="D13853" s="30"/>
    </row>
    <row r="13854" spans="1:4" x14ac:dyDescent="0.25">
      <c r="A13854" s="31"/>
      <c r="D13854" s="30"/>
    </row>
    <row r="13855" spans="1:4" x14ac:dyDescent="0.25">
      <c r="A13855" s="31"/>
      <c r="D13855" s="30"/>
    </row>
    <row r="13856" spans="1:4" x14ac:dyDescent="0.25">
      <c r="A13856" s="31"/>
      <c r="D13856" s="30"/>
    </row>
    <row r="13857" spans="1:4" x14ac:dyDescent="0.25">
      <c r="A13857" s="31"/>
      <c r="D13857" s="30"/>
    </row>
    <row r="13858" spans="1:4" x14ac:dyDescent="0.25">
      <c r="A13858" s="31"/>
      <c r="D13858" s="30"/>
    </row>
    <row r="13859" spans="1:4" x14ac:dyDescent="0.25">
      <c r="A13859" s="31"/>
      <c r="D13859" s="30"/>
    </row>
    <row r="13860" spans="1:4" x14ac:dyDescent="0.25">
      <c r="A13860" s="31"/>
      <c r="D13860" s="30"/>
    </row>
    <row r="13861" spans="1:4" x14ac:dyDescent="0.25">
      <c r="A13861" s="31"/>
      <c r="D13861" s="30"/>
    </row>
    <row r="13862" spans="1:4" x14ac:dyDescent="0.25">
      <c r="A13862" s="31"/>
      <c r="D13862" s="30"/>
    </row>
    <row r="13863" spans="1:4" x14ac:dyDescent="0.25">
      <c r="A13863" s="31"/>
      <c r="D13863" s="30"/>
    </row>
    <row r="13864" spans="1:4" x14ac:dyDescent="0.25">
      <c r="A13864" s="31"/>
      <c r="D13864" s="30"/>
    </row>
    <row r="13865" spans="1:4" x14ac:dyDescent="0.25">
      <c r="A13865" s="31"/>
      <c r="D13865" s="30"/>
    </row>
    <row r="13866" spans="1:4" x14ac:dyDescent="0.25">
      <c r="A13866" s="31"/>
      <c r="D13866" s="30"/>
    </row>
    <row r="13867" spans="1:4" x14ac:dyDescent="0.25">
      <c r="A13867" s="31"/>
      <c r="D13867" s="30"/>
    </row>
    <row r="13868" spans="1:4" x14ac:dyDescent="0.25">
      <c r="A13868" s="31"/>
      <c r="D13868" s="30"/>
    </row>
    <row r="13869" spans="1:4" x14ac:dyDescent="0.25">
      <c r="A13869" s="31"/>
      <c r="D13869" s="30"/>
    </row>
    <row r="13870" spans="1:4" x14ac:dyDescent="0.25">
      <c r="A13870" s="31"/>
      <c r="D13870" s="30"/>
    </row>
    <row r="13871" spans="1:4" x14ac:dyDescent="0.25">
      <c r="A13871" s="31"/>
      <c r="D13871" s="30"/>
    </row>
    <row r="13872" spans="1:4" x14ac:dyDescent="0.25">
      <c r="A13872" s="31"/>
      <c r="D13872" s="30"/>
    </row>
    <row r="13873" spans="1:4" x14ac:dyDescent="0.25">
      <c r="A13873" s="31"/>
      <c r="D13873" s="30"/>
    </row>
    <row r="13874" spans="1:4" x14ac:dyDescent="0.25">
      <c r="A13874" s="31"/>
      <c r="D13874" s="30"/>
    </row>
    <row r="13875" spans="1:4" x14ac:dyDescent="0.25">
      <c r="A13875" s="31"/>
      <c r="D13875" s="30"/>
    </row>
    <row r="13876" spans="1:4" x14ac:dyDescent="0.25">
      <c r="A13876" s="31"/>
      <c r="D13876" s="30"/>
    </row>
    <row r="13877" spans="1:4" x14ac:dyDescent="0.25">
      <c r="A13877" s="31"/>
      <c r="D13877" s="30"/>
    </row>
    <row r="13878" spans="1:4" x14ac:dyDescent="0.25">
      <c r="A13878" s="31"/>
      <c r="D13878" s="30"/>
    </row>
    <row r="13879" spans="1:4" x14ac:dyDescent="0.25">
      <c r="A13879" s="31"/>
      <c r="D13879" s="30"/>
    </row>
    <row r="13880" spans="1:4" x14ac:dyDescent="0.25">
      <c r="A13880" s="31"/>
      <c r="D13880" s="30"/>
    </row>
    <row r="13881" spans="1:4" x14ac:dyDescent="0.25">
      <c r="A13881" s="31"/>
      <c r="D13881" s="30"/>
    </row>
    <row r="13882" spans="1:4" x14ac:dyDescent="0.25">
      <c r="A13882" s="31"/>
      <c r="D13882" s="30"/>
    </row>
    <row r="13883" spans="1:4" x14ac:dyDescent="0.25">
      <c r="A13883" s="31"/>
      <c r="D13883" s="30"/>
    </row>
    <row r="13884" spans="1:4" x14ac:dyDescent="0.25">
      <c r="A13884" s="31"/>
      <c r="D13884" s="30"/>
    </row>
    <row r="13885" spans="1:4" x14ac:dyDescent="0.25">
      <c r="A13885" s="31"/>
      <c r="D13885" s="30"/>
    </row>
    <row r="13886" spans="1:4" x14ac:dyDescent="0.25">
      <c r="A13886" s="31"/>
      <c r="D13886" s="30"/>
    </row>
    <row r="13887" spans="1:4" x14ac:dyDescent="0.25">
      <c r="A13887" s="31"/>
      <c r="D13887" s="30"/>
    </row>
    <row r="13888" spans="1:4" x14ac:dyDescent="0.25">
      <c r="A13888" s="31"/>
      <c r="D13888" s="30"/>
    </row>
    <row r="13889" spans="1:4" x14ac:dyDescent="0.25">
      <c r="A13889" s="31"/>
      <c r="D13889" s="30"/>
    </row>
    <row r="13890" spans="1:4" x14ac:dyDescent="0.25">
      <c r="A13890" s="31"/>
      <c r="D13890" s="30"/>
    </row>
    <row r="13891" spans="1:4" x14ac:dyDescent="0.25">
      <c r="A13891" s="31"/>
      <c r="D13891" s="30"/>
    </row>
    <row r="13892" spans="1:4" x14ac:dyDescent="0.25">
      <c r="A13892" s="31"/>
      <c r="D13892" s="30"/>
    </row>
    <row r="13893" spans="1:4" x14ac:dyDescent="0.25">
      <c r="A13893" s="31"/>
      <c r="D13893" s="30"/>
    </row>
    <row r="13894" spans="1:4" x14ac:dyDescent="0.25">
      <c r="A13894" s="31"/>
      <c r="D13894" s="30"/>
    </row>
    <row r="13895" spans="1:4" x14ac:dyDescent="0.25">
      <c r="A13895" s="31"/>
      <c r="D13895" s="30"/>
    </row>
    <row r="13896" spans="1:4" x14ac:dyDescent="0.25">
      <c r="A13896" s="31"/>
      <c r="D13896" s="30"/>
    </row>
    <row r="13897" spans="1:4" x14ac:dyDescent="0.25">
      <c r="A13897" s="31"/>
      <c r="D13897" s="30"/>
    </row>
    <row r="13898" spans="1:4" x14ac:dyDescent="0.25">
      <c r="A13898" s="31"/>
      <c r="D13898" s="30"/>
    </row>
    <row r="13899" spans="1:4" x14ac:dyDescent="0.25">
      <c r="A13899" s="31"/>
      <c r="D13899" s="30"/>
    </row>
    <row r="13900" spans="1:4" x14ac:dyDescent="0.25">
      <c r="A13900" s="31"/>
      <c r="D13900" s="30"/>
    </row>
    <row r="13901" spans="1:4" x14ac:dyDescent="0.25">
      <c r="A13901" s="31"/>
      <c r="D13901" s="30"/>
    </row>
    <row r="13902" spans="1:4" x14ac:dyDescent="0.25">
      <c r="A13902" s="31"/>
      <c r="D13902" s="30"/>
    </row>
    <row r="13903" spans="1:4" x14ac:dyDescent="0.25">
      <c r="A13903" s="31"/>
      <c r="D13903" s="30"/>
    </row>
    <row r="13904" spans="1:4" x14ac:dyDescent="0.25">
      <c r="A13904" s="31"/>
      <c r="D13904" s="30"/>
    </row>
    <row r="13905" spans="1:4" x14ac:dyDescent="0.25">
      <c r="A13905" s="31"/>
      <c r="D13905" s="30"/>
    </row>
    <row r="13906" spans="1:4" x14ac:dyDescent="0.25">
      <c r="A13906" s="31"/>
      <c r="D13906" s="30"/>
    </row>
    <row r="13907" spans="1:4" x14ac:dyDescent="0.25">
      <c r="A13907" s="31"/>
      <c r="D13907" s="30"/>
    </row>
    <row r="13908" spans="1:4" x14ac:dyDescent="0.25">
      <c r="A13908" s="31"/>
      <c r="D13908" s="30"/>
    </row>
    <row r="13909" spans="1:4" x14ac:dyDescent="0.25">
      <c r="A13909" s="31"/>
      <c r="D13909" s="30"/>
    </row>
    <row r="13910" spans="1:4" x14ac:dyDescent="0.25">
      <c r="A13910" s="31"/>
      <c r="D13910" s="30"/>
    </row>
    <row r="13911" spans="1:4" x14ac:dyDescent="0.25">
      <c r="A13911" s="31"/>
      <c r="D13911" s="30"/>
    </row>
    <row r="13912" spans="1:4" x14ac:dyDescent="0.25">
      <c r="A13912" s="31"/>
      <c r="D13912" s="30"/>
    </row>
    <row r="13913" spans="1:4" x14ac:dyDescent="0.25">
      <c r="A13913" s="31"/>
      <c r="D13913" s="30"/>
    </row>
    <row r="13914" spans="1:4" x14ac:dyDescent="0.25">
      <c r="A13914" s="31"/>
      <c r="D13914" s="30"/>
    </row>
    <row r="13915" spans="1:4" x14ac:dyDescent="0.25">
      <c r="A13915" s="31"/>
      <c r="D13915" s="30"/>
    </row>
    <row r="13916" spans="1:4" x14ac:dyDescent="0.25">
      <c r="A13916" s="31"/>
      <c r="D13916" s="30"/>
    </row>
    <row r="13917" spans="1:4" x14ac:dyDescent="0.25">
      <c r="A13917" s="31"/>
      <c r="D13917" s="30"/>
    </row>
    <row r="13918" spans="1:4" x14ac:dyDescent="0.25">
      <c r="A13918" s="31"/>
      <c r="D13918" s="30"/>
    </row>
    <row r="13919" spans="1:4" x14ac:dyDescent="0.25">
      <c r="A13919" s="31"/>
      <c r="D13919" s="30"/>
    </row>
    <row r="13920" spans="1:4" x14ac:dyDescent="0.25">
      <c r="A13920" s="31"/>
      <c r="D13920" s="30"/>
    </row>
    <row r="13921" spans="1:4" x14ac:dyDescent="0.25">
      <c r="A13921" s="31"/>
      <c r="D13921" s="30"/>
    </row>
    <row r="13922" spans="1:4" x14ac:dyDescent="0.25">
      <c r="A13922" s="31"/>
      <c r="D13922" s="30"/>
    </row>
    <row r="13923" spans="1:4" x14ac:dyDescent="0.25">
      <c r="A13923" s="31"/>
      <c r="D13923" s="30"/>
    </row>
    <row r="13924" spans="1:4" x14ac:dyDescent="0.25">
      <c r="A13924" s="31"/>
      <c r="D13924" s="30"/>
    </row>
    <row r="13925" spans="1:4" x14ac:dyDescent="0.25">
      <c r="A13925" s="31"/>
      <c r="D13925" s="30"/>
    </row>
    <row r="13926" spans="1:4" x14ac:dyDescent="0.25">
      <c r="A13926" s="31"/>
      <c r="D13926" s="30"/>
    </row>
    <row r="13927" spans="1:4" x14ac:dyDescent="0.25">
      <c r="A13927" s="31"/>
      <c r="D13927" s="30"/>
    </row>
    <row r="13928" spans="1:4" x14ac:dyDescent="0.25">
      <c r="A13928" s="31"/>
      <c r="D13928" s="30"/>
    </row>
    <row r="13929" spans="1:4" x14ac:dyDescent="0.25">
      <c r="A13929" s="31"/>
      <c r="D13929" s="30"/>
    </row>
    <row r="13930" spans="1:4" x14ac:dyDescent="0.25">
      <c r="A13930" s="31"/>
      <c r="D13930" s="30"/>
    </row>
    <row r="13931" spans="1:4" x14ac:dyDescent="0.25">
      <c r="A13931" s="31"/>
      <c r="D13931" s="30"/>
    </row>
    <row r="13932" spans="1:4" x14ac:dyDescent="0.25">
      <c r="A13932" s="31"/>
      <c r="D13932" s="30"/>
    </row>
    <row r="13933" spans="1:4" x14ac:dyDescent="0.25">
      <c r="A13933" s="31"/>
      <c r="D13933" s="30"/>
    </row>
    <row r="13934" spans="1:4" x14ac:dyDescent="0.25">
      <c r="A13934" s="31"/>
      <c r="D13934" s="30"/>
    </row>
    <row r="13935" spans="1:4" x14ac:dyDescent="0.25">
      <c r="A13935" s="31"/>
      <c r="D13935" s="30"/>
    </row>
    <row r="13936" spans="1:4" x14ac:dyDescent="0.25">
      <c r="A13936" s="31"/>
      <c r="D13936" s="30"/>
    </row>
    <row r="13937" spans="1:4" x14ac:dyDescent="0.25">
      <c r="A13937" s="31"/>
      <c r="D13937" s="30"/>
    </row>
    <row r="13938" spans="1:4" x14ac:dyDescent="0.25">
      <c r="A13938" s="31"/>
      <c r="D13938" s="30"/>
    </row>
    <row r="13939" spans="1:4" x14ac:dyDescent="0.25">
      <c r="A13939" s="31"/>
      <c r="D13939" s="30"/>
    </row>
    <row r="13940" spans="1:4" x14ac:dyDescent="0.25">
      <c r="A13940" s="31"/>
      <c r="D13940" s="30"/>
    </row>
    <row r="13941" spans="1:4" x14ac:dyDescent="0.25">
      <c r="A13941" s="31"/>
      <c r="D13941" s="30"/>
    </row>
    <row r="13942" spans="1:4" x14ac:dyDescent="0.25">
      <c r="A13942" s="31"/>
      <c r="D13942" s="30"/>
    </row>
    <row r="13943" spans="1:4" x14ac:dyDescent="0.25">
      <c r="A13943" s="31"/>
      <c r="D13943" s="30"/>
    </row>
    <row r="13944" spans="1:4" x14ac:dyDescent="0.25">
      <c r="A13944" s="31"/>
      <c r="D13944" s="30"/>
    </row>
    <row r="13945" spans="1:4" x14ac:dyDescent="0.25">
      <c r="A13945" s="31"/>
      <c r="D13945" s="30"/>
    </row>
    <row r="13946" spans="1:4" x14ac:dyDescent="0.25">
      <c r="A13946" s="31"/>
      <c r="D13946" s="30"/>
    </row>
    <row r="13947" spans="1:4" x14ac:dyDescent="0.25">
      <c r="A13947" s="31"/>
      <c r="D13947" s="30"/>
    </row>
    <row r="13948" spans="1:4" x14ac:dyDescent="0.25">
      <c r="A13948" s="31"/>
      <c r="D13948" s="30"/>
    </row>
    <row r="13949" spans="1:4" x14ac:dyDescent="0.25">
      <c r="A13949" s="31"/>
      <c r="D13949" s="30"/>
    </row>
    <row r="13950" spans="1:4" x14ac:dyDescent="0.25">
      <c r="A13950" s="31"/>
      <c r="D13950" s="30"/>
    </row>
    <row r="13951" spans="1:4" x14ac:dyDescent="0.25">
      <c r="A13951" s="31"/>
      <c r="D13951" s="30"/>
    </row>
    <row r="13952" spans="1:4" x14ac:dyDescent="0.25">
      <c r="A13952" s="31"/>
      <c r="D13952" s="30"/>
    </row>
    <row r="13953" spans="1:4" x14ac:dyDescent="0.25">
      <c r="A13953" s="31"/>
      <c r="D13953" s="30"/>
    </row>
    <row r="13954" spans="1:4" x14ac:dyDescent="0.25">
      <c r="A13954" s="31"/>
      <c r="D13954" s="30"/>
    </row>
    <row r="13955" spans="1:4" x14ac:dyDescent="0.25">
      <c r="A13955" s="31"/>
      <c r="D13955" s="30"/>
    </row>
    <row r="13956" spans="1:4" x14ac:dyDescent="0.25">
      <c r="A13956" s="31"/>
      <c r="D13956" s="30"/>
    </row>
    <row r="13957" spans="1:4" x14ac:dyDescent="0.25">
      <c r="A13957" s="31"/>
      <c r="D13957" s="30"/>
    </row>
    <row r="13958" spans="1:4" x14ac:dyDescent="0.25">
      <c r="A13958" s="31"/>
      <c r="D13958" s="30"/>
    </row>
    <row r="13959" spans="1:4" x14ac:dyDescent="0.25">
      <c r="A13959" s="31"/>
      <c r="D13959" s="30"/>
    </row>
    <row r="13960" spans="1:4" x14ac:dyDescent="0.25">
      <c r="A13960" s="31"/>
      <c r="D13960" s="30"/>
    </row>
    <row r="13961" spans="1:4" x14ac:dyDescent="0.25">
      <c r="A13961" s="31"/>
      <c r="D13961" s="30"/>
    </row>
    <row r="13962" spans="1:4" x14ac:dyDescent="0.25">
      <c r="A13962" s="31"/>
      <c r="D13962" s="30"/>
    </row>
    <row r="13963" spans="1:4" x14ac:dyDescent="0.25">
      <c r="A13963" s="31"/>
      <c r="D13963" s="30"/>
    </row>
    <row r="13964" spans="1:4" x14ac:dyDescent="0.25">
      <c r="A13964" s="31"/>
      <c r="D13964" s="30"/>
    </row>
    <row r="13965" spans="1:4" x14ac:dyDescent="0.25">
      <c r="A13965" s="31"/>
      <c r="D13965" s="30"/>
    </row>
    <row r="13966" spans="1:4" x14ac:dyDescent="0.25">
      <c r="A13966" s="31"/>
      <c r="D13966" s="30"/>
    </row>
    <row r="13967" spans="1:4" x14ac:dyDescent="0.25">
      <c r="A13967" s="31"/>
      <c r="D13967" s="30"/>
    </row>
    <row r="13968" spans="1:4" x14ac:dyDescent="0.25">
      <c r="A13968" s="31"/>
      <c r="D13968" s="30"/>
    </row>
    <row r="13969" spans="1:4" x14ac:dyDescent="0.25">
      <c r="A13969" s="31"/>
      <c r="D13969" s="30"/>
    </row>
    <row r="13970" spans="1:4" x14ac:dyDescent="0.25">
      <c r="A13970" s="31"/>
      <c r="D13970" s="30"/>
    </row>
    <row r="13971" spans="1:4" x14ac:dyDescent="0.25">
      <c r="A13971" s="31"/>
      <c r="D13971" s="30"/>
    </row>
    <row r="13972" spans="1:4" x14ac:dyDescent="0.25">
      <c r="A13972" s="31"/>
      <c r="D13972" s="30"/>
    </row>
    <row r="13973" spans="1:4" x14ac:dyDescent="0.25">
      <c r="A13973" s="31"/>
      <c r="D13973" s="30"/>
    </row>
    <row r="13974" spans="1:4" x14ac:dyDescent="0.25">
      <c r="A13974" s="31"/>
      <c r="D13974" s="30"/>
    </row>
    <row r="13975" spans="1:4" x14ac:dyDescent="0.25">
      <c r="A13975" s="31"/>
      <c r="D13975" s="30"/>
    </row>
    <row r="13976" spans="1:4" x14ac:dyDescent="0.25">
      <c r="A13976" s="31"/>
      <c r="D13976" s="30"/>
    </row>
    <row r="13977" spans="1:4" x14ac:dyDescent="0.25">
      <c r="A13977" s="31"/>
      <c r="D13977" s="30"/>
    </row>
    <row r="13978" spans="1:4" x14ac:dyDescent="0.25">
      <c r="A13978" s="31"/>
      <c r="D13978" s="30"/>
    </row>
    <row r="13979" spans="1:4" x14ac:dyDescent="0.25">
      <c r="A13979" s="31"/>
      <c r="D13979" s="30"/>
    </row>
    <row r="13980" spans="1:4" x14ac:dyDescent="0.25">
      <c r="A13980" s="31"/>
      <c r="D13980" s="30"/>
    </row>
    <row r="13981" spans="1:4" x14ac:dyDescent="0.25">
      <c r="A13981" s="31"/>
      <c r="D13981" s="30"/>
    </row>
    <row r="13982" spans="1:4" x14ac:dyDescent="0.25">
      <c r="A13982" s="31"/>
      <c r="D13982" s="30"/>
    </row>
    <row r="13983" spans="1:4" x14ac:dyDescent="0.25">
      <c r="A13983" s="31"/>
      <c r="D13983" s="30"/>
    </row>
    <row r="13984" spans="1:4" x14ac:dyDescent="0.25">
      <c r="A13984" s="31"/>
      <c r="D13984" s="30"/>
    </row>
    <row r="13985" spans="1:4" x14ac:dyDescent="0.25">
      <c r="A13985" s="31"/>
      <c r="D13985" s="30"/>
    </row>
    <row r="13986" spans="1:4" x14ac:dyDescent="0.25">
      <c r="A13986" s="31"/>
      <c r="D13986" s="30"/>
    </row>
    <row r="13987" spans="1:4" x14ac:dyDescent="0.25">
      <c r="A13987" s="31"/>
      <c r="D13987" s="30"/>
    </row>
    <row r="13988" spans="1:4" x14ac:dyDescent="0.25">
      <c r="A13988" s="31"/>
      <c r="D13988" s="30"/>
    </row>
    <row r="13989" spans="1:4" x14ac:dyDescent="0.25">
      <c r="A13989" s="31"/>
      <c r="D13989" s="30"/>
    </row>
    <row r="13990" spans="1:4" x14ac:dyDescent="0.25">
      <c r="A13990" s="31"/>
      <c r="D13990" s="30"/>
    </row>
    <row r="13991" spans="1:4" x14ac:dyDescent="0.25">
      <c r="A13991" s="31"/>
      <c r="D13991" s="30"/>
    </row>
    <row r="13992" spans="1:4" x14ac:dyDescent="0.25">
      <c r="A13992" s="31"/>
      <c r="D13992" s="30"/>
    </row>
    <row r="13993" spans="1:4" x14ac:dyDescent="0.25">
      <c r="A13993" s="31"/>
      <c r="D13993" s="30"/>
    </row>
    <row r="13994" spans="1:4" x14ac:dyDescent="0.25">
      <c r="A13994" s="31"/>
      <c r="D13994" s="30"/>
    </row>
    <row r="13995" spans="1:4" x14ac:dyDescent="0.25">
      <c r="A13995" s="31"/>
      <c r="D13995" s="30"/>
    </row>
    <row r="13996" spans="1:4" x14ac:dyDescent="0.25">
      <c r="A13996" s="31"/>
      <c r="D13996" s="30"/>
    </row>
    <row r="13997" spans="1:4" x14ac:dyDescent="0.25">
      <c r="A13997" s="31"/>
      <c r="D13997" s="30"/>
    </row>
    <row r="13998" spans="1:4" x14ac:dyDescent="0.25">
      <c r="A13998" s="31"/>
      <c r="D13998" s="30"/>
    </row>
    <row r="13999" spans="1:4" x14ac:dyDescent="0.25">
      <c r="A13999" s="31"/>
      <c r="D13999" s="30"/>
    </row>
    <row r="14000" spans="1:4" x14ac:dyDescent="0.25">
      <c r="A14000" s="31"/>
      <c r="D14000" s="30"/>
    </row>
    <row r="14001" spans="1:4" x14ac:dyDescent="0.25">
      <c r="A14001" s="31"/>
      <c r="D14001" s="30"/>
    </row>
    <row r="14002" spans="1:4" x14ac:dyDescent="0.25">
      <c r="A14002" s="31"/>
      <c r="D14002" s="30"/>
    </row>
    <row r="14003" spans="1:4" x14ac:dyDescent="0.25">
      <c r="A14003" s="31"/>
      <c r="D14003" s="30"/>
    </row>
    <row r="14004" spans="1:4" x14ac:dyDescent="0.25">
      <c r="A14004" s="31"/>
      <c r="D14004" s="30"/>
    </row>
    <row r="14005" spans="1:4" x14ac:dyDescent="0.25">
      <c r="A14005" s="31"/>
      <c r="D14005" s="30"/>
    </row>
    <row r="14006" spans="1:4" x14ac:dyDescent="0.25">
      <c r="A14006" s="31"/>
      <c r="D14006" s="30"/>
    </row>
    <row r="14007" spans="1:4" x14ac:dyDescent="0.25">
      <c r="A14007" s="31"/>
      <c r="D14007" s="30"/>
    </row>
    <row r="14008" spans="1:4" x14ac:dyDescent="0.25">
      <c r="A14008" s="31"/>
      <c r="D14008" s="30"/>
    </row>
    <row r="14009" spans="1:4" x14ac:dyDescent="0.25">
      <c r="A14009" s="31"/>
      <c r="D14009" s="30"/>
    </row>
    <row r="14010" spans="1:4" x14ac:dyDescent="0.25">
      <c r="A14010" s="31"/>
      <c r="D14010" s="30"/>
    </row>
    <row r="14011" spans="1:4" x14ac:dyDescent="0.25">
      <c r="A14011" s="31"/>
      <c r="D14011" s="30"/>
    </row>
    <row r="14012" spans="1:4" x14ac:dyDescent="0.25">
      <c r="A14012" s="31"/>
      <c r="D14012" s="30"/>
    </row>
    <row r="14013" spans="1:4" x14ac:dyDescent="0.25">
      <c r="A14013" s="31"/>
      <c r="D14013" s="30"/>
    </row>
    <row r="14014" spans="1:4" x14ac:dyDescent="0.25">
      <c r="A14014" s="31"/>
      <c r="D14014" s="30"/>
    </row>
    <row r="14015" spans="1:4" x14ac:dyDescent="0.25">
      <c r="A14015" s="31"/>
      <c r="D14015" s="30"/>
    </row>
    <row r="14016" spans="1:4" x14ac:dyDescent="0.25">
      <c r="A14016" s="31"/>
      <c r="D14016" s="30"/>
    </row>
    <row r="14017" spans="1:4" x14ac:dyDescent="0.25">
      <c r="A14017" s="31"/>
      <c r="D14017" s="30"/>
    </row>
    <row r="14018" spans="1:4" x14ac:dyDescent="0.25">
      <c r="A14018" s="31"/>
      <c r="D14018" s="30"/>
    </row>
    <row r="14019" spans="1:4" x14ac:dyDescent="0.25">
      <c r="A14019" s="31"/>
      <c r="D14019" s="30"/>
    </row>
    <row r="14020" spans="1:4" x14ac:dyDescent="0.25">
      <c r="A14020" s="31"/>
      <c r="D14020" s="30"/>
    </row>
    <row r="14021" spans="1:4" x14ac:dyDescent="0.25">
      <c r="A14021" s="31"/>
      <c r="D14021" s="30"/>
    </row>
    <row r="14022" spans="1:4" x14ac:dyDescent="0.25">
      <c r="A14022" s="31"/>
      <c r="D14022" s="30"/>
    </row>
    <row r="14023" spans="1:4" x14ac:dyDescent="0.25">
      <c r="A14023" s="31"/>
      <c r="D14023" s="30"/>
    </row>
    <row r="14024" spans="1:4" x14ac:dyDescent="0.25">
      <c r="A14024" s="31"/>
      <c r="D14024" s="30"/>
    </row>
    <row r="14025" spans="1:4" x14ac:dyDescent="0.25">
      <c r="A14025" s="31"/>
      <c r="D14025" s="30"/>
    </row>
    <row r="14026" spans="1:4" x14ac:dyDescent="0.25">
      <c r="A14026" s="31"/>
      <c r="D14026" s="30"/>
    </row>
    <row r="14027" spans="1:4" x14ac:dyDescent="0.25">
      <c r="A14027" s="31"/>
      <c r="D14027" s="30"/>
    </row>
    <row r="14028" spans="1:4" x14ac:dyDescent="0.25">
      <c r="A14028" s="31"/>
      <c r="D14028" s="30"/>
    </row>
    <row r="14029" spans="1:4" x14ac:dyDescent="0.25">
      <c r="A14029" s="31"/>
      <c r="D14029" s="30"/>
    </row>
    <row r="14030" spans="1:4" x14ac:dyDescent="0.25">
      <c r="A14030" s="31"/>
      <c r="D14030" s="30"/>
    </row>
    <row r="14031" spans="1:4" x14ac:dyDescent="0.25">
      <c r="A14031" s="31"/>
      <c r="D14031" s="30"/>
    </row>
    <row r="14032" spans="1:4" x14ac:dyDescent="0.25">
      <c r="A14032" s="31"/>
      <c r="D14032" s="30"/>
    </row>
    <row r="14033" spans="1:4" x14ac:dyDescent="0.25">
      <c r="A14033" s="31"/>
      <c r="D14033" s="30"/>
    </row>
    <row r="14034" spans="1:4" x14ac:dyDescent="0.25">
      <c r="A14034" s="31"/>
      <c r="D14034" s="30"/>
    </row>
    <row r="14035" spans="1:4" x14ac:dyDescent="0.25">
      <c r="A14035" s="31"/>
      <c r="D14035" s="30"/>
    </row>
    <row r="14036" spans="1:4" x14ac:dyDescent="0.25">
      <c r="A14036" s="31"/>
      <c r="D14036" s="30"/>
    </row>
    <row r="14037" spans="1:4" x14ac:dyDescent="0.25">
      <c r="A14037" s="31"/>
      <c r="D14037" s="30"/>
    </row>
    <row r="14038" spans="1:4" x14ac:dyDescent="0.25">
      <c r="A14038" s="31"/>
      <c r="D14038" s="30"/>
    </row>
    <row r="14039" spans="1:4" x14ac:dyDescent="0.25">
      <c r="A14039" s="31"/>
      <c r="D14039" s="30"/>
    </row>
    <row r="14040" spans="1:4" x14ac:dyDescent="0.25">
      <c r="A14040" s="31"/>
      <c r="D14040" s="30"/>
    </row>
    <row r="14041" spans="1:4" x14ac:dyDescent="0.25">
      <c r="A14041" s="31"/>
      <c r="D14041" s="30"/>
    </row>
    <row r="14042" spans="1:4" x14ac:dyDescent="0.25">
      <c r="A14042" s="31"/>
      <c r="D14042" s="30"/>
    </row>
    <row r="14043" spans="1:4" x14ac:dyDescent="0.25">
      <c r="A14043" s="31"/>
      <c r="D14043" s="30"/>
    </row>
    <row r="14044" spans="1:4" x14ac:dyDescent="0.25">
      <c r="A14044" s="31"/>
      <c r="D14044" s="30"/>
    </row>
    <row r="14045" spans="1:4" x14ac:dyDescent="0.25">
      <c r="A14045" s="31"/>
      <c r="D14045" s="30"/>
    </row>
    <row r="14046" spans="1:4" x14ac:dyDescent="0.25">
      <c r="A14046" s="31"/>
      <c r="D14046" s="30"/>
    </row>
    <row r="14047" spans="1:4" x14ac:dyDescent="0.25">
      <c r="A14047" s="31"/>
      <c r="D14047" s="30"/>
    </row>
    <row r="14048" spans="1:4" x14ac:dyDescent="0.25">
      <c r="A14048" s="31"/>
      <c r="D14048" s="30"/>
    </row>
    <row r="14049" spans="1:4" x14ac:dyDescent="0.25">
      <c r="A14049" s="31"/>
      <c r="D14049" s="30"/>
    </row>
    <row r="14050" spans="1:4" x14ac:dyDescent="0.25">
      <c r="A14050" s="31"/>
      <c r="D14050" s="30"/>
    </row>
    <row r="14051" spans="1:4" x14ac:dyDescent="0.25">
      <c r="A14051" s="31"/>
      <c r="D14051" s="30"/>
    </row>
    <row r="14052" spans="1:4" x14ac:dyDescent="0.25">
      <c r="A14052" s="31"/>
      <c r="D14052" s="30"/>
    </row>
    <row r="14053" spans="1:4" x14ac:dyDescent="0.25">
      <c r="A14053" s="31"/>
      <c r="D14053" s="30"/>
    </row>
    <row r="14054" spans="1:4" x14ac:dyDescent="0.25">
      <c r="A14054" s="31"/>
      <c r="D14054" s="30"/>
    </row>
    <row r="14055" spans="1:4" x14ac:dyDescent="0.25">
      <c r="A14055" s="31"/>
      <c r="D14055" s="30"/>
    </row>
    <row r="14056" spans="1:4" x14ac:dyDescent="0.25">
      <c r="A14056" s="31"/>
      <c r="D14056" s="30"/>
    </row>
    <row r="14057" spans="1:4" x14ac:dyDescent="0.25">
      <c r="A14057" s="31"/>
      <c r="D14057" s="30"/>
    </row>
    <row r="14058" spans="1:4" x14ac:dyDescent="0.25">
      <c r="A14058" s="31"/>
      <c r="D14058" s="30"/>
    </row>
    <row r="14059" spans="1:4" x14ac:dyDescent="0.25">
      <c r="A14059" s="31"/>
      <c r="D14059" s="30"/>
    </row>
    <row r="14060" spans="1:4" x14ac:dyDescent="0.25">
      <c r="A14060" s="31"/>
      <c r="D14060" s="30"/>
    </row>
    <row r="14061" spans="1:4" x14ac:dyDescent="0.25">
      <c r="A14061" s="31"/>
      <c r="D14061" s="30"/>
    </row>
    <row r="14062" spans="1:4" x14ac:dyDescent="0.25">
      <c r="A14062" s="31"/>
      <c r="D14062" s="30"/>
    </row>
    <row r="14063" spans="1:4" x14ac:dyDescent="0.25">
      <c r="A14063" s="31"/>
      <c r="D14063" s="30"/>
    </row>
    <row r="14064" spans="1:4" x14ac:dyDescent="0.25">
      <c r="A14064" s="31"/>
      <c r="D14064" s="30"/>
    </row>
    <row r="14065" spans="1:4" x14ac:dyDescent="0.25">
      <c r="A14065" s="31"/>
      <c r="D14065" s="30"/>
    </row>
    <row r="14066" spans="1:4" x14ac:dyDescent="0.25">
      <c r="A14066" s="31"/>
      <c r="D14066" s="30"/>
    </row>
    <row r="14067" spans="1:4" x14ac:dyDescent="0.25">
      <c r="A14067" s="31"/>
      <c r="D14067" s="30"/>
    </row>
    <row r="14068" spans="1:4" x14ac:dyDescent="0.25">
      <c r="A14068" s="31"/>
      <c r="D14068" s="30"/>
    </row>
    <row r="14069" spans="1:4" x14ac:dyDescent="0.25">
      <c r="A14069" s="31"/>
      <c r="D14069" s="30"/>
    </row>
    <row r="14070" spans="1:4" x14ac:dyDescent="0.25">
      <c r="A14070" s="31"/>
      <c r="D14070" s="30"/>
    </row>
    <row r="14071" spans="1:4" x14ac:dyDescent="0.25">
      <c r="A14071" s="31"/>
      <c r="D14071" s="30"/>
    </row>
    <row r="14072" spans="1:4" x14ac:dyDescent="0.25">
      <c r="A14072" s="31"/>
      <c r="D14072" s="30"/>
    </row>
    <row r="14073" spans="1:4" x14ac:dyDescent="0.25">
      <c r="A14073" s="31"/>
      <c r="D14073" s="30"/>
    </row>
    <row r="14074" spans="1:4" x14ac:dyDescent="0.25">
      <c r="A14074" s="31"/>
      <c r="D14074" s="30"/>
    </row>
    <row r="14075" spans="1:4" x14ac:dyDescent="0.25">
      <c r="A14075" s="31"/>
      <c r="D14075" s="30"/>
    </row>
    <row r="14076" spans="1:4" x14ac:dyDescent="0.25">
      <c r="A14076" s="31"/>
      <c r="D14076" s="30"/>
    </row>
    <row r="14077" spans="1:4" x14ac:dyDescent="0.25">
      <c r="A14077" s="31"/>
      <c r="D14077" s="30"/>
    </row>
    <row r="14078" spans="1:4" x14ac:dyDescent="0.25">
      <c r="A14078" s="31"/>
      <c r="D14078" s="30"/>
    </row>
    <row r="14079" spans="1:4" x14ac:dyDescent="0.25">
      <c r="A14079" s="31"/>
      <c r="D14079" s="30"/>
    </row>
    <row r="14080" spans="1:4" x14ac:dyDescent="0.25">
      <c r="A14080" s="31"/>
      <c r="D14080" s="30"/>
    </row>
    <row r="14081" spans="1:4" x14ac:dyDescent="0.25">
      <c r="A14081" s="31"/>
      <c r="D14081" s="30"/>
    </row>
    <row r="14082" spans="1:4" x14ac:dyDescent="0.25">
      <c r="A14082" s="31"/>
      <c r="D14082" s="30"/>
    </row>
    <row r="14083" spans="1:4" x14ac:dyDescent="0.25">
      <c r="A14083" s="31"/>
      <c r="D14083" s="30"/>
    </row>
    <row r="14084" spans="1:4" x14ac:dyDescent="0.25">
      <c r="A14084" s="31"/>
      <c r="D14084" s="30"/>
    </row>
    <row r="14085" spans="1:4" x14ac:dyDescent="0.25">
      <c r="A14085" s="31"/>
      <c r="D14085" s="30"/>
    </row>
    <row r="14086" spans="1:4" x14ac:dyDescent="0.25">
      <c r="A14086" s="31"/>
      <c r="D14086" s="30"/>
    </row>
    <row r="14087" spans="1:4" x14ac:dyDescent="0.25">
      <c r="A14087" s="31"/>
      <c r="D14087" s="30"/>
    </row>
    <row r="14088" spans="1:4" x14ac:dyDescent="0.25">
      <c r="A14088" s="31"/>
      <c r="D14088" s="30"/>
    </row>
    <row r="14089" spans="1:4" x14ac:dyDescent="0.25">
      <c r="A14089" s="31"/>
      <c r="D14089" s="30"/>
    </row>
    <row r="14090" spans="1:4" x14ac:dyDescent="0.25">
      <c r="A14090" s="31"/>
      <c r="D14090" s="30"/>
    </row>
    <row r="14091" spans="1:4" x14ac:dyDescent="0.25">
      <c r="A14091" s="31"/>
      <c r="D14091" s="30"/>
    </row>
    <row r="14092" spans="1:4" x14ac:dyDescent="0.25">
      <c r="A14092" s="31"/>
      <c r="D14092" s="30"/>
    </row>
    <row r="14093" spans="1:4" x14ac:dyDescent="0.25">
      <c r="A14093" s="31"/>
      <c r="D14093" s="30"/>
    </row>
    <row r="14094" spans="1:4" x14ac:dyDescent="0.25">
      <c r="A14094" s="31"/>
      <c r="D14094" s="30"/>
    </row>
    <row r="14095" spans="1:4" x14ac:dyDescent="0.25">
      <c r="A14095" s="31"/>
      <c r="D14095" s="30"/>
    </row>
    <row r="14096" spans="1:4" x14ac:dyDescent="0.25">
      <c r="A14096" s="31"/>
      <c r="D14096" s="30"/>
    </row>
    <row r="14097" spans="1:4" x14ac:dyDescent="0.25">
      <c r="A14097" s="31"/>
      <c r="D14097" s="30"/>
    </row>
    <row r="14098" spans="1:4" x14ac:dyDescent="0.25">
      <c r="A14098" s="31"/>
      <c r="D14098" s="30"/>
    </row>
    <row r="14099" spans="1:4" x14ac:dyDescent="0.25">
      <c r="A14099" s="31"/>
      <c r="D14099" s="30"/>
    </row>
    <row r="14100" spans="1:4" x14ac:dyDescent="0.25">
      <c r="A14100" s="31"/>
      <c r="D14100" s="30"/>
    </row>
    <row r="14101" spans="1:4" x14ac:dyDescent="0.25">
      <c r="A14101" s="31"/>
      <c r="D14101" s="30"/>
    </row>
    <row r="14102" spans="1:4" x14ac:dyDescent="0.25">
      <c r="A14102" s="31"/>
      <c r="D14102" s="30"/>
    </row>
    <row r="14103" spans="1:4" x14ac:dyDescent="0.25">
      <c r="A14103" s="31"/>
      <c r="D14103" s="30"/>
    </row>
    <row r="14104" spans="1:4" x14ac:dyDescent="0.25">
      <c r="A14104" s="31"/>
      <c r="D14104" s="30"/>
    </row>
    <row r="14105" spans="1:4" x14ac:dyDescent="0.25">
      <c r="A14105" s="31"/>
      <c r="D14105" s="30"/>
    </row>
    <row r="14106" spans="1:4" x14ac:dyDescent="0.25">
      <c r="A14106" s="31"/>
      <c r="D14106" s="30"/>
    </row>
    <row r="14107" spans="1:4" x14ac:dyDescent="0.25">
      <c r="A14107" s="31"/>
      <c r="D14107" s="30"/>
    </row>
    <row r="14108" spans="1:4" x14ac:dyDescent="0.25">
      <c r="A14108" s="31"/>
      <c r="D14108" s="30"/>
    </row>
    <row r="14109" spans="1:4" x14ac:dyDescent="0.25">
      <c r="A14109" s="31"/>
      <c r="D14109" s="30"/>
    </row>
    <row r="14110" spans="1:4" x14ac:dyDescent="0.25">
      <c r="A14110" s="31"/>
      <c r="D14110" s="30"/>
    </row>
    <row r="14111" spans="1:4" x14ac:dyDescent="0.25">
      <c r="A14111" s="31"/>
      <c r="D14111" s="30"/>
    </row>
    <row r="14112" spans="1:4" x14ac:dyDescent="0.25">
      <c r="A14112" s="31"/>
      <c r="D14112" s="30"/>
    </row>
    <row r="14113" spans="1:4" x14ac:dyDescent="0.25">
      <c r="A14113" s="31"/>
      <c r="D14113" s="30"/>
    </row>
    <row r="14114" spans="1:4" x14ac:dyDescent="0.25">
      <c r="A14114" s="31"/>
      <c r="D14114" s="30"/>
    </row>
    <row r="14115" spans="1:4" x14ac:dyDescent="0.25">
      <c r="A14115" s="31"/>
      <c r="D14115" s="30"/>
    </row>
    <row r="14116" spans="1:4" x14ac:dyDescent="0.25">
      <c r="A14116" s="31"/>
      <c r="D14116" s="30"/>
    </row>
    <row r="14117" spans="1:4" x14ac:dyDescent="0.25">
      <c r="A14117" s="31"/>
      <c r="D14117" s="30"/>
    </row>
    <row r="14118" spans="1:4" x14ac:dyDescent="0.25">
      <c r="A14118" s="31"/>
      <c r="D14118" s="30"/>
    </row>
    <row r="14119" spans="1:4" x14ac:dyDescent="0.25">
      <c r="A14119" s="31"/>
      <c r="D14119" s="30"/>
    </row>
    <row r="14120" spans="1:4" x14ac:dyDescent="0.25">
      <c r="A14120" s="31"/>
      <c r="D14120" s="30"/>
    </row>
    <row r="14121" spans="1:4" x14ac:dyDescent="0.25">
      <c r="A14121" s="31"/>
      <c r="D14121" s="30"/>
    </row>
    <row r="14122" spans="1:4" x14ac:dyDescent="0.25">
      <c r="A14122" s="31"/>
      <c r="D14122" s="30"/>
    </row>
    <row r="14123" spans="1:4" x14ac:dyDescent="0.25">
      <c r="A14123" s="31"/>
      <c r="D14123" s="30"/>
    </row>
    <row r="14124" spans="1:4" x14ac:dyDescent="0.25">
      <c r="A14124" s="31"/>
      <c r="D14124" s="30"/>
    </row>
    <row r="14125" spans="1:4" x14ac:dyDescent="0.25">
      <c r="A14125" s="31"/>
      <c r="D14125" s="30"/>
    </row>
    <row r="14126" spans="1:4" x14ac:dyDescent="0.25">
      <c r="A14126" s="31"/>
      <c r="D14126" s="30"/>
    </row>
    <row r="14127" spans="1:4" x14ac:dyDescent="0.25">
      <c r="A14127" s="31"/>
      <c r="D14127" s="30"/>
    </row>
    <row r="14128" spans="1:4" x14ac:dyDescent="0.25">
      <c r="A14128" s="31"/>
      <c r="D14128" s="30"/>
    </row>
    <row r="14129" spans="1:4" x14ac:dyDescent="0.25">
      <c r="A14129" s="31"/>
      <c r="D14129" s="30"/>
    </row>
    <row r="14130" spans="1:4" x14ac:dyDescent="0.25">
      <c r="A14130" s="31"/>
      <c r="D14130" s="30"/>
    </row>
    <row r="14131" spans="1:4" x14ac:dyDescent="0.25">
      <c r="A14131" s="31"/>
      <c r="D14131" s="30"/>
    </row>
    <row r="14132" spans="1:4" x14ac:dyDescent="0.25">
      <c r="A14132" s="31"/>
      <c r="D14132" s="30"/>
    </row>
    <row r="14133" spans="1:4" x14ac:dyDescent="0.25">
      <c r="A14133" s="31"/>
      <c r="D14133" s="30"/>
    </row>
    <row r="14134" spans="1:4" x14ac:dyDescent="0.25">
      <c r="A14134" s="31"/>
      <c r="D14134" s="30"/>
    </row>
    <row r="14135" spans="1:4" x14ac:dyDescent="0.25">
      <c r="A14135" s="31"/>
      <c r="D14135" s="30"/>
    </row>
    <row r="14136" spans="1:4" x14ac:dyDescent="0.25">
      <c r="A14136" s="31"/>
      <c r="D14136" s="30"/>
    </row>
    <row r="14137" spans="1:4" x14ac:dyDescent="0.25">
      <c r="A14137" s="31"/>
      <c r="D14137" s="30"/>
    </row>
    <row r="14138" spans="1:4" x14ac:dyDescent="0.25">
      <c r="A14138" s="31"/>
      <c r="D14138" s="30"/>
    </row>
    <row r="14139" spans="1:4" x14ac:dyDescent="0.25">
      <c r="A14139" s="31"/>
      <c r="D14139" s="30"/>
    </row>
    <row r="14140" spans="1:4" x14ac:dyDescent="0.25">
      <c r="A14140" s="31"/>
      <c r="D14140" s="30"/>
    </row>
    <row r="14141" spans="1:4" x14ac:dyDescent="0.25">
      <c r="A14141" s="31"/>
      <c r="D14141" s="30"/>
    </row>
    <row r="14142" spans="1:4" x14ac:dyDescent="0.25">
      <c r="A14142" s="31"/>
      <c r="D14142" s="30"/>
    </row>
    <row r="14143" spans="1:4" x14ac:dyDescent="0.25">
      <c r="A14143" s="31"/>
      <c r="D14143" s="30"/>
    </row>
    <row r="14144" spans="1:4" x14ac:dyDescent="0.25">
      <c r="A14144" s="31"/>
      <c r="D14144" s="30"/>
    </row>
    <row r="14145" spans="1:4" x14ac:dyDescent="0.25">
      <c r="A14145" s="31"/>
      <c r="D14145" s="30"/>
    </row>
    <row r="14146" spans="1:4" x14ac:dyDescent="0.25">
      <c r="A14146" s="31"/>
      <c r="D14146" s="30"/>
    </row>
    <row r="14147" spans="1:4" x14ac:dyDescent="0.25">
      <c r="A14147" s="31"/>
      <c r="D14147" s="30"/>
    </row>
    <row r="14148" spans="1:4" x14ac:dyDescent="0.25">
      <c r="A14148" s="31"/>
      <c r="D14148" s="30"/>
    </row>
    <row r="14149" spans="1:4" x14ac:dyDescent="0.25">
      <c r="A14149" s="31"/>
      <c r="D14149" s="30"/>
    </row>
    <row r="14150" spans="1:4" x14ac:dyDescent="0.25">
      <c r="A14150" s="31"/>
      <c r="D14150" s="30"/>
    </row>
    <row r="14151" spans="1:4" x14ac:dyDescent="0.25">
      <c r="A14151" s="31"/>
      <c r="D14151" s="30"/>
    </row>
    <row r="14152" spans="1:4" x14ac:dyDescent="0.25">
      <c r="A14152" s="31"/>
      <c r="D14152" s="30"/>
    </row>
    <row r="14153" spans="1:4" x14ac:dyDescent="0.25">
      <c r="A14153" s="31"/>
      <c r="D14153" s="30"/>
    </row>
    <row r="14154" spans="1:4" x14ac:dyDescent="0.25">
      <c r="A14154" s="31"/>
      <c r="D14154" s="30"/>
    </row>
    <row r="14155" spans="1:4" x14ac:dyDescent="0.25">
      <c r="A14155" s="31"/>
      <c r="D14155" s="30"/>
    </row>
    <row r="14156" spans="1:4" x14ac:dyDescent="0.25">
      <c r="A14156" s="31"/>
      <c r="D14156" s="30"/>
    </row>
    <row r="14157" spans="1:4" x14ac:dyDescent="0.25">
      <c r="A14157" s="31"/>
      <c r="D14157" s="30"/>
    </row>
    <row r="14158" spans="1:4" x14ac:dyDescent="0.25">
      <c r="A14158" s="31"/>
      <c r="D14158" s="30"/>
    </row>
    <row r="14159" spans="1:4" x14ac:dyDescent="0.25">
      <c r="A14159" s="31"/>
      <c r="D14159" s="30"/>
    </row>
    <row r="14160" spans="1:4" x14ac:dyDescent="0.25">
      <c r="A14160" s="31"/>
      <c r="D14160" s="30"/>
    </row>
    <row r="14161" spans="1:4" x14ac:dyDescent="0.25">
      <c r="A14161" s="31"/>
      <c r="D14161" s="30"/>
    </row>
    <row r="14162" spans="1:4" x14ac:dyDescent="0.25">
      <c r="A14162" s="31"/>
      <c r="D14162" s="30"/>
    </row>
    <row r="14163" spans="1:4" x14ac:dyDescent="0.25">
      <c r="A14163" s="31"/>
      <c r="D14163" s="30"/>
    </row>
    <row r="14164" spans="1:4" x14ac:dyDescent="0.25">
      <c r="A14164" s="31"/>
      <c r="D14164" s="30"/>
    </row>
    <row r="14165" spans="1:4" x14ac:dyDescent="0.25">
      <c r="A14165" s="31"/>
      <c r="D14165" s="30"/>
    </row>
    <row r="14166" spans="1:4" x14ac:dyDescent="0.25">
      <c r="A14166" s="31"/>
      <c r="D14166" s="30"/>
    </row>
    <row r="14167" spans="1:4" x14ac:dyDescent="0.25">
      <c r="A14167" s="31"/>
      <c r="D14167" s="30"/>
    </row>
    <row r="14168" spans="1:4" x14ac:dyDescent="0.25">
      <c r="A14168" s="31"/>
      <c r="D14168" s="30"/>
    </row>
    <row r="14169" spans="1:4" x14ac:dyDescent="0.25">
      <c r="A14169" s="31"/>
      <c r="D14169" s="30"/>
    </row>
    <row r="14170" spans="1:4" x14ac:dyDescent="0.25">
      <c r="A14170" s="31"/>
      <c r="D14170" s="30"/>
    </row>
    <row r="14171" spans="1:4" x14ac:dyDescent="0.25">
      <c r="A14171" s="31"/>
      <c r="D14171" s="30"/>
    </row>
    <row r="14172" spans="1:4" x14ac:dyDescent="0.25">
      <c r="A14172" s="31"/>
      <c r="D14172" s="30"/>
    </row>
    <row r="14173" spans="1:4" x14ac:dyDescent="0.25">
      <c r="A14173" s="31"/>
      <c r="D14173" s="30"/>
    </row>
    <row r="14174" spans="1:4" x14ac:dyDescent="0.25">
      <c r="A14174" s="31"/>
      <c r="D14174" s="30"/>
    </row>
    <row r="14175" spans="1:4" x14ac:dyDescent="0.25">
      <c r="A14175" s="31"/>
      <c r="D14175" s="30"/>
    </row>
    <row r="14176" spans="1:4" x14ac:dyDescent="0.25">
      <c r="A14176" s="31"/>
      <c r="D14176" s="30"/>
    </row>
    <row r="14177" spans="1:4" x14ac:dyDescent="0.25">
      <c r="A14177" s="31"/>
      <c r="D14177" s="30"/>
    </row>
    <row r="14178" spans="1:4" x14ac:dyDescent="0.25">
      <c r="A14178" s="31"/>
      <c r="D14178" s="30"/>
    </row>
    <row r="14179" spans="1:4" x14ac:dyDescent="0.25">
      <c r="A14179" s="31"/>
      <c r="D14179" s="30"/>
    </row>
    <row r="14180" spans="1:4" x14ac:dyDescent="0.25">
      <c r="A14180" s="31"/>
      <c r="D14180" s="30"/>
    </row>
    <row r="14181" spans="1:4" x14ac:dyDescent="0.25">
      <c r="A14181" s="31"/>
      <c r="D14181" s="30"/>
    </row>
    <row r="14182" spans="1:4" x14ac:dyDescent="0.25">
      <c r="A14182" s="31"/>
      <c r="D14182" s="30"/>
    </row>
    <row r="14183" spans="1:4" x14ac:dyDescent="0.25">
      <c r="A14183" s="31"/>
      <c r="D14183" s="30"/>
    </row>
    <row r="14184" spans="1:4" x14ac:dyDescent="0.25">
      <c r="A14184" s="31"/>
      <c r="D14184" s="30"/>
    </row>
    <row r="14185" spans="1:4" x14ac:dyDescent="0.25">
      <c r="A14185" s="31"/>
      <c r="D14185" s="30"/>
    </row>
    <row r="14186" spans="1:4" x14ac:dyDescent="0.25">
      <c r="A14186" s="31"/>
      <c r="D14186" s="30"/>
    </row>
    <row r="14187" spans="1:4" x14ac:dyDescent="0.25">
      <c r="A14187" s="31"/>
      <c r="D14187" s="30"/>
    </row>
    <row r="14188" spans="1:4" x14ac:dyDescent="0.25">
      <c r="A14188" s="31"/>
      <c r="D14188" s="30"/>
    </row>
    <row r="14189" spans="1:4" x14ac:dyDescent="0.25">
      <c r="A14189" s="31"/>
      <c r="D14189" s="30"/>
    </row>
    <row r="14190" spans="1:4" x14ac:dyDescent="0.25">
      <c r="A14190" s="31"/>
      <c r="D14190" s="30"/>
    </row>
    <row r="14191" spans="1:4" x14ac:dyDescent="0.25">
      <c r="A14191" s="31"/>
      <c r="D14191" s="30"/>
    </row>
    <row r="14192" spans="1:4" x14ac:dyDescent="0.25">
      <c r="A14192" s="31"/>
      <c r="D14192" s="30"/>
    </row>
    <row r="14193" spans="1:4" x14ac:dyDescent="0.25">
      <c r="A14193" s="31"/>
      <c r="D14193" s="30"/>
    </row>
    <row r="14194" spans="1:4" x14ac:dyDescent="0.25">
      <c r="A14194" s="31"/>
      <c r="D14194" s="30"/>
    </row>
    <row r="14195" spans="1:4" x14ac:dyDescent="0.25">
      <c r="A14195" s="31"/>
      <c r="D14195" s="30"/>
    </row>
    <row r="14196" spans="1:4" x14ac:dyDescent="0.25">
      <c r="A14196" s="31"/>
      <c r="D14196" s="30"/>
    </row>
    <row r="14197" spans="1:4" x14ac:dyDescent="0.25">
      <c r="A14197" s="31"/>
      <c r="D14197" s="30"/>
    </row>
    <row r="14198" spans="1:4" x14ac:dyDescent="0.25">
      <c r="A14198" s="31"/>
      <c r="D14198" s="30"/>
    </row>
    <row r="14199" spans="1:4" x14ac:dyDescent="0.25">
      <c r="A14199" s="31"/>
      <c r="D14199" s="30"/>
    </row>
    <row r="14200" spans="1:4" x14ac:dyDescent="0.25">
      <c r="A14200" s="31"/>
      <c r="D14200" s="30"/>
    </row>
    <row r="14201" spans="1:4" x14ac:dyDescent="0.25">
      <c r="A14201" s="31"/>
      <c r="D14201" s="30"/>
    </row>
    <row r="14202" spans="1:4" x14ac:dyDescent="0.25">
      <c r="A14202" s="31"/>
      <c r="D14202" s="30"/>
    </row>
    <row r="14203" spans="1:4" x14ac:dyDescent="0.25">
      <c r="A14203" s="31"/>
      <c r="D14203" s="30"/>
    </row>
    <row r="14204" spans="1:4" x14ac:dyDescent="0.25">
      <c r="A14204" s="31"/>
      <c r="D14204" s="30"/>
    </row>
    <row r="14205" spans="1:4" x14ac:dyDescent="0.25">
      <c r="A14205" s="31"/>
      <c r="D14205" s="30"/>
    </row>
    <row r="14206" spans="1:4" x14ac:dyDescent="0.25">
      <c r="A14206" s="31"/>
      <c r="D14206" s="30"/>
    </row>
    <row r="14207" spans="1:4" x14ac:dyDescent="0.25">
      <c r="A14207" s="31"/>
      <c r="D14207" s="30"/>
    </row>
    <row r="14208" spans="1:4" x14ac:dyDescent="0.25">
      <c r="A14208" s="31"/>
      <c r="D14208" s="30"/>
    </row>
    <row r="14209" spans="1:4" x14ac:dyDescent="0.25">
      <c r="A14209" s="31"/>
      <c r="D14209" s="30"/>
    </row>
    <row r="14210" spans="1:4" x14ac:dyDescent="0.25">
      <c r="A14210" s="31"/>
      <c r="D14210" s="30"/>
    </row>
    <row r="14211" spans="1:4" x14ac:dyDescent="0.25">
      <c r="A14211" s="31"/>
      <c r="D14211" s="30"/>
    </row>
    <row r="14212" spans="1:4" x14ac:dyDescent="0.25">
      <c r="A14212" s="31"/>
      <c r="D14212" s="30"/>
    </row>
    <row r="14213" spans="1:4" x14ac:dyDescent="0.25">
      <c r="A14213" s="31"/>
      <c r="D14213" s="30"/>
    </row>
    <row r="14214" spans="1:4" x14ac:dyDescent="0.25">
      <c r="A14214" s="31"/>
      <c r="D14214" s="30"/>
    </row>
    <row r="14215" spans="1:4" x14ac:dyDescent="0.25">
      <c r="A14215" s="31"/>
      <c r="D14215" s="30"/>
    </row>
    <row r="14216" spans="1:4" x14ac:dyDescent="0.25">
      <c r="A14216" s="31"/>
      <c r="D14216" s="30"/>
    </row>
    <row r="14217" spans="1:4" x14ac:dyDescent="0.25">
      <c r="A14217" s="31"/>
      <c r="D14217" s="30"/>
    </row>
    <row r="14218" spans="1:4" x14ac:dyDescent="0.25">
      <c r="A14218" s="31"/>
      <c r="D14218" s="30"/>
    </row>
    <row r="14219" spans="1:4" x14ac:dyDescent="0.25">
      <c r="A14219" s="31"/>
      <c r="D14219" s="30"/>
    </row>
    <row r="14220" spans="1:4" x14ac:dyDescent="0.25">
      <c r="A14220" s="31"/>
      <c r="D14220" s="30"/>
    </row>
    <row r="14221" spans="1:4" x14ac:dyDescent="0.25">
      <c r="A14221" s="31"/>
      <c r="D14221" s="30"/>
    </row>
    <row r="14222" spans="1:4" x14ac:dyDescent="0.25">
      <c r="A14222" s="31"/>
      <c r="D14222" s="30"/>
    </row>
    <row r="14223" spans="1:4" x14ac:dyDescent="0.25">
      <c r="A14223" s="31"/>
      <c r="D14223" s="30"/>
    </row>
    <row r="14224" spans="1:4" x14ac:dyDescent="0.25">
      <c r="A14224" s="31"/>
      <c r="D14224" s="30"/>
    </row>
    <row r="14225" spans="1:4" x14ac:dyDescent="0.25">
      <c r="A14225" s="31"/>
      <c r="D14225" s="30"/>
    </row>
    <row r="14226" spans="1:4" x14ac:dyDescent="0.25">
      <c r="A14226" s="31"/>
      <c r="D14226" s="30"/>
    </row>
    <row r="14227" spans="1:4" x14ac:dyDescent="0.25">
      <c r="A14227" s="31"/>
      <c r="D14227" s="30"/>
    </row>
    <row r="14228" spans="1:4" x14ac:dyDescent="0.25">
      <c r="A14228" s="31"/>
      <c r="D14228" s="30"/>
    </row>
    <row r="14229" spans="1:4" x14ac:dyDescent="0.25">
      <c r="A14229" s="31"/>
      <c r="D14229" s="30"/>
    </row>
    <row r="14230" spans="1:4" x14ac:dyDescent="0.25">
      <c r="A14230" s="31"/>
      <c r="D14230" s="30"/>
    </row>
    <row r="14231" spans="1:4" x14ac:dyDescent="0.25">
      <c r="A14231" s="31"/>
      <c r="D14231" s="30"/>
    </row>
    <row r="14232" spans="1:4" x14ac:dyDescent="0.25">
      <c r="A14232" s="31"/>
      <c r="D14232" s="30"/>
    </row>
    <row r="14233" spans="1:4" x14ac:dyDescent="0.25">
      <c r="A14233" s="31"/>
      <c r="D14233" s="30"/>
    </row>
    <row r="14234" spans="1:4" x14ac:dyDescent="0.25">
      <c r="A14234" s="31"/>
      <c r="D14234" s="30"/>
    </row>
    <row r="14235" spans="1:4" x14ac:dyDescent="0.25">
      <c r="A14235" s="31"/>
      <c r="D14235" s="30"/>
    </row>
    <row r="14236" spans="1:4" x14ac:dyDescent="0.25">
      <c r="A14236" s="31"/>
      <c r="D14236" s="30"/>
    </row>
    <row r="14237" spans="1:4" x14ac:dyDescent="0.25">
      <c r="A14237" s="31"/>
      <c r="D14237" s="30"/>
    </row>
    <row r="14238" spans="1:4" x14ac:dyDescent="0.25">
      <c r="A14238" s="31"/>
      <c r="D14238" s="30"/>
    </row>
    <row r="14239" spans="1:4" x14ac:dyDescent="0.25">
      <c r="A14239" s="31"/>
      <c r="D14239" s="30"/>
    </row>
    <row r="14240" spans="1:4" x14ac:dyDescent="0.25">
      <c r="A14240" s="31"/>
      <c r="D14240" s="30"/>
    </row>
    <row r="14241" spans="1:4" x14ac:dyDescent="0.25">
      <c r="A14241" s="31"/>
      <c r="D14241" s="30"/>
    </row>
    <row r="14242" spans="1:4" x14ac:dyDescent="0.25">
      <c r="A14242" s="31"/>
      <c r="D14242" s="30"/>
    </row>
    <row r="14243" spans="1:4" x14ac:dyDescent="0.25">
      <c r="A14243" s="31"/>
      <c r="D14243" s="30"/>
    </row>
    <row r="14244" spans="1:4" x14ac:dyDescent="0.25">
      <c r="A14244" s="31"/>
      <c r="D14244" s="30"/>
    </row>
    <row r="14245" spans="1:4" x14ac:dyDescent="0.25">
      <c r="A14245" s="31"/>
      <c r="D14245" s="30"/>
    </row>
    <row r="14246" spans="1:4" x14ac:dyDescent="0.25">
      <c r="A14246" s="31"/>
      <c r="D14246" s="30"/>
    </row>
    <row r="14247" spans="1:4" x14ac:dyDescent="0.25">
      <c r="A14247" s="31"/>
      <c r="D14247" s="30"/>
    </row>
    <row r="14248" spans="1:4" x14ac:dyDescent="0.25">
      <c r="A14248" s="31"/>
      <c r="D14248" s="30"/>
    </row>
    <row r="14249" spans="1:4" x14ac:dyDescent="0.25">
      <c r="A14249" s="31"/>
      <c r="D14249" s="30"/>
    </row>
    <row r="14250" spans="1:4" x14ac:dyDescent="0.25">
      <c r="A14250" s="31"/>
      <c r="D14250" s="30"/>
    </row>
    <row r="14251" spans="1:4" x14ac:dyDescent="0.25">
      <c r="A14251" s="31"/>
      <c r="D14251" s="30"/>
    </row>
    <row r="14252" spans="1:4" x14ac:dyDescent="0.25">
      <c r="A14252" s="31"/>
      <c r="D14252" s="30"/>
    </row>
    <row r="14253" spans="1:4" x14ac:dyDescent="0.25">
      <c r="A14253" s="31"/>
      <c r="D14253" s="30"/>
    </row>
    <row r="14254" spans="1:4" x14ac:dyDescent="0.25">
      <c r="A14254" s="31"/>
      <c r="D14254" s="30"/>
    </row>
    <row r="14255" spans="1:4" x14ac:dyDescent="0.25">
      <c r="A14255" s="31"/>
      <c r="D14255" s="30"/>
    </row>
    <row r="14256" spans="1:4" x14ac:dyDescent="0.25">
      <c r="A14256" s="31"/>
      <c r="D14256" s="30"/>
    </row>
    <row r="14257" spans="1:4" x14ac:dyDescent="0.25">
      <c r="A14257" s="31"/>
      <c r="D14257" s="30"/>
    </row>
    <row r="14258" spans="1:4" x14ac:dyDescent="0.25">
      <c r="A14258" s="31"/>
      <c r="D14258" s="30"/>
    </row>
    <row r="14259" spans="1:4" x14ac:dyDescent="0.25">
      <c r="A14259" s="31"/>
      <c r="D14259" s="30"/>
    </row>
    <row r="14260" spans="1:4" x14ac:dyDescent="0.25">
      <c r="A14260" s="31"/>
      <c r="D14260" s="30"/>
    </row>
    <row r="14261" spans="1:4" x14ac:dyDescent="0.25">
      <c r="A14261" s="31"/>
      <c r="D14261" s="30"/>
    </row>
    <row r="14262" spans="1:4" x14ac:dyDescent="0.25">
      <c r="A14262" s="31"/>
      <c r="D14262" s="30"/>
    </row>
    <row r="14263" spans="1:4" x14ac:dyDescent="0.25">
      <c r="A14263" s="31"/>
      <c r="D14263" s="30"/>
    </row>
    <row r="14264" spans="1:4" x14ac:dyDescent="0.25">
      <c r="A14264" s="31"/>
      <c r="D14264" s="30"/>
    </row>
    <row r="14265" spans="1:4" x14ac:dyDescent="0.25">
      <c r="A14265" s="31"/>
      <c r="D14265" s="30"/>
    </row>
    <row r="14266" spans="1:4" x14ac:dyDescent="0.25">
      <c r="A14266" s="31"/>
      <c r="D14266" s="30"/>
    </row>
    <row r="14267" spans="1:4" x14ac:dyDescent="0.25">
      <c r="A14267" s="31"/>
      <c r="D14267" s="30"/>
    </row>
    <row r="14268" spans="1:4" x14ac:dyDescent="0.25">
      <c r="A14268" s="31"/>
      <c r="D14268" s="30"/>
    </row>
    <row r="14269" spans="1:4" x14ac:dyDescent="0.25">
      <c r="A14269" s="31"/>
      <c r="D14269" s="30"/>
    </row>
    <row r="14270" spans="1:4" x14ac:dyDescent="0.25">
      <c r="A14270" s="31"/>
      <c r="D14270" s="30"/>
    </row>
    <row r="14271" spans="1:4" x14ac:dyDescent="0.25">
      <c r="A14271" s="31"/>
      <c r="D14271" s="30"/>
    </row>
    <row r="14272" spans="1:4" x14ac:dyDescent="0.25">
      <c r="A14272" s="31"/>
      <c r="D14272" s="30"/>
    </row>
    <row r="14273" spans="1:4" x14ac:dyDescent="0.25">
      <c r="A14273" s="31"/>
      <c r="D14273" s="30"/>
    </row>
    <row r="14274" spans="1:4" x14ac:dyDescent="0.25">
      <c r="A14274" s="31"/>
      <c r="D14274" s="30"/>
    </row>
    <row r="14275" spans="1:4" x14ac:dyDescent="0.25">
      <c r="A14275" s="31"/>
      <c r="D14275" s="30"/>
    </row>
    <row r="14276" spans="1:4" x14ac:dyDescent="0.25">
      <c r="A14276" s="31"/>
      <c r="D14276" s="30"/>
    </row>
    <row r="14277" spans="1:4" x14ac:dyDescent="0.25">
      <c r="A14277" s="31"/>
      <c r="D14277" s="30"/>
    </row>
    <row r="14278" spans="1:4" x14ac:dyDescent="0.25">
      <c r="A14278" s="31"/>
      <c r="D14278" s="30"/>
    </row>
    <row r="14279" spans="1:4" x14ac:dyDescent="0.25">
      <c r="A14279" s="31"/>
      <c r="D14279" s="30"/>
    </row>
    <row r="14280" spans="1:4" x14ac:dyDescent="0.25">
      <c r="A14280" s="31"/>
      <c r="D14280" s="30"/>
    </row>
    <row r="14281" spans="1:4" x14ac:dyDescent="0.25">
      <c r="A14281" s="31"/>
      <c r="D14281" s="30"/>
    </row>
    <row r="14282" spans="1:4" x14ac:dyDescent="0.25">
      <c r="A14282" s="31"/>
      <c r="D14282" s="30"/>
    </row>
    <row r="14283" spans="1:4" x14ac:dyDescent="0.25">
      <c r="A14283" s="31"/>
      <c r="D14283" s="30"/>
    </row>
    <row r="14284" spans="1:4" x14ac:dyDescent="0.25">
      <c r="A14284" s="31"/>
      <c r="D14284" s="30"/>
    </row>
    <row r="14285" spans="1:4" x14ac:dyDescent="0.25">
      <c r="A14285" s="31"/>
      <c r="D14285" s="30"/>
    </row>
    <row r="14286" spans="1:4" x14ac:dyDescent="0.25">
      <c r="A14286" s="31"/>
      <c r="D14286" s="30"/>
    </row>
    <row r="14287" spans="1:4" x14ac:dyDescent="0.25">
      <c r="A14287" s="31"/>
      <c r="D14287" s="30"/>
    </row>
    <row r="14288" spans="1:4" x14ac:dyDescent="0.25">
      <c r="A14288" s="31"/>
      <c r="D14288" s="30"/>
    </row>
    <row r="14289" spans="1:4" x14ac:dyDescent="0.25">
      <c r="A14289" s="31"/>
      <c r="D14289" s="30"/>
    </row>
    <row r="14290" spans="1:4" x14ac:dyDescent="0.25">
      <c r="A14290" s="31"/>
      <c r="D14290" s="30"/>
    </row>
    <row r="14291" spans="1:4" x14ac:dyDescent="0.25">
      <c r="A14291" s="31"/>
      <c r="D14291" s="30"/>
    </row>
    <row r="14292" spans="1:4" x14ac:dyDescent="0.25">
      <c r="A14292" s="31"/>
      <c r="D14292" s="30"/>
    </row>
    <row r="14293" spans="1:4" x14ac:dyDescent="0.25">
      <c r="A14293" s="31"/>
      <c r="D14293" s="30"/>
    </row>
    <row r="14294" spans="1:4" x14ac:dyDescent="0.25">
      <c r="A14294" s="31"/>
      <c r="D14294" s="30"/>
    </row>
    <row r="14295" spans="1:4" x14ac:dyDescent="0.25">
      <c r="A14295" s="31"/>
      <c r="D14295" s="30"/>
    </row>
    <row r="14296" spans="1:4" x14ac:dyDescent="0.25">
      <c r="A14296" s="31"/>
      <c r="D14296" s="30"/>
    </row>
    <row r="14297" spans="1:4" x14ac:dyDescent="0.25">
      <c r="A14297" s="31"/>
      <c r="D14297" s="30"/>
    </row>
    <row r="14298" spans="1:4" x14ac:dyDescent="0.25">
      <c r="A14298" s="31"/>
      <c r="D14298" s="30"/>
    </row>
    <row r="14299" spans="1:4" x14ac:dyDescent="0.25">
      <c r="A14299" s="31"/>
      <c r="D14299" s="30"/>
    </row>
    <row r="14300" spans="1:4" x14ac:dyDescent="0.25">
      <c r="A14300" s="31"/>
      <c r="D14300" s="30"/>
    </row>
    <row r="14301" spans="1:4" x14ac:dyDescent="0.25">
      <c r="A14301" s="31"/>
      <c r="D14301" s="30"/>
    </row>
    <row r="14302" spans="1:4" x14ac:dyDescent="0.25">
      <c r="A14302" s="31"/>
      <c r="D14302" s="30"/>
    </row>
    <row r="14303" spans="1:4" x14ac:dyDescent="0.25">
      <c r="A14303" s="31"/>
      <c r="D14303" s="30"/>
    </row>
    <row r="14304" spans="1:4" x14ac:dyDescent="0.25">
      <c r="A14304" s="31"/>
      <c r="D14304" s="30"/>
    </row>
    <row r="14305" spans="1:4" x14ac:dyDescent="0.25">
      <c r="A14305" s="31"/>
      <c r="D14305" s="30"/>
    </row>
    <row r="14306" spans="1:4" x14ac:dyDescent="0.25">
      <c r="A14306" s="31"/>
      <c r="D14306" s="30"/>
    </row>
    <row r="14307" spans="1:4" x14ac:dyDescent="0.25">
      <c r="A14307" s="31"/>
      <c r="D14307" s="30"/>
    </row>
    <row r="14308" spans="1:4" x14ac:dyDescent="0.25">
      <c r="A14308" s="31"/>
      <c r="D14308" s="30"/>
    </row>
    <row r="14309" spans="1:4" x14ac:dyDescent="0.25">
      <c r="A14309" s="31"/>
      <c r="D14309" s="30"/>
    </row>
    <row r="14310" spans="1:4" x14ac:dyDescent="0.25">
      <c r="A14310" s="31"/>
      <c r="D14310" s="30"/>
    </row>
    <row r="14311" spans="1:4" x14ac:dyDescent="0.25">
      <c r="A14311" s="31"/>
      <c r="D14311" s="30"/>
    </row>
    <row r="14312" spans="1:4" x14ac:dyDescent="0.25">
      <c r="A14312" s="31"/>
      <c r="D14312" s="30"/>
    </row>
    <row r="14313" spans="1:4" x14ac:dyDescent="0.25">
      <c r="A14313" s="31"/>
      <c r="D14313" s="30"/>
    </row>
    <row r="14314" spans="1:4" x14ac:dyDescent="0.25">
      <c r="A14314" s="31"/>
      <c r="D14314" s="30"/>
    </row>
    <row r="14315" spans="1:4" x14ac:dyDescent="0.25">
      <c r="A14315" s="31"/>
      <c r="D14315" s="30"/>
    </row>
    <row r="14316" spans="1:4" x14ac:dyDescent="0.25">
      <c r="A14316" s="31"/>
      <c r="D14316" s="30"/>
    </row>
    <row r="14317" spans="1:4" x14ac:dyDescent="0.25">
      <c r="A14317" s="31"/>
      <c r="D14317" s="30"/>
    </row>
    <row r="14318" spans="1:4" x14ac:dyDescent="0.25">
      <c r="A14318" s="31"/>
      <c r="D14318" s="30"/>
    </row>
    <row r="14319" spans="1:4" x14ac:dyDescent="0.25">
      <c r="A14319" s="31"/>
      <c r="D14319" s="30"/>
    </row>
    <row r="14320" spans="1:4" x14ac:dyDescent="0.25">
      <c r="A14320" s="31"/>
      <c r="D14320" s="30"/>
    </row>
    <row r="14321" spans="1:4" x14ac:dyDescent="0.25">
      <c r="A14321" s="31"/>
      <c r="D14321" s="30"/>
    </row>
    <row r="14322" spans="1:4" x14ac:dyDescent="0.25">
      <c r="A14322" s="31"/>
      <c r="D14322" s="30"/>
    </row>
    <row r="14323" spans="1:4" x14ac:dyDescent="0.25">
      <c r="A14323" s="31"/>
      <c r="D14323" s="30"/>
    </row>
    <row r="14324" spans="1:4" x14ac:dyDescent="0.25">
      <c r="A14324" s="31"/>
      <c r="D14324" s="30"/>
    </row>
    <row r="14325" spans="1:4" x14ac:dyDescent="0.25">
      <c r="A14325" s="31"/>
      <c r="D14325" s="30"/>
    </row>
    <row r="14326" spans="1:4" x14ac:dyDescent="0.25">
      <c r="A14326" s="31"/>
      <c r="D14326" s="30"/>
    </row>
    <row r="14327" spans="1:4" x14ac:dyDescent="0.25">
      <c r="A14327" s="31"/>
      <c r="D14327" s="30"/>
    </row>
    <row r="14328" spans="1:4" x14ac:dyDescent="0.25">
      <c r="A14328" s="31"/>
      <c r="D14328" s="30"/>
    </row>
    <row r="14329" spans="1:4" x14ac:dyDescent="0.25">
      <c r="A14329" s="31"/>
      <c r="D14329" s="30"/>
    </row>
    <row r="14330" spans="1:4" x14ac:dyDescent="0.25">
      <c r="A14330" s="31"/>
      <c r="D14330" s="30"/>
    </row>
    <row r="14331" spans="1:4" x14ac:dyDescent="0.25">
      <c r="A14331" s="31"/>
      <c r="D14331" s="30"/>
    </row>
    <row r="14332" spans="1:4" x14ac:dyDescent="0.25">
      <c r="A14332" s="31"/>
      <c r="D14332" s="30"/>
    </row>
    <row r="14333" spans="1:4" x14ac:dyDescent="0.25">
      <c r="A14333" s="31"/>
      <c r="D14333" s="30"/>
    </row>
    <row r="14334" spans="1:4" x14ac:dyDescent="0.25">
      <c r="A14334" s="31"/>
      <c r="D14334" s="30"/>
    </row>
    <row r="14335" spans="1:4" x14ac:dyDescent="0.25">
      <c r="A14335" s="31"/>
      <c r="D14335" s="30"/>
    </row>
    <row r="14336" spans="1:4" x14ac:dyDescent="0.25">
      <c r="A14336" s="31"/>
      <c r="D14336" s="30"/>
    </row>
    <row r="14337" spans="1:4" x14ac:dyDescent="0.25">
      <c r="A14337" s="31"/>
      <c r="D14337" s="30"/>
    </row>
    <row r="14338" spans="1:4" x14ac:dyDescent="0.25">
      <c r="A14338" s="31"/>
      <c r="D14338" s="30"/>
    </row>
    <row r="14339" spans="1:4" x14ac:dyDescent="0.25">
      <c r="A14339" s="31"/>
      <c r="D14339" s="30"/>
    </row>
    <row r="14340" spans="1:4" x14ac:dyDescent="0.25">
      <c r="A14340" s="31"/>
      <c r="D14340" s="30"/>
    </row>
    <row r="14341" spans="1:4" x14ac:dyDescent="0.25">
      <c r="A14341" s="31"/>
      <c r="D14341" s="30"/>
    </row>
    <row r="14342" spans="1:4" x14ac:dyDescent="0.25">
      <c r="A14342" s="31"/>
      <c r="D14342" s="30"/>
    </row>
    <row r="14343" spans="1:4" x14ac:dyDescent="0.25">
      <c r="A14343" s="31"/>
      <c r="D14343" s="30"/>
    </row>
    <row r="14344" spans="1:4" x14ac:dyDescent="0.25">
      <c r="A14344" s="31"/>
      <c r="D14344" s="30"/>
    </row>
    <row r="14345" spans="1:4" x14ac:dyDescent="0.25">
      <c r="A14345" s="31"/>
      <c r="D14345" s="30"/>
    </row>
    <row r="14346" spans="1:4" x14ac:dyDescent="0.25">
      <c r="A14346" s="31"/>
      <c r="D14346" s="30"/>
    </row>
    <row r="14347" spans="1:4" x14ac:dyDescent="0.25">
      <c r="A14347" s="31"/>
      <c r="D14347" s="30"/>
    </row>
    <row r="14348" spans="1:4" x14ac:dyDescent="0.25">
      <c r="A14348" s="31"/>
      <c r="D14348" s="30"/>
    </row>
    <row r="14349" spans="1:4" x14ac:dyDescent="0.25">
      <c r="A14349" s="31"/>
      <c r="D14349" s="30"/>
    </row>
    <row r="14350" spans="1:4" x14ac:dyDescent="0.25">
      <c r="A14350" s="31"/>
      <c r="D14350" s="30"/>
    </row>
    <row r="14351" spans="1:4" x14ac:dyDescent="0.25">
      <c r="A14351" s="31"/>
      <c r="D14351" s="30"/>
    </row>
    <row r="14352" spans="1:4" x14ac:dyDescent="0.25">
      <c r="A14352" s="31"/>
      <c r="D14352" s="30"/>
    </row>
    <row r="14353" spans="1:4" x14ac:dyDescent="0.25">
      <c r="A14353" s="31"/>
      <c r="D14353" s="30"/>
    </row>
    <row r="14354" spans="1:4" x14ac:dyDescent="0.25">
      <c r="A14354" s="31"/>
      <c r="D14354" s="30"/>
    </row>
    <row r="14355" spans="1:4" x14ac:dyDescent="0.25">
      <c r="A14355" s="31"/>
      <c r="D14355" s="30"/>
    </row>
    <row r="14356" spans="1:4" x14ac:dyDescent="0.25">
      <c r="A14356" s="31"/>
      <c r="D14356" s="30"/>
    </row>
    <row r="14357" spans="1:4" x14ac:dyDescent="0.25">
      <c r="A14357" s="31"/>
      <c r="D14357" s="30"/>
    </row>
    <row r="14358" spans="1:4" x14ac:dyDescent="0.25">
      <c r="A14358" s="31"/>
      <c r="D14358" s="30"/>
    </row>
    <row r="14359" spans="1:4" x14ac:dyDescent="0.25">
      <c r="A14359" s="31"/>
      <c r="D14359" s="30"/>
    </row>
    <row r="14360" spans="1:4" x14ac:dyDescent="0.25">
      <c r="A14360" s="31"/>
      <c r="D14360" s="30"/>
    </row>
    <row r="14361" spans="1:4" x14ac:dyDescent="0.25">
      <c r="A14361" s="31"/>
      <c r="D14361" s="30"/>
    </row>
    <row r="14362" spans="1:4" x14ac:dyDescent="0.25">
      <c r="A14362" s="31"/>
      <c r="D14362" s="30"/>
    </row>
    <row r="14363" spans="1:4" x14ac:dyDescent="0.25">
      <c r="A14363" s="31"/>
      <c r="D14363" s="30"/>
    </row>
    <row r="14364" spans="1:4" x14ac:dyDescent="0.25">
      <c r="A14364" s="31"/>
      <c r="D14364" s="30"/>
    </row>
    <row r="14365" spans="1:4" x14ac:dyDescent="0.25">
      <c r="A14365" s="31"/>
      <c r="D14365" s="30"/>
    </row>
    <row r="14366" spans="1:4" x14ac:dyDescent="0.25">
      <c r="A14366" s="31"/>
      <c r="D14366" s="30"/>
    </row>
    <row r="14367" spans="1:4" x14ac:dyDescent="0.25">
      <c r="A14367" s="31"/>
      <c r="D14367" s="30"/>
    </row>
    <row r="14368" spans="1:4" x14ac:dyDescent="0.25">
      <c r="A14368" s="31"/>
      <c r="D14368" s="30"/>
    </row>
    <row r="14369" spans="1:4" x14ac:dyDescent="0.25">
      <c r="A14369" s="31"/>
      <c r="D14369" s="30"/>
    </row>
    <row r="14370" spans="1:4" x14ac:dyDescent="0.25">
      <c r="A14370" s="31"/>
      <c r="D14370" s="30"/>
    </row>
    <row r="14371" spans="1:4" x14ac:dyDescent="0.25">
      <c r="A14371" s="31"/>
      <c r="D14371" s="30"/>
    </row>
    <row r="14372" spans="1:4" x14ac:dyDescent="0.25">
      <c r="A14372" s="31"/>
      <c r="D14372" s="30"/>
    </row>
    <row r="14373" spans="1:4" x14ac:dyDescent="0.25">
      <c r="A14373" s="31"/>
      <c r="D14373" s="30"/>
    </row>
    <row r="14374" spans="1:4" x14ac:dyDescent="0.25">
      <c r="A14374" s="31"/>
      <c r="D14374" s="30"/>
    </row>
    <row r="14375" spans="1:4" x14ac:dyDescent="0.25">
      <c r="A14375" s="31"/>
      <c r="D14375" s="30"/>
    </row>
    <row r="14376" spans="1:4" x14ac:dyDescent="0.25">
      <c r="A14376" s="31"/>
      <c r="D14376" s="30"/>
    </row>
    <row r="14377" spans="1:4" x14ac:dyDescent="0.25">
      <c r="A14377" s="31"/>
      <c r="D14377" s="30"/>
    </row>
    <row r="14378" spans="1:4" x14ac:dyDescent="0.25">
      <c r="A14378" s="31"/>
      <c r="D14378" s="30"/>
    </row>
    <row r="14379" spans="1:4" x14ac:dyDescent="0.25">
      <c r="A14379" s="31"/>
      <c r="D14379" s="30"/>
    </row>
    <row r="14380" spans="1:4" x14ac:dyDescent="0.25">
      <c r="A14380" s="31"/>
      <c r="D14380" s="30"/>
    </row>
    <row r="14381" spans="1:4" x14ac:dyDescent="0.25">
      <c r="A14381" s="31"/>
      <c r="D14381" s="30"/>
    </row>
    <row r="14382" spans="1:4" x14ac:dyDescent="0.25">
      <c r="A14382" s="31"/>
      <c r="D14382" s="30"/>
    </row>
    <row r="14383" spans="1:4" x14ac:dyDescent="0.25">
      <c r="A14383" s="31"/>
      <c r="D14383" s="30"/>
    </row>
    <row r="14384" spans="1:4" x14ac:dyDescent="0.25">
      <c r="A14384" s="31"/>
      <c r="D14384" s="30"/>
    </row>
    <row r="14385" spans="1:4" x14ac:dyDescent="0.25">
      <c r="A14385" s="31"/>
      <c r="D14385" s="30"/>
    </row>
    <row r="14386" spans="1:4" x14ac:dyDescent="0.25">
      <c r="A14386" s="31"/>
      <c r="D14386" s="30"/>
    </row>
    <row r="14387" spans="1:4" x14ac:dyDescent="0.25">
      <c r="A14387" s="31"/>
      <c r="D14387" s="30"/>
    </row>
    <row r="14388" spans="1:4" x14ac:dyDescent="0.25">
      <c r="A14388" s="31"/>
      <c r="D14388" s="30"/>
    </row>
    <row r="14389" spans="1:4" x14ac:dyDescent="0.25">
      <c r="A14389" s="31"/>
      <c r="D14389" s="30"/>
    </row>
    <row r="14390" spans="1:4" x14ac:dyDescent="0.25">
      <c r="A14390" s="31"/>
      <c r="D14390" s="30"/>
    </row>
    <row r="14391" spans="1:4" x14ac:dyDescent="0.25">
      <c r="A14391" s="31"/>
      <c r="D14391" s="30"/>
    </row>
    <row r="14392" spans="1:4" x14ac:dyDescent="0.25">
      <c r="A14392" s="31"/>
      <c r="D14392" s="30"/>
    </row>
    <row r="14393" spans="1:4" x14ac:dyDescent="0.25">
      <c r="A14393" s="31"/>
      <c r="D14393" s="30"/>
    </row>
    <row r="14394" spans="1:4" x14ac:dyDescent="0.25">
      <c r="A14394" s="31"/>
      <c r="D14394" s="30"/>
    </row>
    <row r="14395" spans="1:4" x14ac:dyDescent="0.25">
      <c r="A14395" s="31"/>
      <c r="D14395" s="30"/>
    </row>
    <row r="14396" spans="1:4" x14ac:dyDescent="0.25">
      <c r="A14396" s="31"/>
      <c r="D14396" s="30"/>
    </row>
    <row r="14397" spans="1:4" x14ac:dyDescent="0.25">
      <c r="A14397" s="31"/>
      <c r="D14397" s="30"/>
    </row>
    <row r="14398" spans="1:4" x14ac:dyDescent="0.25">
      <c r="A14398" s="31"/>
      <c r="D14398" s="30"/>
    </row>
    <row r="14399" spans="1:4" x14ac:dyDescent="0.25">
      <c r="A14399" s="31"/>
      <c r="D14399" s="30"/>
    </row>
    <row r="14400" spans="1:4" x14ac:dyDescent="0.25">
      <c r="A14400" s="31"/>
      <c r="D14400" s="30"/>
    </row>
    <row r="14401" spans="1:4" x14ac:dyDescent="0.25">
      <c r="A14401" s="31"/>
      <c r="D14401" s="30"/>
    </row>
    <row r="14402" spans="1:4" x14ac:dyDescent="0.25">
      <c r="A14402" s="31"/>
      <c r="D14402" s="30"/>
    </row>
    <row r="14403" spans="1:4" x14ac:dyDescent="0.25">
      <c r="A14403" s="31"/>
      <c r="D14403" s="30"/>
    </row>
    <row r="14404" spans="1:4" x14ac:dyDescent="0.25">
      <c r="A14404" s="31"/>
      <c r="D14404" s="30"/>
    </row>
    <row r="14405" spans="1:4" x14ac:dyDescent="0.25">
      <c r="A14405" s="31"/>
      <c r="D14405" s="30"/>
    </row>
    <row r="14406" spans="1:4" x14ac:dyDescent="0.25">
      <c r="A14406" s="31"/>
      <c r="D14406" s="30"/>
    </row>
    <row r="14407" spans="1:4" x14ac:dyDescent="0.25">
      <c r="A14407" s="31"/>
      <c r="D14407" s="30"/>
    </row>
    <row r="14408" spans="1:4" x14ac:dyDescent="0.25">
      <c r="A14408" s="31"/>
      <c r="D14408" s="30"/>
    </row>
    <row r="14409" spans="1:4" x14ac:dyDescent="0.25">
      <c r="A14409" s="31"/>
      <c r="D14409" s="30"/>
    </row>
    <row r="14410" spans="1:4" x14ac:dyDescent="0.25">
      <c r="A14410" s="31"/>
      <c r="D14410" s="30"/>
    </row>
    <row r="14411" spans="1:4" x14ac:dyDescent="0.25">
      <c r="A14411" s="31"/>
      <c r="D14411" s="30"/>
    </row>
    <row r="14412" spans="1:4" x14ac:dyDescent="0.25">
      <c r="A14412" s="31"/>
      <c r="D14412" s="30"/>
    </row>
    <row r="14413" spans="1:4" x14ac:dyDescent="0.25">
      <c r="A14413" s="31"/>
      <c r="D14413" s="30"/>
    </row>
    <row r="14414" spans="1:4" x14ac:dyDescent="0.25">
      <c r="A14414" s="31"/>
      <c r="D14414" s="30"/>
    </row>
    <row r="14415" spans="1:4" x14ac:dyDescent="0.25">
      <c r="A14415" s="31"/>
      <c r="D14415" s="30"/>
    </row>
    <row r="14416" spans="1:4" x14ac:dyDescent="0.25">
      <c r="A14416" s="31"/>
      <c r="D14416" s="30"/>
    </row>
    <row r="14417" spans="1:4" x14ac:dyDescent="0.25">
      <c r="A14417" s="31"/>
      <c r="D14417" s="30"/>
    </row>
    <row r="14418" spans="1:4" x14ac:dyDescent="0.25">
      <c r="A14418" s="31"/>
      <c r="D14418" s="30"/>
    </row>
    <row r="14419" spans="1:4" x14ac:dyDescent="0.25">
      <c r="A14419" s="31"/>
      <c r="D14419" s="30"/>
    </row>
    <row r="14420" spans="1:4" x14ac:dyDescent="0.25">
      <c r="A14420" s="31"/>
      <c r="D14420" s="30"/>
    </row>
    <row r="14421" spans="1:4" x14ac:dyDescent="0.25">
      <c r="A14421" s="31"/>
      <c r="D14421" s="30"/>
    </row>
    <row r="14422" spans="1:4" x14ac:dyDescent="0.25">
      <c r="A14422" s="31"/>
      <c r="D14422" s="30"/>
    </row>
    <row r="14423" spans="1:4" x14ac:dyDescent="0.25">
      <c r="A14423" s="31"/>
      <c r="D14423" s="30"/>
    </row>
    <row r="14424" spans="1:4" x14ac:dyDescent="0.25">
      <c r="A14424" s="31"/>
      <c r="D14424" s="30"/>
    </row>
    <row r="14425" spans="1:4" x14ac:dyDescent="0.25">
      <c r="A14425" s="31"/>
      <c r="D14425" s="30"/>
    </row>
    <row r="14426" spans="1:4" x14ac:dyDescent="0.25">
      <c r="A14426" s="31"/>
      <c r="D14426" s="30"/>
    </row>
    <row r="14427" spans="1:4" x14ac:dyDescent="0.25">
      <c r="A14427" s="31"/>
      <c r="D14427" s="30"/>
    </row>
    <row r="14428" spans="1:4" x14ac:dyDescent="0.25">
      <c r="A14428" s="31"/>
      <c r="D14428" s="30"/>
    </row>
    <row r="14429" spans="1:4" x14ac:dyDescent="0.25">
      <c r="A14429" s="31"/>
      <c r="D14429" s="30"/>
    </row>
    <row r="14430" spans="1:4" x14ac:dyDescent="0.25">
      <c r="A14430" s="31"/>
      <c r="D14430" s="30"/>
    </row>
    <row r="14431" spans="1:4" x14ac:dyDescent="0.25">
      <c r="A14431" s="31"/>
      <c r="D14431" s="30"/>
    </row>
    <row r="14432" spans="1:4" x14ac:dyDescent="0.25">
      <c r="A14432" s="31"/>
      <c r="D14432" s="30"/>
    </row>
    <row r="14433" spans="1:4" x14ac:dyDescent="0.25">
      <c r="A14433" s="31"/>
      <c r="D14433" s="30"/>
    </row>
    <row r="14434" spans="1:4" x14ac:dyDescent="0.25">
      <c r="A14434" s="31"/>
      <c r="D14434" s="30"/>
    </row>
    <row r="14435" spans="1:4" x14ac:dyDescent="0.25">
      <c r="A14435" s="31"/>
      <c r="D14435" s="30"/>
    </row>
    <row r="14436" spans="1:4" x14ac:dyDescent="0.25">
      <c r="A14436" s="31"/>
      <c r="D14436" s="30"/>
    </row>
    <row r="14437" spans="1:4" x14ac:dyDescent="0.25">
      <c r="A14437" s="31"/>
      <c r="D14437" s="30"/>
    </row>
    <row r="14438" spans="1:4" x14ac:dyDescent="0.25">
      <c r="A14438" s="31"/>
      <c r="D14438" s="30"/>
    </row>
    <row r="14439" spans="1:4" x14ac:dyDescent="0.25">
      <c r="A14439" s="31"/>
      <c r="D14439" s="30"/>
    </row>
    <row r="14440" spans="1:4" x14ac:dyDescent="0.25">
      <c r="A14440" s="31"/>
      <c r="D14440" s="30"/>
    </row>
    <row r="14441" spans="1:4" x14ac:dyDescent="0.25">
      <c r="A14441" s="31"/>
      <c r="D14441" s="30"/>
    </row>
    <row r="14442" spans="1:4" x14ac:dyDescent="0.25">
      <c r="A14442" s="31"/>
      <c r="D14442" s="30"/>
    </row>
    <row r="14443" spans="1:4" x14ac:dyDescent="0.25">
      <c r="A14443" s="31"/>
      <c r="D14443" s="30"/>
    </row>
    <row r="14444" spans="1:4" x14ac:dyDescent="0.25">
      <c r="A14444" s="31"/>
      <c r="D14444" s="30"/>
    </row>
    <row r="14445" spans="1:4" x14ac:dyDescent="0.25">
      <c r="A14445" s="31"/>
      <c r="D14445" s="30"/>
    </row>
    <row r="14446" spans="1:4" x14ac:dyDescent="0.25">
      <c r="A14446" s="31"/>
      <c r="D14446" s="30"/>
    </row>
    <row r="14447" spans="1:4" x14ac:dyDescent="0.25">
      <c r="A14447" s="31"/>
      <c r="D14447" s="30"/>
    </row>
    <row r="14448" spans="1:4" x14ac:dyDescent="0.25">
      <c r="A14448" s="31"/>
      <c r="D14448" s="30"/>
    </row>
    <row r="14449" spans="1:4" x14ac:dyDescent="0.25">
      <c r="A14449" s="31"/>
      <c r="D14449" s="30"/>
    </row>
    <row r="14450" spans="1:4" x14ac:dyDescent="0.25">
      <c r="A14450" s="31"/>
      <c r="D14450" s="30"/>
    </row>
    <row r="14451" spans="1:4" x14ac:dyDescent="0.25">
      <c r="A14451" s="31"/>
      <c r="D14451" s="30"/>
    </row>
    <row r="14452" spans="1:4" x14ac:dyDescent="0.25">
      <c r="A14452" s="31"/>
      <c r="D14452" s="30"/>
    </row>
    <row r="14453" spans="1:4" x14ac:dyDescent="0.25">
      <c r="A14453" s="31"/>
      <c r="D14453" s="30"/>
    </row>
    <row r="14454" spans="1:4" x14ac:dyDescent="0.25">
      <c r="A14454" s="31"/>
      <c r="D14454" s="30"/>
    </row>
    <row r="14455" spans="1:4" x14ac:dyDescent="0.25">
      <c r="A14455" s="31"/>
      <c r="D14455" s="30"/>
    </row>
    <row r="14456" spans="1:4" x14ac:dyDescent="0.25">
      <c r="A14456" s="31"/>
      <c r="D14456" s="30"/>
    </row>
    <row r="14457" spans="1:4" x14ac:dyDescent="0.25">
      <c r="A14457" s="31"/>
      <c r="D14457" s="30"/>
    </row>
    <row r="14458" spans="1:4" x14ac:dyDescent="0.25">
      <c r="A14458" s="31"/>
      <c r="D14458" s="30"/>
    </row>
    <row r="14459" spans="1:4" x14ac:dyDescent="0.25">
      <c r="A14459" s="31"/>
      <c r="D14459" s="30"/>
    </row>
    <row r="14460" spans="1:4" x14ac:dyDescent="0.25">
      <c r="A14460" s="31"/>
      <c r="D14460" s="30"/>
    </row>
    <row r="14461" spans="1:4" x14ac:dyDescent="0.25">
      <c r="A14461" s="31"/>
      <c r="D14461" s="30"/>
    </row>
    <row r="14462" spans="1:4" x14ac:dyDescent="0.25">
      <c r="A14462" s="31"/>
      <c r="D14462" s="30"/>
    </row>
    <row r="14463" spans="1:4" x14ac:dyDescent="0.25">
      <c r="A14463" s="31"/>
      <c r="D14463" s="30"/>
    </row>
    <row r="14464" spans="1:4" x14ac:dyDescent="0.25">
      <c r="A14464" s="31"/>
      <c r="D14464" s="30"/>
    </row>
    <row r="14465" spans="1:4" x14ac:dyDescent="0.25">
      <c r="A14465" s="31"/>
      <c r="D14465" s="30"/>
    </row>
    <row r="14466" spans="1:4" x14ac:dyDescent="0.25">
      <c r="A14466" s="31"/>
      <c r="D14466" s="30"/>
    </row>
    <row r="14467" spans="1:4" x14ac:dyDescent="0.25">
      <c r="A14467" s="31"/>
      <c r="D14467" s="30"/>
    </row>
    <row r="14468" spans="1:4" x14ac:dyDescent="0.25">
      <c r="A14468" s="31"/>
      <c r="D14468" s="30"/>
    </row>
    <row r="14469" spans="1:4" x14ac:dyDescent="0.25">
      <c r="A14469" s="31"/>
      <c r="D14469" s="30"/>
    </row>
    <row r="14470" spans="1:4" x14ac:dyDescent="0.25">
      <c r="A14470" s="31"/>
      <c r="D14470" s="30"/>
    </row>
    <row r="14471" spans="1:4" x14ac:dyDescent="0.25">
      <c r="A14471" s="31"/>
      <c r="D14471" s="30"/>
    </row>
    <row r="14472" spans="1:4" x14ac:dyDescent="0.25">
      <c r="A14472" s="31"/>
      <c r="D14472" s="30"/>
    </row>
    <row r="14473" spans="1:4" x14ac:dyDescent="0.25">
      <c r="A14473" s="31"/>
      <c r="D14473" s="30"/>
    </row>
    <row r="14474" spans="1:4" x14ac:dyDescent="0.25">
      <c r="A14474" s="31"/>
      <c r="D14474" s="30"/>
    </row>
    <row r="14475" spans="1:4" x14ac:dyDescent="0.25">
      <c r="A14475" s="31"/>
      <c r="D14475" s="30"/>
    </row>
    <row r="14476" spans="1:4" x14ac:dyDescent="0.25">
      <c r="A14476" s="31"/>
      <c r="D14476" s="30"/>
    </row>
    <row r="14477" spans="1:4" x14ac:dyDescent="0.25">
      <c r="A14477" s="31"/>
      <c r="D14477" s="30"/>
    </row>
    <row r="14478" spans="1:4" x14ac:dyDescent="0.25">
      <c r="A14478" s="31"/>
      <c r="D14478" s="30"/>
    </row>
    <row r="14479" spans="1:4" x14ac:dyDescent="0.25">
      <c r="A14479" s="31"/>
      <c r="D14479" s="30"/>
    </row>
    <row r="14480" spans="1:4" x14ac:dyDescent="0.25">
      <c r="A14480" s="31"/>
      <c r="D14480" s="30"/>
    </row>
    <row r="14481" spans="1:4" x14ac:dyDescent="0.25">
      <c r="A14481" s="31"/>
      <c r="D14481" s="30"/>
    </row>
    <row r="14482" spans="1:4" x14ac:dyDescent="0.25">
      <c r="A14482" s="31"/>
      <c r="D14482" s="30"/>
    </row>
    <row r="14483" spans="1:4" x14ac:dyDescent="0.25">
      <c r="A14483" s="31"/>
      <c r="D14483" s="30"/>
    </row>
    <row r="14484" spans="1:4" x14ac:dyDescent="0.25">
      <c r="A14484" s="31"/>
      <c r="D14484" s="30"/>
    </row>
    <row r="14485" spans="1:4" x14ac:dyDescent="0.25">
      <c r="A14485" s="31"/>
      <c r="D14485" s="30"/>
    </row>
    <row r="14486" spans="1:4" x14ac:dyDescent="0.25">
      <c r="A14486" s="31"/>
      <c r="D14486" s="30"/>
    </row>
    <row r="14487" spans="1:4" x14ac:dyDescent="0.25">
      <c r="A14487" s="31"/>
      <c r="D14487" s="30"/>
    </row>
    <row r="14488" spans="1:4" x14ac:dyDescent="0.25">
      <c r="A14488" s="31"/>
      <c r="D14488" s="30"/>
    </row>
    <row r="14489" spans="1:4" x14ac:dyDescent="0.25">
      <c r="A14489" s="31"/>
      <c r="D14489" s="30"/>
    </row>
    <row r="14490" spans="1:4" x14ac:dyDescent="0.25">
      <c r="A14490" s="31"/>
      <c r="D14490" s="30"/>
    </row>
    <row r="14491" spans="1:4" x14ac:dyDescent="0.25">
      <c r="A14491" s="31"/>
      <c r="D14491" s="30"/>
    </row>
    <row r="14492" spans="1:4" x14ac:dyDescent="0.25">
      <c r="A14492" s="31"/>
      <c r="D14492" s="30"/>
    </row>
    <row r="14493" spans="1:4" x14ac:dyDescent="0.25">
      <c r="A14493" s="31"/>
      <c r="D14493" s="30"/>
    </row>
    <row r="14494" spans="1:4" x14ac:dyDescent="0.25">
      <c r="A14494" s="31"/>
      <c r="D14494" s="30"/>
    </row>
    <row r="14495" spans="1:4" x14ac:dyDescent="0.25">
      <c r="A14495" s="31"/>
      <c r="D14495" s="30"/>
    </row>
    <row r="14496" spans="1:4" x14ac:dyDescent="0.25">
      <c r="A14496" s="31"/>
      <c r="D14496" s="30"/>
    </row>
    <row r="14497" spans="1:4" x14ac:dyDescent="0.25">
      <c r="A14497" s="31"/>
      <c r="D14497" s="30"/>
    </row>
    <row r="14498" spans="1:4" x14ac:dyDescent="0.25">
      <c r="A14498" s="31"/>
      <c r="D14498" s="30"/>
    </row>
    <row r="14499" spans="1:4" x14ac:dyDescent="0.25">
      <c r="A14499" s="31"/>
      <c r="D14499" s="30"/>
    </row>
    <row r="14500" spans="1:4" x14ac:dyDescent="0.25">
      <c r="A14500" s="31"/>
      <c r="D14500" s="30"/>
    </row>
    <row r="14501" spans="1:4" x14ac:dyDescent="0.25">
      <c r="A14501" s="31"/>
      <c r="D14501" s="30"/>
    </row>
    <row r="14502" spans="1:4" x14ac:dyDescent="0.25">
      <c r="A14502" s="31"/>
      <c r="D14502" s="30"/>
    </row>
    <row r="14503" spans="1:4" x14ac:dyDescent="0.25">
      <c r="A14503" s="31"/>
      <c r="D14503" s="30"/>
    </row>
    <row r="14504" spans="1:4" x14ac:dyDescent="0.25">
      <c r="A14504" s="31"/>
      <c r="D14504" s="30"/>
    </row>
    <row r="14505" spans="1:4" x14ac:dyDescent="0.25">
      <c r="A14505" s="31"/>
      <c r="D14505" s="30"/>
    </row>
    <row r="14506" spans="1:4" x14ac:dyDescent="0.25">
      <c r="A14506" s="31"/>
      <c r="D14506" s="30"/>
    </row>
    <row r="14507" spans="1:4" x14ac:dyDescent="0.25">
      <c r="A14507" s="31"/>
      <c r="D14507" s="30"/>
    </row>
    <row r="14508" spans="1:4" x14ac:dyDescent="0.25">
      <c r="A14508" s="31"/>
      <c r="D14508" s="30"/>
    </row>
    <row r="14509" spans="1:4" x14ac:dyDescent="0.25">
      <c r="A14509" s="31"/>
      <c r="D14509" s="30"/>
    </row>
    <row r="14510" spans="1:4" x14ac:dyDescent="0.25">
      <c r="A14510" s="31"/>
      <c r="D14510" s="30"/>
    </row>
    <row r="14511" spans="1:4" x14ac:dyDescent="0.25">
      <c r="A14511" s="31"/>
      <c r="D14511" s="30"/>
    </row>
    <row r="14512" spans="1:4" x14ac:dyDescent="0.25">
      <c r="A14512" s="31"/>
      <c r="D14512" s="30"/>
    </row>
    <row r="14513" spans="1:4" x14ac:dyDescent="0.25">
      <c r="A14513" s="31"/>
      <c r="D14513" s="30"/>
    </row>
    <row r="14514" spans="1:4" x14ac:dyDescent="0.25">
      <c r="A14514" s="31"/>
      <c r="D14514" s="30"/>
    </row>
    <row r="14515" spans="1:4" x14ac:dyDescent="0.25">
      <c r="A14515" s="31"/>
      <c r="D14515" s="30"/>
    </row>
    <row r="14516" spans="1:4" x14ac:dyDescent="0.25">
      <c r="A14516" s="31"/>
      <c r="D14516" s="30"/>
    </row>
    <row r="14517" spans="1:4" x14ac:dyDescent="0.25">
      <c r="A14517" s="31"/>
      <c r="D14517" s="30"/>
    </row>
    <row r="14518" spans="1:4" x14ac:dyDescent="0.25">
      <c r="A14518" s="31"/>
      <c r="D14518" s="30"/>
    </row>
    <row r="14519" spans="1:4" x14ac:dyDescent="0.25">
      <c r="A14519" s="31"/>
      <c r="D14519" s="30"/>
    </row>
    <row r="14520" spans="1:4" x14ac:dyDescent="0.25">
      <c r="A14520" s="31"/>
      <c r="D14520" s="30"/>
    </row>
    <row r="14521" spans="1:4" x14ac:dyDescent="0.25">
      <c r="A14521" s="31"/>
      <c r="D14521" s="30"/>
    </row>
    <row r="14522" spans="1:4" x14ac:dyDescent="0.25">
      <c r="A14522" s="31"/>
      <c r="D14522" s="30"/>
    </row>
    <row r="14523" spans="1:4" x14ac:dyDescent="0.25">
      <c r="A14523" s="31"/>
      <c r="D14523" s="30"/>
    </row>
    <row r="14524" spans="1:4" x14ac:dyDescent="0.25">
      <c r="A14524" s="31"/>
      <c r="D14524" s="30"/>
    </row>
    <row r="14525" spans="1:4" x14ac:dyDescent="0.25">
      <c r="A14525" s="31"/>
      <c r="D14525" s="30"/>
    </row>
    <row r="14526" spans="1:4" x14ac:dyDescent="0.25">
      <c r="A14526" s="31"/>
      <c r="D14526" s="30"/>
    </row>
    <row r="14527" spans="1:4" x14ac:dyDescent="0.25">
      <c r="A14527" s="31"/>
      <c r="D14527" s="30"/>
    </row>
    <row r="14528" spans="1:4" x14ac:dyDescent="0.25">
      <c r="A14528" s="31"/>
      <c r="D14528" s="30"/>
    </row>
    <row r="14529" spans="1:4" x14ac:dyDescent="0.25">
      <c r="A14529" s="31"/>
      <c r="D14529" s="30"/>
    </row>
    <row r="14530" spans="1:4" x14ac:dyDescent="0.25">
      <c r="A14530" s="31"/>
      <c r="D14530" s="30"/>
    </row>
    <row r="14531" spans="1:4" x14ac:dyDescent="0.25">
      <c r="A14531" s="31"/>
      <c r="D14531" s="30"/>
    </row>
    <row r="14532" spans="1:4" x14ac:dyDescent="0.25">
      <c r="A14532" s="31"/>
      <c r="D14532" s="30"/>
    </row>
    <row r="14533" spans="1:4" x14ac:dyDescent="0.25">
      <c r="A14533" s="31"/>
      <c r="D14533" s="30"/>
    </row>
    <row r="14534" spans="1:4" x14ac:dyDescent="0.25">
      <c r="A14534" s="31"/>
      <c r="D14534" s="30"/>
    </row>
    <row r="14535" spans="1:4" x14ac:dyDescent="0.25">
      <c r="A14535" s="31"/>
      <c r="D14535" s="30"/>
    </row>
    <row r="14536" spans="1:4" x14ac:dyDescent="0.25">
      <c r="A14536" s="31"/>
      <c r="D14536" s="30"/>
    </row>
    <row r="14537" spans="1:4" x14ac:dyDescent="0.25">
      <c r="A14537" s="31"/>
      <c r="D14537" s="30"/>
    </row>
    <row r="14538" spans="1:4" x14ac:dyDescent="0.25">
      <c r="A14538" s="31"/>
      <c r="D14538" s="30"/>
    </row>
    <row r="14539" spans="1:4" x14ac:dyDescent="0.25">
      <c r="A14539" s="31"/>
      <c r="D14539" s="30"/>
    </row>
    <row r="14540" spans="1:4" x14ac:dyDescent="0.25">
      <c r="A14540" s="31"/>
      <c r="D14540" s="30"/>
    </row>
    <row r="14541" spans="1:4" x14ac:dyDescent="0.25">
      <c r="A14541" s="31"/>
      <c r="D14541" s="30"/>
    </row>
    <row r="14542" spans="1:4" x14ac:dyDescent="0.25">
      <c r="A14542" s="31"/>
      <c r="D14542" s="30"/>
    </row>
    <row r="14543" spans="1:4" x14ac:dyDescent="0.25">
      <c r="A14543" s="31"/>
      <c r="D14543" s="30"/>
    </row>
    <row r="14544" spans="1:4" x14ac:dyDescent="0.25">
      <c r="A14544" s="31"/>
      <c r="D14544" s="30"/>
    </row>
    <row r="14545" spans="1:4" x14ac:dyDescent="0.25">
      <c r="A14545" s="31"/>
      <c r="D14545" s="30"/>
    </row>
    <row r="14546" spans="1:4" x14ac:dyDescent="0.25">
      <c r="A14546" s="31"/>
      <c r="D14546" s="30"/>
    </row>
    <row r="14547" spans="1:4" x14ac:dyDescent="0.25">
      <c r="A14547" s="31"/>
      <c r="D14547" s="30"/>
    </row>
    <row r="14548" spans="1:4" x14ac:dyDescent="0.25">
      <c r="A14548" s="31"/>
      <c r="D14548" s="30"/>
    </row>
    <row r="14549" spans="1:4" x14ac:dyDescent="0.25">
      <c r="A14549" s="31"/>
      <c r="D14549" s="30"/>
    </row>
    <row r="14550" spans="1:4" x14ac:dyDescent="0.25">
      <c r="A14550" s="31"/>
      <c r="D14550" s="30"/>
    </row>
    <row r="14551" spans="1:4" x14ac:dyDescent="0.25">
      <c r="A14551" s="31"/>
      <c r="D14551" s="30"/>
    </row>
    <row r="14552" spans="1:4" x14ac:dyDescent="0.25">
      <c r="A14552" s="31"/>
      <c r="D14552" s="30"/>
    </row>
    <row r="14553" spans="1:4" x14ac:dyDescent="0.25">
      <c r="A14553" s="31"/>
      <c r="D14553" s="30"/>
    </row>
    <row r="14554" spans="1:4" x14ac:dyDescent="0.25">
      <c r="A14554" s="31"/>
      <c r="D14554" s="30"/>
    </row>
    <row r="14555" spans="1:4" x14ac:dyDescent="0.25">
      <c r="A14555" s="31"/>
      <c r="D14555" s="30"/>
    </row>
    <row r="14556" spans="1:4" x14ac:dyDescent="0.25">
      <c r="A14556" s="31"/>
      <c r="D14556" s="30"/>
    </row>
    <row r="14557" spans="1:4" x14ac:dyDescent="0.25">
      <c r="A14557" s="31"/>
      <c r="D14557" s="30"/>
    </row>
    <row r="14558" spans="1:4" x14ac:dyDescent="0.25">
      <c r="A14558" s="31"/>
      <c r="D14558" s="30"/>
    </row>
    <row r="14559" spans="1:4" x14ac:dyDescent="0.25">
      <c r="A14559" s="31"/>
      <c r="D14559" s="30"/>
    </row>
    <row r="14560" spans="1:4" x14ac:dyDescent="0.25">
      <c r="A14560" s="31"/>
      <c r="D14560" s="30"/>
    </row>
    <row r="14561" spans="1:4" x14ac:dyDescent="0.25">
      <c r="A14561" s="31"/>
      <c r="D14561" s="30"/>
    </row>
    <row r="14562" spans="1:4" x14ac:dyDescent="0.25">
      <c r="A14562" s="31"/>
      <c r="D14562" s="30"/>
    </row>
    <row r="14563" spans="1:4" x14ac:dyDescent="0.25">
      <c r="A14563" s="31"/>
      <c r="D14563" s="30"/>
    </row>
    <row r="14564" spans="1:4" x14ac:dyDescent="0.25">
      <c r="A14564" s="31"/>
      <c r="D14564" s="30"/>
    </row>
    <row r="14565" spans="1:4" x14ac:dyDescent="0.25">
      <c r="A14565" s="31"/>
      <c r="D14565" s="30"/>
    </row>
    <row r="14566" spans="1:4" x14ac:dyDescent="0.25">
      <c r="A14566" s="31"/>
      <c r="D14566" s="30"/>
    </row>
    <row r="14567" spans="1:4" x14ac:dyDescent="0.25">
      <c r="A14567" s="31"/>
      <c r="D14567" s="30"/>
    </row>
    <row r="14568" spans="1:4" x14ac:dyDescent="0.25">
      <c r="A14568" s="31"/>
      <c r="D14568" s="30"/>
    </row>
    <row r="14569" spans="1:4" x14ac:dyDescent="0.25">
      <c r="A14569" s="31"/>
      <c r="D14569" s="30"/>
    </row>
    <row r="14570" spans="1:4" x14ac:dyDescent="0.25">
      <c r="A14570" s="31"/>
      <c r="D14570" s="30"/>
    </row>
    <row r="14571" spans="1:4" x14ac:dyDescent="0.25">
      <c r="A14571" s="31"/>
      <c r="D14571" s="30"/>
    </row>
    <row r="14572" spans="1:4" x14ac:dyDescent="0.25">
      <c r="A14572" s="31"/>
      <c r="D14572" s="30"/>
    </row>
    <row r="14573" spans="1:4" x14ac:dyDescent="0.25">
      <c r="A14573" s="31"/>
      <c r="D14573" s="30"/>
    </row>
    <row r="14574" spans="1:4" x14ac:dyDescent="0.25">
      <c r="A14574" s="31"/>
      <c r="D14574" s="30"/>
    </row>
    <row r="14575" spans="1:4" x14ac:dyDescent="0.25">
      <c r="A14575" s="31"/>
      <c r="D14575" s="30"/>
    </row>
    <row r="14576" spans="1:4" x14ac:dyDescent="0.25">
      <c r="A14576" s="31"/>
      <c r="D14576" s="30"/>
    </row>
    <row r="14577" spans="1:4" x14ac:dyDescent="0.25">
      <c r="A14577" s="31"/>
      <c r="D14577" s="30"/>
    </row>
    <row r="14578" spans="1:4" x14ac:dyDescent="0.25">
      <c r="A14578" s="31"/>
      <c r="D14578" s="30"/>
    </row>
    <row r="14579" spans="1:4" x14ac:dyDescent="0.25">
      <c r="A14579" s="31"/>
      <c r="D14579" s="30"/>
    </row>
    <row r="14580" spans="1:4" x14ac:dyDescent="0.25">
      <c r="A14580" s="31"/>
      <c r="D14580" s="30"/>
    </row>
    <row r="14581" spans="1:4" x14ac:dyDescent="0.25">
      <c r="A14581" s="31"/>
      <c r="D14581" s="30"/>
    </row>
    <row r="14582" spans="1:4" x14ac:dyDescent="0.25">
      <c r="A14582" s="31"/>
      <c r="D14582" s="30"/>
    </row>
    <row r="14583" spans="1:4" x14ac:dyDescent="0.25">
      <c r="A14583" s="31"/>
      <c r="D14583" s="30"/>
    </row>
    <row r="14584" spans="1:4" x14ac:dyDescent="0.25">
      <c r="A14584" s="31"/>
      <c r="D14584" s="30"/>
    </row>
    <row r="14585" spans="1:4" x14ac:dyDescent="0.25">
      <c r="A14585" s="31"/>
      <c r="D14585" s="30"/>
    </row>
    <row r="14586" spans="1:4" x14ac:dyDescent="0.25">
      <c r="A14586" s="31"/>
      <c r="D14586" s="30"/>
    </row>
    <row r="14587" spans="1:4" x14ac:dyDescent="0.25">
      <c r="A14587" s="31"/>
      <c r="D14587" s="30"/>
    </row>
    <row r="14588" spans="1:4" x14ac:dyDescent="0.25">
      <c r="A14588" s="31"/>
      <c r="D14588" s="30"/>
    </row>
    <row r="14589" spans="1:4" x14ac:dyDescent="0.25">
      <c r="A14589" s="31"/>
      <c r="D14589" s="30"/>
    </row>
    <row r="14590" spans="1:4" x14ac:dyDescent="0.25">
      <c r="A14590" s="31"/>
      <c r="D14590" s="30"/>
    </row>
    <row r="14591" spans="1:4" x14ac:dyDescent="0.25">
      <c r="A14591" s="31"/>
      <c r="D14591" s="30"/>
    </row>
    <row r="14592" spans="1:4" x14ac:dyDescent="0.25">
      <c r="A14592" s="31"/>
      <c r="D14592" s="30"/>
    </row>
    <row r="14593" spans="1:4" x14ac:dyDescent="0.25">
      <c r="A14593" s="31"/>
      <c r="D14593" s="30"/>
    </row>
    <row r="14594" spans="1:4" x14ac:dyDescent="0.25">
      <c r="A14594" s="31"/>
      <c r="D14594" s="30"/>
    </row>
    <row r="14595" spans="1:4" x14ac:dyDescent="0.25">
      <c r="A14595" s="31"/>
      <c r="D14595" s="30"/>
    </row>
    <row r="14596" spans="1:4" x14ac:dyDescent="0.25">
      <c r="A14596" s="31"/>
      <c r="D14596" s="30"/>
    </row>
    <row r="14597" spans="1:4" x14ac:dyDescent="0.25">
      <c r="A14597" s="31"/>
      <c r="D14597" s="30"/>
    </row>
    <row r="14598" spans="1:4" x14ac:dyDescent="0.25">
      <c r="A14598" s="31"/>
      <c r="D14598" s="30"/>
    </row>
    <row r="14599" spans="1:4" x14ac:dyDescent="0.25">
      <c r="A14599" s="31"/>
      <c r="D14599" s="30"/>
    </row>
    <row r="14600" spans="1:4" x14ac:dyDescent="0.25">
      <c r="A14600" s="31"/>
      <c r="D14600" s="30"/>
    </row>
    <row r="14601" spans="1:4" x14ac:dyDescent="0.25">
      <c r="A14601" s="31"/>
      <c r="D14601" s="30"/>
    </row>
    <row r="14602" spans="1:4" x14ac:dyDescent="0.25">
      <c r="A14602" s="31"/>
      <c r="D14602" s="30"/>
    </row>
    <row r="14603" spans="1:4" x14ac:dyDescent="0.25">
      <c r="A14603" s="31"/>
      <c r="D14603" s="30"/>
    </row>
    <row r="14604" spans="1:4" x14ac:dyDescent="0.25">
      <c r="A14604" s="31"/>
      <c r="D14604" s="30"/>
    </row>
    <row r="14605" spans="1:4" x14ac:dyDescent="0.25">
      <c r="A14605" s="31"/>
      <c r="D14605" s="30"/>
    </row>
    <row r="14606" spans="1:4" x14ac:dyDescent="0.25">
      <c r="A14606" s="31"/>
      <c r="D14606" s="30"/>
    </row>
    <row r="14607" spans="1:4" x14ac:dyDescent="0.25">
      <c r="A14607" s="31"/>
      <c r="D14607" s="30"/>
    </row>
    <row r="14608" spans="1:4" x14ac:dyDescent="0.25">
      <c r="A14608" s="31"/>
      <c r="D14608" s="30"/>
    </row>
    <row r="14609" spans="1:4" x14ac:dyDescent="0.25">
      <c r="A14609" s="31"/>
      <c r="D14609" s="30"/>
    </row>
    <row r="14610" spans="1:4" x14ac:dyDescent="0.25">
      <c r="A14610" s="31"/>
      <c r="D14610" s="30"/>
    </row>
    <row r="14611" spans="1:4" x14ac:dyDescent="0.25">
      <c r="A14611" s="31"/>
      <c r="D14611" s="30"/>
    </row>
    <row r="14612" spans="1:4" x14ac:dyDescent="0.25">
      <c r="A14612" s="31"/>
      <c r="D14612" s="30"/>
    </row>
    <row r="14613" spans="1:4" x14ac:dyDescent="0.25">
      <c r="A14613" s="31"/>
      <c r="D14613" s="30"/>
    </row>
    <row r="14614" spans="1:4" x14ac:dyDescent="0.25">
      <c r="A14614" s="31"/>
      <c r="D14614" s="30"/>
    </row>
    <row r="14615" spans="1:4" x14ac:dyDescent="0.25">
      <c r="A14615" s="31"/>
      <c r="D14615" s="30"/>
    </row>
    <row r="14616" spans="1:4" x14ac:dyDescent="0.25">
      <c r="A14616" s="31"/>
      <c r="D14616" s="30"/>
    </row>
    <row r="14617" spans="1:4" x14ac:dyDescent="0.25">
      <c r="A14617" s="31"/>
      <c r="D14617" s="30"/>
    </row>
    <row r="14618" spans="1:4" x14ac:dyDescent="0.25">
      <c r="A14618" s="31"/>
      <c r="D14618" s="30"/>
    </row>
    <row r="14619" spans="1:4" x14ac:dyDescent="0.25">
      <c r="A14619" s="31"/>
      <c r="D14619" s="30"/>
    </row>
    <row r="14620" spans="1:4" x14ac:dyDescent="0.25">
      <c r="A14620" s="31"/>
      <c r="D14620" s="30"/>
    </row>
    <row r="14621" spans="1:4" x14ac:dyDescent="0.25">
      <c r="A14621" s="31"/>
      <c r="D14621" s="30"/>
    </row>
    <row r="14622" spans="1:4" x14ac:dyDescent="0.25">
      <c r="A14622" s="31"/>
      <c r="D14622" s="30"/>
    </row>
    <row r="14623" spans="1:4" x14ac:dyDescent="0.25">
      <c r="A14623" s="31"/>
      <c r="D14623" s="30"/>
    </row>
    <row r="14624" spans="1:4" x14ac:dyDescent="0.25">
      <c r="A14624" s="31"/>
      <c r="D14624" s="30"/>
    </row>
    <row r="14625" spans="1:4" x14ac:dyDescent="0.25">
      <c r="A14625" s="31"/>
      <c r="D14625" s="30"/>
    </row>
    <row r="14626" spans="1:4" x14ac:dyDescent="0.25">
      <c r="A14626" s="31"/>
      <c r="D14626" s="30"/>
    </row>
    <row r="14627" spans="1:4" x14ac:dyDescent="0.25">
      <c r="A14627" s="31"/>
      <c r="D14627" s="30"/>
    </row>
    <row r="14628" spans="1:4" x14ac:dyDescent="0.25">
      <c r="A14628" s="31"/>
      <c r="D14628" s="30"/>
    </row>
    <row r="14629" spans="1:4" x14ac:dyDescent="0.25">
      <c r="A14629" s="31"/>
      <c r="D14629" s="30"/>
    </row>
    <row r="14630" spans="1:4" x14ac:dyDescent="0.25">
      <c r="A14630" s="31"/>
      <c r="D14630" s="30"/>
    </row>
    <row r="14631" spans="1:4" x14ac:dyDescent="0.25">
      <c r="A14631" s="31"/>
      <c r="D14631" s="30"/>
    </row>
    <row r="14632" spans="1:4" x14ac:dyDescent="0.25">
      <c r="A14632" s="31"/>
      <c r="D14632" s="30"/>
    </row>
    <row r="14633" spans="1:4" x14ac:dyDescent="0.25">
      <c r="A14633" s="31"/>
      <c r="D14633" s="30"/>
    </row>
    <row r="14634" spans="1:4" x14ac:dyDescent="0.25">
      <c r="A14634" s="31"/>
      <c r="D14634" s="30"/>
    </row>
    <row r="14635" spans="1:4" x14ac:dyDescent="0.25">
      <c r="A14635" s="31"/>
      <c r="D14635" s="30"/>
    </row>
    <row r="14636" spans="1:4" x14ac:dyDescent="0.25">
      <c r="A14636" s="31"/>
      <c r="D14636" s="30"/>
    </row>
    <row r="14637" spans="1:4" x14ac:dyDescent="0.25">
      <c r="A14637" s="31"/>
      <c r="D14637" s="30"/>
    </row>
    <row r="14638" spans="1:4" x14ac:dyDescent="0.25">
      <c r="A14638" s="31"/>
      <c r="D14638" s="30"/>
    </row>
    <row r="14639" spans="1:4" x14ac:dyDescent="0.25">
      <c r="A14639" s="31"/>
      <c r="D14639" s="30"/>
    </row>
    <row r="14640" spans="1:4" x14ac:dyDescent="0.25">
      <c r="A14640" s="31"/>
      <c r="D14640" s="30"/>
    </row>
    <row r="14641" spans="1:4" x14ac:dyDescent="0.25">
      <c r="A14641" s="31"/>
      <c r="D14641" s="30"/>
    </row>
    <row r="14642" spans="1:4" x14ac:dyDescent="0.25">
      <c r="A14642" s="31"/>
      <c r="D14642" s="30"/>
    </row>
    <row r="14643" spans="1:4" x14ac:dyDescent="0.25">
      <c r="A14643" s="31"/>
      <c r="D14643" s="30"/>
    </row>
    <row r="14644" spans="1:4" x14ac:dyDescent="0.25">
      <c r="A14644" s="31"/>
      <c r="D14644" s="30"/>
    </row>
    <row r="14645" spans="1:4" x14ac:dyDescent="0.25">
      <c r="A14645" s="31"/>
      <c r="D14645" s="30"/>
    </row>
    <row r="14646" spans="1:4" x14ac:dyDescent="0.25">
      <c r="A14646" s="31"/>
      <c r="D14646" s="30"/>
    </row>
    <row r="14647" spans="1:4" x14ac:dyDescent="0.25">
      <c r="A14647" s="31"/>
      <c r="D14647" s="30"/>
    </row>
    <row r="14648" spans="1:4" x14ac:dyDescent="0.25">
      <c r="A14648" s="31"/>
      <c r="D14648" s="30"/>
    </row>
    <row r="14649" spans="1:4" x14ac:dyDescent="0.25">
      <c r="A14649" s="31"/>
      <c r="D14649" s="30"/>
    </row>
    <row r="14650" spans="1:4" x14ac:dyDescent="0.25">
      <c r="A14650" s="31"/>
      <c r="D14650" s="30"/>
    </row>
    <row r="14651" spans="1:4" x14ac:dyDescent="0.25">
      <c r="A14651" s="31"/>
      <c r="D14651" s="30"/>
    </row>
    <row r="14652" spans="1:4" x14ac:dyDescent="0.25">
      <c r="A14652" s="31"/>
      <c r="D14652" s="30"/>
    </row>
    <row r="14653" spans="1:4" x14ac:dyDescent="0.25">
      <c r="A14653" s="31"/>
      <c r="D14653" s="30"/>
    </row>
    <row r="14654" spans="1:4" x14ac:dyDescent="0.25">
      <c r="A14654" s="31"/>
      <c r="D14654" s="30"/>
    </row>
    <row r="14655" spans="1:4" x14ac:dyDescent="0.25">
      <c r="A14655" s="31"/>
      <c r="D14655" s="30"/>
    </row>
    <row r="14656" spans="1:4" x14ac:dyDescent="0.25">
      <c r="A14656" s="31"/>
      <c r="D14656" s="30"/>
    </row>
    <row r="14657" spans="1:4" x14ac:dyDescent="0.25">
      <c r="A14657" s="31"/>
      <c r="D14657" s="30"/>
    </row>
    <row r="14658" spans="1:4" x14ac:dyDescent="0.25">
      <c r="A14658" s="31"/>
      <c r="D14658" s="30"/>
    </row>
    <row r="14659" spans="1:4" x14ac:dyDescent="0.25">
      <c r="A14659" s="31"/>
      <c r="D14659" s="30"/>
    </row>
    <row r="14660" spans="1:4" x14ac:dyDescent="0.25">
      <c r="A14660" s="31"/>
      <c r="D14660" s="30"/>
    </row>
    <row r="14661" spans="1:4" x14ac:dyDescent="0.25">
      <c r="A14661" s="31"/>
      <c r="D14661" s="30"/>
    </row>
    <row r="14662" spans="1:4" x14ac:dyDescent="0.25">
      <c r="A14662" s="31"/>
      <c r="D14662" s="30"/>
    </row>
    <row r="14663" spans="1:4" x14ac:dyDescent="0.25">
      <c r="A14663" s="31"/>
      <c r="D14663" s="30"/>
    </row>
    <row r="14664" spans="1:4" x14ac:dyDescent="0.25">
      <c r="A14664" s="31"/>
      <c r="D14664" s="30"/>
    </row>
    <row r="14665" spans="1:4" x14ac:dyDescent="0.25">
      <c r="A14665" s="31"/>
      <c r="D14665" s="30"/>
    </row>
    <row r="14666" spans="1:4" x14ac:dyDescent="0.25">
      <c r="A14666" s="31"/>
      <c r="D14666" s="30"/>
    </row>
    <row r="14667" spans="1:4" x14ac:dyDescent="0.25">
      <c r="A14667" s="31"/>
      <c r="D14667" s="30"/>
    </row>
    <row r="14668" spans="1:4" x14ac:dyDescent="0.25">
      <c r="A14668" s="31"/>
      <c r="D14668" s="30"/>
    </row>
    <row r="14669" spans="1:4" x14ac:dyDescent="0.25">
      <c r="A14669" s="31"/>
      <c r="D14669" s="30"/>
    </row>
    <row r="14670" spans="1:4" x14ac:dyDescent="0.25">
      <c r="A14670" s="31"/>
      <c r="D14670" s="30"/>
    </row>
    <row r="14671" spans="1:4" x14ac:dyDescent="0.25">
      <c r="A14671" s="31"/>
      <c r="D14671" s="30"/>
    </row>
    <row r="14672" spans="1:4" x14ac:dyDescent="0.25">
      <c r="A14672" s="31"/>
      <c r="D14672" s="30"/>
    </row>
    <row r="14673" spans="1:4" x14ac:dyDescent="0.25">
      <c r="A14673" s="31"/>
      <c r="D14673" s="30"/>
    </row>
    <row r="14674" spans="1:4" x14ac:dyDescent="0.25">
      <c r="A14674" s="31"/>
      <c r="D14674" s="30"/>
    </row>
    <row r="14675" spans="1:4" x14ac:dyDescent="0.25">
      <c r="A14675" s="31"/>
      <c r="D14675" s="30"/>
    </row>
    <row r="14676" spans="1:4" x14ac:dyDescent="0.25">
      <c r="A14676" s="31"/>
      <c r="D14676" s="30"/>
    </row>
    <row r="14677" spans="1:4" x14ac:dyDescent="0.25">
      <c r="A14677" s="31"/>
      <c r="D14677" s="30"/>
    </row>
    <row r="14678" spans="1:4" x14ac:dyDescent="0.25">
      <c r="A14678" s="31"/>
      <c r="D14678" s="30"/>
    </row>
    <row r="14679" spans="1:4" x14ac:dyDescent="0.25">
      <c r="A14679" s="31"/>
      <c r="D14679" s="30"/>
    </row>
    <row r="14680" spans="1:4" x14ac:dyDescent="0.25">
      <c r="A14680" s="31"/>
      <c r="D14680" s="30"/>
    </row>
    <row r="14681" spans="1:4" x14ac:dyDescent="0.25">
      <c r="A14681" s="31"/>
      <c r="D14681" s="30"/>
    </row>
    <row r="14682" spans="1:4" x14ac:dyDescent="0.25">
      <c r="A14682" s="31"/>
      <c r="D14682" s="30"/>
    </row>
    <row r="14683" spans="1:4" x14ac:dyDescent="0.25">
      <c r="A14683" s="31"/>
      <c r="D14683" s="30"/>
    </row>
    <row r="14684" spans="1:4" x14ac:dyDescent="0.25">
      <c r="A14684" s="31"/>
      <c r="D14684" s="30"/>
    </row>
    <row r="14685" spans="1:4" x14ac:dyDescent="0.25">
      <c r="A14685" s="31"/>
      <c r="D14685" s="30"/>
    </row>
    <row r="14686" spans="1:4" x14ac:dyDescent="0.25">
      <c r="A14686" s="31"/>
      <c r="D14686" s="30"/>
    </row>
    <row r="14687" spans="1:4" x14ac:dyDescent="0.25">
      <c r="A14687" s="31"/>
      <c r="D14687" s="30"/>
    </row>
    <row r="14688" spans="1:4" x14ac:dyDescent="0.25">
      <c r="A14688" s="31"/>
      <c r="D14688" s="30"/>
    </row>
    <row r="14689" spans="1:4" x14ac:dyDescent="0.25">
      <c r="A14689" s="31"/>
      <c r="D14689" s="30"/>
    </row>
    <row r="14690" spans="1:4" x14ac:dyDescent="0.25">
      <c r="A14690" s="31"/>
      <c r="D14690" s="30"/>
    </row>
    <row r="14691" spans="1:4" x14ac:dyDescent="0.25">
      <c r="A14691" s="31"/>
      <c r="D14691" s="30"/>
    </row>
    <row r="14692" spans="1:4" x14ac:dyDescent="0.25">
      <c r="A14692" s="31"/>
      <c r="D14692" s="30"/>
    </row>
    <row r="14693" spans="1:4" x14ac:dyDescent="0.25">
      <c r="A14693" s="31"/>
      <c r="D14693" s="30"/>
    </row>
    <row r="14694" spans="1:4" x14ac:dyDescent="0.25">
      <c r="A14694" s="31"/>
      <c r="D14694" s="30"/>
    </row>
    <row r="14695" spans="1:4" x14ac:dyDescent="0.25">
      <c r="A14695" s="31"/>
      <c r="D14695" s="30"/>
    </row>
    <row r="14696" spans="1:4" x14ac:dyDescent="0.25">
      <c r="A14696" s="31"/>
      <c r="D14696" s="30"/>
    </row>
    <row r="14697" spans="1:4" x14ac:dyDescent="0.25">
      <c r="A14697" s="31"/>
      <c r="D14697" s="30"/>
    </row>
    <row r="14698" spans="1:4" x14ac:dyDescent="0.25">
      <c r="A14698" s="31"/>
      <c r="D14698" s="30"/>
    </row>
    <row r="14699" spans="1:4" x14ac:dyDescent="0.25">
      <c r="A14699" s="31"/>
      <c r="D14699" s="30"/>
    </row>
    <row r="14700" spans="1:4" x14ac:dyDescent="0.25">
      <c r="A14700" s="31"/>
      <c r="D14700" s="30"/>
    </row>
    <row r="14701" spans="1:4" x14ac:dyDescent="0.25">
      <c r="A14701" s="31"/>
      <c r="D14701" s="30"/>
    </row>
    <row r="14702" spans="1:4" x14ac:dyDescent="0.25">
      <c r="A14702" s="31"/>
      <c r="D14702" s="30"/>
    </row>
    <row r="14703" spans="1:4" x14ac:dyDescent="0.25">
      <c r="A14703" s="31"/>
      <c r="D14703" s="30"/>
    </row>
    <row r="14704" spans="1:4" x14ac:dyDescent="0.25">
      <c r="A14704" s="31"/>
      <c r="D14704" s="30"/>
    </row>
    <row r="14705" spans="1:4" x14ac:dyDescent="0.25">
      <c r="A14705" s="31"/>
      <c r="D14705" s="30"/>
    </row>
    <row r="14706" spans="1:4" x14ac:dyDescent="0.25">
      <c r="A14706" s="31"/>
      <c r="D14706" s="30"/>
    </row>
    <row r="14707" spans="1:4" x14ac:dyDescent="0.25">
      <c r="A14707" s="31"/>
      <c r="D14707" s="30"/>
    </row>
    <row r="14708" spans="1:4" x14ac:dyDescent="0.25">
      <c r="A14708" s="31"/>
      <c r="D14708" s="30"/>
    </row>
    <row r="14709" spans="1:4" x14ac:dyDescent="0.25">
      <c r="A14709" s="31"/>
      <c r="D14709" s="30"/>
    </row>
    <row r="14710" spans="1:4" x14ac:dyDescent="0.25">
      <c r="A14710" s="31"/>
      <c r="D14710" s="30"/>
    </row>
    <row r="14711" spans="1:4" x14ac:dyDescent="0.25">
      <c r="A14711" s="31"/>
      <c r="D14711" s="30"/>
    </row>
    <row r="14712" spans="1:4" x14ac:dyDescent="0.25">
      <c r="A14712" s="31"/>
      <c r="D14712" s="30"/>
    </row>
    <row r="14713" spans="1:4" x14ac:dyDescent="0.25">
      <c r="A14713" s="31"/>
      <c r="D14713" s="30"/>
    </row>
    <row r="14714" spans="1:4" x14ac:dyDescent="0.25">
      <c r="A14714" s="31"/>
      <c r="D14714" s="30"/>
    </row>
    <row r="14715" spans="1:4" x14ac:dyDescent="0.25">
      <c r="A14715" s="31"/>
      <c r="D14715" s="30"/>
    </row>
    <row r="14716" spans="1:4" x14ac:dyDescent="0.25">
      <c r="A14716" s="31"/>
      <c r="D14716" s="30"/>
    </row>
    <row r="14717" spans="1:4" x14ac:dyDescent="0.25">
      <c r="A14717" s="31"/>
      <c r="D14717" s="30"/>
    </row>
    <row r="14718" spans="1:4" x14ac:dyDescent="0.25">
      <c r="A14718" s="31"/>
      <c r="D14718" s="30"/>
    </row>
    <row r="14719" spans="1:4" x14ac:dyDescent="0.25">
      <c r="A14719" s="31"/>
      <c r="D14719" s="30"/>
    </row>
    <row r="14720" spans="1:4" x14ac:dyDescent="0.25">
      <c r="A14720" s="31"/>
      <c r="D14720" s="30"/>
    </row>
    <row r="14721" spans="1:4" x14ac:dyDescent="0.25">
      <c r="A14721" s="31"/>
      <c r="D14721" s="30"/>
    </row>
    <row r="14722" spans="1:4" x14ac:dyDescent="0.25">
      <c r="A14722" s="31"/>
      <c r="D14722" s="30"/>
    </row>
    <row r="14723" spans="1:4" x14ac:dyDescent="0.25">
      <c r="A14723" s="31"/>
      <c r="D14723" s="30"/>
    </row>
    <row r="14724" spans="1:4" x14ac:dyDescent="0.25">
      <c r="A14724" s="31"/>
      <c r="D14724" s="30"/>
    </row>
    <row r="14725" spans="1:4" x14ac:dyDescent="0.25">
      <c r="A14725" s="31"/>
      <c r="D14725" s="30"/>
    </row>
    <row r="14726" spans="1:4" x14ac:dyDescent="0.25">
      <c r="A14726" s="31"/>
      <c r="D14726" s="30"/>
    </row>
    <row r="14727" spans="1:4" x14ac:dyDescent="0.25">
      <c r="A14727" s="31"/>
      <c r="D14727" s="30"/>
    </row>
    <row r="14728" spans="1:4" x14ac:dyDescent="0.25">
      <c r="A14728" s="31"/>
      <c r="D14728" s="30"/>
    </row>
    <row r="14729" spans="1:4" x14ac:dyDescent="0.25">
      <c r="A14729" s="31"/>
      <c r="D14729" s="30"/>
    </row>
    <row r="14730" spans="1:4" x14ac:dyDescent="0.25">
      <c r="A14730" s="31"/>
      <c r="D14730" s="30"/>
    </row>
    <row r="14731" spans="1:4" x14ac:dyDescent="0.25">
      <c r="A14731" s="31"/>
      <c r="D14731" s="30"/>
    </row>
    <row r="14732" spans="1:4" x14ac:dyDescent="0.25">
      <c r="A14732" s="31"/>
      <c r="D14732" s="30"/>
    </row>
    <row r="14733" spans="1:4" x14ac:dyDescent="0.25">
      <c r="A14733" s="31"/>
      <c r="D14733" s="30"/>
    </row>
    <row r="14734" spans="1:4" x14ac:dyDescent="0.25">
      <c r="A14734" s="31"/>
      <c r="D14734" s="30"/>
    </row>
    <row r="14735" spans="1:4" x14ac:dyDescent="0.25">
      <c r="A14735" s="31"/>
      <c r="D14735" s="30"/>
    </row>
    <row r="14736" spans="1:4" x14ac:dyDescent="0.25">
      <c r="A14736" s="31"/>
      <c r="D14736" s="30"/>
    </row>
    <row r="14737" spans="1:4" x14ac:dyDescent="0.25">
      <c r="A14737" s="31"/>
      <c r="D14737" s="30"/>
    </row>
    <row r="14738" spans="1:4" x14ac:dyDescent="0.25">
      <c r="A14738" s="31"/>
      <c r="D14738" s="30"/>
    </row>
    <row r="14739" spans="1:4" x14ac:dyDescent="0.25">
      <c r="A14739" s="31"/>
      <c r="D14739" s="30"/>
    </row>
    <row r="14740" spans="1:4" x14ac:dyDescent="0.25">
      <c r="A14740" s="31"/>
      <c r="D14740" s="30"/>
    </row>
    <row r="14741" spans="1:4" x14ac:dyDescent="0.25">
      <c r="A14741" s="31"/>
      <c r="D14741" s="30"/>
    </row>
    <row r="14742" spans="1:4" x14ac:dyDescent="0.25">
      <c r="A14742" s="31"/>
      <c r="D14742" s="30"/>
    </row>
    <row r="14743" spans="1:4" x14ac:dyDescent="0.25">
      <c r="A14743" s="31"/>
      <c r="D14743" s="30"/>
    </row>
    <row r="14744" spans="1:4" x14ac:dyDescent="0.25">
      <c r="A14744" s="31"/>
      <c r="D14744" s="30"/>
    </row>
    <row r="14745" spans="1:4" x14ac:dyDescent="0.25">
      <c r="A14745" s="31"/>
      <c r="D14745" s="30"/>
    </row>
    <row r="14746" spans="1:4" x14ac:dyDescent="0.25">
      <c r="A14746" s="31"/>
      <c r="D14746" s="30"/>
    </row>
    <row r="14747" spans="1:4" x14ac:dyDescent="0.25">
      <c r="A14747" s="31"/>
      <c r="D14747" s="30"/>
    </row>
    <row r="14748" spans="1:4" x14ac:dyDescent="0.25">
      <c r="A14748" s="31"/>
      <c r="D14748" s="30"/>
    </row>
    <row r="14749" spans="1:4" x14ac:dyDescent="0.25">
      <c r="A14749" s="31"/>
      <c r="D14749" s="30"/>
    </row>
    <row r="14750" spans="1:4" x14ac:dyDescent="0.25">
      <c r="A14750" s="31"/>
      <c r="D14750" s="30"/>
    </row>
    <row r="14751" spans="1:4" x14ac:dyDescent="0.25">
      <c r="A14751" s="31"/>
      <c r="D14751" s="30"/>
    </row>
    <row r="14752" spans="1:4" x14ac:dyDescent="0.25">
      <c r="A14752" s="31"/>
      <c r="D14752" s="30"/>
    </row>
    <row r="14753" spans="1:4" x14ac:dyDescent="0.25">
      <c r="A14753" s="31"/>
      <c r="D14753" s="30"/>
    </row>
    <row r="14754" spans="1:4" x14ac:dyDescent="0.25">
      <c r="A14754" s="31"/>
      <c r="D14754" s="30"/>
    </row>
    <row r="14755" spans="1:4" x14ac:dyDescent="0.25">
      <c r="A14755" s="31"/>
      <c r="D14755" s="30"/>
    </row>
    <row r="14756" spans="1:4" x14ac:dyDescent="0.25">
      <c r="A14756" s="31"/>
      <c r="D14756" s="30"/>
    </row>
    <row r="14757" spans="1:4" x14ac:dyDescent="0.25">
      <c r="A14757" s="31"/>
      <c r="D14757" s="30"/>
    </row>
    <row r="14758" spans="1:4" x14ac:dyDescent="0.25">
      <c r="A14758" s="31"/>
      <c r="D14758" s="30"/>
    </row>
    <row r="14759" spans="1:4" x14ac:dyDescent="0.25">
      <c r="A14759" s="31"/>
      <c r="D14759" s="30"/>
    </row>
    <row r="14760" spans="1:4" x14ac:dyDescent="0.25">
      <c r="A14760" s="31"/>
      <c r="D14760" s="30"/>
    </row>
    <row r="14761" spans="1:4" x14ac:dyDescent="0.25">
      <c r="A14761" s="31"/>
      <c r="D14761" s="30"/>
    </row>
    <row r="14762" spans="1:4" x14ac:dyDescent="0.25">
      <c r="A14762" s="31"/>
      <c r="D14762" s="30"/>
    </row>
    <row r="14763" spans="1:4" x14ac:dyDescent="0.25">
      <c r="A14763" s="31"/>
      <c r="D14763" s="30"/>
    </row>
    <row r="14764" spans="1:4" x14ac:dyDescent="0.25">
      <c r="A14764" s="31"/>
      <c r="D14764" s="30"/>
    </row>
    <row r="14765" spans="1:4" x14ac:dyDescent="0.25">
      <c r="A14765" s="31"/>
      <c r="D14765" s="30"/>
    </row>
    <row r="14766" spans="1:4" x14ac:dyDescent="0.25">
      <c r="A14766" s="31"/>
      <c r="D14766" s="30"/>
    </row>
    <row r="14767" spans="1:4" x14ac:dyDescent="0.25">
      <c r="A14767" s="31"/>
      <c r="D14767" s="30"/>
    </row>
    <row r="14768" spans="1:4" x14ac:dyDescent="0.25">
      <c r="A14768" s="31"/>
      <c r="D14768" s="30"/>
    </row>
    <row r="14769" spans="1:4" x14ac:dyDescent="0.25">
      <c r="A14769" s="31"/>
      <c r="D14769" s="30"/>
    </row>
    <row r="14770" spans="1:4" x14ac:dyDescent="0.25">
      <c r="A14770" s="31"/>
      <c r="D14770" s="30"/>
    </row>
    <row r="14771" spans="1:4" x14ac:dyDescent="0.25">
      <c r="A14771" s="31"/>
      <c r="D14771" s="30"/>
    </row>
    <row r="14772" spans="1:4" x14ac:dyDescent="0.25">
      <c r="A14772" s="31"/>
      <c r="D14772" s="30"/>
    </row>
    <row r="14773" spans="1:4" x14ac:dyDescent="0.25">
      <c r="A14773" s="31"/>
      <c r="D14773" s="30"/>
    </row>
    <row r="14774" spans="1:4" x14ac:dyDescent="0.25">
      <c r="A14774" s="31"/>
      <c r="D14774" s="30"/>
    </row>
    <row r="14775" spans="1:4" x14ac:dyDescent="0.25">
      <c r="A14775" s="31"/>
      <c r="D14775" s="30"/>
    </row>
    <row r="14776" spans="1:4" x14ac:dyDescent="0.25">
      <c r="A14776" s="31"/>
      <c r="D14776" s="30"/>
    </row>
    <row r="14777" spans="1:4" x14ac:dyDescent="0.25">
      <c r="A14777" s="31"/>
      <c r="D14777" s="30"/>
    </row>
    <row r="14778" spans="1:4" x14ac:dyDescent="0.25">
      <c r="A14778" s="31"/>
      <c r="D14778" s="30"/>
    </row>
    <row r="14779" spans="1:4" x14ac:dyDescent="0.25">
      <c r="A14779" s="31"/>
      <c r="D14779" s="30"/>
    </row>
    <row r="14780" spans="1:4" x14ac:dyDescent="0.25">
      <c r="A14780" s="31"/>
      <c r="D14780" s="30"/>
    </row>
    <row r="14781" spans="1:4" x14ac:dyDescent="0.25">
      <c r="A14781" s="31"/>
      <c r="D14781" s="30"/>
    </row>
    <row r="14782" spans="1:4" x14ac:dyDescent="0.25">
      <c r="A14782" s="31"/>
      <c r="D14782" s="30"/>
    </row>
    <row r="14783" spans="1:4" x14ac:dyDescent="0.25">
      <c r="A14783" s="31"/>
      <c r="D14783" s="30"/>
    </row>
    <row r="14784" spans="1:4" x14ac:dyDescent="0.25">
      <c r="A14784" s="31"/>
      <c r="D14784" s="30"/>
    </row>
    <row r="14785" spans="1:4" x14ac:dyDescent="0.25">
      <c r="A14785" s="31"/>
      <c r="D14785" s="30"/>
    </row>
    <row r="14786" spans="1:4" x14ac:dyDescent="0.25">
      <c r="A14786" s="31"/>
      <c r="D14786" s="30"/>
    </row>
    <row r="14787" spans="1:4" x14ac:dyDescent="0.25">
      <c r="A14787" s="31"/>
      <c r="D14787" s="30"/>
    </row>
    <row r="14788" spans="1:4" x14ac:dyDescent="0.25">
      <c r="A14788" s="31"/>
      <c r="D14788" s="30"/>
    </row>
    <row r="14789" spans="1:4" x14ac:dyDescent="0.25">
      <c r="A14789" s="31"/>
      <c r="D14789" s="30"/>
    </row>
    <row r="14790" spans="1:4" x14ac:dyDescent="0.25">
      <c r="A14790" s="31"/>
      <c r="D14790" s="30"/>
    </row>
    <row r="14791" spans="1:4" x14ac:dyDescent="0.25">
      <c r="A14791" s="31"/>
      <c r="D14791" s="30"/>
    </row>
    <row r="14792" spans="1:4" x14ac:dyDescent="0.25">
      <c r="A14792" s="31"/>
      <c r="D14792" s="30"/>
    </row>
    <row r="14793" spans="1:4" x14ac:dyDescent="0.25">
      <c r="A14793" s="31"/>
      <c r="D14793" s="30"/>
    </row>
    <row r="14794" spans="1:4" x14ac:dyDescent="0.25">
      <c r="A14794" s="31"/>
      <c r="D14794" s="30"/>
    </row>
    <row r="14795" spans="1:4" x14ac:dyDescent="0.25">
      <c r="A14795" s="31"/>
      <c r="D14795" s="30"/>
    </row>
    <row r="14796" spans="1:4" x14ac:dyDescent="0.25">
      <c r="A14796" s="31"/>
      <c r="D14796" s="30"/>
    </row>
    <row r="14797" spans="1:4" x14ac:dyDescent="0.25">
      <c r="A14797" s="31"/>
      <c r="D14797" s="30"/>
    </row>
    <row r="14798" spans="1:4" x14ac:dyDescent="0.25">
      <c r="A14798" s="31"/>
      <c r="D14798" s="30"/>
    </row>
    <row r="14799" spans="1:4" x14ac:dyDescent="0.25">
      <c r="A14799" s="31"/>
      <c r="D14799" s="30"/>
    </row>
    <row r="14800" spans="1:4" x14ac:dyDescent="0.25">
      <c r="A14800" s="31"/>
      <c r="D14800" s="30"/>
    </row>
    <row r="14801" spans="1:4" x14ac:dyDescent="0.25">
      <c r="A14801" s="31"/>
      <c r="D14801" s="30"/>
    </row>
    <row r="14802" spans="1:4" x14ac:dyDescent="0.25">
      <c r="A14802" s="31"/>
      <c r="D14802" s="30"/>
    </row>
    <row r="14803" spans="1:4" x14ac:dyDescent="0.25">
      <c r="A14803" s="31"/>
      <c r="D14803" s="30"/>
    </row>
    <row r="14804" spans="1:4" x14ac:dyDescent="0.25">
      <c r="A14804" s="31"/>
      <c r="D14804" s="30"/>
    </row>
    <row r="14805" spans="1:4" x14ac:dyDescent="0.25">
      <c r="A14805" s="31"/>
      <c r="D14805" s="30"/>
    </row>
    <row r="14806" spans="1:4" x14ac:dyDescent="0.25">
      <c r="A14806" s="31"/>
      <c r="D14806" s="30"/>
    </row>
    <row r="14807" spans="1:4" x14ac:dyDescent="0.25">
      <c r="A14807" s="31"/>
      <c r="D14807" s="30"/>
    </row>
    <row r="14808" spans="1:4" x14ac:dyDescent="0.25">
      <c r="A14808" s="31"/>
      <c r="D14808" s="30"/>
    </row>
    <row r="14809" spans="1:4" x14ac:dyDescent="0.25">
      <c r="A14809" s="31"/>
      <c r="D14809" s="30"/>
    </row>
    <row r="14810" spans="1:4" x14ac:dyDescent="0.25">
      <c r="A14810" s="31"/>
      <c r="D14810" s="30"/>
    </row>
    <row r="14811" spans="1:4" x14ac:dyDescent="0.25">
      <c r="A14811" s="31"/>
      <c r="D14811" s="30"/>
    </row>
    <row r="14812" spans="1:4" x14ac:dyDescent="0.25">
      <c r="A14812" s="31"/>
      <c r="D14812" s="30"/>
    </row>
    <row r="14813" spans="1:4" x14ac:dyDescent="0.25">
      <c r="A14813" s="31"/>
      <c r="D14813" s="30"/>
    </row>
    <row r="14814" spans="1:4" x14ac:dyDescent="0.25">
      <c r="A14814" s="31"/>
      <c r="D14814" s="30"/>
    </row>
    <row r="14815" spans="1:4" x14ac:dyDescent="0.25">
      <c r="A14815" s="31"/>
      <c r="D14815" s="30"/>
    </row>
    <row r="14816" spans="1:4" x14ac:dyDescent="0.25">
      <c r="A14816" s="31"/>
      <c r="D14816" s="30"/>
    </row>
    <row r="14817" spans="1:4" x14ac:dyDescent="0.25">
      <c r="A14817" s="31"/>
      <c r="D14817" s="30"/>
    </row>
    <row r="14818" spans="1:4" x14ac:dyDescent="0.25">
      <c r="A14818" s="31"/>
      <c r="D14818" s="30"/>
    </row>
    <row r="14819" spans="1:4" x14ac:dyDescent="0.25">
      <c r="A14819" s="31"/>
      <c r="D14819" s="30"/>
    </row>
    <row r="14820" spans="1:4" x14ac:dyDescent="0.25">
      <c r="A14820" s="31"/>
      <c r="D14820" s="30"/>
    </row>
    <row r="14821" spans="1:4" x14ac:dyDescent="0.25">
      <c r="A14821" s="31"/>
      <c r="D14821" s="30"/>
    </row>
    <row r="14822" spans="1:4" x14ac:dyDescent="0.25">
      <c r="A14822" s="31"/>
      <c r="D14822" s="30"/>
    </row>
    <row r="14823" spans="1:4" x14ac:dyDescent="0.25">
      <c r="A14823" s="31"/>
      <c r="D14823" s="30"/>
    </row>
    <row r="14824" spans="1:4" x14ac:dyDescent="0.25">
      <c r="A14824" s="31"/>
      <c r="D14824" s="30"/>
    </row>
    <row r="14825" spans="1:4" x14ac:dyDescent="0.25">
      <c r="A14825" s="31"/>
      <c r="D14825" s="30"/>
    </row>
    <row r="14826" spans="1:4" x14ac:dyDescent="0.25">
      <c r="A14826" s="31"/>
      <c r="D14826" s="30"/>
    </row>
    <row r="14827" spans="1:4" x14ac:dyDescent="0.25">
      <c r="A14827" s="31"/>
      <c r="D14827" s="30"/>
    </row>
    <row r="14828" spans="1:4" x14ac:dyDescent="0.25">
      <c r="A14828" s="31"/>
      <c r="D14828" s="30"/>
    </row>
    <row r="14829" spans="1:4" x14ac:dyDescent="0.25">
      <c r="A14829" s="31"/>
      <c r="D14829" s="30"/>
    </row>
    <row r="14830" spans="1:4" x14ac:dyDescent="0.25">
      <c r="A14830" s="31"/>
      <c r="D14830" s="30"/>
    </row>
    <row r="14831" spans="1:4" x14ac:dyDescent="0.25">
      <c r="A14831" s="31"/>
      <c r="D14831" s="30"/>
    </row>
    <row r="14832" spans="1:4" x14ac:dyDescent="0.25">
      <c r="A14832" s="31"/>
      <c r="D14832" s="30"/>
    </row>
    <row r="14833" spans="1:4" x14ac:dyDescent="0.25">
      <c r="A14833" s="31"/>
      <c r="D14833" s="30"/>
    </row>
    <row r="14834" spans="1:4" x14ac:dyDescent="0.25">
      <c r="A14834" s="31"/>
      <c r="D14834" s="30"/>
    </row>
    <row r="14835" spans="1:4" x14ac:dyDescent="0.25">
      <c r="A14835" s="31"/>
      <c r="D14835" s="30"/>
    </row>
    <row r="14836" spans="1:4" x14ac:dyDescent="0.25">
      <c r="A14836" s="31"/>
      <c r="D14836" s="30"/>
    </row>
    <row r="14837" spans="1:4" x14ac:dyDescent="0.25">
      <c r="A14837" s="31"/>
      <c r="D14837" s="30"/>
    </row>
    <row r="14838" spans="1:4" x14ac:dyDescent="0.25">
      <c r="A14838" s="31"/>
      <c r="D14838" s="30"/>
    </row>
    <row r="14839" spans="1:4" x14ac:dyDescent="0.25">
      <c r="A14839" s="31"/>
      <c r="D14839" s="30"/>
    </row>
    <row r="14840" spans="1:4" x14ac:dyDescent="0.25">
      <c r="A14840" s="31"/>
      <c r="D14840" s="30"/>
    </row>
    <row r="14841" spans="1:4" x14ac:dyDescent="0.25">
      <c r="A14841" s="31"/>
      <c r="D14841" s="30"/>
    </row>
    <row r="14842" spans="1:4" x14ac:dyDescent="0.25">
      <c r="A14842" s="31"/>
      <c r="D14842" s="30"/>
    </row>
    <row r="14843" spans="1:4" x14ac:dyDescent="0.25">
      <c r="A14843" s="31"/>
      <c r="D14843" s="30"/>
    </row>
    <row r="14844" spans="1:4" x14ac:dyDescent="0.25">
      <c r="A14844" s="31"/>
      <c r="D14844" s="30"/>
    </row>
    <row r="14845" spans="1:4" x14ac:dyDescent="0.25">
      <c r="A14845" s="31"/>
      <c r="D14845" s="30"/>
    </row>
    <row r="14846" spans="1:4" x14ac:dyDescent="0.25">
      <c r="A14846" s="31"/>
      <c r="D14846" s="30"/>
    </row>
    <row r="14847" spans="1:4" x14ac:dyDescent="0.25">
      <c r="A14847" s="31"/>
      <c r="D14847" s="30"/>
    </row>
    <row r="14848" spans="1:4" x14ac:dyDescent="0.25">
      <c r="A14848" s="31"/>
      <c r="D14848" s="30"/>
    </row>
    <row r="14849" spans="1:4" x14ac:dyDescent="0.25">
      <c r="A14849" s="31"/>
      <c r="D14849" s="30"/>
    </row>
    <row r="14850" spans="1:4" x14ac:dyDescent="0.25">
      <c r="A14850" s="31"/>
      <c r="D14850" s="30"/>
    </row>
    <row r="14851" spans="1:4" x14ac:dyDescent="0.25">
      <c r="A14851" s="31"/>
      <c r="D14851" s="30"/>
    </row>
    <row r="14852" spans="1:4" x14ac:dyDescent="0.25">
      <c r="A14852" s="31"/>
      <c r="D14852" s="30"/>
    </row>
    <row r="14853" spans="1:4" x14ac:dyDescent="0.25">
      <c r="A14853" s="31"/>
      <c r="D14853" s="30"/>
    </row>
    <row r="14854" spans="1:4" x14ac:dyDescent="0.25">
      <c r="A14854" s="31"/>
      <c r="D14854" s="30"/>
    </row>
    <row r="14855" spans="1:4" x14ac:dyDescent="0.25">
      <c r="A14855" s="31"/>
      <c r="D14855" s="30"/>
    </row>
    <row r="14856" spans="1:4" x14ac:dyDescent="0.25">
      <c r="A14856" s="31"/>
      <c r="D14856" s="30"/>
    </row>
    <row r="14857" spans="1:4" x14ac:dyDescent="0.25">
      <c r="A14857" s="31"/>
      <c r="D14857" s="30"/>
    </row>
    <row r="14858" spans="1:4" x14ac:dyDescent="0.25">
      <c r="A14858" s="31"/>
      <c r="D14858" s="30"/>
    </row>
    <row r="14859" spans="1:4" x14ac:dyDescent="0.25">
      <c r="A14859" s="31"/>
      <c r="D14859" s="30"/>
    </row>
    <row r="14860" spans="1:4" x14ac:dyDescent="0.25">
      <c r="A14860" s="31"/>
      <c r="D14860" s="30"/>
    </row>
    <row r="14861" spans="1:4" x14ac:dyDescent="0.25">
      <c r="A14861" s="31"/>
      <c r="D14861" s="30"/>
    </row>
    <row r="14862" spans="1:4" x14ac:dyDescent="0.25">
      <c r="A14862" s="31"/>
      <c r="D14862" s="30"/>
    </row>
    <row r="14863" spans="1:4" x14ac:dyDescent="0.25">
      <c r="A14863" s="31"/>
      <c r="D14863" s="30"/>
    </row>
    <row r="14864" spans="1:4" x14ac:dyDescent="0.25">
      <c r="A14864" s="31"/>
      <c r="D14864" s="30"/>
    </row>
    <row r="14865" spans="1:4" x14ac:dyDescent="0.25">
      <c r="A14865" s="31"/>
      <c r="D14865" s="30"/>
    </row>
    <row r="14866" spans="1:4" x14ac:dyDescent="0.25">
      <c r="A14866" s="31"/>
      <c r="D14866" s="30"/>
    </row>
    <row r="14867" spans="1:4" x14ac:dyDescent="0.25">
      <c r="A14867" s="31"/>
      <c r="D14867" s="30"/>
    </row>
    <row r="14868" spans="1:4" x14ac:dyDescent="0.25">
      <c r="A14868" s="31"/>
      <c r="D14868" s="30"/>
    </row>
    <row r="14869" spans="1:4" x14ac:dyDescent="0.25">
      <c r="A14869" s="31"/>
      <c r="D14869" s="30"/>
    </row>
    <row r="14870" spans="1:4" x14ac:dyDescent="0.25">
      <c r="A14870" s="31"/>
      <c r="D14870" s="30"/>
    </row>
    <row r="14871" spans="1:4" x14ac:dyDescent="0.25">
      <c r="A14871" s="31"/>
      <c r="D14871" s="30"/>
    </row>
    <row r="14872" spans="1:4" x14ac:dyDescent="0.25">
      <c r="A14872" s="31"/>
      <c r="D14872" s="30"/>
    </row>
    <row r="14873" spans="1:4" x14ac:dyDescent="0.25">
      <c r="A14873" s="31"/>
      <c r="D14873" s="30"/>
    </row>
    <row r="14874" spans="1:4" x14ac:dyDescent="0.25">
      <c r="A14874" s="31"/>
      <c r="D14874" s="30"/>
    </row>
    <row r="14875" spans="1:4" x14ac:dyDescent="0.25">
      <c r="A14875" s="31"/>
      <c r="D14875" s="30"/>
    </row>
    <row r="14876" spans="1:4" x14ac:dyDescent="0.25">
      <c r="A14876" s="31"/>
      <c r="D14876" s="30"/>
    </row>
    <row r="14877" spans="1:4" x14ac:dyDescent="0.25">
      <c r="A14877" s="31"/>
      <c r="D14877" s="30"/>
    </row>
    <row r="14878" spans="1:4" x14ac:dyDescent="0.25">
      <c r="A14878" s="31"/>
      <c r="D14878" s="30"/>
    </row>
    <row r="14879" spans="1:4" x14ac:dyDescent="0.25">
      <c r="A14879" s="31"/>
      <c r="D14879" s="30"/>
    </row>
    <row r="14880" spans="1:4" x14ac:dyDescent="0.25">
      <c r="A14880" s="31"/>
      <c r="D14880" s="30"/>
    </row>
    <row r="14881" spans="1:4" x14ac:dyDescent="0.25">
      <c r="A14881" s="31"/>
      <c r="D14881" s="30"/>
    </row>
    <row r="14882" spans="1:4" x14ac:dyDescent="0.25">
      <c r="A14882" s="31"/>
      <c r="D14882" s="30"/>
    </row>
    <row r="14883" spans="1:4" x14ac:dyDescent="0.25">
      <c r="A14883" s="31"/>
      <c r="D14883" s="30"/>
    </row>
    <row r="14884" spans="1:4" x14ac:dyDescent="0.25">
      <c r="A14884" s="31"/>
      <c r="D14884" s="30"/>
    </row>
    <row r="14885" spans="1:4" x14ac:dyDescent="0.25">
      <c r="A14885" s="31"/>
      <c r="D14885" s="30"/>
    </row>
    <row r="14886" spans="1:4" x14ac:dyDescent="0.25">
      <c r="A14886" s="31"/>
      <c r="D14886" s="30"/>
    </row>
    <row r="14887" spans="1:4" x14ac:dyDescent="0.25">
      <c r="A14887" s="31"/>
      <c r="D14887" s="30"/>
    </row>
    <row r="14888" spans="1:4" x14ac:dyDescent="0.25">
      <c r="A14888" s="31"/>
      <c r="D14888" s="30"/>
    </row>
    <row r="14889" spans="1:4" x14ac:dyDescent="0.25">
      <c r="A14889" s="31"/>
      <c r="D14889" s="30"/>
    </row>
    <row r="14890" spans="1:4" x14ac:dyDescent="0.25">
      <c r="A14890" s="31"/>
      <c r="D14890" s="30"/>
    </row>
    <row r="14891" spans="1:4" x14ac:dyDescent="0.25">
      <c r="A14891" s="31"/>
      <c r="D14891" s="30"/>
    </row>
    <row r="14892" spans="1:4" x14ac:dyDescent="0.25">
      <c r="A14892" s="31"/>
      <c r="D14892" s="30"/>
    </row>
    <row r="14893" spans="1:4" x14ac:dyDescent="0.25">
      <c r="A14893" s="31"/>
      <c r="D14893" s="30"/>
    </row>
    <row r="14894" spans="1:4" x14ac:dyDescent="0.25">
      <c r="A14894" s="31"/>
      <c r="D14894" s="30"/>
    </row>
    <row r="14895" spans="1:4" x14ac:dyDescent="0.25">
      <c r="A14895" s="31"/>
      <c r="D14895" s="30"/>
    </row>
    <row r="14896" spans="1:4" x14ac:dyDescent="0.25">
      <c r="A14896" s="31"/>
      <c r="D14896" s="30"/>
    </row>
    <row r="14897" spans="1:4" x14ac:dyDescent="0.25">
      <c r="A14897" s="31"/>
      <c r="D14897" s="30"/>
    </row>
    <row r="14898" spans="1:4" x14ac:dyDescent="0.25">
      <c r="A14898" s="31"/>
      <c r="D14898" s="30"/>
    </row>
    <row r="14899" spans="1:4" x14ac:dyDescent="0.25">
      <c r="A14899" s="31"/>
      <c r="D14899" s="30"/>
    </row>
    <row r="14900" spans="1:4" x14ac:dyDescent="0.25">
      <c r="A14900" s="31"/>
      <c r="D14900" s="30"/>
    </row>
    <row r="14901" spans="1:4" x14ac:dyDescent="0.25">
      <c r="A14901" s="31"/>
      <c r="D14901" s="30"/>
    </row>
    <row r="14902" spans="1:4" x14ac:dyDescent="0.25">
      <c r="A14902" s="31"/>
      <c r="D14902" s="30"/>
    </row>
    <row r="14903" spans="1:4" x14ac:dyDescent="0.25">
      <c r="A14903" s="31"/>
      <c r="D14903" s="30"/>
    </row>
    <row r="14904" spans="1:4" x14ac:dyDescent="0.25">
      <c r="A14904" s="31"/>
      <c r="D14904" s="30"/>
    </row>
    <row r="14905" spans="1:4" x14ac:dyDescent="0.25">
      <c r="A14905" s="31"/>
      <c r="D14905" s="30"/>
    </row>
    <row r="14906" spans="1:4" x14ac:dyDescent="0.25">
      <c r="A14906" s="31"/>
      <c r="D14906" s="30"/>
    </row>
    <row r="14907" spans="1:4" x14ac:dyDescent="0.25">
      <c r="A14907" s="31"/>
      <c r="D14907" s="30"/>
    </row>
    <row r="14908" spans="1:4" x14ac:dyDescent="0.25">
      <c r="A14908" s="31"/>
      <c r="D14908" s="30"/>
    </row>
    <row r="14909" spans="1:4" x14ac:dyDescent="0.25">
      <c r="A14909" s="31"/>
      <c r="D14909" s="30"/>
    </row>
    <row r="14910" spans="1:4" x14ac:dyDescent="0.25">
      <c r="A14910" s="31"/>
      <c r="D14910" s="30"/>
    </row>
    <row r="14911" spans="1:4" x14ac:dyDescent="0.25">
      <c r="A14911" s="31"/>
      <c r="D14911" s="30"/>
    </row>
    <row r="14912" spans="1:4" x14ac:dyDescent="0.25">
      <c r="A14912" s="31"/>
      <c r="D14912" s="30"/>
    </row>
    <row r="14913" spans="1:4" x14ac:dyDescent="0.25">
      <c r="A14913" s="31"/>
      <c r="D14913" s="30"/>
    </row>
    <row r="14914" spans="1:4" x14ac:dyDescent="0.25">
      <c r="A14914" s="31"/>
      <c r="D14914" s="30"/>
    </row>
    <row r="14915" spans="1:4" x14ac:dyDescent="0.25">
      <c r="A14915" s="31"/>
      <c r="D14915" s="30"/>
    </row>
    <row r="14916" spans="1:4" x14ac:dyDescent="0.25">
      <c r="A14916" s="31"/>
      <c r="D14916" s="30"/>
    </row>
    <row r="14917" spans="1:4" x14ac:dyDescent="0.25">
      <c r="A14917" s="31"/>
      <c r="D14917" s="30"/>
    </row>
    <row r="14918" spans="1:4" x14ac:dyDescent="0.25">
      <c r="A14918" s="31"/>
      <c r="D14918" s="30"/>
    </row>
    <row r="14919" spans="1:4" x14ac:dyDescent="0.25">
      <c r="A14919" s="31"/>
      <c r="D14919" s="30"/>
    </row>
    <row r="14920" spans="1:4" x14ac:dyDescent="0.25">
      <c r="A14920" s="31"/>
      <c r="D14920" s="30"/>
    </row>
    <row r="14921" spans="1:4" x14ac:dyDescent="0.25">
      <c r="A14921" s="31"/>
      <c r="D14921" s="30"/>
    </row>
    <row r="14922" spans="1:4" x14ac:dyDescent="0.25">
      <c r="A14922" s="31"/>
      <c r="D14922" s="30"/>
    </row>
    <row r="14923" spans="1:4" x14ac:dyDescent="0.25">
      <c r="A14923" s="31"/>
      <c r="D14923" s="30"/>
    </row>
    <row r="14924" spans="1:4" x14ac:dyDescent="0.25">
      <c r="A14924" s="31"/>
      <c r="D14924" s="30"/>
    </row>
    <row r="14925" spans="1:4" x14ac:dyDescent="0.25">
      <c r="A14925" s="31"/>
      <c r="D14925" s="30"/>
    </row>
    <row r="14926" spans="1:4" x14ac:dyDescent="0.25">
      <c r="A14926" s="31"/>
      <c r="D14926" s="30"/>
    </row>
    <row r="14927" spans="1:4" x14ac:dyDescent="0.25">
      <c r="A14927" s="31"/>
      <c r="D14927" s="30"/>
    </row>
    <row r="14928" spans="1:4" x14ac:dyDescent="0.25">
      <c r="A14928" s="31"/>
      <c r="D14928" s="30"/>
    </row>
    <row r="14929" spans="1:4" x14ac:dyDescent="0.25">
      <c r="A14929" s="31"/>
      <c r="D14929" s="30"/>
    </row>
    <row r="14930" spans="1:4" x14ac:dyDescent="0.25">
      <c r="A14930" s="31"/>
      <c r="D14930" s="30"/>
    </row>
    <row r="14931" spans="1:4" x14ac:dyDescent="0.25">
      <c r="A14931" s="31"/>
      <c r="D14931" s="30"/>
    </row>
    <row r="14932" spans="1:4" x14ac:dyDescent="0.25">
      <c r="A14932" s="31"/>
      <c r="D14932" s="30"/>
    </row>
    <row r="14933" spans="1:4" x14ac:dyDescent="0.25">
      <c r="A14933" s="31"/>
      <c r="D14933" s="30"/>
    </row>
    <row r="14934" spans="1:4" x14ac:dyDescent="0.25">
      <c r="A14934" s="31"/>
      <c r="D14934" s="30"/>
    </row>
    <row r="14935" spans="1:4" x14ac:dyDescent="0.25">
      <c r="A14935" s="31"/>
      <c r="D14935" s="30"/>
    </row>
    <row r="14936" spans="1:4" x14ac:dyDescent="0.25">
      <c r="A14936" s="31"/>
      <c r="D14936" s="30"/>
    </row>
    <row r="14937" spans="1:4" x14ac:dyDescent="0.25">
      <c r="A14937" s="31"/>
      <c r="D14937" s="30"/>
    </row>
    <row r="14938" spans="1:4" x14ac:dyDescent="0.25">
      <c r="A14938" s="31"/>
      <c r="D14938" s="30"/>
    </row>
    <row r="14939" spans="1:4" x14ac:dyDescent="0.25">
      <c r="A14939" s="31"/>
      <c r="D14939" s="30"/>
    </row>
    <row r="14940" spans="1:4" x14ac:dyDescent="0.25">
      <c r="A14940" s="31"/>
      <c r="D14940" s="30"/>
    </row>
    <row r="14941" spans="1:4" x14ac:dyDescent="0.25">
      <c r="A14941" s="31"/>
      <c r="D14941" s="30"/>
    </row>
    <row r="14942" spans="1:4" x14ac:dyDescent="0.25">
      <c r="A14942" s="31"/>
      <c r="D14942" s="30"/>
    </row>
    <row r="14943" spans="1:4" x14ac:dyDescent="0.25">
      <c r="A14943" s="31"/>
      <c r="D14943" s="30"/>
    </row>
    <row r="14944" spans="1:4" x14ac:dyDescent="0.25">
      <c r="A14944" s="31"/>
      <c r="D14944" s="30"/>
    </row>
    <row r="14945" spans="1:4" x14ac:dyDescent="0.25">
      <c r="A14945" s="31"/>
      <c r="D14945" s="30"/>
    </row>
    <row r="14946" spans="1:4" x14ac:dyDescent="0.25">
      <c r="A14946" s="31"/>
      <c r="D14946" s="30"/>
    </row>
    <row r="14947" spans="1:4" x14ac:dyDescent="0.25">
      <c r="A14947" s="31"/>
      <c r="D14947" s="30"/>
    </row>
    <row r="14948" spans="1:4" x14ac:dyDescent="0.25">
      <c r="A14948" s="31"/>
      <c r="D14948" s="30"/>
    </row>
    <row r="14949" spans="1:4" x14ac:dyDescent="0.25">
      <c r="A14949" s="31"/>
      <c r="D14949" s="30"/>
    </row>
    <row r="14950" spans="1:4" x14ac:dyDescent="0.25">
      <c r="A14950" s="31"/>
      <c r="D14950" s="30"/>
    </row>
    <row r="14951" spans="1:4" x14ac:dyDescent="0.25">
      <c r="A14951" s="31"/>
      <c r="D14951" s="30"/>
    </row>
    <row r="14952" spans="1:4" x14ac:dyDescent="0.25">
      <c r="A14952" s="31"/>
      <c r="D14952" s="30"/>
    </row>
    <row r="14953" spans="1:4" x14ac:dyDescent="0.25">
      <c r="A14953" s="31"/>
      <c r="D14953" s="30"/>
    </row>
    <row r="14954" spans="1:4" x14ac:dyDescent="0.25">
      <c r="A14954" s="31"/>
      <c r="D14954" s="30"/>
    </row>
    <row r="14955" spans="1:4" x14ac:dyDescent="0.25">
      <c r="A14955" s="31"/>
      <c r="D14955" s="30"/>
    </row>
    <row r="14956" spans="1:4" x14ac:dyDescent="0.25">
      <c r="A14956" s="31"/>
      <c r="D14956" s="30"/>
    </row>
    <row r="14957" spans="1:4" x14ac:dyDescent="0.25">
      <c r="A14957" s="31"/>
      <c r="D14957" s="30"/>
    </row>
    <row r="14958" spans="1:4" x14ac:dyDescent="0.25">
      <c r="A14958" s="31"/>
      <c r="D14958" s="30"/>
    </row>
    <row r="14959" spans="1:4" x14ac:dyDescent="0.25">
      <c r="A14959" s="31"/>
      <c r="D14959" s="30"/>
    </row>
    <row r="14960" spans="1:4" x14ac:dyDescent="0.25">
      <c r="A14960" s="31"/>
      <c r="D14960" s="30"/>
    </row>
    <row r="14961" spans="1:4" x14ac:dyDescent="0.25">
      <c r="A14961" s="31"/>
      <c r="D14961" s="30"/>
    </row>
    <row r="14962" spans="1:4" x14ac:dyDescent="0.25">
      <c r="A14962" s="31"/>
      <c r="D14962" s="30"/>
    </row>
    <row r="14963" spans="1:4" x14ac:dyDescent="0.25">
      <c r="A14963" s="31"/>
      <c r="D14963" s="30"/>
    </row>
    <row r="14964" spans="1:4" x14ac:dyDescent="0.25">
      <c r="A14964" s="31"/>
      <c r="D14964" s="30"/>
    </row>
    <row r="14965" spans="1:4" x14ac:dyDescent="0.25">
      <c r="A14965" s="31"/>
      <c r="D14965" s="30"/>
    </row>
    <row r="14966" spans="1:4" x14ac:dyDescent="0.25">
      <c r="A14966" s="31"/>
      <c r="D14966" s="30"/>
    </row>
    <row r="14967" spans="1:4" x14ac:dyDescent="0.25">
      <c r="A14967" s="31"/>
      <c r="D14967" s="30"/>
    </row>
    <row r="14968" spans="1:4" x14ac:dyDescent="0.25">
      <c r="A14968" s="31"/>
      <c r="D14968" s="30"/>
    </row>
    <row r="14969" spans="1:4" x14ac:dyDescent="0.25">
      <c r="A14969" s="31"/>
      <c r="D14969" s="30"/>
    </row>
    <row r="14970" spans="1:4" x14ac:dyDescent="0.25">
      <c r="A14970" s="31"/>
      <c r="D14970" s="30"/>
    </row>
    <row r="14971" spans="1:4" x14ac:dyDescent="0.25">
      <c r="A14971" s="31"/>
      <c r="D14971" s="30"/>
    </row>
    <row r="14972" spans="1:4" x14ac:dyDescent="0.25">
      <c r="A14972" s="31"/>
      <c r="D14972" s="30"/>
    </row>
    <row r="14973" spans="1:4" x14ac:dyDescent="0.25">
      <c r="A14973" s="31"/>
      <c r="D14973" s="30"/>
    </row>
    <row r="14974" spans="1:4" x14ac:dyDescent="0.25">
      <c r="A14974" s="31"/>
      <c r="D14974" s="30"/>
    </row>
    <row r="14975" spans="1:4" x14ac:dyDescent="0.25">
      <c r="A14975" s="31"/>
      <c r="D14975" s="30"/>
    </row>
    <row r="14976" spans="1:4" x14ac:dyDescent="0.25">
      <c r="A14976" s="31"/>
      <c r="D14976" s="30"/>
    </row>
    <row r="14977" spans="1:4" x14ac:dyDescent="0.25">
      <c r="A14977" s="31"/>
      <c r="D14977" s="30"/>
    </row>
    <row r="14978" spans="1:4" x14ac:dyDescent="0.25">
      <c r="A14978" s="31"/>
      <c r="D14978" s="30"/>
    </row>
    <row r="14979" spans="1:4" x14ac:dyDescent="0.25">
      <c r="A14979" s="31"/>
      <c r="D14979" s="30"/>
    </row>
    <row r="14980" spans="1:4" x14ac:dyDescent="0.25">
      <c r="A14980" s="31"/>
      <c r="D14980" s="30"/>
    </row>
    <row r="14981" spans="1:4" x14ac:dyDescent="0.25">
      <c r="A14981" s="31"/>
      <c r="D14981" s="30"/>
    </row>
    <row r="14982" spans="1:4" x14ac:dyDescent="0.25">
      <c r="A14982" s="31"/>
      <c r="D14982" s="30"/>
    </row>
    <row r="14983" spans="1:4" x14ac:dyDescent="0.25">
      <c r="A14983" s="31"/>
      <c r="D14983" s="30"/>
    </row>
    <row r="14984" spans="1:4" x14ac:dyDescent="0.25">
      <c r="A14984" s="31"/>
      <c r="D14984" s="30"/>
    </row>
    <row r="14985" spans="1:4" x14ac:dyDescent="0.25">
      <c r="A14985" s="31"/>
      <c r="D14985" s="30"/>
    </row>
    <row r="14986" spans="1:4" x14ac:dyDescent="0.25">
      <c r="A14986" s="31"/>
      <c r="D14986" s="30"/>
    </row>
    <row r="14987" spans="1:4" x14ac:dyDescent="0.25">
      <c r="A14987" s="31"/>
      <c r="D14987" s="30"/>
    </row>
    <row r="14988" spans="1:4" x14ac:dyDescent="0.25">
      <c r="A14988" s="31"/>
      <c r="D14988" s="30"/>
    </row>
    <row r="14989" spans="1:4" x14ac:dyDescent="0.25">
      <c r="A14989" s="31"/>
      <c r="D14989" s="30"/>
    </row>
    <row r="14990" spans="1:4" x14ac:dyDescent="0.25">
      <c r="A14990" s="31"/>
      <c r="D14990" s="30"/>
    </row>
    <row r="14991" spans="1:4" x14ac:dyDescent="0.25">
      <c r="A14991" s="31"/>
      <c r="D14991" s="30"/>
    </row>
    <row r="14992" spans="1:4" x14ac:dyDescent="0.25">
      <c r="A14992" s="31"/>
      <c r="D14992" s="30"/>
    </row>
    <row r="14993" spans="1:4" x14ac:dyDescent="0.25">
      <c r="A14993" s="31"/>
      <c r="D14993" s="30"/>
    </row>
    <row r="14994" spans="1:4" x14ac:dyDescent="0.25">
      <c r="A14994" s="31"/>
      <c r="D14994" s="30"/>
    </row>
    <row r="14995" spans="1:4" x14ac:dyDescent="0.25">
      <c r="A14995" s="31"/>
      <c r="D14995" s="30"/>
    </row>
    <row r="14996" spans="1:4" x14ac:dyDescent="0.25">
      <c r="A14996" s="31"/>
      <c r="D14996" s="30"/>
    </row>
    <row r="14997" spans="1:4" x14ac:dyDescent="0.25">
      <c r="A14997" s="31"/>
      <c r="D14997" s="30"/>
    </row>
    <row r="14998" spans="1:4" x14ac:dyDescent="0.25">
      <c r="A14998" s="31"/>
      <c r="D14998" s="30"/>
    </row>
    <row r="14999" spans="1:4" x14ac:dyDescent="0.25">
      <c r="A14999" s="31"/>
      <c r="D14999" s="30"/>
    </row>
    <row r="15000" spans="1:4" x14ac:dyDescent="0.25">
      <c r="A15000" s="31"/>
      <c r="D15000" s="30"/>
    </row>
    <row r="15001" spans="1:4" x14ac:dyDescent="0.25">
      <c r="A15001" s="31"/>
      <c r="D15001" s="30"/>
    </row>
    <row r="15002" spans="1:4" x14ac:dyDescent="0.25">
      <c r="A15002" s="31"/>
      <c r="D15002" s="30"/>
    </row>
    <row r="15003" spans="1:4" x14ac:dyDescent="0.25">
      <c r="A15003" s="31"/>
      <c r="D15003" s="30"/>
    </row>
    <row r="15004" spans="1:4" x14ac:dyDescent="0.25">
      <c r="A15004" s="31"/>
      <c r="D15004" s="30"/>
    </row>
    <row r="15005" spans="1:4" x14ac:dyDescent="0.25">
      <c r="A15005" s="31"/>
      <c r="D15005" s="30"/>
    </row>
    <row r="15006" spans="1:4" x14ac:dyDescent="0.25">
      <c r="A15006" s="31"/>
      <c r="D15006" s="30"/>
    </row>
    <row r="15007" spans="1:4" x14ac:dyDescent="0.25">
      <c r="A15007" s="31"/>
      <c r="D15007" s="30"/>
    </row>
    <row r="15008" spans="1:4" x14ac:dyDescent="0.25">
      <c r="A15008" s="31"/>
      <c r="D15008" s="30"/>
    </row>
    <row r="15009" spans="1:4" x14ac:dyDescent="0.25">
      <c r="A15009" s="31"/>
      <c r="D15009" s="30"/>
    </row>
    <row r="15010" spans="1:4" x14ac:dyDescent="0.25">
      <c r="A15010" s="31"/>
      <c r="D15010" s="30"/>
    </row>
    <row r="15011" spans="1:4" x14ac:dyDescent="0.25">
      <c r="A15011" s="31"/>
      <c r="D15011" s="30"/>
    </row>
    <row r="15012" spans="1:4" x14ac:dyDescent="0.25">
      <c r="A15012" s="31"/>
      <c r="D15012" s="30"/>
    </row>
    <row r="15013" spans="1:4" x14ac:dyDescent="0.25">
      <c r="A15013" s="31"/>
      <c r="D15013" s="30"/>
    </row>
    <row r="15014" spans="1:4" x14ac:dyDescent="0.25">
      <c r="A15014" s="31"/>
      <c r="D15014" s="30"/>
    </row>
    <row r="15015" spans="1:4" x14ac:dyDescent="0.25">
      <c r="A15015" s="31"/>
      <c r="D15015" s="30"/>
    </row>
    <row r="15016" spans="1:4" x14ac:dyDescent="0.25">
      <c r="A15016" s="31"/>
      <c r="D15016" s="30"/>
    </row>
    <row r="15017" spans="1:4" x14ac:dyDescent="0.25">
      <c r="A15017" s="31"/>
      <c r="D15017" s="30"/>
    </row>
    <row r="15018" spans="1:4" x14ac:dyDescent="0.25">
      <c r="A15018" s="31"/>
      <c r="D15018" s="30"/>
    </row>
    <row r="15019" spans="1:4" x14ac:dyDescent="0.25">
      <c r="A15019" s="31"/>
      <c r="D15019" s="30"/>
    </row>
    <row r="15020" spans="1:4" x14ac:dyDescent="0.25">
      <c r="A15020" s="31"/>
      <c r="D15020" s="30"/>
    </row>
    <row r="15021" spans="1:4" x14ac:dyDescent="0.25">
      <c r="A15021" s="31"/>
      <c r="D15021" s="30"/>
    </row>
    <row r="15022" spans="1:4" x14ac:dyDescent="0.25">
      <c r="A15022" s="31"/>
      <c r="D15022" s="30"/>
    </row>
    <row r="15023" spans="1:4" x14ac:dyDescent="0.25">
      <c r="A15023" s="31"/>
      <c r="D15023" s="30"/>
    </row>
    <row r="15024" spans="1:4" x14ac:dyDescent="0.25">
      <c r="A15024" s="31"/>
      <c r="D15024" s="30"/>
    </row>
    <row r="15025" spans="1:4" x14ac:dyDescent="0.25">
      <c r="A15025" s="31"/>
      <c r="D15025" s="30"/>
    </row>
    <row r="15026" spans="1:4" x14ac:dyDescent="0.25">
      <c r="A15026" s="31"/>
      <c r="D15026" s="30"/>
    </row>
    <row r="15027" spans="1:4" x14ac:dyDescent="0.25">
      <c r="A15027" s="31"/>
      <c r="D15027" s="30"/>
    </row>
    <row r="15028" spans="1:4" x14ac:dyDescent="0.25">
      <c r="A15028" s="31"/>
      <c r="D15028" s="30"/>
    </row>
    <row r="15029" spans="1:4" x14ac:dyDescent="0.25">
      <c r="A15029" s="31"/>
      <c r="D15029" s="30"/>
    </row>
    <row r="15030" spans="1:4" x14ac:dyDescent="0.25">
      <c r="A15030" s="31"/>
      <c r="D15030" s="30"/>
    </row>
    <row r="15031" spans="1:4" x14ac:dyDescent="0.25">
      <c r="A15031" s="31"/>
      <c r="D15031" s="30"/>
    </row>
    <row r="15032" spans="1:4" x14ac:dyDescent="0.25">
      <c r="A15032" s="31"/>
      <c r="D15032" s="30"/>
    </row>
    <row r="15033" spans="1:4" x14ac:dyDescent="0.25">
      <c r="A15033" s="31"/>
      <c r="D15033" s="30"/>
    </row>
    <row r="15034" spans="1:4" x14ac:dyDescent="0.25">
      <c r="A15034" s="31"/>
      <c r="D15034" s="30"/>
    </row>
    <row r="15035" spans="1:4" x14ac:dyDescent="0.25">
      <c r="A15035" s="31"/>
      <c r="D15035" s="30"/>
    </row>
    <row r="15036" spans="1:4" x14ac:dyDescent="0.25">
      <c r="A15036" s="31"/>
      <c r="D15036" s="30"/>
    </row>
    <row r="15037" spans="1:4" x14ac:dyDescent="0.25">
      <c r="A15037" s="31"/>
      <c r="D15037" s="30"/>
    </row>
    <row r="15038" spans="1:4" x14ac:dyDescent="0.25">
      <c r="A15038" s="31"/>
      <c r="D15038" s="30"/>
    </row>
    <row r="15039" spans="1:4" x14ac:dyDescent="0.25">
      <c r="A15039" s="31"/>
      <c r="D15039" s="30"/>
    </row>
    <row r="15040" spans="1:4" x14ac:dyDescent="0.25">
      <c r="A15040" s="31"/>
      <c r="D15040" s="30"/>
    </row>
    <row r="15041" spans="1:4" x14ac:dyDescent="0.25">
      <c r="A15041" s="31"/>
      <c r="D15041" s="30"/>
    </row>
    <row r="15042" spans="1:4" x14ac:dyDescent="0.25">
      <c r="A15042" s="31"/>
      <c r="D15042" s="30"/>
    </row>
    <row r="15043" spans="1:4" x14ac:dyDescent="0.25">
      <c r="A15043" s="31"/>
      <c r="D15043" s="30"/>
    </row>
    <row r="15044" spans="1:4" x14ac:dyDescent="0.25">
      <c r="A15044" s="31"/>
      <c r="D15044" s="30"/>
    </row>
    <row r="15045" spans="1:4" x14ac:dyDescent="0.25">
      <c r="A15045" s="31"/>
      <c r="D15045" s="30"/>
    </row>
    <row r="15046" spans="1:4" x14ac:dyDescent="0.25">
      <c r="A15046" s="31"/>
      <c r="D15046" s="30"/>
    </row>
    <row r="15047" spans="1:4" x14ac:dyDescent="0.25">
      <c r="A15047" s="31"/>
      <c r="D15047" s="30"/>
    </row>
    <row r="15048" spans="1:4" x14ac:dyDescent="0.25">
      <c r="A15048" s="31"/>
      <c r="D15048" s="30"/>
    </row>
    <row r="15049" spans="1:4" x14ac:dyDescent="0.25">
      <c r="A15049" s="31"/>
      <c r="D15049" s="30"/>
    </row>
    <row r="15050" spans="1:4" x14ac:dyDescent="0.25">
      <c r="A15050" s="31"/>
      <c r="D15050" s="30"/>
    </row>
    <row r="15051" spans="1:4" x14ac:dyDescent="0.25">
      <c r="A15051" s="31"/>
      <c r="D15051" s="30"/>
    </row>
    <row r="15052" spans="1:4" x14ac:dyDescent="0.25">
      <c r="A15052" s="31"/>
      <c r="D15052" s="30"/>
    </row>
    <row r="15053" spans="1:4" x14ac:dyDescent="0.25">
      <c r="A15053" s="31"/>
      <c r="D15053" s="30"/>
    </row>
    <row r="15054" spans="1:4" x14ac:dyDescent="0.25">
      <c r="A15054" s="31"/>
      <c r="D15054" s="30"/>
    </row>
    <row r="15055" spans="1:4" x14ac:dyDescent="0.25">
      <c r="A15055" s="31"/>
      <c r="D15055" s="30"/>
    </row>
    <row r="15056" spans="1:4" x14ac:dyDescent="0.25">
      <c r="A15056" s="31"/>
      <c r="D15056" s="30"/>
    </row>
    <row r="15057" spans="1:4" x14ac:dyDescent="0.25">
      <c r="A15057" s="31"/>
      <c r="D15057" s="30"/>
    </row>
    <row r="15058" spans="1:4" x14ac:dyDescent="0.25">
      <c r="A15058" s="31"/>
      <c r="D15058" s="30"/>
    </row>
    <row r="15059" spans="1:4" x14ac:dyDescent="0.25">
      <c r="A15059" s="31"/>
      <c r="D15059" s="30"/>
    </row>
    <row r="15060" spans="1:4" x14ac:dyDescent="0.25">
      <c r="A15060" s="31"/>
      <c r="D15060" s="30"/>
    </row>
    <row r="15061" spans="1:4" x14ac:dyDescent="0.25">
      <c r="A15061" s="31"/>
      <c r="D15061" s="30"/>
    </row>
    <row r="15062" spans="1:4" x14ac:dyDescent="0.25">
      <c r="A15062" s="31"/>
      <c r="D15062" s="30"/>
    </row>
    <row r="15063" spans="1:4" x14ac:dyDescent="0.25">
      <c r="A15063" s="31"/>
      <c r="D15063" s="30"/>
    </row>
    <row r="15064" spans="1:4" x14ac:dyDescent="0.25">
      <c r="A15064" s="31"/>
      <c r="D15064" s="30"/>
    </row>
    <row r="15065" spans="1:4" x14ac:dyDescent="0.25">
      <c r="A15065" s="31"/>
      <c r="D15065" s="30"/>
    </row>
    <row r="15066" spans="1:4" x14ac:dyDescent="0.25">
      <c r="A15066" s="31"/>
      <c r="D15066" s="30"/>
    </row>
    <row r="15067" spans="1:4" x14ac:dyDescent="0.25">
      <c r="A15067" s="31"/>
      <c r="D15067" s="30"/>
    </row>
    <row r="15068" spans="1:4" x14ac:dyDescent="0.25">
      <c r="A15068" s="31"/>
      <c r="D15068" s="30"/>
    </row>
    <row r="15069" spans="1:4" x14ac:dyDescent="0.25">
      <c r="A15069" s="31"/>
      <c r="D15069" s="30"/>
    </row>
    <row r="15070" spans="1:4" x14ac:dyDescent="0.25">
      <c r="A15070" s="31"/>
      <c r="D15070" s="30"/>
    </row>
    <row r="15071" spans="1:4" x14ac:dyDescent="0.25">
      <c r="A15071" s="31"/>
      <c r="D15071" s="30"/>
    </row>
    <row r="15072" spans="1:4" x14ac:dyDescent="0.25">
      <c r="A15072" s="31"/>
      <c r="D15072" s="30"/>
    </row>
    <row r="15073" spans="1:4" x14ac:dyDescent="0.25">
      <c r="A15073" s="31"/>
      <c r="D15073" s="30"/>
    </row>
    <row r="15074" spans="1:4" x14ac:dyDescent="0.25">
      <c r="A15074" s="31"/>
      <c r="D15074" s="30"/>
    </row>
    <row r="15075" spans="1:4" x14ac:dyDescent="0.25">
      <c r="A15075" s="31"/>
      <c r="D15075" s="30"/>
    </row>
    <row r="15076" spans="1:4" x14ac:dyDescent="0.25">
      <c r="A15076" s="31"/>
      <c r="D15076" s="30"/>
    </row>
    <row r="15077" spans="1:4" x14ac:dyDescent="0.25">
      <c r="A15077" s="31"/>
      <c r="D15077" s="30"/>
    </row>
    <row r="15078" spans="1:4" x14ac:dyDescent="0.25">
      <c r="A15078" s="31"/>
      <c r="D15078" s="30"/>
    </row>
    <row r="15079" spans="1:4" x14ac:dyDescent="0.25">
      <c r="A15079" s="31"/>
      <c r="D15079" s="30"/>
    </row>
    <row r="15080" spans="1:4" x14ac:dyDescent="0.25">
      <c r="A15080" s="31"/>
      <c r="D15080" s="30"/>
    </row>
    <row r="15081" spans="1:4" x14ac:dyDescent="0.25">
      <c r="A15081" s="31"/>
      <c r="D15081" s="30"/>
    </row>
    <row r="15082" spans="1:4" x14ac:dyDescent="0.25">
      <c r="A15082" s="31"/>
      <c r="D15082" s="30"/>
    </row>
    <row r="15083" spans="1:4" x14ac:dyDescent="0.25">
      <c r="A15083" s="31"/>
      <c r="D15083" s="30"/>
    </row>
    <row r="15084" spans="1:4" x14ac:dyDescent="0.25">
      <c r="A15084" s="31"/>
      <c r="D15084" s="30"/>
    </row>
    <row r="15085" spans="1:4" x14ac:dyDescent="0.25">
      <c r="A15085" s="31"/>
      <c r="D15085" s="30"/>
    </row>
    <row r="15086" spans="1:4" x14ac:dyDescent="0.25">
      <c r="A15086" s="31"/>
      <c r="D15086" s="30"/>
    </row>
    <row r="15087" spans="1:4" x14ac:dyDescent="0.25">
      <c r="A15087" s="31"/>
      <c r="D15087" s="30"/>
    </row>
    <row r="15088" spans="1:4" x14ac:dyDescent="0.25">
      <c r="A15088" s="31"/>
      <c r="D15088" s="30"/>
    </row>
    <row r="15089" spans="1:4" x14ac:dyDescent="0.25">
      <c r="A15089" s="31"/>
      <c r="D15089" s="30"/>
    </row>
    <row r="15090" spans="1:4" x14ac:dyDescent="0.25">
      <c r="A15090" s="31"/>
      <c r="D15090" s="30"/>
    </row>
    <row r="15091" spans="1:4" x14ac:dyDescent="0.25">
      <c r="A15091" s="31"/>
      <c r="D15091" s="30"/>
    </row>
    <row r="15092" spans="1:4" x14ac:dyDescent="0.25">
      <c r="A15092" s="31"/>
      <c r="D15092" s="30"/>
    </row>
    <row r="15093" spans="1:4" x14ac:dyDescent="0.25">
      <c r="A15093" s="31"/>
      <c r="D15093" s="30"/>
    </row>
    <row r="15094" spans="1:4" x14ac:dyDescent="0.25">
      <c r="A15094" s="31"/>
      <c r="D15094" s="30"/>
    </row>
    <row r="15095" spans="1:4" x14ac:dyDescent="0.25">
      <c r="A15095" s="31"/>
      <c r="D15095" s="30"/>
    </row>
    <row r="15096" spans="1:4" x14ac:dyDescent="0.25">
      <c r="A15096" s="31"/>
      <c r="D15096" s="30"/>
    </row>
    <row r="15097" spans="1:4" x14ac:dyDescent="0.25">
      <c r="A15097" s="31"/>
      <c r="D15097" s="30"/>
    </row>
    <row r="15098" spans="1:4" x14ac:dyDescent="0.25">
      <c r="A15098" s="31"/>
      <c r="D15098" s="30"/>
    </row>
    <row r="15099" spans="1:4" x14ac:dyDescent="0.25">
      <c r="A15099" s="31"/>
      <c r="D15099" s="30"/>
    </row>
    <row r="15100" spans="1:4" x14ac:dyDescent="0.25">
      <c r="A15100" s="31"/>
      <c r="D15100" s="30"/>
    </row>
    <row r="15101" spans="1:4" x14ac:dyDescent="0.25">
      <c r="A15101" s="31"/>
      <c r="D15101" s="30"/>
    </row>
    <row r="15102" spans="1:4" x14ac:dyDescent="0.25">
      <c r="A15102" s="31"/>
      <c r="D15102" s="30"/>
    </row>
    <row r="15103" spans="1:4" x14ac:dyDescent="0.25">
      <c r="A15103" s="31"/>
      <c r="D15103" s="30"/>
    </row>
    <row r="15104" spans="1:4" x14ac:dyDescent="0.25">
      <c r="A15104" s="31"/>
      <c r="D15104" s="30"/>
    </row>
    <row r="15105" spans="1:4" x14ac:dyDescent="0.25">
      <c r="A15105" s="31"/>
      <c r="D15105" s="30"/>
    </row>
    <row r="15106" spans="1:4" x14ac:dyDescent="0.25">
      <c r="A15106" s="31"/>
      <c r="D15106" s="30"/>
    </row>
    <row r="15107" spans="1:4" x14ac:dyDescent="0.25">
      <c r="A15107" s="31"/>
      <c r="D15107" s="30"/>
    </row>
    <row r="15108" spans="1:4" x14ac:dyDescent="0.25">
      <c r="A15108" s="31"/>
      <c r="D15108" s="30"/>
    </row>
    <row r="15109" spans="1:4" x14ac:dyDescent="0.25">
      <c r="A15109" s="31"/>
      <c r="D15109" s="30"/>
    </row>
    <row r="15110" spans="1:4" x14ac:dyDescent="0.25">
      <c r="A15110" s="31"/>
      <c r="D15110" s="30"/>
    </row>
    <row r="15111" spans="1:4" x14ac:dyDescent="0.25">
      <c r="A15111" s="31"/>
      <c r="D15111" s="30"/>
    </row>
    <row r="15112" spans="1:4" x14ac:dyDescent="0.25">
      <c r="A15112" s="31"/>
      <c r="D15112" s="30"/>
    </row>
    <row r="15113" spans="1:4" x14ac:dyDescent="0.25">
      <c r="A15113" s="31"/>
      <c r="D15113" s="30"/>
    </row>
    <row r="15114" spans="1:4" x14ac:dyDescent="0.25">
      <c r="A15114" s="31"/>
      <c r="D15114" s="30"/>
    </row>
    <row r="15115" spans="1:4" x14ac:dyDescent="0.25">
      <c r="A15115" s="31"/>
      <c r="D15115" s="30"/>
    </row>
    <row r="15116" spans="1:4" x14ac:dyDescent="0.25">
      <c r="A15116" s="31"/>
      <c r="D15116" s="30"/>
    </row>
    <row r="15117" spans="1:4" x14ac:dyDescent="0.25">
      <c r="A15117" s="31"/>
      <c r="D15117" s="30"/>
    </row>
    <row r="15118" spans="1:4" x14ac:dyDescent="0.25">
      <c r="A15118" s="31"/>
      <c r="D15118" s="30"/>
    </row>
    <row r="15119" spans="1:4" x14ac:dyDescent="0.25">
      <c r="A15119" s="31"/>
      <c r="D15119" s="30"/>
    </row>
    <row r="15120" spans="1:4" x14ac:dyDescent="0.25">
      <c r="A15120" s="31"/>
      <c r="D15120" s="30"/>
    </row>
    <row r="15121" spans="1:4" x14ac:dyDescent="0.25">
      <c r="A15121" s="31"/>
      <c r="D15121" s="30"/>
    </row>
    <row r="15122" spans="1:4" x14ac:dyDescent="0.25">
      <c r="A15122" s="31"/>
      <c r="D15122" s="30"/>
    </row>
    <row r="15123" spans="1:4" x14ac:dyDescent="0.25">
      <c r="A15123" s="31"/>
      <c r="D15123" s="30"/>
    </row>
    <row r="15124" spans="1:4" x14ac:dyDescent="0.25">
      <c r="A15124" s="31"/>
      <c r="D15124" s="30"/>
    </row>
    <row r="15125" spans="1:4" x14ac:dyDescent="0.25">
      <c r="A15125" s="31"/>
      <c r="D15125" s="30"/>
    </row>
    <row r="15126" spans="1:4" x14ac:dyDescent="0.25">
      <c r="A15126" s="31"/>
      <c r="D15126" s="30"/>
    </row>
    <row r="15127" spans="1:4" x14ac:dyDescent="0.25">
      <c r="A15127" s="31"/>
      <c r="D15127" s="30"/>
    </row>
    <row r="15128" spans="1:4" x14ac:dyDescent="0.25">
      <c r="A15128" s="31"/>
      <c r="D15128" s="30"/>
    </row>
    <row r="15129" spans="1:4" x14ac:dyDescent="0.25">
      <c r="A15129" s="31"/>
      <c r="D15129" s="30"/>
    </row>
    <row r="15130" spans="1:4" x14ac:dyDescent="0.25">
      <c r="A15130" s="31"/>
      <c r="D15130" s="30"/>
    </row>
    <row r="15131" spans="1:4" x14ac:dyDescent="0.25">
      <c r="A15131" s="31"/>
      <c r="D15131" s="30"/>
    </row>
    <row r="15132" spans="1:4" x14ac:dyDescent="0.25">
      <c r="A15132" s="31"/>
      <c r="D15132" s="30"/>
    </row>
    <row r="15133" spans="1:4" x14ac:dyDescent="0.25">
      <c r="A15133" s="31"/>
      <c r="D15133" s="30"/>
    </row>
    <row r="15134" spans="1:4" x14ac:dyDescent="0.25">
      <c r="A15134" s="31"/>
      <c r="D15134" s="30"/>
    </row>
    <row r="15135" spans="1:4" x14ac:dyDescent="0.25">
      <c r="A15135" s="31"/>
      <c r="D15135" s="30"/>
    </row>
    <row r="15136" spans="1:4" x14ac:dyDescent="0.25">
      <c r="A15136" s="31"/>
      <c r="D15136" s="30"/>
    </row>
    <row r="15137" spans="1:4" x14ac:dyDescent="0.25">
      <c r="A15137" s="31"/>
      <c r="D15137" s="30"/>
    </row>
    <row r="15138" spans="1:4" x14ac:dyDescent="0.25">
      <c r="A15138" s="31"/>
      <c r="D15138" s="30"/>
    </row>
    <row r="15139" spans="1:4" x14ac:dyDescent="0.25">
      <c r="A15139" s="31"/>
      <c r="D15139" s="30"/>
    </row>
    <row r="15140" spans="1:4" x14ac:dyDescent="0.25">
      <c r="A15140" s="31"/>
      <c r="D15140" s="30"/>
    </row>
    <row r="15141" spans="1:4" x14ac:dyDescent="0.25">
      <c r="A15141" s="31"/>
      <c r="D15141" s="30"/>
    </row>
    <row r="15142" spans="1:4" x14ac:dyDescent="0.25">
      <c r="A15142" s="31"/>
      <c r="D15142" s="30"/>
    </row>
    <row r="15143" spans="1:4" x14ac:dyDescent="0.25">
      <c r="A15143" s="31"/>
      <c r="D15143" s="30"/>
    </row>
    <row r="15144" spans="1:4" x14ac:dyDescent="0.25">
      <c r="A15144" s="31"/>
      <c r="D15144" s="30"/>
    </row>
    <row r="15145" spans="1:4" x14ac:dyDescent="0.25">
      <c r="A15145" s="31"/>
      <c r="D15145" s="30"/>
    </row>
    <row r="15146" spans="1:4" x14ac:dyDescent="0.25">
      <c r="A15146" s="31"/>
      <c r="D15146" s="30"/>
    </row>
    <row r="15147" spans="1:4" x14ac:dyDescent="0.25">
      <c r="A15147" s="31"/>
      <c r="D15147" s="30"/>
    </row>
    <row r="15148" spans="1:4" x14ac:dyDescent="0.25">
      <c r="A15148" s="31"/>
      <c r="D15148" s="30"/>
    </row>
    <row r="15149" spans="1:4" x14ac:dyDescent="0.25">
      <c r="A15149" s="31"/>
      <c r="D15149" s="30"/>
    </row>
    <row r="15150" spans="1:4" x14ac:dyDescent="0.25">
      <c r="A15150" s="31"/>
      <c r="D15150" s="30"/>
    </row>
    <row r="15151" spans="1:4" x14ac:dyDescent="0.25">
      <c r="A15151" s="31"/>
      <c r="D15151" s="30"/>
    </row>
    <row r="15152" spans="1:4" x14ac:dyDescent="0.25">
      <c r="A15152" s="31"/>
      <c r="D15152" s="30"/>
    </row>
    <row r="15153" spans="1:4" x14ac:dyDescent="0.25">
      <c r="A15153" s="31"/>
      <c r="D15153" s="30"/>
    </row>
    <row r="15154" spans="1:4" x14ac:dyDescent="0.25">
      <c r="A15154" s="31"/>
      <c r="D15154" s="30"/>
    </row>
    <row r="15155" spans="1:4" x14ac:dyDescent="0.25">
      <c r="A15155" s="31"/>
      <c r="D15155" s="30"/>
    </row>
    <row r="15156" spans="1:4" x14ac:dyDescent="0.25">
      <c r="A15156" s="31"/>
      <c r="D15156" s="30"/>
    </row>
    <row r="15157" spans="1:4" x14ac:dyDescent="0.25">
      <c r="A15157" s="31"/>
      <c r="D15157" s="30"/>
    </row>
    <row r="15158" spans="1:4" x14ac:dyDescent="0.25">
      <c r="A15158" s="31"/>
      <c r="D15158" s="30"/>
    </row>
    <row r="15159" spans="1:4" x14ac:dyDescent="0.25">
      <c r="A15159" s="31"/>
      <c r="D15159" s="30"/>
    </row>
    <row r="15160" spans="1:4" x14ac:dyDescent="0.25">
      <c r="A15160" s="31"/>
      <c r="D15160" s="30"/>
    </row>
    <row r="15161" spans="1:4" x14ac:dyDescent="0.25">
      <c r="A15161" s="31"/>
      <c r="D15161" s="30"/>
    </row>
    <row r="15162" spans="1:4" x14ac:dyDescent="0.25">
      <c r="A15162" s="31"/>
      <c r="D15162" s="30"/>
    </row>
    <row r="15163" spans="1:4" x14ac:dyDescent="0.25">
      <c r="A15163" s="31"/>
      <c r="D15163" s="30"/>
    </row>
    <row r="15164" spans="1:4" x14ac:dyDescent="0.25">
      <c r="A15164" s="31"/>
      <c r="D15164" s="30"/>
    </row>
    <row r="15165" spans="1:4" x14ac:dyDescent="0.25">
      <c r="A15165" s="31"/>
      <c r="D15165" s="30"/>
    </row>
    <row r="15166" spans="1:4" x14ac:dyDescent="0.25">
      <c r="A15166" s="31"/>
      <c r="D15166" s="30"/>
    </row>
    <row r="15167" spans="1:4" x14ac:dyDescent="0.25">
      <c r="A15167" s="31"/>
      <c r="D15167" s="30"/>
    </row>
    <row r="15168" spans="1:4" x14ac:dyDescent="0.25">
      <c r="A15168" s="31"/>
      <c r="D15168" s="30"/>
    </row>
    <row r="15169" spans="1:4" x14ac:dyDescent="0.25">
      <c r="A15169" s="31"/>
      <c r="D15169" s="30"/>
    </row>
    <row r="15170" spans="1:4" x14ac:dyDescent="0.25">
      <c r="A15170" s="31"/>
      <c r="D15170" s="30"/>
    </row>
    <row r="15171" spans="1:4" x14ac:dyDescent="0.25">
      <c r="A15171" s="31"/>
      <c r="D15171" s="30"/>
    </row>
    <row r="15172" spans="1:4" x14ac:dyDescent="0.25">
      <c r="A15172" s="31"/>
      <c r="D15172" s="30"/>
    </row>
    <row r="15173" spans="1:4" x14ac:dyDescent="0.25">
      <c r="A15173" s="31"/>
      <c r="D15173" s="30"/>
    </row>
    <row r="15174" spans="1:4" x14ac:dyDescent="0.25">
      <c r="A15174" s="31"/>
      <c r="D15174" s="30"/>
    </row>
    <row r="15175" spans="1:4" x14ac:dyDescent="0.25">
      <c r="A15175" s="31"/>
      <c r="D15175" s="30"/>
    </row>
    <row r="15176" spans="1:4" x14ac:dyDescent="0.25">
      <c r="A15176" s="31"/>
      <c r="D15176" s="30"/>
    </row>
    <row r="15177" spans="1:4" x14ac:dyDescent="0.25">
      <c r="A15177" s="31"/>
      <c r="D15177" s="30"/>
    </row>
    <row r="15178" spans="1:4" x14ac:dyDescent="0.25">
      <c r="A15178" s="31"/>
      <c r="D15178" s="30"/>
    </row>
    <row r="15179" spans="1:4" x14ac:dyDescent="0.25">
      <c r="A15179" s="31"/>
      <c r="D15179" s="30"/>
    </row>
    <row r="15180" spans="1:4" x14ac:dyDescent="0.25">
      <c r="A15180" s="31"/>
      <c r="D15180" s="30"/>
    </row>
    <row r="15181" spans="1:4" x14ac:dyDescent="0.25">
      <c r="A15181" s="31"/>
      <c r="D15181" s="30"/>
    </row>
    <row r="15182" spans="1:4" x14ac:dyDescent="0.25">
      <c r="A15182" s="31"/>
      <c r="D15182" s="30"/>
    </row>
    <row r="15183" spans="1:4" x14ac:dyDescent="0.25">
      <c r="A15183" s="31"/>
      <c r="D15183" s="30"/>
    </row>
    <row r="15184" spans="1:4" x14ac:dyDescent="0.25">
      <c r="A15184" s="31"/>
      <c r="D15184" s="30"/>
    </row>
    <row r="15185" spans="1:4" x14ac:dyDescent="0.25">
      <c r="A15185" s="31"/>
      <c r="D15185" s="30"/>
    </row>
    <row r="15186" spans="1:4" x14ac:dyDescent="0.25">
      <c r="A15186" s="31"/>
      <c r="D15186" s="30"/>
    </row>
    <row r="15187" spans="1:4" x14ac:dyDescent="0.25">
      <c r="A15187" s="31"/>
      <c r="D15187" s="30"/>
    </row>
    <row r="15188" spans="1:4" x14ac:dyDescent="0.25">
      <c r="A15188" s="31"/>
      <c r="D15188" s="30"/>
    </row>
    <row r="15189" spans="1:4" x14ac:dyDescent="0.25">
      <c r="A15189" s="31"/>
      <c r="D15189" s="30"/>
    </row>
    <row r="15190" spans="1:4" x14ac:dyDescent="0.25">
      <c r="A15190" s="31"/>
      <c r="D15190" s="30"/>
    </row>
    <row r="15191" spans="1:4" x14ac:dyDescent="0.25">
      <c r="A15191" s="31"/>
      <c r="D15191" s="30"/>
    </row>
    <row r="15192" spans="1:4" x14ac:dyDescent="0.25">
      <c r="A15192" s="31"/>
      <c r="D15192" s="30"/>
    </row>
    <row r="15193" spans="1:4" x14ac:dyDescent="0.25">
      <c r="A15193" s="31"/>
      <c r="D15193" s="30"/>
    </row>
    <row r="15194" spans="1:4" x14ac:dyDescent="0.25">
      <c r="A15194" s="31"/>
      <c r="D15194" s="30"/>
    </row>
    <row r="15195" spans="1:4" x14ac:dyDescent="0.25">
      <c r="A15195" s="31"/>
      <c r="D15195" s="30"/>
    </row>
    <row r="15196" spans="1:4" x14ac:dyDescent="0.25">
      <c r="A15196" s="31"/>
      <c r="D15196" s="30"/>
    </row>
    <row r="15197" spans="1:4" x14ac:dyDescent="0.25">
      <c r="A15197" s="31"/>
      <c r="D15197" s="30"/>
    </row>
    <row r="15198" spans="1:4" x14ac:dyDescent="0.25">
      <c r="A15198" s="31"/>
      <c r="D15198" s="30"/>
    </row>
    <row r="15199" spans="1:4" x14ac:dyDescent="0.25">
      <c r="A15199" s="31"/>
      <c r="D15199" s="30"/>
    </row>
    <row r="15200" spans="1:4" x14ac:dyDescent="0.25">
      <c r="A15200" s="31"/>
      <c r="D15200" s="30"/>
    </row>
    <row r="15201" spans="1:4" x14ac:dyDescent="0.25">
      <c r="A15201" s="31"/>
      <c r="D15201" s="30"/>
    </row>
    <row r="15202" spans="1:4" x14ac:dyDescent="0.25">
      <c r="A15202" s="31"/>
      <c r="D15202" s="30"/>
    </row>
    <row r="15203" spans="1:4" x14ac:dyDescent="0.25">
      <c r="A15203" s="31"/>
      <c r="D15203" s="30"/>
    </row>
    <row r="15204" spans="1:4" x14ac:dyDescent="0.25">
      <c r="A15204" s="31"/>
      <c r="D15204" s="30"/>
    </row>
    <row r="15205" spans="1:4" x14ac:dyDescent="0.25">
      <c r="A15205" s="31"/>
      <c r="D15205" s="30"/>
    </row>
    <row r="15206" spans="1:4" x14ac:dyDescent="0.25">
      <c r="A15206" s="31"/>
      <c r="D15206" s="30"/>
    </row>
    <row r="15207" spans="1:4" x14ac:dyDescent="0.25">
      <c r="A15207" s="31"/>
      <c r="D15207" s="30"/>
    </row>
    <row r="15208" spans="1:4" x14ac:dyDescent="0.25">
      <c r="A15208" s="31"/>
      <c r="D15208" s="30"/>
    </row>
    <row r="15209" spans="1:4" x14ac:dyDescent="0.25">
      <c r="A15209" s="31"/>
      <c r="D15209" s="30"/>
    </row>
    <row r="15210" spans="1:4" x14ac:dyDescent="0.25">
      <c r="A15210" s="31"/>
      <c r="D15210" s="30"/>
    </row>
    <row r="15211" spans="1:4" x14ac:dyDescent="0.25">
      <c r="A15211" s="31"/>
      <c r="D15211" s="30"/>
    </row>
    <row r="15212" spans="1:4" x14ac:dyDescent="0.25">
      <c r="A15212" s="31"/>
      <c r="D15212" s="30"/>
    </row>
    <row r="15213" spans="1:4" x14ac:dyDescent="0.25">
      <c r="A15213" s="31"/>
      <c r="D15213" s="30"/>
    </row>
    <row r="15214" spans="1:4" x14ac:dyDescent="0.25">
      <c r="A15214" s="31"/>
      <c r="D15214" s="30"/>
    </row>
    <row r="15215" spans="1:4" x14ac:dyDescent="0.25">
      <c r="A15215" s="31"/>
      <c r="D15215" s="30"/>
    </row>
    <row r="15216" spans="1:4" x14ac:dyDescent="0.25">
      <c r="A15216" s="31"/>
      <c r="D15216" s="30"/>
    </row>
    <row r="15217" spans="1:4" x14ac:dyDescent="0.25">
      <c r="A15217" s="31"/>
      <c r="D15217" s="30"/>
    </row>
    <row r="15218" spans="1:4" x14ac:dyDescent="0.25">
      <c r="A15218" s="31"/>
      <c r="D15218" s="30"/>
    </row>
    <row r="15219" spans="1:4" x14ac:dyDescent="0.25">
      <c r="A15219" s="31"/>
      <c r="D15219" s="30"/>
    </row>
    <row r="15220" spans="1:4" x14ac:dyDescent="0.25">
      <c r="A15220" s="31"/>
      <c r="D15220" s="30"/>
    </row>
    <row r="15221" spans="1:4" x14ac:dyDescent="0.25">
      <c r="A15221" s="31"/>
      <c r="D15221" s="30"/>
    </row>
    <row r="15222" spans="1:4" x14ac:dyDescent="0.25">
      <c r="A15222" s="31"/>
      <c r="D15222" s="30"/>
    </row>
    <row r="15223" spans="1:4" x14ac:dyDescent="0.25">
      <c r="A15223" s="31"/>
      <c r="D15223" s="30"/>
    </row>
    <row r="15224" spans="1:4" x14ac:dyDescent="0.25">
      <c r="A15224" s="31"/>
      <c r="D15224" s="30"/>
    </row>
    <row r="15225" spans="1:4" x14ac:dyDescent="0.25">
      <c r="A15225" s="31"/>
      <c r="D15225" s="30"/>
    </row>
    <row r="15226" spans="1:4" x14ac:dyDescent="0.25">
      <c r="A15226" s="31"/>
      <c r="D15226" s="30"/>
    </row>
    <row r="15227" spans="1:4" x14ac:dyDescent="0.25">
      <c r="A15227" s="31"/>
      <c r="D15227" s="30"/>
    </row>
    <row r="15228" spans="1:4" x14ac:dyDescent="0.25">
      <c r="A15228" s="31"/>
      <c r="D15228" s="30"/>
    </row>
    <row r="15229" spans="1:4" x14ac:dyDescent="0.25">
      <c r="A15229" s="31"/>
      <c r="D15229" s="30"/>
    </row>
    <row r="15230" spans="1:4" x14ac:dyDescent="0.25">
      <c r="A15230" s="31"/>
      <c r="D15230" s="30"/>
    </row>
    <row r="15231" spans="1:4" x14ac:dyDescent="0.25">
      <c r="A15231" s="31"/>
      <c r="D15231" s="30"/>
    </row>
    <row r="15232" spans="1:4" x14ac:dyDescent="0.25">
      <c r="A15232" s="31"/>
      <c r="D15232" s="30"/>
    </row>
    <row r="15233" spans="1:4" x14ac:dyDescent="0.25">
      <c r="A15233" s="31"/>
      <c r="D15233" s="30"/>
    </row>
    <row r="15234" spans="1:4" x14ac:dyDescent="0.25">
      <c r="A15234" s="31"/>
      <c r="D15234" s="30"/>
    </row>
    <row r="15235" spans="1:4" x14ac:dyDescent="0.25">
      <c r="A15235" s="31"/>
      <c r="D15235" s="30"/>
    </row>
    <row r="15236" spans="1:4" x14ac:dyDescent="0.25">
      <c r="A15236" s="31"/>
      <c r="D15236" s="30"/>
    </row>
    <row r="15237" spans="1:4" x14ac:dyDescent="0.25">
      <c r="A15237" s="31"/>
      <c r="D15237" s="30"/>
    </row>
    <row r="15238" spans="1:4" x14ac:dyDescent="0.25">
      <c r="A15238" s="31"/>
      <c r="D15238" s="30"/>
    </row>
    <row r="15239" spans="1:4" x14ac:dyDescent="0.25">
      <c r="A15239" s="31"/>
      <c r="D15239" s="30"/>
    </row>
    <row r="15240" spans="1:4" x14ac:dyDescent="0.25">
      <c r="A15240" s="31"/>
      <c r="D15240" s="30"/>
    </row>
    <row r="15241" spans="1:4" x14ac:dyDescent="0.25">
      <c r="A15241" s="31"/>
      <c r="D15241" s="30"/>
    </row>
    <row r="15242" spans="1:4" x14ac:dyDescent="0.25">
      <c r="A15242" s="31"/>
      <c r="D15242" s="30"/>
    </row>
    <row r="15243" spans="1:4" x14ac:dyDescent="0.25">
      <c r="A15243" s="31"/>
      <c r="D15243" s="30"/>
    </row>
    <row r="15244" spans="1:4" x14ac:dyDescent="0.25">
      <c r="A15244" s="31"/>
      <c r="D15244" s="30"/>
    </row>
    <row r="15245" spans="1:4" x14ac:dyDescent="0.25">
      <c r="A15245" s="31"/>
      <c r="D15245" s="30"/>
    </row>
    <row r="15246" spans="1:4" x14ac:dyDescent="0.25">
      <c r="A15246" s="31"/>
      <c r="D15246" s="30"/>
    </row>
    <row r="15247" spans="1:4" x14ac:dyDescent="0.25">
      <c r="A15247" s="31"/>
      <c r="D15247" s="30"/>
    </row>
    <row r="15248" spans="1:4" x14ac:dyDescent="0.25">
      <c r="A15248" s="31"/>
      <c r="D15248" s="30"/>
    </row>
    <row r="15249" spans="1:4" x14ac:dyDescent="0.25">
      <c r="A15249" s="31"/>
      <c r="D15249" s="30"/>
    </row>
    <row r="15250" spans="1:4" x14ac:dyDescent="0.25">
      <c r="A15250" s="31"/>
      <c r="D15250" s="30"/>
    </row>
    <row r="15251" spans="1:4" x14ac:dyDescent="0.25">
      <c r="A15251" s="31"/>
      <c r="D15251" s="30"/>
    </row>
    <row r="15252" spans="1:4" x14ac:dyDescent="0.25">
      <c r="A15252" s="31"/>
      <c r="D15252" s="30"/>
    </row>
    <row r="15253" spans="1:4" x14ac:dyDescent="0.25">
      <c r="A15253" s="31"/>
      <c r="D15253" s="30"/>
    </row>
    <row r="15254" spans="1:4" x14ac:dyDescent="0.25">
      <c r="A15254" s="31"/>
      <c r="D15254" s="30"/>
    </row>
    <row r="15255" spans="1:4" x14ac:dyDescent="0.25">
      <c r="A15255" s="31"/>
      <c r="D15255" s="30"/>
    </row>
    <row r="15256" spans="1:4" x14ac:dyDescent="0.25">
      <c r="A15256" s="31"/>
      <c r="D15256" s="30"/>
    </row>
    <row r="15257" spans="1:4" x14ac:dyDescent="0.25">
      <c r="A15257" s="31"/>
      <c r="D15257" s="30"/>
    </row>
    <row r="15258" spans="1:4" x14ac:dyDescent="0.25">
      <c r="A15258" s="31"/>
      <c r="D15258" s="30"/>
    </row>
    <row r="15259" spans="1:4" x14ac:dyDescent="0.25">
      <c r="A15259" s="31"/>
      <c r="D15259" s="30"/>
    </row>
    <row r="15260" spans="1:4" x14ac:dyDescent="0.25">
      <c r="A15260" s="31"/>
      <c r="D15260" s="30"/>
    </row>
    <row r="15261" spans="1:4" x14ac:dyDescent="0.25">
      <c r="A15261" s="31"/>
      <c r="D15261" s="30"/>
    </row>
    <row r="15262" spans="1:4" x14ac:dyDescent="0.25">
      <c r="A15262" s="31"/>
      <c r="D15262" s="30"/>
    </row>
    <row r="15263" spans="1:4" x14ac:dyDescent="0.25">
      <c r="A15263" s="31"/>
      <c r="D15263" s="30"/>
    </row>
    <row r="15264" spans="1:4" x14ac:dyDescent="0.25">
      <c r="A15264" s="31"/>
      <c r="D15264" s="30"/>
    </row>
    <row r="15265" spans="1:4" x14ac:dyDescent="0.25">
      <c r="A15265" s="31"/>
      <c r="D15265" s="30"/>
    </row>
    <row r="15266" spans="1:4" x14ac:dyDescent="0.25">
      <c r="A15266" s="31"/>
      <c r="D15266" s="30"/>
    </row>
    <row r="15267" spans="1:4" x14ac:dyDescent="0.25">
      <c r="A15267" s="31"/>
      <c r="D15267" s="30"/>
    </row>
    <row r="15268" spans="1:4" x14ac:dyDescent="0.25">
      <c r="A15268" s="31"/>
      <c r="D15268" s="30"/>
    </row>
    <row r="15269" spans="1:4" x14ac:dyDescent="0.25">
      <c r="A15269" s="31"/>
      <c r="D15269" s="30"/>
    </row>
    <row r="15270" spans="1:4" x14ac:dyDescent="0.25">
      <c r="A15270" s="31"/>
      <c r="D15270" s="30"/>
    </row>
    <row r="15271" spans="1:4" x14ac:dyDescent="0.25">
      <c r="A15271" s="31"/>
      <c r="D15271" s="30"/>
    </row>
    <row r="15272" spans="1:4" x14ac:dyDescent="0.25">
      <c r="A15272" s="31"/>
      <c r="D15272" s="30"/>
    </row>
    <row r="15273" spans="1:4" x14ac:dyDescent="0.25">
      <c r="A15273" s="31"/>
      <c r="D15273" s="30"/>
    </row>
    <row r="15274" spans="1:4" x14ac:dyDescent="0.25">
      <c r="A15274" s="31"/>
      <c r="D15274" s="30"/>
    </row>
    <row r="15275" spans="1:4" x14ac:dyDescent="0.25">
      <c r="A15275" s="31"/>
      <c r="D15275" s="30"/>
    </row>
    <row r="15276" spans="1:4" x14ac:dyDescent="0.25">
      <c r="A15276" s="31"/>
      <c r="D15276" s="30"/>
    </row>
    <row r="15277" spans="1:4" x14ac:dyDescent="0.25">
      <c r="A15277" s="31"/>
      <c r="D15277" s="30"/>
    </row>
    <row r="15278" spans="1:4" x14ac:dyDescent="0.25">
      <c r="A15278" s="31"/>
      <c r="D15278" s="30"/>
    </row>
    <row r="15279" spans="1:4" x14ac:dyDescent="0.25">
      <c r="A15279" s="31"/>
      <c r="D15279" s="30"/>
    </row>
    <row r="15280" spans="1:4" x14ac:dyDescent="0.25">
      <c r="A15280" s="31"/>
      <c r="D15280" s="30"/>
    </row>
    <row r="15281" spans="1:4" x14ac:dyDescent="0.25">
      <c r="A15281" s="31"/>
      <c r="D15281" s="30"/>
    </row>
    <row r="15282" spans="1:4" x14ac:dyDescent="0.25">
      <c r="A15282" s="31"/>
      <c r="D15282" s="30"/>
    </row>
    <row r="15283" spans="1:4" x14ac:dyDescent="0.25">
      <c r="A15283" s="31"/>
      <c r="D15283" s="30"/>
    </row>
    <row r="15284" spans="1:4" x14ac:dyDescent="0.25">
      <c r="A15284" s="31"/>
      <c r="D15284" s="30"/>
    </row>
    <row r="15285" spans="1:4" x14ac:dyDescent="0.25">
      <c r="A15285" s="31"/>
      <c r="D15285" s="30"/>
    </row>
    <row r="15286" spans="1:4" x14ac:dyDescent="0.25">
      <c r="A15286" s="31"/>
      <c r="D15286" s="30"/>
    </row>
    <row r="15287" spans="1:4" x14ac:dyDescent="0.25">
      <c r="A15287" s="31"/>
      <c r="D15287" s="30"/>
    </row>
    <row r="15288" spans="1:4" x14ac:dyDescent="0.25">
      <c r="A15288" s="31"/>
      <c r="D15288" s="30"/>
    </row>
    <row r="15289" spans="1:4" x14ac:dyDescent="0.25">
      <c r="A15289" s="31"/>
      <c r="D15289" s="30"/>
    </row>
    <row r="15290" spans="1:4" x14ac:dyDescent="0.25">
      <c r="A15290" s="31"/>
      <c r="D15290" s="30"/>
    </row>
    <row r="15291" spans="1:4" x14ac:dyDescent="0.25">
      <c r="A15291" s="31"/>
      <c r="D15291" s="30"/>
    </row>
    <row r="15292" spans="1:4" x14ac:dyDescent="0.25">
      <c r="A15292" s="31"/>
      <c r="D15292" s="30"/>
    </row>
    <row r="15293" spans="1:4" x14ac:dyDescent="0.25">
      <c r="A15293" s="31"/>
      <c r="D15293" s="30"/>
    </row>
    <row r="15294" spans="1:4" x14ac:dyDescent="0.25">
      <c r="A15294" s="31"/>
      <c r="D15294" s="30"/>
    </row>
    <row r="15295" spans="1:4" x14ac:dyDescent="0.25">
      <c r="A15295" s="31"/>
      <c r="D15295" s="30"/>
    </row>
    <row r="15296" spans="1:4" x14ac:dyDescent="0.25">
      <c r="A15296" s="31"/>
      <c r="D15296" s="30"/>
    </row>
    <row r="15297" spans="1:4" x14ac:dyDescent="0.25">
      <c r="A15297" s="31"/>
      <c r="D15297" s="30"/>
    </row>
    <row r="15298" spans="1:4" x14ac:dyDescent="0.25">
      <c r="A15298" s="31"/>
      <c r="D15298" s="30"/>
    </row>
    <row r="15299" spans="1:4" x14ac:dyDescent="0.25">
      <c r="A15299" s="31"/>
      <c r="D15299" s="30"/>
    </row>
    <row r="15300" spans="1:4" x14ac:dyDescent="0.25">
      <c r="A15300" s="31"/>
      <c r="D15300" s="30"/>
    </row>
    <row r="15301" spans="1:4" x14ac:dyDescent="0.25">
      <c r="A15301" s="31"/>
      <c r="D15301" s="30"/>
    </row>
    <row r="15302" spans="1:4" x14ac:dyDescent="0.25">
      <c r="A15302" s="31"/>
      <c r="D15302" s="30"/>
    </row>
    <row r="15303" spans="1:4" x14ac:dyDescent="0.25">
      <c r="A15303" s="31"/>
      <c r="D15303" s="30"/>
    </row>
    <row r="15304" spans="1:4" x14ac:dyDescent="0.25">
      <c r="A15304" s="31"/>
      <c r="D15304" s="30"/>
    </row>
    <row r="15305" spans="1:4" x14ac:dyDescent="0.25">
      <c r="A15305" s="31"/>
      <c r="D15305" s="30"/>
    </row>
    <row r="15306" spans="1:4" x14ac:dyDescent="0.25">
      <c r="A15306" s="31"/>
      <c r="D15306" s="30"/>
    </row>
    <row r="15307" spans="1:4" x14ac:dyDescent="0.25">
      <c r="A15307" s="31"/>
      <c r="D15307" s="30"/>
    </row>
    <row r="15308" spans="1:4" x14ac:dyDescent="0.25">
      <c r="A15308" s="31"/>
      <c r="D15308" s="30"/>
    </row>
    <row r="15309" spans="1:4" x14ac:dyDescent="0.25">
      <c r="A15309" s="31"/>
      <c r="D15309" s="30"/>
    </row>
    <row r="15310" spans="1:4" x14ac:dyDescent="0.25">
      <c r="A15310" s="31"/>
      <c r="D15310" s="30"/>
    </row>
    <row r="15311" spans="1:4" x14ac:dyDescent="0.25">
      <c r="A15311" s="31"/>
      <c r="D15311" s="30"/>
    </row>
    <row r="15312" spans="1:4" x14ac:dyDescent="0.25">
      <c r="A15312" s="31"/>
      <c r="D15312" s="30"/>
    </row>
    <row r="15313" spans="1:4" x14ac:dyDescent="0.25">
      <c r="A15313" s="31"/>
      <c r="D15313" s="30"/>
    </row>
    <row r="15314" spans="1:4" x14ac:dyDescent="0.25">
      <c r="A15314" s="31"/>
      <c r="D15314" s="30"/>
    </row>
    <row r="15315" spans="1:4" x14ac:dyDescent="0.25">
      <c r="A15315" s="31"/>
      <c r="D15315" s="30"/>
    </row>
    <row r="15316" spans="1:4" x14ac:dyDescent="0.25">
      <c r="A15316" s="31"/>
      <c r="D15316" s="30"/>
    </row>
    <row r="15317" spans="1:4" x14ac:dyDescent="0.25">
      <c r="A15317" s="31"/>
      <c r="D15317" s="30"/>
    </row>
    <row r="15318" spans="1:4" x14ac:dyDescent="0.25">
      <c r="A15318" s="31"/>
      <c r="D15318" s="30"/>
    </row>
    <row r="15319" spans="1:4" x14ac:dyDescent="0.25">
      <c r="A15319" s="31"/>
      <c r="D15319" s="30"/>
    </row>
    <row r="15320" spans="1:4" x14ac:dyDescent="0.25">
      <c r="A15320" s="31"/>
      <c r="D15320" s="30"/>
    </row>
    <row r="15321" spans="1:4" x14ac:dyDescent="0.25">
      <c r="A15321" s="31"/>
      <c r="D15321" s="30"/>
    </row>
    <row r="15322" spans="1:4" x14ac:dyDescent="0.25">
      <c r="A15322" s="31"/>
      <c r="D15322" s="30"/>
    </row>
    <row r="15323" spans="1:4" x14ac:dyDescent="0.25">
      <c r="A15323" s="31"/>
      <c r="D15323" s="30"/>
    </row>
    <row r="15324" spans="1:4" x14ac:dyDescent="0.25">
      <c r="A15324" s="31"/>
      <c r="D15324" s="30"/>
    </row>
    <row r="15325" spans="1:4" x14ac:dyDescent="0.25">
      <c r="A15325" s="31"/>
      <c r="D15325" s="30"/>
    </row>
    <row r="15326" spans="1:4" x14ac:dyDescent="0.25">
      <c r="A15326" s="31"/>
      <c r="D15326" s="30"/>
    </row>
    <row r="15327" spans="1:4" x14ac:dyDescent="0.25">
      <c r="A15327" s="31"/>
      <c r="D15327" s="30"/>
    </row>
    <row r="15328" spans="1:4" x14ac:dyDescent="0.25">
      <c r="A15328" s="31"/>
      <c r="D15328" s="30"/>
    </row>
    <row r="15329" spans="1:4" x14ac:dyDescent="0.25">
      <c r="A15329" s="31"/>
      <c r="D15329" s="30"/>
    </row>
    <row r="15330" spans="1:4" x14ac:dyDescent="0.25">
      <c r="A15330" s="31"/>
      <c r="D15330" s="30"/>
    </row>
    <row r="15331" spans="1:4" x14ac:dyDescent="0.25">
      <c r="A15331" s="31"/>
      <c r="D15331" s="30"/>
    </row>
    <row r="15332" spans="1:4" x14ac:dyDescent="0.25">
      <c r="A15332" s="31"/>
      <c r="D15332" s="30"/>
    </row>
    <row r="15333" spans="1:4" x14ac:dyDescent="0.25">
      <c r="A15333" s="31"/>
      <c r="D15333" s="30"/>
    </row>
    <row r="15334" spans="1:4" x14ac:dyDescent="0.25">
      <c r="A15334" s="31"/>
      <c r="D15334" s="30"/>
    </row>
    <row r="15335" spans="1:4" x14ac:dyDescent="0.25">
      <c r="A15335" s="31"/>
      <c r="D15335" s="30"/>
    </row>
    <row r="15336" spans="1:4" x14ac:dyDescent="0.25">
      <c r="A15336" s="31"/>
      <c r="D15336" s="30"/>
    </row>
    <row r="15337" spans="1:4" x14ac:dyDescent="0.25">
      <c r="A15337" s="31"/>
      <c r="D15337" s="30"/>
    </row>
    <row r="15338" spans="1:4" x14ac:dyDescent="0.25">
      <c r="A15338" s="31"/>
      <c r="D15338" s="30"/>
    </row>
    <row r="15339" spans="1:4" x14ac:dyDescent="0.25">
      <c r="A15339" s="31"/>
      <c r="D15339" s="30"/>
    </row>
    <row r="15340" spans="1:4" x14ac:dyDescent="0.25">
      <c r="A15340" s="31"/>
      <c r="D15340" s="30"/>
    </row>
    <row r="15341" spans="1:4" x14ac:dyDescent="0.25">
      <c r="A15341" s="31"/>
      <c r="D15341" s="30"/>
    </row>
    <row r="15342" spans="1:4" x14ac:dyDescent="0.25">
      <c r="A15342" s="31"/>
      <c r="D15342" s="30"/>
    </row>
    <row r="15343" spans="1:4" x14ac:dyDescent="0.25">
      <c r="A15343" s="31"/>
      <c r="D15343" s="30"/>
    </row>
    <row r="15344" spans="1:4" x14ac:dyDescent="0.25">
      <c r="A15344" s="31"/>
      <c r="D15344" s="30"/>
    </row>
    <row r="15345" spans="1:4" x14ac:dyDescent="0.25">
      <c r="A15345" s="31"/>
      <c r="D15345" s="30"/>
    </row>
    <row r="15346" spans="1:4" x14ac:dyDescent="0.25">
      <c r="A15346" s="31"/>
      <c r="D15346" s="30"/>
    </row>
    <row r="15347" spans="1:4" x14ac:dyDescent="0.25">
      <c r="A15347" s="31"/>
      <c r="D15347" s="30"/>
    </row>
    <row r="15348" spans="1:4" x14ac:dyDescent="0.25">
      <c r="A15348" s="31"/>
      <c r="D15348" s="30"/>
    </row>
    <row r="15349" spans="1:4" x14ac:dyDescent="0.25">
      <c r="A15349" s="31"/>
      <c r="D15349" s="30"/>
    </row>
    <row r="15350" spans="1:4" x14ac:dyDescent="0.25">
      <c r="A15350" s="31"/>
      <c r="D15350" s="30"/>
    </row>
    <row r="15351" spans="1:4" x14ac:dyDescent="0.25">
      <c r="A15351" s="31"/>
      <c r="D15351" s="30"/>
    </row>
    <row r="15352" spans="1:4" x14ac:dyDescent="0.25">
      <c r="A15352" s="31"/>
      <c r="D15352" s="30"/>
    </row>
    <row r="15353" spans="1:4" x14ac:dyDescent="0.25">
      <c r="A15353" s="31"/>
      <c r="D15353" s="30"/>
    </row>
    <row r="15354" spans="1:4" x14ac:dyDescent="0.25">
      <c r="A15354" s="31"/>
      <c r="D15354" s="30"/>
    </row>
    <row r="15355" spans="1:4" x14ac:dyDescent="0.25">
      <c r="A15355" s="31"/>
      <c r="D15355" s="30"/>
    </row>
    <row r="15356" spans="1:4" x14ac:dyDescent="0.25">
      <c r="A15356" s="31"/>
      <c r="D15356" s="30"/>
    </row>
    <row r="15357" spans="1:4" x14ac:dyDescent="0.25">
      <c r="A15357" s="31"/>
      <c r="D15357" s="30"/>
    </row>
    <row r="15358" spans="1:4" x14ac:dyDescent="0.25">
      <c r="A15358" s="31"/>
      <c r="D15358" s="30"/>
    </row>
    <row r="15359" spans="1:4" x14ac:dyDescent="0.25">
      <c r="A15359" s="31"/>
      <c r="D15359" s="30"/>
    </row>
    <row r="15360" spans="1:4" x14ac:dyDescent="0.25">
      <c r="A15360" s="31"/>
      <c r="D15360" s="30"/>
    </row>
    <row r="15361" spans="1:4" x14ac:dyDescent="0.25">
      <c r="A15361" s="31"/>
      <c r="D15361" s="30"/>
    </row>
    <row r="15362" spans="1:4" x14ac:dyDescent="0.25">
      <c r="A15362" s="31"/>
      <c r="D15362" s="30"/>
    </row>
    <row r="15363" spans="1:4" x14ac:dyDescent="0.25">
      <c r="A15363" s="31"/>
      <c r="D15363" s="30"/>
    </row>
    <row r="15364" spans="1:4" x14ac:dyDescent="0.25">
      <c r="A15364" s="31"/>
      <c r="D15364" s="30"/>
    </row>
    <row r="15365" spans="1:4" x14ac:dyDescent="0.25">
      <c r="A15365" s="31"/>
      <c r="D15365" s="30"/>
    </row>
    <row r="15366" spans="1:4" x14ac:dyDescent="0.25">
      <c r="A15366" s="31"/>
      <c r="D15366" s="30"/>
    </row>
    <row r="15367" spans="1:4" x14ac:dyDescent="0.25">
      <c r="A15367" s="31"/>
      <c r="D15367" s="30"/>
    </row>
    <row r="15368" spans="1:4" x14ac:dyDescent="0.25">
      <c r="A15368" s="31"/>
      <c r="D15368" s="30"/>
    </row>
    <row r="15369" spans="1:4" x14ac:dyDescent="0.25">
      <c r="A15369" s="31"/>
      <c r="D15369" s="30"/>
    </row>
    <row r="15370" spans="1:4" x14ac:dyDescent="0.25">
      <c r="A15370" s="31"/>
      <c r="D15370" s="30"/>
    </row>
    <row r="15371" spans="1:4" x14ac:dyDescent="0.25">
      <c r="A15371" s="31"/>
      <c r="D15371" s="30"/>
    </row>
    <row r="15372" spans="1:4" x14ac:dyDescent="0.25">
      <c r="A15372" s="31"/>
      <c r="D15372" s="30"/>
    </row>
    <row r="15373" spans="1:4" x14ac:dyDescent="0.25">
      <c r="A15373" s="31"/>
      <c r="D15373" s="30"/>
    </row>
    <row r="15374" spans="1:4" x14ac:dyDescent="0.25">
      <c r="A15374" s="31"/>
      <c r="D15374" s="30"/>
    </row>
    <row r="15375" spans="1:4" x14ac:dyDescent="0.25">
      <c r="A15375" s="31"/>
      <c r="D15375" s="30"/>
    </row>
    <row r="15376" spans="1:4" x14ac:dyDescent="0.25">
      <c r="A15376" s="31"/>
      <c r="D15376" s="30"/>
    </row>
    <row r="15377" spans="1:4" x14ac:dyDescent="0.25">
      <c r="A15377" s="31"/>
      <c r="D15377" s="30"/>
    </row>
    <row r="15378" spans="1:4" x14ac:dyDescent="0.25">
      <c r="A15378" s="31"/>
      <c r="D15378" s="30"/>
    </row>
    <row r="15379" spans="1:4" x14ac:dyDescent="0.25">
      <c r="A15379" s="31"/>
      <c r="D15379" s="30"/>
    </row>
    <row r="15380" spans="1:4" x14ac:dyDescent="0.25">
      <c r="A15380" s="31"/>
      <c r="D15380" s="30"/>
    </row>
    <row r="15381" spans="1:4" x14ac:dyDescent="0.25">
      <c r="A15381" s="31"/>
      <c r="D15381" s="30"/>
    </row>
    <row r="15382" spans="1:4" x14ac:dyDescent="0.25">
      <c r="A15382" s="31"/>
      <c r="D15382" s="30"/>
    </row>
    <row r="15383" spans="1:4" x14ac:dyDescent="0.25">
      <c r="A15383" s="31"/>
      <c r="D15383" s="30"/>
    </row>
    <row r="15384" spans="1:4" x14ac:dyDescent="0.25">
      <c r="A15384" s="31"/>
      <c r="D15384" s="30"/>
    </row>
    <row r="15385" spans="1:4" x14ac:dyDescent="0.25">
      <c r="A15385" s="31"/>
      <c r="D15385" s="30"/>
    </row>
    <row r="15386" spans="1:4" x14ac:dyDescent="0.25">
      <c r="A15386" s="31"/>
      <c r="D15386" s="30"/>
    </row>
    <row r="15387" spans="1:4" x14ac:dyDescent="0.25">
      <c r="A15387" s="31"/>
      <c r="D15387" s="30"/>
    </row>
    <row r="15388" spans="1:4" x14ac:dyDescent="0.25">
      <c r="A15388" s="31"/>
      <c r="D15388" s="30"/>
    </row>
    <row r="15389" spans="1:4" x14ac:dyDescent="0.25">
      <c r="A15389" s="31"/>
      <c r="D15389" s="30"/>
    </row>
    <row r="15390" spans="1:4" x14ac:dyDescent="0.25">
      <c r="A15390" s="31"/>
      <c r="D15390" s="30"/>
    </row>
    <row r="15391" spans="1:4" x14ac:dyDescent="0.25">
      <c r="A15391" s="31"/>
      <c r="D15391" s="30"/>
    </row>
    <row r="15392" spans="1:4" x14ac:dyDescent="0.25">
      <c r="A15392" s="31"/>
      <c r="D15392" s="30"/>
    </row>
    <row r="15393" spans="1:4" x14ac:dyDescent="0.25">
      <c r="A15393" s="31"/>
      <c r="D15393" s="30"/>
    </row>
    <row r="15394" spans="1:4" x14ac:dyDescent="0.25">
      <c r="A15394" s="31"/>
      <c r="D15394" s="30"/>
    </row>
    <row r="15395" spans="1:4" x14ac:dyDescent="0.25">
      <c r="A15395" s="31"/>
      <c r="D15395" s="30"/>
    </row>
    <row r="15396" spans="1:4" x14ac:dyDescent="0.25">
      <c r="A15396" s="31"/>
      <c r="D15396" s="30"/>
    </row>
    <row r="15397" spans="1:4" x14ac:dyDescent="0.25">
      <c r="A15397" s="31"/>
      <c r="D15397" s="30"/>
    </row>
    <row r="15398" spans="1:4" x14ac:dyDescent="0.25">
      <c r="A15398" s="31"/>
      <c r="D15398" s="30"/>
    </row>
    <row r="15399" spans="1:4" x14ac:dyDescent="0.25">
      <c r="A15399" s="31"/>
      <c r="D15399" s="30"/>
    </row>
    <row r="15400" spans="1:4" x14ac:dyDescent="0.25">
      <c r="A15400" s="31"/>
      <c r="D15400" s="30"/>
    </row>
    <row r="15401" spans="1:4" x14ac:dyDescent="0.25">
      <c r="A15401" s="31"/>
      <c r="D15401" s="30"/>
    </row>
    <row r="15402" spans="1:4" x14ac:dyDescent="0.25">
      <c r="A15402" s="31"/>
      <c r="D15402" s="30"/>
    </row>
    <row r="15403" spans="1:4" x14ac:dyDescent="0.25">
      <c r="A15403" s="31"/>
      <c r="D15403" s="30"/>
    </row>
    <row r="15404" spans="1:4" x14ac:dyDescent="0.25">
      <c r="A15404" s="31"/>
      <c r="D15404" s="30"/>
    </row>
    <row r="15405" spans="1:4" x14ac:dyDescent="0.25">
      <c r="A15405" s="31"/>
      <c r="D15405" s="30"/>
    </row>
    <row r="15406" spans="1:4" x14ac:dyDescent="0.25">
      <c r="A15406" s="31"/>
      <c r="D15406" s="30"/>
    </row>
    <row r="15407" spans="1:4" x14ac:dyDescent="0.25">
      <c r="A15407" s="31"/>
      <c r="D15407" s="30"/>
    </row>
    <row r="15408" spans="1:4" x14ac:dyDescent="0.25">
      <c r="A15408" s="31"/>
      <c r="D15408" s="30"/>
    </row>
    <row r="15409" spans="1:4" x14ac:dyDescent="0.25">
      <c r="A15409" s="31"/>
      <c r="D15409" s="30"/>
    </row>
    <row r="15410" spans="1:4" x14ac:dyDescent="0.25">
      <c r="A15410" s="31"/>
      <c r="D15410" s="30"/>
    </row>
    <row r="15411" spans="1:4" x14ac:dyDescent="0.25">
      <c r="A15411" s="31"/>
      <c r="D15411" s="30"/>
    </row>
    <row r="15412" spans="1:4" x14ac:dyDescent="0.25">
      <c r="A15412" s="31"/>
      <c r="D15412" s="30"/>
    </row>
    <row r="15413" spans="1:4" x14ac:dyDescent="0.25">
      <c r="A15413" s="31"/>
      <c r="D15413" s="30"/>
    </row>
    <row r="15414" spans="1:4" x14ac:dyDescent="0.25">
      <c r="A15414" s="31"/>
      <c r="D15414" s="30"/>
    </row>
    <row r="15415" spans="1:4" x14ac:dyDescent="0.25">
      <c r="A15415" s="31"/>
      <c r="D15415" s="30"/>
    </row>
    <row r="15416" spans="1:4" x14ac:dyDescent="0.25">
      <c r="A15416" s="31"/>
      <c r="D15416" s="30"/>
    </row>
    <row r="15417" spans="1:4" x14ac:dyDescent="0.25">
      <c r="A15417" s="31"/>
      <c r="D15417" s="30"/>
    </row>
    <row r="15418" spans="1:4" x14ac:dyDescent="0.25">
      <c r="A15418" s="31"/>
      <c r="D15418" s="30"/>
    </row>
    <row r="15419" spans="1:4" x14ac:dyDescent="0.25">
      <c r="A15419" s="31"/>
      <c r="D15419" s="30"/>
    </row>
    <row r="15420" spans="1:4" x14ac:dyDescent="0.25">
      <c r="A15420" s="31"/>
      <c r="D15420" s="30"/>
    </row>
    <row r="15421" spans="1:4" x14ac:dyDescent="0.25">
      <c r="A15421" s="31"/>
      <c r="D15421" s="30"/>
    </row>
    <row r="15422" spans="1:4" x14ac:dyDescent="0.25">
      <c r="A15422" s="31"/>
      <c r="D15422" s="30"/>
    </row>
    <row r="15423" spans="1:4" x14ac:dyDescent="0.25">
      <c r="A15423" s="31"/>
      <c r="D15423" s="30"/>
    </row>
    <row r="15424" spans="1:4" x14ac:dyDescent="0.25">
      <c r="A15424" s="31"/>
      <c r="D15424" s="30"/>
    </row>
    <row r="15425" spans="1:4" x14ac:dyDescent="0.25">
      <c r="A15425" s="31"/>
      <c r="D15425" s="30"/>
    </row>
    <row r="15426" spans="1:4" x14ac:dyDescent="0.25">
      <c r="A15426" s="31"/>
      <c r="D15426" s="30"/>
    </row>
    <row r="15427" spans="1:4" x14ac:dyDescent="0.25">
      <c r="A15427" s="31"/>
      <c r="D15427" s="30"/>
    </row>
    <row r="15428" spans="1:4" x14ac:dyDescent="0.25">
      <c r="A15428" s="31"/>
      <c r="D15428" s="30"/>
    </row>
    <row r="15429" spans="1:4" x14ac:dyDescent="0.25">
      <c r="A15429" s="31"/>
      <c r="D15429" s="30"/>
    </row>
    <row r="15430" spans="1:4" x14ac:dyDescent="0.25">
      <c r="A15430" s="31"/>
      <c r="D15430" s="30"/>
    </row>
    <row r="15431" spans="1:4" x14ac:dyDescent="0.25">
      <c r="A15431" s="31"/>
      <c r="D15431" s="30"/>
    </row>
    <row r="15432" spans="1:4" x14ac:dyDescent="0.25">
      <c r="A15432" s="31"/>
      <c r="D15432" s="30"/>
    </row>
    <row r="15433" spans="1:4" x14ac:dyDescent="0.25">
      <c r="A15433" s="31"/>
      <c r="D15433" s="30"/>
    </row>
    <row r="15434" spans="1:4" x14ac:dyDescent="0.25">
      <c r="A15434" s="31"/>
      <c r="D15434" s="30"/>
    </row>
    <row r="15435" spans="1:4" x14ac:dyDescent="0.25">
      <c r="A15435" s="31"/>
      <c r="D15435" s="30"/>
    </row>
    <row r="15436" spans="1:4" x14ac:dyDescent="0.25">
      <c r="A15436" s="31"/>
      <c r="D15436" s="30"/>
    </row>
    <row r="15437" spans="1:4" x14ac:dyDescent="0.25">
      <c r="A15437" s="31"/>
      <c r="D15437" s="30"/>
    </row>
    <row r="15438" spans="1:4" x14ac:dyDescent="0.25">
      <c r="A15438" s="31"/>
      <c r="D15438" s="30"/>
    </row>
    <row r="15439" spans="1:4" x14ac:dyDescent="0.25">
      <c r="A15439" s="31"/>
      <c r="D15439" s="30"/>
    </row>
    <row r="15440" spans="1:4" x14ac:dyDescent="0.25">
      <c r="A15440" s="31"/>
      <c r="D15440" s="30"/>
    </row>
    <row r="15441" spans="1:4" x14ac:dyDescent="0.25">
      <c r="A15441" s="31"/>
      <c r="D15441" s="30"/>
    </row>
    <row r="15442" spans="1:4" x14ac:dyDescent="0.25">
      <c r="A15442" s="31"/>
      <c r="D15442" s="30"/>
    </row>
    <row r="15443" spans="1:4" x14ac:dyDescent="0.25">
      <c r="A15443" s="31"/>
      <c r="D15443" s="30"/>
    </row>
    <row r="15444" spans="1:4" x14ac:dyDescent="0.25">
      <c r="A15444" s="31"/>
      <c r="D15444" s="30"/>
    </row>
    <row r="15445" spans="1:4" x14ac:dyDescent="0.25">
      <c r="A15445" s="31"/>
      <c r="D15445" s="30"/>
    </row>
    <row r="15446" spans="1:4" x14ac:dyDescent="0.25">
      <c r="A15446" s="31"/>
      <c r="D15446" s="30"/>
    </row>
    <row r="15447" spans="1:4" x14ac:dyDescent="0.25">
      <c r="A15447" s="31"/>
      <c r="D15447" s="30"/>
    </row>
    <row r="15448" spans="1:4" x14ac:dyDescent="0.25">
      <c r="A15448" s="31"/>
      <c r="D15448" s="30"/>
    </row>
    <row r="15449" spans="1:4" x14ac:dyDescent="0.25">
      <c r="A15449" s="31"/>
      <c r="D15449" s="30"/>
    </row>
    <row r="15450" spans="1:4" x14ac:dyDescent="0.25">
      <c r="A15450" s="31"/>
      <c r="D15450" s="30"/>
    </row>
    <row r="15451" spans="1:4" x14ac:dyDescent="0.25">
      <c r="A15451" s="31"/>
      <c r="D15451" s="30"/>
    </row>
    <row r="15452" spans="1:4" x14ac:dyDescent="0.25">
      <c r="A15452" s="31"/>
      <c r="D15452" s="30"/>
    </row>
    <row r="15453" spans="1:4" x14ac:dyDescent="0.25">
      <c r="A15453" s="31"/>
      <c r="D15453" s="30"/>
    </row>
    <row r="15454" spans="1:4" x14ac:dyDescent="0.25">
      <c r="A15454" s="31"/>
      <c r="D15454" s="30"/>
    </row>
    <row r="15455" spans="1:4" x14ac:dyDescent="0.25">
      <c r="A15455" s="31"/>
      <c r="D15455" s="30"/>
    </row>
    <row r="15456" spans="1:4" x14ac:dyDescent="0.25">
      <c r="A15456" s="31"/>
      <c r="D15456" s="30"/>
    </row>
    <row r="15457" spans="1:4" x14ac:dyDescent="0.25">
      <c r="A15457" s="31"/>
      <c r="D15457" s="30"/>
    </row>
    <row r="15458" spans="1:4" x14ac:dyDescent="0.25">
      <c r="A15458" s="31"/>
      <c r="D15458" s="30"/>
    </row>
    <row r="15459" spans="1:4" x14ac:dyDescent="0.25">
      <c r="A15459" s="31"/>
      <c r="D15459" s="30"/>
    </row>
    <row r="15460" spans="1:4" x14ac:dyDescent="0.25">
      <c r="A15460" s="31"/>
      <c r="D15460" s="30"/>
    </row>
    <row r="15461" spans="1:4" x14ac:dyDescent="0.25">
      <c r="A15461" s="31"/>
      <c r="D15461" s="30"/>
    </row>
    <row r="15462" spans="1:4" x14ac:dyDescent="0.25">
      <c r="A15462" s="31"/>
      <c r="D15462" s="30"/>
    </row>
    <row r="15463" spans="1:4" x14ac:dyDescent="0.25">
      <c r="A15463" s="31"/>
      <c r="D15463" s="30"/>
    </row>
    <row r="15464" spans="1:4" x14ac:dyDescent="0.25">
      <c r="A15464" s="31"/>
      <c r="D15464" s="30"/>
    </row>
    <row r="15465" spans="1:4" x14ac:dyDescent="0.25">
      <c r="A15465" s="31"/>
      <c r="D15465" s="30"/>
    </row>
    <row r="15466" spans="1:4" x14ac:dyDescent="0.25">
      <c r="A15466" s="31"/>
      <c r="D15466" s="30"/>
    </row>
    <row r="15467" spans="1:4" x14ac:dyDescent="0.25">
      <c r="A15467" s="31"/>
      <c r="D15467" s="30"/>
    </row>
    <row r="15468" spans="1:4" x14ac:dyDescent="0.25">
      <c r="A15468" s="31"/>
      <c r="D15468" s="30"/>
    </row>
    <row r="15469" spans="1:4" x14ac:dyDescent="0.25">
      <c r="A15469" s="31"/>
      <c r="D15469" s="30"/>
    </row>
    <row r="15470" spans="1:4" x14ac:dyDescent="0.25">
      <c r="A15470" s="31"/>
      <c r="D15470" s="30"/>
    </row>
    <row r="15471" spans="1:4" x14ac:dyDescent="0.25">
      <c r="A15471" s="31"/>
      <c r="D15471" s="30"/>
    </row>
    <row r="15472" spans="1:4" x14ac:dyDescent="0.25">
      <c r="A15472" s="31"/>
      <c r="D15472" s="30"/>
    </row>
    <row r="15473" spans="1:4" x14ac:dyDescent="0.25">
      <c r="A15473" s="31"/>
      <c r="D15473" s="30"/>
    </row>
    <row r="15474" spans="1:4" x14ac:dyDescent="0.25">
      <c r="A15474" s="31"/>
      <c r="D15474" s="30"/>
    </row>
    <row r="15475" spans="1:4" x14ac:dyDescent="0.25">
      <c r="A15475" s="31"/>
      <c r="D15475" s="30"/>
    </row>
    <row r="15476" spans="1:4" x14ac:dyDescent="0.25">
      <c r="A15476" s="31"/>
      <c r="D15476" s="30"/>
    </row>
    <row r="15477" spans="1:4" x14ac:dyDescent="0.25">
      <c r="A15477" s="31"/>
      <c r="D15477" s="30"/>
    </row>
    <row r="15478" spans="1:4" x14ac:dyDescent="0.25">
      <c r="A15478" s="31"/>
      <c r="D15478" s="30"/>
    </row>
    <row r="15479" spans="1:4" x14ac:dyDescent="0.25">
      <c r="A15479" s="31"/>
      <c r="D15479" s="30"/>
    </row>
    <row r="15480" spans="1:4" x14ac:dyDescent="0.25">
      <c r="A15480" s="31"/>
      <c r="D15480" s="30"/>
    </row>
    <row r="15481" spans="1:4" x14ac:dyDescent="0.25">
      <c r="A15481" s="31"/>
      <c r="D15481" s="30"/>
    </row>
    <row r="15482" spans="1:4" x14ac:dyDescent="0.25">
      <c r="A15482" s="31"/>
      <c r="D15482" s="30"/>
    </row>
    <row r="15483" spans="1:4" x14ac:dyDescent="0.25">
      <c r="A15483" s="31"/>
      <c r="D15483" s="30"/>
    </row>
    <row r="15484" spans="1:4" x14ac:dyDescent="0.25">
      <c r="A15484" s="31"/>
      <c r="D15484" s="30"/>
    </row>
    <row r="15485" spans="1:4" x14ac:dyDescent="0.25">
      <c r="A15485" s="31"/>
      <c r="D15485" s="30"/>
    </row>
    <row r="15486" spans="1:4" x14ac:dyDescent="0.25">
      <c r="A15486" s="31"/>
      <c r="D15486" s="30"/>
    </row>
    <row r="15487" spans="1:4" x14ac:dyDescent="0.25">
      <c r="A15487" s="31"/>
      <c r="D15487" s="30"/>
    </row>
    <row r="15488" spans="1:4" x14ac:dyDescent="0.25">
      <c r="A15488" s="31"/>
      <c r="D15488" s="30"/>
    </row>
    <row r="15489" spans="1:4" x14ac:dyDescent="0.25">
      <c r="A15489" s="31"/>
      <c r="D15489" s="30"/>
    </row>
    <row r="15490" spans="1:4" x14ac:dyDescent="0.25">
      <c r="A15490" s="31"/>
      <c r="D15490" s="30"/>
    </row>
    <row r="15491" spans="1:4" x14ac:dyDescent="0.25">
      <c r="A15491" s="31"/>
      <c r="D15491" s="30"/>
    </row>
    <row r="15492" spans="1:4" x14ac:dyDescent="0.25">
      <c r="A15492" s="31"/>
      <c r="D15492" s="30"/>
    </row>
    <row r="15493" spans="1:4" x14ac:dyDescent="0.25">
      <c r="A15493" s="31"/>
      <c r="D15493" s="30"/>
    </row>
    <row r="15494" spans="1:4" x14ac:dyDescent="0.25">
      <c r="A15494" s="31"/>
      <c r="D15494" s="30"/>
    </row>
    <row r="15495" spans="1:4" x14ac:dyDescent="0.25">
      <c r="A15495" s="31"/>
      <c r="D15495" s="30"/>
    </row>
    <row r="15496" spans="1:4" x14ac:dyDescent="0.25">
      <c r="A15496" s="31"/>
      <c r="D15496" s="30"/>
    </row>
    <row r="15497" spans="1:4" x14ac:dyDescent="0.25">
      <c r="A15497" s="31"/>
      <c r="D15497" s="30"/>
    </row>
    <row r="15498" spans="1:4" x14ac:dyDescent="0.25">
      <c r="A15498" s="31"/>
      <c r="D15498" s="30"/>
    </row>
    <row r="15499" spans="1:4" x14ac:dyDescent="0.25">
      <c r="A15499" s="31"/>
      <c r="D15499" s="30"/>
    </row>
    <row r="15500" spans="1:4" x14ac:dyDescent="0.25">
      <c r="A15500" s="31"/>
      <c r="D15500" s="30"/>
    </row>
    <row r="15501" spans="1:4" x14ac:dyDescent="0.25">
      <c r="A15501" s="31"/>
      <c r="D15501" s="30"/>
    </row>
    <row r="15502" spans="1:4" x14ac:dyDescent="0.25">
      <c r="A15502" s="31"/>
      <c r="D15502" s="30"/>
    </row>
    <row r="15503" spans="1:4" x14ac:dyDescent="0.25">
      <c r="A15503" s="31"/>
      <c r="D15503" s="30"/>
    </row>
    <row r="15504" spans="1:4" x14ac:dyDescent="0.25">
      <c r="A15504" s="31"/>
      <c r="D15504" s="30"/>
    </row>
    <row r="15505" spans="1:4" x14ac:dyDescent="0.25">
      <c r="A15505" s="31"/>
      <c r="D15505" s="30"/>
    </row>
    <row r="15506" spans="1:4" x14ac:dyDescent="0.25">
      <c r="A15506" s="31"/>
      <c r="D15506" s="30"/>
    </row>
    <row r="15507" spans="1:4" x14ac:dyDescent="0.25">
      <c r="A15507" s="31"/>
      <c r="D15507" s="30"/>
    </row>
    <row r="15508" spans="1:4" x14ac:dyDescent="0.25">
      <c r="A15508" s="31"/>
      <c r="D15508" s="30"/>
    </row>
    <row r="15509" spans="1:4" x14ac:dyDescent="0.25">
      <c r="A15509" s="31"/>
      <c r="D15509" s="30"/>
    </row>
    <row r="15510" spans="1:4" x14ac:dyDescent="0.25">
      <c r="A15510" s="31"/>
      <c r="D15510" s="30"/>
    </row>
    <row r="15511" spans="1:4" x14ac:dyDescent="0.25">
      <c r="A15511" s="31"/>
      <c r="D15511" s="30"/>
    </row>
    <row r="15512" spans="1:4" x14ac:dyDescent="0.25">
      <c r="A15512" s="31"/>
      <c r="D15512" s="30"/>
    </row>
    <row r="15513" spans="1:4" x14ac:dyDescent="0.25">
      <c r="A15513" s="31"/>
      <c r="D15513" s="30"/>
    </row>
    <row r="15514" spans="1:4" x14ac:dyDescent="0.25">
      <c r="A15514" s="31"/>
      <c r="D15514" s="30"/>
    </row>
    <row r="15515" spans="1:4" x14ac:dyDescent="0.25">
      <c r="A15515" s="31"/>
      <c r="D15515" s="30"/>
    </row>
    <row r="15516" spans="1:4" x14ac:dyDescent="0.25">
      <c r="A15516" s="31"/>
      <c r="D15516" s="30"/>
    </row>
    <row r="15517" spans="1:4" x14ac:dyDescent="0.25">
      <c r="A15517" s="31"/>
      <c r="D15517" s="30"/>
    </row>
    <row r="15518" spans="1:4" x14ac:dyDescent="0.25">
      <c r="A15518" s="31"/>
      <c r="D15518" s="30"/>
    </row>
    <row r="15519" spans="1:4" x14ac:dyDescent="0.25">
      <c r="A15519" s="31"/>
      <c r="D15519" s="30"/>
    </row>
    <row r="15520" spans="1:4" x14ac:dyDescent="0.25">
      <c r="A15520" s="31"/>
      <c r="D15520" s="30"/>
    </row>
    <row r="15521" spans="1:4" x14ac:dyDescent="0.25">
      <c r="A15521" s="31"/>
      <c r="D15521" s="30"/>
    </row>
    <row r="15522" spans="1:4" x14ac:dyDescent="0.25">
      <c r="A15522" s="31"/>
      <c r="D15522" s="30"/>
    </row>
    <row r="15523" spans="1:4" x14ac:dyDescent="0.25">
      <c r="A15523" s="31"/>
      <c r="D15523" s="30"/>
    </row>
    <row r="15524" spans="1:4" x14ac:dyDescent="0.25">
      <c r="A15524" s="31"/>
      <c r="D15524" s="30"/>
    </row>
    <row r="15525" spans="1:4" x14ac:dyDescent="0.25">
      <c r="A15525" s="31"/>
      <c r="D15525" s="30"/>
    </row>
    <row r="15526" spans="1:4" x14ac:dyDescent="0.25">
      <c r="A15526" s="31"/>
      <c r="D15526" s="30"/>
    </row>
    <row r="15527" spans="1:4" x14ac:dyDescent="0.25">
      <c r="A15527" s="31"/>
      <c r="D15527" s="30"/>
    </row>
    <row r="15528" spans="1:4" x14ac:dyDescent="0.25">
      <c r="A15528" s="31"/>
      <c r="D15528" s="30"/>
    </row>
    <row r="15529" spans="1:4" x14ac:dyDescent="0.25">
      <c r="A15529" s="31"/>
      <c r="D15529" s="30"/>
    </row>
    <row r="15530" spans="1:4" x14ac:dyDescent="0.25">
      <c r="A15530" s="31"/>
      <c r="D15530" s="30"/>
    </row>
    <row r="15531" spans="1:4" x14ac:dyDescent="0.25">
      <c r="A15531" s="31"/>
      <c r="D15531" s="30"/>
    </row>
    <row r="15532" spans="1:4" x14ac:dyDescent="0.25">
      <c r="A15532" s="31"/>
      <c r="D15532" s="30"/>
    </row>
    <row r="15533" spans="1:4" x14ac:dyDescent="0.25">
      <c r="A15533" s="31"/>
      <c r="D15533" s="30"/>
    </row>
    <row r="15534" spans="1:4" x14ac:dyDescent="0.25">
      <c r="A15534" s="31"/>
      <c r="D15534" s="30"/>
    </row>
    <row r="15535" spans="1:4" x14ac:dyDescent="0.25">
      <c r="A15535" s="31"/>
      <c r="D15535" s="30"/>
    </row>
    <row r="15536" spans="1:4" x14ac:dyDescent="0.25">
      <c r="A15536" s="31"/>
      <c r="D15536" s="30"/>
    </row>
    <row r="15537" spans="1:4" x14ac:dyDescent="0.25">
      <c r="A15537" s="31"/>
      <c r="D15537" s="30"/>
    </row>
    <row r="15538" spans="1:4" x14ac:dyDescent="0.25">
      <c r="A15538" s="31"/>
      <c r="D15538" s="30"/>
    </row>
    <row r="15539" spans="1:4" x14ac:dyDescent="0.25">
      <c r="A15539" s="31"/>
      <c r="D15539" s="30"/>
    </row>
    <row r="15540" spans="1:4" x14ac:dyDescent="0.25">
      <c r="A15540" s="31"/>
      <c r="D15540" s="30"/>
    </row>
    <row r="15541" spans="1:4" x14ac:dyDescent="0.25">
      <c r="A15541" s="31"/>
      <c r="D15541" s="30"/>
    </row>
    <row r="15542" spans="1:4" x14ac:dyDescent="0.25">
      <c r="A15542" s="31"/>
      <c r="D15542" s="30"/>
    </row>
    <row r="15543" spans="1:4" x14ac:dyDescent="0.25">
      <c r="A15543" s="31"/>
      <c r="D15543" s="30"/>
    </row>
    <row r="15544" spans="1:4" x14ac:dyDescent="0.25">
      <c r="A15544" s="31"/>
      <c r="D15544" s="30"/>
    </row>
    <row r="15545" spans="1:4" x14ac:dyDescent="0.25">
      <c r="A15545" s="31"/>
      <c r="D15545" s="30"/>
    </row>
    <row r="15546" spans="1:4" x14ac:dyDescent="0.25">
      <c r="A15546" s="31"/>
      <c r="D15546" s="30"/>
    </row>
    <row r="15547" spans="1:4" x14ac:dyDescent="0.25">
      <c r="A15547" s="31"/>
      <c r="D15547" s="30"/>
    </row>
    <row r="15548" spans="1:4" x14ac:dyDescent="0.25">
      <c r="A15548" s="31"/>
      <c r="D15548" s="30"/>
    </row>
    <row r="15549" spans="1:4" x14ac:dyDescent="0.25">
      <c r="A15549" s="31"/>
      <c r="D15549" s="30"/>
    </row>
    <row r="15550" spans="1:4" x14ac:dyDescent="0.25">
      <c r="A15550" s="31"/>
      <c r="D15550" s="30"/>
    </row>
    <row r="15551" spans="1:4" x14ac:dyDescent="0.25">
      <c r="A15551" s="31"/>
      <c r="D15551" s="30"/>
    </row>
    <row r="15552" spans="1:4" x14ac:dyDescent="0.25">
      <c r="A15552" s="31"/>
      <c r="D15552" s="30"/>
    </row>
    <row r="15553" spans="1:4" x14ac:dyDescent="0.25">
      <c r="A15553" s="31"/>
      <c r="D15553" s="30"/>
    </row>
    <row r="15554" spans="1:4" x14ac:dyDescent="0.25">
      <c r="A15554" s="31"/>
      <c r="D15554" s="30"/>
    </row>
    <row r="15555" spans="1:4" x14ac:dyDescent="0.25">
      <c r="A15555" s="31"/>
      <c r="D15555" s="30"/>
    </row>
    <row r="15556" spans="1:4" x14ac:dyDescent="0.25">
      <c r="A15556" s="31"/>
      <c r="D15556" s="30"/>
    </row>
    <row r="15557" spans="1:4" x14ac:dyDescent="0.25">
      <c r="A15557" s="31"/>
      <c r="D15557" s="30"/>
    </row>
    <row r="15558" spans="1:4" x14ac:dyDescent="0.25">
      <c r="A15558" s="31"/>
      <c r="D15558" s="30"/>
    </row>
    <row r="15559" spans="1:4" x14ac:dyDescent="0.25">
      <c r="A15559" s="31"/>
      <c r="D15559" s="30"/>
    </row>
    <row r="15560" spans="1:4" x14ac:dyDescent="0.25">
      <c r="A15560" s="31"/>
      <c r="D15560" s="30"/>
    </row>
    <row r="15561" spans="1:4" x14ac:dyDescent="0.25">
      <c r="A15561" s="31"/>
      <c r="D15561" s="30"/>
    </row>
    <row r="15562" spans="1:4" x14ac:dyDescent="0.25">
      <c r="A15562" s="31"/>
      <c r="D15562" s="30"/>
    </row>
    <row r="15563" spans="1:4" x14ac:dyDescent="0.25">
      <c r="A15563" s="31"/>
      <c r="D15563" s="30"/>
    </row>
    <row r="15564" spans="1:4" x14ac:dyDescent="0.25">
      <c r="A15564" s="31"/>
      <c r="D15564" s="30"/>
    </row>
    <row r="15565" spans="1:4" x14ac:dyDescent="0.25">
      <c r="A15565" s="31"/>
      <c r="D15565" s="30"/>
    </row>
    <row r="15566" spans="1:4" x14ac:dyDescent="0.25">
      <c r="A15566" s="31"/>
      <c r="D15566" s="30"/>
    </row>
    <row r="15567" spans="1:4" x14ac:dyDescent="0.25">
      <c r="A15567" s="31"/>
      <c r="D15567" s="30"/>
    </row>
    <row r="15568" spans="1:4" x14ac:dyDescent="0.25">
      <c r="A15568" s="31"/>
      <c r="D15568" s="30"/>
    </row>
    <row r="15569" spans="1:4" x14ac:dyDescent="0.25">
      <c r="A15569" s="31"/>
      <c r="D15569" s="30"/>
    </row>
    <row r="15570" spans="1:4" x14ac:dyDescent="0.25">
      <c r="A15570" s="31"/>
      <c r="D15570" s="30"/>
    </row>
    <row r="15571" spans="1:4" x14ac:dyDescent="0.25">
      <c r="A15571" s="31"/>
      <c r="D15571" s="30"/>
    </row>
    <row r="15572" spans="1:4" x14ac:dyDescent="0.25">
      <c r="A15572" s="31"/>
      <c r="D15572" s="30"/>
    </row>
    <row r="15573" spans="1:4" x14ac:dyDescent="0.25">
      <c r="A15573" s="31"/>
      <c r="D15573" s="30"/>
    </row>
    <row r="15574" spans="1:4" x14ac:dyDescent="0.25">
      <c r="A15574" s="31"/>
      <c r="D15574" s="30"/>
    </row>
    <row r="15575" spans="1:4" x14ac:dyDescent="0.25">
      <c r="A15575" s="31"/>
      <c r="D15575" s="30"/>
    </row>
    <row r="15576" spans="1:4" x14ac:dyDescent="0.25">
      <c r="A15576" s="31"/>
      <c r="D15576" s="30"/>
    </row>
    <row r="15577" spans="1:4" x14ac:dyDescent="0.25">
      <c r="A15577" s="31"/>
      <c r="D15577" s="30"/>
    </row>
    <row r="15578" spans="1:4" x14ac:dyDescent="0.25">
      <c r="A15578" s="31"/>
      <c r="D15578" s="30"/>
    </row>
    <row r="15579" spans="1:4" x14ac:dyDescent="0.25">
      <c r="A15579" s="31"/>
      <c r="D15579" s="30"/>
    </row>
    <row r="15580" spans="1:4" x14ac:dyDescent="0.25">
      <c r="A15580" s="31"/>
      <c r="D15580" s="30"/>
    </row>
    <row r="15581" spans="1:4" x14ac:dyDescent="0.25">
      <c r="A15581" s="31"/>
      <c r="D15581" s="30"/>
    </row>
    <row r="15582" spans="1:4" x14ac:dyDescent="0.25">
      <c r="A15582" s="31"/>
      <c r="D15582" s="30"/>
    </row>
    <row r="15583" spans="1:4" x14ac:dyDescent="0.25">
      <c r="A15583" s="31"/>
      <c r="D15583" s="30"/>
    </row>
    <row r="15584" spans="1:4" x14ac:dyDescent="0.25">
      <c r="A15584" s="31"/>
      <c r="D15584" s="30"/>
    </row>
    <row r="15585" spans="1:4" x14ac:dyDescent="0.25">
      <c r="A15585" s="31"/>
      <c r="D15585" s="30"/>
    </row>
    <row r="15586" spans="1:4" x14ac:dyDescent="0.25">
      <c r="A15586" s="31"/>
      <c r="D15586" s="30"/>
    </row>
    <row r="15587" spans="1:4" x14ac:dyDescent="0.25">
      <c r="A15587" s="31"/>
      <c r="D15587" s="30"/>
    </row>
    <row r="15588" spans="1:4" x14ac:dyDescent="0.25">
      <c r="A15588" s="31"/>
      <c r="D15588" s="30"/>
    </row>
    <row r="15589" spans="1:4" x14ac:dyDescent="0.25">
      <c r="A15589" s="31"/>
      <c r="D15589" s="30"/>
    </row>
    <row r="15590" spans="1:4" x14ac:dyDescent="0.25">
      <c r="A15590" s="31"/>
      <c r="D15590" s="30"/>
    </row>
    <row r="15591" spans="1:4" x14ac:dyDescent="0.25">
      <c r="A15591" s="31"/>
      <c r="D15591" s="30"/>
    </row>
    <row r="15592" spans="1:4" x14ac:dyDescent="0.25">
      <c r="A15592" s="31"/>
      <c r="D15592" s="30"/>
    </row>
    <row r="15593" spans="1:4" x14ac:dyDescent="0.25">
      <c r="A15593" s="31"/>
      <c r="D15593" s="30"/>
    </row>
    <row r="15594" spans="1:4" x14ac:dyDescent="0.25">
      <c r="A15594" s="31"/>
      <c r="D15594" s="30"/>
    </row>
    <row r="15595" spans="1:4" x14ac:dyDescent="0.25">
      <c r="A15595" s="31"/>
      <c r="D15595" s="30"/>
    </row>
    <row r="15596" spans="1:4" x14ac:dyDescent="0.25">
      <c r="A15596" s="31"/>
      <c r="D15596" s="30"/>
    </row>
    <row r="15597" spans="1:4" x14ac:dyDescent="0.25">
      <c r="A15597" s="31"/>
      <c r="D15597" s="30"/>
    </row>
    <row r="15598" spans="1:4" x14ac:dyDescent="0.25">
      <c r="A15598" s="31"/>
      <c r="D15598" s="30"/>
    </row>
    <row r="15599" spans="1:4" x14ac:dyDescent="0.25">
      <c r="A15599" s="31"/>
      <c r="D15599" s="30"/>
    </row>
    <row r="15600" spans="1:4" x14ac:dyDescent="0.25">
      <c r="A15600" s="31"/>
      <c r="D15600" s="30"/>
    </row>
    <row r="15601" spans="1:4" x14ac:dyDescent="0.25">
      <c r="A15601" s="31"/>
      <c r="D15601" s="30"/>
    </row>
    <row r="15602" spans="1:4" x14ac:dyDescent="0.25">
      <c r="A15602" s="31"/>
      <c r="D15602" s="30"/>
    </row>
    <row r="15603" spans="1:4" x14ac:dyDescent="0.25">
      <c r="A15603" s="31"/>
      <c r="D15603" s="30"/>
    </row>
    <row r="15604" spans="1:4" x14ac:dyDescent="0.25">
      <c r="A15604" s="31"/>
      <c r="D15604" s="30"/>
    </row>
    <row r="15605" spans="1:4" x14ac:dyDescent="0.25">
      <c r="A15605" s="31"/>
      <c r="D15605" s="30"/>
    </row>
    <row r="15606" spans="1:4" x14ac:dyDescent="0.25">
      <c r="A15606" s="31"/>
      <c r="D15606" s="30"/>
    </row>
    <row r="15607" spans="1:4" x14ac:dyDescent="0.25">
      <c r="A15607" s="31"/>
      <c r="D15607" s="30"/>
    </row>
    <row r="15608" spans="1:4" x14ac:dyDescent="0.25">
      <c r="A15608" s="31"/>
      <c r="D15608" s="30"/>
    </row>
    <row r="15609" spans="1:4" x14ac:dyDescent="0.25">
      <c r="A15609" s="31"/>
      <c r="D15609" s="30"/>
    </row>
    <row r="15610" spans="1:4" x14ac:dyDescent="0.25">
      <c r="A15610" s="31"/>
      <c r="D15610" s="30"/>
    </row>
    <row r="15611" spans="1:4" x14ac:dyDescent="0.25">
      <c r="A15611" s="31"/>
      <c r="D15611" s="30"/>
    </row>
    <row r="15612" spans="1:4" x14ac:dyDescent="0.25">
      <c r="A15612" s="31"/>
      <c r="D15612" s="30"/>
    </row>
    <row r="15613" spans="1:4" x14ac:dyDescent="0.25">
      <c r="A15613" s="31"/>
      <c r="D15613" s="30"/>
    </row>
    <row r="15614" spans="1:4" x14ac:dyDescent="0.25">
      <c r="A15614" s="31"/>
      <c r="D15614" s="30"/>
    </row>
    <row r="15615" spans="1:4" x14ac:dyDescent="0.25">
      <c r="A15615" s="31"/>
      <c r="D15615" s="30"/>
    </row>
    <row r="15616" spans="1:4" x14ac:dyDescent="0.25">
      <c r="A15616" s="31"/>
      <c r="D15616" s="30"/>
    </row>
    <row r="15617" spans="1:4" x14ac:dyDescent="0.25">
      <c r="A15617" s="31"/>
      <c r="D15617" s="30"/>
    </row>
    <row r="15618" spans="1:4" x14ac:dyDescent="0.25">
      <c r="A15618" s="31"/>
      <c r="D15618" s="30"/>
    </row>
    <row r="15619" spans="1:4" x14ac:dyDescent="0.25">
      <c r="A15619" s="31"/>
      <c r="D15619" s="30"/>
    </row>
    <row r="15620" spans="1:4" x14ac:dyDescent="0.25">
      <c r="A15620" s="31"/>
      <c r="D15620" s="30"/>
    </row>
    <row r="15621" spans="1:4" x14ac:dyDescent="0.25">
      <c r="A15621" s="31"/>
      <c r="D15621" s="30"/>
    </row>
    <row r="15622" spans="1:4" x14ac:dyDescent="0.25">
      <c r="A15622" s="31"/>
      <c r="D15622" s="30"/>
    </row>
    <row r="15623" spans="1:4" x14ac:dyDescent="0.25">
      <c r="A15623" s="31"/>
      <c r="D15623" s="30"/>
    </row>
    <row r="15624" spans="1:4" x14ac:dyDescent="0.25">
      <c r="A15624" s="31"/>
      <c r="D15624" s="30"/>
    </row>
    <row r="15625" spans="1:4" x14ac:dyDescent="0.25">
      <c r="A15625" s="31"/>
      <c r="D15625" s="30"/>
    </row>
    <row r="15626" spans="1:4" x14ac:dyDescent="0.25">
      <c r="A15626" s="31"/>
      <c r="D15626" s="30"/>
    </row>
    <row r="15627" spans="1:4" x14ac:dyDescent="0.25">
      <c r="A15627" s="31"/>
      <c r="D15627" s="30"/>
    </row>
    <row r="15628" spans="1:4" x14ac:dyDescent="0.25">
      <c r="A15628" s="31"/>
      <c r="D15628" s="30"/>
    </row>
    <row r="15629" spans="1:4" x14ac:dyDescent="0.25">
      <c r="A15629" s="31"/>
      <c r="D15629" s="30"/>
    </row>
    <row r="15630" spans="1:4" x14ac:dyDescent="0.25">
      <c r="A15630" s="31"/>
      <c r="D15630" s="30"/>
    </row>
    <row r="15631" spans="1:4" x14ac:dyDescent="0.25">
      <c r="A15631" s="31"/>
      <c r="D15631" s="30"/>
    </row>
    <row r="15632" spans="1:4" x14ac:dyDescent="0.25">
      <c r="A15632" s="31"/>
      <c r="D15632" s="30"/>
    </row>
    <row r="15633" spans="1:4" x14ac:dyDescent="0.25">
      <c r="A15633" s="31"/>
      <c r="D15633" s="30"/>
    </row>
    <row r="15634" spans="1:4" x14ac:dyDescent="0.25">
      <c r="A15634" s="31"/>
      <c r="D15634" s="30"/>
    </row>
    <row r="15635" spans="1:4" x14ac:dyDescent="0.25">
      <c r="A15635" s="31"/>
      <c r="D15635" s="30"/>
    </row>
    <row r="15636" spans="1:4" x14ac:dyDescent="0.25">
      <c r="A15636" s="31"/>
      <c r="D15636" s="30"/>
    </row>
    <row r="15637" spans="1:4" x14ac:dyDescent="0.25">
      <c r="A15637" s="31"/>
      <c r="D15637" s="30"/>
    </row>
    <row r="15638" spans="1:4" x14ac:dyDescent="0.25">
      <c r="A15638" s="31"/>
      <c r="D15638" s="30"/>
    </row>
    <row r="15639" spans="1:4" x14ac:dyDescent="0.25">
      <c r="A15639" s="31"/>
      <c r="D15639" s="30"/>
    </row>
    <row r="15640" spans="1:4" x14ac:dyDescent="0.25">
      <c r="A15640" s="31"/>
      <c r="D15640" s="30"/>
    </row>
    <row r="15641" spans="1:4" x14ac:dyDescent="0.25">
      <c r="A15641" s="31"/>
      <c r="D15641" s="30"/>
    </row>
    <row r="15642" spans="1:4" x14ac:dyDescent="0.25">
      <c r="A15642" s="31"/>
      <c r="D15642" s="30"/>
    </row>
    <row r="15643" spans="1:4" x14ac:dyDescent="0.25">
      <c r="A15643" s="31"/>
      <c r="D15643" s="30"/>
    </row>
    <row r="15644" spans="1:4" x14ac:dyDescent="0.25">
      <c r="A15644" s="31"/>
      <c r="D15644" s="30"/>
    </row>
    <row r="15645" spans="1:4" x14ac:dyDescent="0.25">
      <c r="A15645" s="31"/>
      <c r="D15645" s="30"/>
    </row>
    <row r="15646" spans="1:4" x14ac:dyDescent="0.25">
      <c r="A15646" s="31"/>
      <c r="D15646" s="30"/>
    </row>
    <row r="15647" spans="1:4" x14ac:dyDescent="0.25">
      <c r="A15647" s="31"/>
      <c r="D15647" s="30"/>
    </row>
    <row r="15648" spans="1:4" x14ac:dyDescent="0.25">
      <c r="A15648" s="31"/>
      <c r="D15648" s="30"/>
    </row>
    <row r="15649" spans="1:4" x14ac:dyDescent="0.25">
      <c r="A15649" s="31"/>
      <c r="D15649" s="30"/>
    </row>
    <row r="15650" spans="1:4" x14ac:dyDescent="0.25">
      <c r="A15650" s="31"/>
      <c r="D15650" s="30"/>
    </row>
    <row r="15651" spans="1:4" x14ac:dyDescent="0.25">
      <c r="A15651" s="31"/>
      <c r="D15651" s="30"/>
    </row>
    <row r="15652" spans="1:4" x14ac:dyDescent="0.25">
      <c r="A15652" s="31"/>
      <c r="D15652" s="30"/>
    </row>
    <row r="15653" spans="1:4" x14ac:dyDescent="0.25">
      <c r="A15653" s="31"/>
      <c r="D15653" s="30"/>
    </row>
    <row r="15654" spans="1:4" x14ac:dyDescent="0.25">
      <c r="A15654" s="31"/>
      <c r="D15654" s="30"/>
    </row>
    <row r="15655" spans="1:4" x14ac:dyDescent="0.25">
      <c r="A15655" s="31"/>
      <c r="D15655" s="30"/>
    </row>
    <row r="15656" spans="1:4" x14ac:dyDescent="0.25">
      <c r="A15656" s="31"/>
      <c r="D15656" s="30"/>
    </row>
    <row r="15657" spans="1:4" x14ac:dyDescent="0.25">
      <c r="A15657" s="31"/>
      <c r="D15657" s="30"/>
    </row>
    <row r="15658" spans="1:4" x14ac:dyDescent="0.25">
      <c r="A15658" s="31"/>
      <c r="D15658" s="30"/>
    </row>
    <row r="15659" spans="1:4" x14ac:dyDescent="0.25">
      <c r="A15659" s="31"/>
      <c r="D15659" s="30"/>
    </row>
    <row r="15660" spans="1:4" x14ac:dyDescent="0.25">
      <c r="A15660" s="31"/>
      <c r="D15660" s="30"/>
    </row>
    <row r="15661" spans="1:4" x14ac:dyDescent="0.25">
      <c r="A15661" s="31"/>
      <c r="D15661" s="30"/>
    </row>
    <row r="15662" spans="1:4" x14ac:dyDescent="0.25">
      <c r="A15662" s="31"/>
      <c r="D15662" s="30"/>
    </row>
    <row r="15663" spans="1:4" x14ac:dyDescent="0.25">
      <c r="A15663" s="31"/>
      <c r="D15663" s="30"/>
    </row>
    <row r="15664" spans="1:4" x14ac:dyDescent="0.25">
      <c r="A15664" s="31"/>
      <c r="D15664" s="30"/>
    </row>
    <row r="15665" spans="1:4" x14ac:dyDescent="0.25">
      <c r="A15665" s="31"/>
      <c r="D15665" s="30"/>
    </row>
    <row r="15666" spans="1:4" x14ac:dyDescent="0.25">
      <c r="A15666" s="31"/>
      <c r="D15666" s="30"/>
    </row>
    <row r="15667" spans="1:4" x14ac:dyDescent="0.25">
      <c r="A15667" s="31"/>
      <c r="D15667" s="30"/>
    </row>
    <row r="15668" spans="1:4" x14ac:dyDescent="0.25">
      <c r="A15668" s="31"/>
      <c r="D15668" s="30"/>
    </row>
    <row r="15669" spans="1:4" x14ac:dyDescent="0.25">
      <c r="A15669" s="31"/>
      <c r="D15669" s="30"/>
    </row>
    <row r="15670" spans="1:4" x14ac:dyDescent="0.25">
      <c r="A15670" s="31"/>
      <c r="D15670" s="30"/>
    </row>
    <row r="15671" spans="1:4" x14ac:dyDescent="0.25">
      <c r="A15671" s="31"/>
      <c r="D15671" s="30"/>
    </row>
    <row r="15672" spans="1:4" x14ac:dyDescent="0.25">
      <c r="A15672" s="31"/>
      <c r="D15672" s="30"/>
    </row>
    <row r="15673" spans="1:4" x14ac:dyDescent="0.25">
      <c r="A15673" s="31"/>
      <c r="D15673" s="30"/>
    </row>
    <row r="15674" spans="1:4" x14ac:dyDescent="0.25">
      <c r="A15674" s="31"/>
      <c r="D15674" s="30"/>
    </row>
    <row r="15675" spans="1:4" x14ac:dyDescent="0.25">
      <c r="A15675" s="31"/>
      <c r="D15675" s="30"/>
    </row>
    <row r="15676" spans="1:4" x14ac:dyDescent="0.25">
      <c r="A15676" s="31"/>
      <c r="D15676" s="30"/>
    </row>
    <row r="15677" spans="1:4" x14ac:dyDescent="0.25">
      <c r="A15677" s="31"/>
      <c r="D15677" s="30"/>
    </row>
    <row r="15678" spans="1:4" x14ac:dyDescent="0.25">
      <c r="A15678" s="31"/>
      <c r="D15678" s="30"/>
    </row>
    <row r="15679" spans="1:4" x14ac:dyDescent="0.25">
      <c r="A15679" s="31"/>
      <c r="D15679" s="30"/>
    </row>
    <row r="15680" spans="1:4" x14ac:dyDescent="0.25">
      <c r="A15680" s="31"/>
      <c r="D15680" s="30"/>
    </row>
    <row r="15681" spans="1:4" x14ac:dyDescent="0.25">
      <c r="A15681" s="31"/>
      <c r="D15681" s="30"/>
    </row>
    <row r="15682" spans="1:4" x14ac:dyDescent="0.25">
      <c r="A15682" s="31"/>
      <c r="D15682" s="30"/>
    </row>
    <row r="15683" spans="1:4" x14ac:dyDescent="0.25">
      <c r="A15683" s="31"/>
      <c r="D15683" s="30"/>
    </row>
    <row r="15684" spans="1:4" x14ac:dyDescent="0.25">
      <c r="A15684" s="31"/>
      <c r="D15684" s="30"/>
    </row>
    <row r="15685" spans="1:4" x14ac:dyDescent="0.25">
      <c r="A15685" s="31"/>
      <c r="D15685" s="30"/>
    </row>
    <row r="15686" spans="1:4" x14ac:dyDescent="0.25">
      <c r="A15686" s="31"/>
      <c r="D15686" s="30"/>
    </row>
    <row r="15687" spans="1:4" x14ac:dyDescent="0.25">
      <c r="A15687" s="31"/>
      <c r="D15687" s="30"/>
    </row>
    <row r="15688" spans="1:4" x14ac:dyDescent="0.25">
      <c r="A15688" s="31"/>
      <c r="D15688" s="30"/>
    </row>
    <row r="15689" spans="1:4" x14ac:dyDescent="0.25">
      <c r="A15689" s="31"/>
      <c r="D15689" s="30"/>
    </row>
    <row r="15690" spans="1:4" x14ac:dyDescent="0.25">
      <c r="A15690" s="31"/>
      <c r="D15690" s="30"/>
    </row>
    <row r="15691" spans="1:4" x14ac:dyDescent="0.25">
      <c r="A15691" s="31"/>
      <c r="D15691" s="30"/>
    </row>
    <row r="15692" spans="1:4" x14ac:dyDescent="0.25">
      <c r="A15692" s="31"/>
      <c r="D15692" s="30"/>
    </row>
    <row r="15693" spans="1:4" x14ac:dyDescent="0.25">
      <c r="A15693" s="31"/>
      <c r="D15693" s="30"/>
    </row>
    <row r="15694" spans="1:4" x14ac:dyDescent="0.25">
      <c r="A15694" s="31"/>
      <c r="D15694" s="30"/>
    </row>
    <row r="15695" spans="1:4" x14ac:dyDescent="0.25">
      <c r="A15695" s="31"/>
      <c r="D15695" s="30"/>
    </row>
    <row r="15696" spans="1:4" x14ac:dyDescent="0.25">
      <c r="A15696" s="31"/>
      <c r="D15696" s="30"/>
    </row>
    <row r="15697" spans="1:4" x14ac:dyDescent="0.25">
      <c r="A15697" s="31"/>
      <c r="D15697" s="30"/>
    </row>
    <row r="15698" spans="1:4" x14ac:dyDescent="0.25">
      <c r="A15698" s="31"/>
      <c r="D15698" s="30"/>
    </row>
    <row r="15699" spans="1:4" x14ac:dyDescent="0.25">
      <c r="A15699" s="31"/>
      <c r="D15699" s="30"/>
    </row>
    <row r="15700" spans="1:4" x14ac:dyDescent="0.25">
      <c r="A15700" s="31"/>
      <c r="D15700" s="30"/>
    </row>
    <row r="15701" spans="1:4" x14ac:dyDescent="0.25">
      <c r="A15701" s="31"/>
      <c r="D15701" s="30"/>
    </row>
    <row r="15702" spans="1:4" x14ac:dyDescent="0.25">
      <c r="A15702" s="31"/>
      <c r="D15702" s="30"/>
    </row>
    <row r="15703" spans="1:4" x14ac:dyDescent="0.25">
      <c r="A15703" s="31"/>
      <c r="D15703" s="30"/>
    </row>
    <row r="15704" spans="1:4" x14ac:dyDescent="0.25">
      <c r="A15704" s="31"/>
      <c r="D15704" s="30"/>
    </row>
    <row r="15705" spans="1:4" x14ac:dyDescent="0.25">
      <c r="A15705" s="31"/>
      <c r="D15705" s="30"/>
    </row>
    <row r="15706" spans="1:4" x14ac:dyDescent="0.25">
      <c r="A15706" s="31"/>
      <c r="D15706" s="30"/>
    </row>
    <row r="15707" spans="1:4" x14ac:dyDescent="0.25">
      <c r="A15707" s="31"/>
      <c r="D15707" s="30"/>
    </row>
    <row r="15708" spans="1:4" x14ac:dyDescent="0.25">
      <c r="A15708" s="31"/>
      <c r="D15708" s="30"/>
    </row>
    <row r="15709" spans="1:4" x14ac:dyDescent="0.25">
      <c r="A15709" s="31"/>
      <c r="D15709" s="30"/>
    </row>
    <row r="15710" spans="1:4" x14ac:dyDescent="0.25">
      <c r="A15710" s="31"/>
      <c r="D15710" s="30"/>
    </row>
    <row r="15711" spans="1:4" x14ac:dyDescent="0.25">
      <c r="A15711" s="31"/>
      <c r="D15711" s="30"/>
    </row>
    <row r="15712" spans="1:4" x14ac:dyDescent="0.25">
      <c r="A15712" s="31"/>
      <c r="D15712" s="30"/>
    </row>
    <row r="15713" spans="1:4" x14ac:dyDescent="0.25">
      <c r="A15713" s="31"/>
      <c r="D15713" s="30"/>
    </row>
    <row r="15714" spans="1:4" x14ac:dyDescent="0.25">
      <c r="A15714" s="31"/>
      <c r="D15714" s="30"/>
    </row>
    <row r="15715" spans="1:4" x14ac:dyDescent="0.25">
      <c r="A15715" s="31"/>
      <c r="D15715" s="30"/>
    </row>
    <row r="15716" spans="1:4" x14ac:dyDescent="0.25">
      <c r="A15716" s="31"/>
      <c r="D15716" s="30"/>
    </row>
    <row r="15717" spans="1:4" x14ac:dyDescent="0.25">
      <c r="A15717" s="31"/>
      <c r="D15717" s="30"/>
    </row>
    <row r="15718" spans="1:4" x14ac:dyDescent="0.25">
      <c r="A15718" s="31"/>
      <c r="D15718" s="30"/>
    </row>
    <row r="15719" spans="1:4" x14ac:dyDescent="0.25">
      <c r="A15719" s="31"/>
      <c r="D15719" s="30"/>
    </row>
    <row r="15720" spans="1:4" x14ac:dyDescent="0.25">
      <c r="A15720" s="31"/>
      <c r="D15720" s="30"/>
    </row>
    <row r="15721" spans="1:4" x14ac:dyDescent="0.25">
      <c r="A15721" s="31"/>
      <c r="D15721" s="30"/>
    </row>
    <row r="15722" spans="1:4" x14ac:dyDescent="0.25">
      <c r="A15722" s="31"/>
      <c r="D15722" s="30"/>
    </row>
    <row r="15723" spans="1:4" x14ac:dyDescent="0.25">
      <c r="A15723" s="31"/>
      <c r="D15723" s="30"/>
    </row>
    <row r="15724" spans="1:4" x14ac:dyDescent="0.25">
      <c r="A15724" s="31"/>
      <c r="D15724" s="30"/>
    </row>
    <row r="15725" spans="1:4" x14ac:dyDescent="0.25">
      <c r="A15725" s="31"/>
      <c r="D15725" s="30"/>
    </row>
    <row r="15726" spans="1:4" x14ac:dyDescent="0.25">
      <c r="A15726" s="31"/>
      <c r="D15726" s="30"/>
    </row>
    <row r="15727" spans="1:4" x14ac:dyDescent="0.25">
      <c r="A15727" s="31"/>
      <c r="D15727" s="30"/>
    </row>
    <row r="15728" spans="1:4" x14ac:dyDescent="0.25">
      <c r="A15728" s="31"/>
      <c r="D15728" s="30"/>
    </row>
    <row r="15729" spans="1:4" x14ac:dyDescent="0.25">
      <c r="A15729" s="31"/>
      <c r="D15729" s="30"/>
    </row>
    <row r="15730" spans="1:4" x14ac:dyDescent="0.25">
      <c r="A15730" s="31"/>
      <c r="D15730" s="30"/>
    </row>
    <row r="15731" spans="1:4" x14ac:dyDescent="0.25">
      <c r="A15731" s="31"/>
      <c r="D15731" s="30"/>
    </row>
    <row r="15732" spans="1:4" x14ac:dyDescent="0.25">
      <c r="A15732" s="31"/>
      <c r="D15732" s="30"/>
    </row>
    <row r="15733" spans="1:4" x14ac:dyDescent="0.25">
      <c r="A15733" s="31"/>
      <c r="D15733" s="30"/>
    </row>
    <row r="15734" spans="1:4" x14ac:dyDescent="0.25">
      <c r="A15734" s="31"/>
      <c r="D15734" s="30"/>
    </row>
    <row r="15735" spans="1:4" x14ac:dyDescent="0.25">
      <c r="A15735" s="31"/>
      <c r="D15735" s="30"/>
    </row>
    <row r="15736" spans="1:4" x14ac:dyDescent="0.25">
      <c r="A15736" s="31"/>
      <c r="D15736" s="30"/>
    </row>
    <row r="15737" spans="1:4" x14ac:dyDescent="0.25">
      <c r="A15737" s="31"/>
      <c r="D15737" s="30"/>
    </row>
    <row r="15738" spans="1:4" x14ac:dyDescent="0.25">
      <c r="A15738" s="31"/>
      <c r="D15738" s="30"/>
    </row>
    <row r="15739" spans="1:4" x14ac:dyDescent="0.25">
      <c r="A15739" s="31"/>
      <c r="D15739" s="30"/>
    </row>
    <row r="15740" spans="1:4" x14ac:dyDescent="0.25">
      <c r="A15740" s="31"/>
      <c r="D15740" s="30"/>
    </row>
    <row r="15741" spans="1:4" x14ac:dyDescent="0.25">
      <c r="A15741" s="31"/>
      <c r="D15741" s="30"/>
    </row>
    <row r="15742" spans="1:4" x14ac:dyDescent="0.25">
      <c r="A15742" s="31"/>
      <c r="D15742" s="30"/>
    </row>
    <row r="15743" spans="1:4" x14ac:dyDescent="0.25">
      <c r="A15743" s="31"/>
      <c r="D15743" s="30"/>
    </row>
    <row r="15744" spans="1:4" x14ac:dyDescent="0.25">
      <c r="A15744" s="31"/>
      <c r="D15744" s="30"/>
    </row>
    <row r="15745" spans="1:4" x14ac:dyDescent="0.25">
      <c r="A15745" s="31"/>
      <c r="D15745" s="30"/>
    </row>
    <row r="15746" spans="1:4" x14ac:dyDescent="0.25">
      <c r="A15746" s="31"/>
      <c r="D15746" s="30"/>
    </row>
    <row r="15747" spans="1:4" x14ac:dyDescent="0.25">
      <c r="A15747" s="31"/>
      <c r="D15747" s="30"/>
    </row>
    <row r="15748" spans="1:4" x14ac:dyDescent="0.25">
      <c r="A15748" s="31"/>
      <c r="D15748" s="30"/>
    </row>
    <row r="15749" spans="1:4" x14ac:dyDescent="0.25">
      <c r="A15749" s="31"/>
      <c r="D15749" s="30"/>
    </row>
    <row r="15750" spans="1:4" x14ac:dyDescent="0.25">
      <c r="A15750" s="31"/>
      <c r="D15750" s="30"/>
    </row>
    <row r="15751" spans="1:4" x14ac:dyDescent="0.25">
      <c r="A15751" s="31"/>
      <c r="D15751" s="30"/>
    </row>
    <row r="15752" spans="1:4" x14ac:dyDescent="0.25">
      <c r="A15752" s="31"/>
      <c r="D15752" s="30"/>
    </row>
    <row r="15753" spans="1:4" x14ac:dyDescent="0.25">
      <c r="A15753" s="31"/>
      <c r="D15753" s="30"/>
    </row>
    <row r="15754" spans="1:4" x14ac:dyDescent="0.25">
      <c r="A15754" s="31"/>
      <c r="D15754" s="30"/>
    </row>
    <row r="15755" spans="1:4" x14ac:dyDescent="0.25">
      <c r="A15755" s="31"/>
      <c r="D15755" s="30"/>
    </row>
    <row r="15756" spans="1:4" x14ac:dyDescent="0.25">
      <c r="A15756" s="31"/>
      <c r="D15756" s="30"/>
    </row>
    <row r="15757" spans="1:4" x14ac:dyDescent="0.25">
      <c r="A15757" s="31"/>
      <c r="D15757" s="30"/>
    </row>
    <row r="15758" spans="1:4" x14ac:dyDescent="0.25">
      <c r="A15758" s="31"/>
      <c r="D15758" s="30"/>
    </row>
    <row r="15759" spans="1:4" x14ac:dyDescent="0.25">
      <c r="A15759" s="31"/>
      <c r="D15759" s="30"/>
    </row>
    <row r="15760" spans="1:4" x14ac:dyDescent="0.25">
      <c r="A15760" s="31"/>
      <c r="D15760" s="30"/>
    </row>
    <row r="15761" spans="1:4" x14ac:dyDescent="0.25">
      <c r="A15761" s="31"/>
      <c r="D15761" s="30"/>
    </row>
    <row r="15762" spans="1:4" x14ac:dyDescent="0.25">
      <c r="A15762" s="31"/>
      <c r="D15762" s="30"/>
    </row>
    <row r="15763" spans="1:4" x14ac:dyDescent="0.25">
      <c r="A15763" s="31"/>
      <c r="D15763" s="30"/>
    </row>
    <row r="15764" spans="1:4" x14ac:dyDescent="0.25">
      <c r="A15764" s="31"/>
      <c r="D15764" s="30"/>
    </row>
    <row r="15765" spans="1:4" x14ac:dyDescent="0.25">
      <c r="A15765" s="31"/>
      <c r="D15765" s="30"/>
    </row>
    <row r="15766" spans="1:4" x14ac:dyDescent="0.25">
      <c r="A15766" s="31"/>
      <c r="D15766" s="30"/>
    </row>
    <row r="15767" spans="1:4" x14ac:dyDescent="0.25">
      <c r="A15767" s="31"/>
      <c r="D15767" s="30"/>
    </row>
    <row r="15768" spans="1:4" x14ac:dyDescent="0.25">
      <c r="A15768" s="31"/>
      <c r="D15768" s="30"/>
    </row>
    <row r="15769" spans="1:4" x14ac:dyDescent="0.25">
      <c r="A15769" s="31"/>
      <c r="D15769" s="30"/>
    </row>
    <row r="15770" spans="1:4" x14ac:dyDescent="0.25">
      <c r="A15770" s="31"/>
      <c r="D15770" s="30"/>
    </row>
    <row r="15771" spans="1:4" x14ac:dyDescent="0.25">
      <c r="A15771" s="31"/>
      <c r="D15771" s="30"/>
    </row>
    <row r="15772" spans="1:4" x14ac:dyDescent="0.25">
      <c r="A15772" s="31"/>
      <c r="D15772" s="30"/>
    </row>
    <row r="15773" spans="1:4" x14ac:dyDescent="0.25">
      <c r="A15773" s="31"/>
      <c r="D15773" s="30"/>
    </row>
    <row r="15774" spans="1:4" x14ac:dyDescent="0.25">
      <c r="A15774" s="31"/>
      <c r="D15774" s="30"/>
    </row>
    <row r="15775" spans="1:4" x14ac:dyDescent="0.25">
      <c r="A15775" s="31"/>
      <c r="D15775" s="30"/>
    </row>
    <row r="15776" spans="1:4" x14ac:dyDescent="0.25">
      <c r="A15776" s="31"/>
      <c r="D15776" s="30"/>
    </row>
    <row r="15777" spans="1:4" x14ac:dyDescent="0.25">
      <c r="A15777" s="31"/>
      <c r="D15777" s="30"/>
    </row>
    <row r="15778" spans="1:4" x14ac:dyDescent="0.25">
      <c r="A15778" s="31"/>
      <c r="D15778" s="30"/>
    </row>
    <row r="15779" spans="1:4" x14ac:dyDescent="0.25">
      <c r="A15779" s="31"/>
      <c r="D15779" s="30"/>
    </row>
    <row r="15780" spans="1:4" x14ac:dyDescent="0.25">
      <c r="A15780" s="31"/>
      <c r="D15780" s="30"/>
    </row>
    <row r="15781" spans="1:4" x14ac:dyDescent="0.25">
      <c r="A15781" s="31"/>
      <c r="D15781" s="30"/>
    </row>
    <row r="15782" spans="1:4" x14ac:dyDescent="0.25">
      <c r="A15782" s="31"/>
      <c r="D15782" s="30"/>
    </row>
    <row r="15783" spans="1:4" x14ac:dyDescent="0.25">
      <c r="A15783" s="31"/>
      <c r="D15783" s="30"/>
    </row>
    <row r="15784" spans="1:4" x14ac:dyDescent="0.25">
      <c r="A15784" s="31"/>
      <c r="D15784" s="30"/>
    </row>
    <row r="15785" spans="1:4" x14ac:dyDescent="0.25">
      <c r="A15785" s="31"/>
      <c r="D15785" s="30"/>
    </row>
    <row r="15786" spans="1:4" x14ac:dyDescent="0.25">
      <c r="A15786" s="31"/>
      <c r="D15786" s="30"/>
    </row>
    <row r="15787" spans="1:4" x14ac:dyDescent="0.25">
      <c r="A15787" s="31"/>
      <c r="D15787" s="30"/>
    </row>
    <row r="15788" spans="1:4" x14ac:dyDescent="0.25">
      <c r="A15788" s="31"/>
      <c r="D15788" s="30"/>
    </row>
    <row r="15789" spans="1:4" x14ac:dyDescent="0.25">
      <c r="A15789" s="31"/>
      <c r="D15789" s="30"/>
    </row>
    <row r="15790" spans="1:4" x14ac:dyDescent="0.25">
      <c r="A15790" s="31"/>
      <c r="D15790" s="30"/>
    </row>
    <row r="15791" spans="1:4" x14ac:dyDescent="0.25">
      <c r="A15791" s="31"/>
      <c r="D15791" s="30"/>
    </row>
    <row r="15792" spans="1:4" x14ac:dyDescent="0.25">
      <c r="A15792" s="31"/>
      <c r="D15792" s="30"/>
    </row>
    <row r="15793" spans="1:4" x14ac:dyDescent="0.25">
      <c r="A15793" s="31"/>
      <c r="D15793" s="30"/>
    </row>
    <row r="15794" spans="1:4" x14ac:dyDescent="0.25">
      <c r="A15794" s="31"/>
      <c r="D15794" s="30"/>
    </row>
    <row r="15795" spans="1:4" x14ac:dyDescent="0.25">
      <c r="A15795" s="31"/>
      <c r="D15795" s="30"/>
    </row>
    <row r="15796" spans="1:4" x14ac:dyDescent="0.25">
      <c r="A15796" s="31"/>
      <c r="D15796" s="30"/>
    </row>
    <row r="15797" spans="1:4" x14ac:dyDescent="0.25">
      <c r="A15797" s="31"/>
      <c r="D15797" s="30"/>
    </row>
    <row r="15798" spans="1:4" x14ac:dyDescent="0.25">
      <c r="A15798" s="31"/>
      <c r="D15798" s="30"/>
    </row>
    <row r="15799" spans="1:4" x14ac:dyDescent="0.25">
      <c r="A15799" s="31"/>
      <c r="D15799" s="30"/>
    </row>
    <row r="15800" spans="1:4" x14ac:dyDescent="0.25">
      <c r="A15800" s="31"/>
      <c r="D15800" s="30"/>
    </row>
    <row r="15801" spans="1:4" x14ac:dyDescent="0.25">
      <c r="A15801" s="31"/>
      <c r="D15801" s="30"/>
    </row>
    <row r="15802" spans="1:4" x14ac:dyDescent="0.25">
      <c r="A15802" s="31"/>
      <c r="D15802" s="30"/>
    </row>
    <row r="15803" spans="1:4" x14ac:dyDescent="0.25">
      <c r="A15803" s="31"/>
      <c r="D15803" s="30"/>
    </row>
    <row r="15804" spans="1:4" x14ac:dyDescent="0.25">
      <c r="A15804" s="31"/>
      <c r="D15804" s="30"/>
    </row>
    <row r="15805" spans="1:4" x14ac:dyDescent="0.25">
      <c r="A15805" s="31"/>
      <c r="D15805" s="30"/>
    </row>
    <row r="15806" spans="1:4" x14ac:dyDescent="0.25">
      <c r="A15806" s="31"/>
      <c r="D15806" s="30"/>
    </row>
    <row r="15807" spans="1:4" x14ac:dyDescent="0.25">
      <c r="A15807" s="31"/>
      <c r="D15807" s="30"/>
    </row>
    <row r="15808" spans="1:4" x14ac:dyDescent="0.25">
      <c r="A15808" s="31"/>
      <c r="D15808" s="30"/>
    </row>
    <row r="15809" spans="1:4" x14ac:dyDescent="0.25">
      <c r="A15809" s="31"/>
      <c r="D15809" s="30"/>
    </row>
    <row r="15810" spans="1:4" x14ac:dyDescent="0.25">
      <c r="A15810" s="31"/>
      <c r="D15810" s="30"/>
    </row>
    <row r="15811" spans="1:4" x14ac:dyDescent="0.25">
      <c r="A15811" s="31"/>
      <c r="D15811" s="30"/>
    </row>
    <row r="15812" spans="1:4" x14ac:dyDescent="0.25">
      <c r="A15812" s="31"/>
      <c r="D15812" s="30"/>
    </row>
    <row r="15813" spans="1:4" x14ac:dyDescent="0.25">
      <c r="A15813" s="31"/>
      <c r="D15813" s="30"/>
    </row>
    <row r="15814" spans="1:4" x14ac:dyDescent="0.25">
      <c r="A15814" s="31"/>
      <c r="D15814" s="30"/>
    </row>
    <row r="15815" spans="1:4" x14ac:dyDescent="0.25">
      <c r="A15815" s="31"/>
      <c r="D15815" s="30"/>
    </row>
    <row r="15816" spans="1:4" x14ac:dyDescent="0.25">
      <c r="A15816" s="31"/>
      <c r="D15816" s="30"/>
    </row>
    <row r="15817" spans="1:4" x14ac:dyDescent="0.25">
      <c r="A15817" s="31"/>
      <c r="D15817" s="30"/>
    </row>
    <row r="15818" spans="1:4" x14ac:dyDescent="0.25">
      <c r="A15818" s="31"/>
      <c r="D15818" s="30"/>
    </row>
    <row r="15819" spans="1:4" x14ac:dyDescent="0.25">
      <c r="A15819" s="31"/>
      <c r="D15819" s="30"/>
    </row>
    <row r="15820" spans="1:4" x14ac:dyDescent="0.25">
      <c r="A15820" s="31"/>
      <c r="D15820" s="30"/>
    </row>
    <row r="15821" spans="1:4" x14ac:dyDescent="0.25">
      <c r="A15821" s="31"/>
      <c r="D15821" s="30"/>
    </row>
    <row r="15822" spans="1:4" x14ac:dyDescent="0.25">
      <c r="A15822" s="31"/>
      <c r="D15822" s="30"/>
    </row>
    <row r="15823" spans="1:4" x14ac:dyDescent="0.25">
      <c r="A15823" s="31"/>
      <c r="D15823" s="30"/>
    </row>
    <row r="15824" spans="1:4" x14ac:dyDescent="0.25">
      <c r="A15824" s="31"/>
      <c r="D15824" s="30"/>
    </row>
    <row r="15825" spans="1:4" x14ac:dyDescent="0.25">
      <c r="A15825" s="31"/>
      <c r="D15825" s="30"/>
    </row>
    <row r="15826" spans="1:4" x14ac:dyDescent="0.25">
      <c r="A15826" s="31"/>
      <c r="D15826" s="30"/>
    </row>
    <row r="15827" spans="1:4" x14ac:dyDescent="0.25">
      <c r="A15827" s="31"/>
      <c r="D15827" s="30"/>
    </row>
    <row r="15828" spans="1:4" x14ac:dyDescent="0.25">
      <c r="A15828" s="31"/>
      <c r="D15828" s="30"/>
    </row>
    <row r="15829" spans="1:4" x14ac:dyDescent="0.25">
      <c r="A15829" s="31"/>
      <c r="D15829" s="30"/>
    </row>
    <row r="15830" spans="1:4" x14ac:dyDescent="0.25">
      <c r="A15830" s="31"/>
      <c r="D15830" s="30"/>
    </row>
    <row r="15831" spans="1:4" x14ac:dyDescent="0.25">
      <c r="A15831" s="31"/>
      <c r="D15831" s="30"/>
    </row>
    <row r="15832" spans="1:4" x14ac:dyDescent="0.25">
      <c r="A15832" s="31"/>
      <c r="D15832" s="30"/>
    </row>
    <row r="15833" spans="1:4" x14ac:dyDescent="0.25">
      <c r="A15833" s="31"/>
      <c r="D15833" s="30"/>
    </row>
    <row r="15834" spans="1:4" x14ac:dyDescent="0.25">
      <c r="A15834" s="31"/>
      <c r="D15834" s="30"/>
    </row>
    <row r="15835" spans="1:4" x14ac:dyDescent="0.25">
      <c r="A15835" s="31"/>
      <c r="D15835" s="30"/>
    </row>
    <row r="15836" spans="1:4" x14ac:dyDescent="0.25">
      <c r="A15836" s="31"/>
      <c r="D15836" s="30"/>
    </row>
    <row r="15837" spans="1:4" x14ac:dyDescent="0.25">
      <c r="A15837" s="31"/>
      <c r="D15837" s="30"/>
    </row>
    <row r="15838" spans="1:4" x14ac:dyDescent="0.25">
      <c r="A15838" s="31"/>
      <c r="D15838" s="30"/>
    </row>
    <row r="15839" spans="1:4" x14ac:dyDescent="0.25">
      <c r="A15839" s="31"/>
      <c r="D15839" s="30"/>
    </row>
    <row r="15840" spans="1:4" x14ac:dyDescent="0.25">
      <c r="A15840" s="31"/>
      <c r="D15840" s="30"/>
    </row>
    <row r="15841" spans="1:4" x14ac:dyDescent="0.25">
      <c r="A15841" s="31"/>
      <c r="D15841" s="30"/>
    </row>
    <row r="15842" spans="1:4" x14ac:dyDescent="0.25">
      <c r="A15842" s="31"/>
      <c r="D15842" s="30"/>
    </row>
    <row r="15843" spans="1:4" x14ac:dyDescent="0.25">
      <c r="A15843" s="31"/>
      <c r="D15843" s="30"/>
    </row>
    <row r="15844" spans="1:4" x14ac:dyDescent="0.25">
      <c r="A15844" s="31"/>
      <c r="D15844" s="30"/>
    </row>
    <row r="15845" spans="1:4" x14ac:dyDescent="0.25">
      <c r="A15845" s="31"/>
      <c r="D15845" s="30"/>
    </row>
    <row r="15846" spans="1:4" x14ac:dyDescent="0.25">
      <c r="A15846" s="31"/>
      <c r="D15846" s="30"/>
    </row>
    <row r="15847" spans="1:4" x14ac:dyDescent="0.25">
      <c r="A15847" s="31"/>
      <c r="D15847" s="30"/>
    </row>
    <row r="15848" spans="1:4" x14ac:dyDescent="0.25">
      <c r="A15848" s="31"/>
      <c r="D15848" s="30"/>
    </row>
    <row r="15849" spans="1:4" x14ac:dyDescent="0.25">
      <c r="A15849" s="31"/>
      <c r="D15849" s="30"/>
    </row>
    <row r="15850" spans="1:4" x14ac:dyDescent="0.25">
      <c r="A15850" s="31"/>
      <c r="D15850" s="30"/>
    </row>
    <row r="15851" spans="1:4" x14ac:dyDescent="0.25">
      <c r="A15851" s="31"/>
      <c r="D15851" s="30"/>
    </row>
    <row r="15852" spans="1:4" x14ac:dyDescent="0.25">
      <c r="A15852" s="31"/>
      <c r="D15852" s="30"/>
    </row>
    <row r="15853" spans="1:4" x14ac:dyDescent="0.25">
      <c r="A15853" s="31"/>
      <c r="D15853" s="30"/>
    </row>
    <row r="15854" spans="1:4" x14ac:dyDescent="0.25">
      <c r="A15854" s="31"/>
      <c r="D15854" s="30"/>
    </row>
    <row r="15855" spans="1:4" x14ac:dyDescent="0.25">
      <c r="A15855" s="31"/>
      <c r="D15855" s="30"/>
    </row>
    <row r="15856" spans="1:4" x14ac:dyDescent="0.25">
      <c r="A15856" s="31"/>
      <c r="D15856" s="30"/>
    </row>
    <row r="15857" spans="1:4" x14ac:dyDescent="0.25">
      <c r="A15857" s="31"/>
      <c r="D15857" s="30"/>
    </row>
    <row r="15858" spans="1:4" x14ac:dyDescent="0.25">
      <c r="A15858" s="31"/>
      <c r="D15858" s="30"/>
    </row>
    <row r="15859" spans="1:4" x14ac:dyDescent="0.25">
      <c r="A15859" s="31"/>
      <c r="D15859" s="30"/>
    </row>
    <row r="15860" spans="1:4" x14ac:dyDescent="0.25">
      <c r="A15860" s="31"/>
      <c r="D15860" s="30"/>
    </row>
    <row r="15861" spans="1:4" x14ac:dyDescent="0.25">
      <c r="A15861" s="31"/>
      <c r="D15861" s="30"/>
    </row>
    <row r="15862" spans="1:4" x14ac:dyDescent="0.25">
      <c r="A15862" s="31"/>
      <c r="D15862" s="30"/>
    </row>
    <row r="15863" spans="1:4" x14ac:dyDescent="0.25">
      <c r="A15863" s="31"/>
      <c r="D15863" s="30"/>
    </row>
    <row r="15864" spans="1:4" x14ac:dyDescent="0.25">
      <c r="A15864" s="31"/>
      <c r="D15864" s="30"/>
    </row>
    <row r="15865" spans="1:4" x14ac:dyDescent="0.25">
      <c r="A15865" s="31"/>
      <c r="D15865" s="30"/>
    </row>
    <row r="15866" spans="1:4" x14ac:dyDescent="0.25">
      <c r="A15866" s="31"/>
      <c r="D15866" s="30"/>
    </row>
    <row r="15867" spans="1:4" x14ac:dyDescent="0.25">
      <c r="A15867" s="31"/>
      <c r="D15867" s="30"/>
    </row>
    <row r="15868" spans="1:4" x14ac:dyDescent="0.25">
      <c r="A15868" s="31"/>
      <c r="D15868" s="30"/>
    </row>
    <row r="15869" spans="1:4" x14ac:dyDescent="0.25">
      <c r="A15869" s="31"/>
      <c r="D15869" s="30"/>
    </row>
    <row r="15870" spans="1:4" x14ac:dyDescent="0.25">
      <c r="A15870" s="31"/>
      <c r="D15870" s="30"/>
    </row>
    <row r="15871" spans="1:4" x14ac:dyDescent="0.25">
      <c r="A15871" s="31"/>
      <c r="D15871" s="30"/>
    </row>
    <row r="15872" spans="1:4" x14ac:dyDescent="0.25">
      <c r="A15872" s="31"/>
      <c r="D15872" s="30"/>
    </row>
    <row r="15873" spans="1:4" x14ac:dyDescent="0.25">
      <c r="A15873" s="31"/>
      <c r="D15873" s="30"/>
    </row>
    <row r="15874" spans="1:4" x14ac:dyDescent="0.25">
      <c r="A15874" s="31"/>
      <c r="D15874" s="30"/>
    </row>
    <row r="15875" spans="1:4" x14ac:dyDescent="0.25">
      <c r="A15875" s="31"/>
      <c r="D15875" s="30"/>
    </row>
    <row r="15876" spans="1:4" x14ac:dyDescent="0.25">
      <c r="A15876" s="31"/>
      <c r="D15876" s="30"/>
    </row>
    <row r="15877" spans="1:4" x14ac:dyDescent="0.25">
      <c r="A15877" s="31"/>
      <c r="D15877" s="30"/>
    </row>
    <row r="15878" spans="1:4" x14ac:dyDescent="0.25">
      <c r="A15878" s="31"/>
      <c r="D15878" s="30"/>
    </row>
    <row r="15879" spans="1:4" x14ac:dyDescent="0.25">
      <c r="A15879" s="31"/>
      <c r="D15879" s="30"/>
    </row>
    <row r="15880" spans="1:4" x14ac:dyDescent="0.25">
      <c r="A15880" s="31"/>
      <c r="D15880" s="30"/>
    </row>
    <row r="15881" spans="1:4" x14ac:dyDescent="0.25">
      <c r="A15881" s="31"/>
      <c r="D15881" s="30"/>
    </row>
    <row r="15882" spans="1:4" x14ac:dyDescent="0.25">
      <c r="A15882" s="31"/>
      <c r="D15882" s="30"/>
    </row>
    <row r="15883" spans="1:4" x14ac:dyDescent="0.25">
      <c r="A15883" s="31"/>
      <c r="D15883" s="30"/>
    </row>
    <row r="15884" spans="1:4" x14ac:dyDescent="0.25">
      <c r="A15884" s="31"/>
      <c r="D15884" s="30"/>
    </row>
    <row r="15885" spans="1:4" x14ac:dyDescent="0.25">
      <c r="A15885" s="31"/>
      <c r="D15885" s="30"/>
    </row>
    <row r="15886" spans="1:4" x14ac:dyDescent="0.25">
      <c r="A15886" s="31"/>
      <c r="D15886" s="30"/>
    </row>
    <row r="15887" spans="1:4" x14ac:dyDescent="0.25">
      <c r="A15887" s="31"/>
      <c r="D15887" s="30"/>
    </row>
    <row r="15888" spans="1:4" x14ac:dyDescent="0.25">
      <c r="A15888" s="31"/>
      <c r="D15888" s="30"/>
    </row>
    <row r="15889" spans="1:4" x14ac:dyDescent="0.25">
      <c r="A15889" s="31"/>
      <c r="D15889" s="30"/>
    </row>
    <row r="15890" spans="1:4" x14ac:dyDescent="0.25">
      <c r="A15890" s="31"/>
      <c r="D15890" s="30"/>
    </row>
    <row r="15891" spans="1:4" x14ac:dyDescent="0.25">
      <c r="A15891" s="31"/>
      <c r="D15891" s="30"/>
    </row>
    <row r="15892" spans="1:4" x14ac:dyDescent="0.25">
      <c r="A15892" s="31"/>
      <c r="D15892" s="30"/>
    </row>
    <row r="15893" spans="1:4" x14ac:dyDescent="0.25">
      <c r="A15893" s="31"/>
      <c r="D15893" s="30"/>
    </row>
    <row r="15894" spans="1:4" x14ac:dyDescent="0.25">
      <c r="A15894" s="31"/>
      <c r="D15894" s="30"/>
    </row>
    <row r="15895" spans="1:4" x14ac:dyDescent="0.25">
      <c r="A15895" s="31"/>
      <c r="D15895" s="30"/>
    </row>
    <row r="15896" spans="1:4" x14ac:dyDescent="0.25">
      <c r="A15896" s="31"/>
      <c r="D15896" s="30"/>
    </row>
    <row r="15897" spans="1:4" x14ac:dyDescent="0.25">
      <c r="A15897" s="31"/>
      <c r="D15897" s="30"/>
    </row>
    <row r="15898" spans="1:4" x14ac:dyDescent="0.25">
      <c r="A15898" s="31"/>
      <c r="D15898" s="30"/>
    </row>
    <row r="15899" spans="1:4" x14ac:dyDescent="0.25">
      <c r="A15899" s="31"/>
      <c r="D15899" s="30"/>
    </row>
    <row r="15900" spans="1:4" x14ac:dyDescent="0.25">
      <c r="A15900" s="31"/>
      <c r="D15900" s="30"/>
    </row>
    <row r="15901" spans="1:4" x14ac:dyDescent="0.25">
      <c r="A15901" s="31"/>
      <c r="D15901" s="30"/>
    </row>
    <row r="15902" spans="1:4" x14ac:dyDescent="0.25">
      <c r="A15902" s="31"/>
      <c r="D15902" s="30"/>
    </row>
    <row r="15903" spans="1:4" x14ac:dyDescent="0.25">
      <c r="A15903" s="31"/>
      <c r="D15903" s="30"/>
    </row>
    <row r="15904" spans="1:4" x14ac:dyDescent="0.25">
      <c r="A15904" s="31"/>
      <c r="D15904" s="30"/>
    </row>
    <row r="15905" spans="1:4" x14ac:dyDescent="0.25">
      <c r="A15905" s="31"/>
      <c r="D15905" s="30"/>
    </row>
    <row r="15906" spans="1:4" x14ac:dyDescent="0.25">
      <c r="A15906" s="31"/>
      <c r="D15906" s="30"/>
    </row>
    <row r="15907" spans="1:4" x14ac:dyDescent="0.25">
      <c r="A15907" s="31"/>
      <c r="D15907" s="30"/>
    </row>
    <row r="15908" spans="1:4" x14ac:dyDescent="0.25">
      <c r="A15908" s="31"/>
      <c r="D15908" s="30"/>
    </row>
    <row r="15909" spans="1:4" x14ac:dyDescent="0.25">
      <c r="A15909" s="31"/>
      <c r="D15909" s="30"/>
    </row>
    <row r="15910" spans="1:4" x14ac:dyDescent="0.25">
      <c r="A15910" s="31"/>
      <c r="D15910" s="30"/>
    </row>
    <row r="15911" spans="1:4" x14ac:dyDescent="0.25">
      <c r="A15911" s="31"/>
      <c r="D15911" s="30"/>
    </row>
    <row r="15912" spans="1:4" x14ac:dyDescent="0.25">
      <c r="A15912" s="31"/>
      <c r="D15912" s="30"/>
    </row>
    <row r="15913" spans="1:4" x14ac:dyDescent="0.25">
      <c r="A15913" s="31"/>
      <c r="D15913" s="30"/>
    </row>
    <row r="15914" spans="1:4" x14ac:dyDescent="0.25">
      <c r="A15914" s="31"/>
      <c r="D15914" s="30"/>
    </row>
    <row r="15915" spans="1:4" x14ac:dyDescent="0.25">
      <c r="A15915" s="31"/>
      <c r="D15915" s="30"/>
    </row>
    <row r="15916" spans="1:4" x14ac:dyDescent="0.25">
      <c r="A15916" s="31"/>
      <c r="D15916" s="30"/>
    </row>
    <row r="15917" spans="1:4" x14ac:dyDescent="0.25">
      <c r="A15917" s="31"/>
      <c r="D15917" s="30"/>
    </row>
    <row r="15918" spans="1:4" x14ac:dyDescent="0.25">
      <c r="A15918" s="31"/>
      <c r="D15918" s="30"/>
    </row>
    <row r="15919" spans="1:4" x14ac:dyDescent="0.25">
      <c r="A15919" s="31"/>
      <c r="D15919" s="30"/>
    </row>
    <row r="15920" spans="1:4" x14ac:dyDescent="0.25">
      <c r="A15920" s="31"/>
      <c r="D15920" s="30"/>
    </row>
    <row r="15921" spans="1:4" x14ac:dyDescent="0.25">
      <c r="A15921" s="31"/>
      <c r="D15921" s="30"/>
    </row>
    <row r="15922" spans="1:4" x14ac:dyDescent="0.25">
      <c r="A15922" s="31"/>
      <c r="D15922" s="30"/>
    </row>
    <row r="15923" spans="1:4" x14ac:dyDescent="0.25">
      <c r="A15923" s="31"/>
      <c r="D15923" s="30"/>
    </row>
    <row r="15924" spans="1:4" x14ac:dyDescent="0.25">
      <c r="A15924" s="31"/>
      <c r="D15924" s="30"/>
    </row>
    <row r="15925" spans="1:4" x14ac:dyDescent="0.25">
      <c r="A15925" s="31"/>
      <c r="D15925" s="30"/>
    </row>
    <row r="15926" spans="1:4" x14ac:dyDescent="0.25">
      <c r="A15926" s="31"/>
      <c r="D15926" s="30"/>
    </row>
    <row r="15927" spans="1:4" x14ac:dyDescent="0.25">
      <c r="A15927" s="31"/>
      <c r="D15927" s="30"/>
    </row>
    <row r="15928" spans="1:4" x14ac:dyDescent="0.25">
      <c r="A15928" s="31"/>
      <c r="D15928" s="30"/>
    </row>
    <row r="15929" spans="1:4" x14ac:dyDescent="0.25">
      <c r="A15929" s="31"/>
      <c r="D15929" s="30"/>
    </row>
    <row r="15930" spans="1:4" x14ac:dyDescent="0.25">
      <c r="A15930" s="31"/>
      <c r="D15930" s="30"/>
    </row>
    <row r="15931" spans="1:4" x14ac:dyDescent="0.25">
      <c r="A15931" s="31"/>
      <c r="D15931" s="30"/>
    </row>
    <row r="15932" spans="1:4" x14ac:dyDescent="0.25">
      <c r="A15932" s="31"/>
      <c r="D15932" s="30"/>
    </row>
    <row r="15933" spans="1:4" x14ac:dyDescent="0.25">
      <c r="A15933" s="31"/>
      <c r="D15933" s="30"/>
    </row>
    <row r="15934" spans="1:4" x14ac:dyDescent="0.25">
      <c r="A15934" s="31"/>
      <c r="D15934" s="30"/>
    </row>
    <row r="15935" spans="1:4" x14ac:dyDescent="0.25">
      <c r="A15935" s="31"/>
      <c r="D15935" s="30"/>
    </row>
    <row r="15936" spans="1:4" x14ac:dyDescent="0.25">
      <c r="A15936" s="31"/>
      <c r="D15936" s="30"/>
    </row>
    <row r="15937" spans="1:4" x14ac:dyDescent="0.25">
      <c r="A15937" s="31"/>
      <c r="D15937" s="30"/>
    </row>
    <row r="15938" spans="1:4" x14ac:dyDescent="0.25">
      <c r="A15938" s="31"/>
      <c r="D15938" s="30"/>
    </row>
    <row r="15939" spans="1:4" x14ac:dyDescent="0.25">
      <c r="A15939" s="31"/>
      <c r="D15939" s="30"/>
    </row>
    <row r="15940" spans="1:4" x14ac:dyDescent="0.25">
      <c r="A15940" s="31"/>
      <c r="D15940" s="30"/>
    </row>
    <row r="15941" spans="1:4" x14ac:dyDescent="0.25">
      <c r="A15941" s="31"/>
      <c r="D15941" s="30"/>
    </row>
    <row r="15942" spans="1:4" x14ac:dyDescent="0.25">
      <c r="A15942" s="31"/>
      <c r="D15942" s="30"/>
    </row>
    <row r="15943" spans="1:4" x14ac:dyDescent="0.25">
      <c r="A15943" s="31"/>
      <c r="D15943" s="30"/>
    </row>
    <row r="15944" spans="1:4" x14ac:dyDescent="0.25">
      <c r="A15944" s="31"/>
      <c r="D15944" s="30"/>
    </row>
    <row r="15945" spans="1:4" x14ac:dyDescent="0.25">
      <c r="A15945" s="31"/>
      <c r="D15945" s="30"/>
    </row>
    <row r="15946" spans="1:4" x14ac:dyDescent="0.25">
      <c r="A15946" s="31"/>
      <c r="D15946" s="30"/>
    </row>
    <row r="15947" spans="1:4" x14ac:dyDescent="0.25">
      <c r="A15947" s="31"/>
      <c r="D15947" s="30"/>
    </row>
    <row r="15948" spans="1:4" x14ac:dyDescent="0.25">
      <c r="A15948" s="31"/>
      <c r="D15948" s="30"/>
    </row>
    <row r="15949" spans="1:4" x14ac:dyDescent="0.25">
      <c r="A15949" s="31"/>
      <c r="D15949" s="30"/>
    </row>
    <row r="15950" spans="1:4" x14ac:dyDescent="0.25">
      <c r="A15950" s="31"/>
      <c r="D15950" s="30"/>
    </row>
    <row r="15951" spans="1:4" x14ac:dyDescent="0.25">
      <c r="A15951" s="31"/>
      <c r="D15951" s="30"/>
    </row>
    <row r="15952" spans="1:4" x14ac:dyDescent="0.25">
      <c r="A15952" s="31"/>
      <c r="D15952" s="30"/>
    </row>
    <row r="15953" spans="1:4" x14ac:dyDescent="0.25">
      <c r="A15953" s="31"/>
      <c r="D15953" s="30"/>
    </row>
    <row r="15954" spans="1:4" x14ac:dyDescent="0.25">
      <c r="A15954" s="31"/>
      <c r="D15954" s="30"/>
    </row>
    <row r="15955" spans="1:4" x14ac:dyDescent="0.25">
      <c r="A15955" s="31"/>
      <c r="D15955" s="30"/>
    </row>
    <row r="15956" spans="1:4" x14ac:dyDescent="0.25">
      <c r="A15956" s="31"/>
      <c r="D15956" s="30"/>
    </row>
    <row r="15957" spans="1:4" x14ac:dyDescent="0.25">
      <c r="A15957" s="31"/>
      <c r="D15957" s="30"/>
    </row>
    <row r="15958" spans="1:4" x14ac:dyDescent="0.25">
      <c r="A15958" s="31"/>
      <c r="D15958" s="30"/>
    </row>
    <row r="15959" spans="1:4" x14ac:dyDescent="0.25">
      <c r="A15959" s="31"/>
      <c r="D15959" s="30"/>
    </row>
    <row r="15960" spans="1:4" x14ac:dyDescent="0.25">
      <c r="A15960" s="31"/>
      <c r="D15960" s="30"/>
    </row>
    <row r="15961" spans="1:4" x14ac:dyDescent="0.25">
      <c r="A15961" s="31"/>
      <c r="D15961" s="30"/>
    </row>
    <row r="15962" spans="1:4" x14ac:dyDescent="0.25">
      <c r="A15962" s="31"/>
      <c r="D15962" s="30"/>
    </row>
    <row r="15963" spans="1:4" x14ac:dyDescent="0.25">
      <c r="A15963" s="31"/>
      <c r="D15963" s="30"/>
    </row>
    <row r="15964" spans="1:4" x14ac:dyDescent="0.25">
      <c r="A15964" s="31"/>
      <c r="D15964" s="30"/>
    </row>
    <row r="15965" spans="1:4" x14ac:dyDescent="0.25">
      <c r="A15965" s="31"/>
      <c r="D15965" s="30"/>
    </row>
    <row r="15966" spans="1:4" x14ac:dyDescent="0.25">
      <c r="A15966" s="31"/>
      <c r="D15966" s="30"/>
    </row>
    <row r="15967" spans="1:4" x14ac:dyDescent="0.25">
      <c r="A15967" s="31"/>
      <c r="D15967" s="30"/>
    </row>
    <row r="15968" spans="1:4" x14ac:dyDescent="0.25">
      <c r="A15968" s="31"/>
      <c r="D15968" s="30"/>
    </row>
    <row r="15969" spans="1:4" x14ac:dyDescent="0.25">
      <c r="A15969" s="31"/>
      <c r="D15969" s="30"/>
    </row>
    <row r="15970" spans="1:4" x14ac:dyDescent="0.25">
      <c r="A15970" s="31"/>
      <c r="D15970" s="30"/>
    </row>
    <row r="15971" spans="1:4" x14ac:dyDescent="0.25">
      <c r="A15971" s="31"/>
      <c r="D15971" s="30"/>
    </row>
    <row r="15972" spans="1:4" x14ac:dyDescent="0.25">
      <c r="A15972" s="31"/>
      <c r="D15972" s="30"/>
    </row>
    <row r="15973" spans="1:4" x14ac:dyDescent="0.25">
      <c r="A15973" s="31"/>
      <c r="D15973" s="30"/>
    </row>
    <row r="15974" spans="1:4" x14ac:dyDescent="0.25">
      <c r="A15974" s="31"/>
      <c r="D15974" s="30"/>
    </row>
    <row r="15975" spans="1:4" x14ac:dyDescent="0.25">
      <c r="A15975" s="31"/>
      <c r="D15975" s="30"/>
    </row>
    <row r="15976" spans="1:4" x14ac:dyDescent="0.25">
      <c r="A15976" s="31"/>
      <c r="D15976" s="30"/>
    </row>
    <row r="15977" spans="1:4" x14ac:dyDescent="0.25">
      <c r="A15977" s="31"/>
      <c r="D15977" s="30"/>
    </row>
    <row r="15978" spans="1:4" x14ac:dyDescent="0.25">
      <c r="A15978" s="31"/>
      <c r="D15978" s="30"/>
    </row>
    <row r="15979" spans="1:4" x14ac:dyDescent="0.25">
      <c r="A15979" s="31"/>
      <c r="D15979" s="30"/>
    </row>
    <row r="15980" spans="1:4" x14ac:dyDescent="0.25">
      <c r="A15980" s="31"/>
      <c r="D15980" s="30"/>
    </row>
    <row r="15981" spans="1:4" x14ac:dyDescent="0.25">
      <c r="A15981" s="31"/>
      <c r="D15981" s="30"/>
    </row>
    <row r="15982" spans="1:4" x14ac:dyDescent="0.25">
      <c r="A15982" s="31"/>
      <c r="D15982" s="30"/>
    </row>
    <row r="15983" spans="1:4" x14ac:dyDescent="0.25">
      <c r="A15983" s="31"/>
      <c r="D15983" s="30"/>
    </row>
    <row r="15984" spans="1:4" x14ac:dyDescent="0.25">
      <c r="A15984" s="31"/>
      <c r="D15984" s="30"/>
    </row>
    <row r="15985" spans="1:4" x14ac:dyDescent="0.25">
      <c r="A15985" s="31"/>
      <c r="D15985" s="30"/>
    </row>
    <row r="15986" spans="1:4" x14ac:dyDescent="0.25">
      <c r="A15986" s="31"/>
      <c r="D15986" s="30"/>
    </row>
    <row r="15987" spans="1:4" x14ac:dyDescent="0.25">
      <c r="A15987" s="31"/>
      <c r="D15987" s="30"/>
    </row>
    <row r="15988" spans="1:4" x14ac:dyDescent="0.25">
      <c r="A15988" s="31"/>
      <c r="D15988" s="30"/>
    </row>
    <row r="15989" spans="1:4" x14ac:dyDescent="0.25">
      <c r="A15989" s="31"/>
      <c r="D15989" s="30"/>
    </row>
    <row r="15990" spans="1:4" x14ac:dyDescent="0.25">
      <c r="A15990" s="31"/>
      <c r="D15990" s="30"/>
    </row>
    <row r="15991" spans="1:4" x14ac:dyDescent="0.25">
      <c r="A15991" s="31"/>
      <c r="D15991" s="30"/>
    </row>
    <row r="15992" spans="1:4" x14ac:dyDescent="0.25">
      <c r="A15992" s="31"/>
      <c r="D15992" s="30"/>
    </row>
    <row r="15993" spans="1:4" x14ac:dyDescent="0.25">
      <c r="A15993" s="31"/>
      <c r="D15993" s="30"/>
    </row>
    <row r="15994" spans="1:4" x14ac:dyDescent="0.25">
      <c r="A15994" s="31"/>
      <c r="D15994" s="30"/>
    </row>
    <row r="15995" spans="1:4" x14ac:dyDescent="0.25">
      <c r="A15995" s="31"/>
      <c r="D15995" s="30"/>
    </row>
    <row r="15996" spans="1:4" x14ac:dyDescent="0.25">
      <c r="A15996" s="31"/>
      <c r="D15996" s="30"/>
    </row>
    <row r="15997" spans="1:4" x14ac:dyDescent="0.25">
      <c r="A15997" s="31"/>
      <c r="D15997" s="30"/>
    </row>
    <row r="15998" spans="1:4" x14ac:dyDescent="0.25">
      <c r="A15998" s="31"/>
      <c r="D15998" s="30"/>
    </row>
    <row r="15999" spans="1:4" x14ac:dyDescent="0.25">
      <c r="A15999" s="31"/>
      <c r="D15999" s="30"/>
    </row>
    <row r="16000" spans="1:4" x14ac:dyDescent="0.25">
      <c r="A16000" s="31"/>
      <c r="D16000" s="30"/>
    </row>
    <row r="16001" spans="1:4" x14ac:dyDescent="0.25">
      <c r="A16001" s="31"/>
      <c r="D16001" s="30"/>
    </row>
    <row r="16002" spans="1:4" x14ac:dyDescent="0.25">
      <c r="A16002" s="31"/>
      <c r="D16002" s="30"/>
    </row>
    <row r="16003" spans="1:4" x14ac:dyDescent="0.25">
      <c r="A16003" s="31"/>
      <c r="D16003" s="30"/>
    </row>
    <row r="16004" spans="1:4" x14ac:dyDescent="0.25">
      <c r="A16004" s="31"/>
      <c r="D16004" s="30"/>
    </row>
    <row r="16005" spans="1:4" x14ac:dyDescent="0.25">
      <c r="A16005" s="31"/>
      <c r="D16005" s="30"/>
    </row>
    <row r="16006" spans="1:4" x14ac:dyDescent="0.25">
      <c r="A16006" s="31"/>
      <c r="D16006" s="30"/>
    </row>
    <row r="16007" spans="1:4" x14ac:dyDescent="0.25">
      <c r="A16007" s="31"/>
      <c r="D16007" s="30"/>
    </row>
    <row r="16008" spans="1:4" x14ac:dyDescent="0.25">
      <c r="A16008" s="31"/>
      <c r="D16008" s="30"/>
    </row>
    <row r="16009" spans="1:4" x14ac:dyDescent="0.25">
      <c r="A16009" s="31"/>
      <c r="D16009" s="30"/>
    </row>
    <row r="16010" spans="1:4" x14ac:dyDescent="0.25">
      <c r="A16010" s="31"/>
      <c r="D16010" s="30"/>
    </row>
    <row r="16011" spans="1:4" x14ac:dyDescent="0.25">
      <c r="A16011" s="31"/>
      <c r="D16011" s="30"/>
    </row>
    <row r="16012" spans="1:4" x14ac:dyDescent="0.25">
      <c r="A16012" s="31"/>
      <c r="D16012" s="30"/>
    </row>
    <row r="16013" spans="1:4" x14ac:dyDescent="0.25">
      <c r="A16013" s="31"/>
      <c r="D16013" s="30"/>
    </row>
    <row r="16014" spans="1:4" x14ac:dyDescent="0.25">
      <c r="A16014" s="31"/>
      <c r="D16014" s="30"/>
    </row>
    <row r="16015" spans="1:4" x14ac:dyDescent="0.25">
      <c r="A16015" s="31"/>
      <c r="D16015" s="30"/>
    </row>
    <row r="16016" spans="1:4" x14ac:dyDescent="0.25">
      <c r="A16016" s="31"/>
      <c r="D16016" s="30"/>
    </row>
    <row r="16017" spans="1:4" x14ac:dyDescent="0.25">
      <c r="A16017" s="31"/>
      <c r="D16017" s="30"/>
    </row>
    <row r="16018" spans="1:4" x14ac:dyDescent="0.25">
      <c r="A16018" s="31"/>
      <c r="D16018" s="30"/>
    </row>
    <row r="16019" spans="1:4" x14ac:dyDescent="0.25">
      <c r="A16019" s="31"/>
      <c r="D16019" s="30"/>
    </row>
    <row r="16020" spans="1:4" x14ac:dyDescent="0.25">
      <c r="A16020" s="31"/>
      <c r="D16020" s="30"/>
    </row>
    <row r="16021" spans="1:4" x14ac:dyDescent="0.25">
      <c r="A16021" s="31"/>
      <c r="D16021" s="30"/>
    </row>
    <row r="16022" spans="1:4" x14ac:dyDescent="0.25">
      <c r="A16022" s="31"/>
      <c r="D16022" s="30"/>
    </row>
    <row r="16023" spans="1:4" x14ac:dyDescent="0.25">
      <c r="A16023" s="31"/>
      <c r="D16023" s="30"/>
    </row>
    <row r="16024" spans="1:4" x14ac:dyDescent="0.25">
      <c r="A16024" s="31"/>
      <c r="D16024" s="30"/>
    </row>
    <row r="16025" spans="1:4" x14ac:dyDescent="0.25">
      <c r="A16025" s="31"/>
      <c r="D16025" s="30"/>
    </row>
    <row r="16026" spans="1:4" x14ac:dyDescent="0.25">
      <c r="A16026" s="31"/>
      <c r="D16026" s="30"/>
    </row>
    <row r="16027" spans="1:4" x14ac:dyDescent="0.25">
      <c r="A16027" s="31"/>
      <c r="D16027" s="30"/>
    </row>
    <row r="16028" spans="1:4" x14ac:dyDescent="0.25">
      <c r="A16028" s="31"/>
      <c r="D16028" s="30"/>
    </row>
    <row r="16029" spans="1:4" x14ac:dyDescent="0.25">
      <c r="A16029" s="31"/>
      <c r="D16029" s="30"/>
    </row>
    <row r="16030" spans="1:4" x14ac:dyDescent="0.25">
      <c r="A16030" s="31"/>
      <c r="D16030" s="30"/>
    </row>
    <row r="16031" spans="1:4" x14ac:dyDescent="0.25">
      <c r="A16031" s="31"/>
      <c r="D16031" s="30"/>
    </row>
    <row r="16032" spans="1:4" x14ac:dyDescent="0.25">
      <c r="A16032" s="31"/>
      <c r="D16032" s="30"/>
    </row>
    <row r="16033" spans="1:4" x14ac:dyDescent="0.25">
      <c r="A16033" s="31"/>
      <c r="D16033" s="30"/>
    </row>
    <row r="16034" spans="1:4" x14ac:dyDescent="0.25">
      <c r="A16034" s="31"/>
      <c r="D16034" s="30"/>
    </row>
    <row r="16035" spans="1:4" x14ac:dyDescent="0.25">
      <c r="A16035" s="31"/>
      <c r="D16035" s="30"/>
    </row>
    <row r="16036" spans="1:4" x14ac:dyDescent="0.25">
      <c r="A16036" s="31"/>
      <c r="D16036" s="30"/>
    </row>
    <row r="16037" spans="1:4" x14ac:dyDescent="0.25">
      <c r="A16037" s="31"/>
      <c r="D16037" s="30"/>
    </row>
    <row r="16038" spans="1:4" x14ac:dyDescent="0.25">
      <c r="A16038" s="31"/>
      <c r="D16038" s="30"/>
    </row>
    <row r="16039" spans="1:4" x14ac:dyDescent="0.25">
      <c r="A16039" s="31"/>
      <c r="D16039" s="30"/>
    </row>
    <row r="16040" spans="1:4" x14ac:dyDescent="0.25">
      <c r="A16040" s="31"/>
      <c r="D16040" s="30"/>
    </row>
    <row r="16041" spans="1:4" x14ac:dyDescent="0.25">
      <c r="A16041" s="31"/>
      <c r="D16041" s="30"/>
    </row>
    <row r="16042" spans="1:4" x14ac:dyDescent="0.25">
      <c r="A16042" s="31"/>
      <c r="D16042" s="30"/>
    </row>
    <row r="16043" spans="1:4" x14ac:dyDescent="0.25">
      <c r="A16043" s="31"/>
      <c r="D16043" s="30"/>
    </row>
    <row r="16044" spans="1:4" x14ac:dyDescent="0.25">
      <c r="A16044" s="31"/>
      <c r="D16044" s="30"/>
    </row>
    <row r="16045" spans="1:4" x14ac:dyDescent="0.25">
      <c r="A16045" s="31"/>
      <c r="D16045" s="30"/>
    </row>
    <row r="16046" spans="1:4" x14ac:dyDescent="0.25">
      <c r="A16046" s="31"/>
      <c r="D16046" s="30"/>
    </row>
    <row r="16047" spans="1:4" x14ac:dyDescent="0.25">
      <c r="A16047" s="31"/>
      <c r="D16047" s="30"/>
    </row>
    <row r="16048" spans="1:4" x14ac:dyDescent="0.25">
      <c r="A16048" s="31"/>
      <c r="D16048" s="30"/>
    </row>
    <row r="16049" spans="1:4" x14ac:dyDescent="0.25">
      <c r="A16049" s="31"/>
      <c r="D16049" s="30"/>
    </row>
    <row r="16050" spans="1:4" x14ac:dyDescent="0.25">
      <c r="A16050" s="31"/>
      <c r="D16050" s="30"/>
    </row>
    <row r="16051" spans="1:4" x14ac:dyDescent="0.25">
      <c r="A16051" s="31"/>
      <c r="D16051" s="30"/>
    </row>
    <row r="16052" spans="1:4" x14ac:dyDescent="0.25">
      <c r="A16052" s="31"/>
      <c r="D16052" s="30"/>
    </row>
    <row r="16053" spans="1:4" x14ac:dyDescent="0.25">
      <c r="A16053" s="31"/>
      <c r="D16053" s="30"/>
    </row>
    <row r="16054" spans="1:4" x14ac:dyDescent="0.25">
      <c r="A16054" s="31"/>
      <c r="D16054" s="30"/>
    </row>
    <row r="16055" spans="1:4" x14ac:dyDescent="0.25">
      <c r="A16055" s="31"/>
      <c r="D16055" s="30"/>
    </row>
    <row r="16056" spans="1:4" x14ac:dyDescent="0.25">
      <c r="A16056" s="31"/>
      <c r="D16056" s="30"/>
    </row>
    <row r="16057" spans="1:4" x14ac:dyDescent="0.25">
      <c r="A16057" s="31"/>
      <c r="D16057" s="30"/>
    </row>
    <row r="16058" spans="1:4" x14ac:dyDescent="0.25">
      <c r="A16058" s="31"/>
      <c r="D16058" s="30"/>
    </row>
    <row r="16059" spans="1:4" x14ac:dyDescent="0.25">
      <c r="A16059" s="31"/>
      <c r="D16059" s="30"/>
    </row>
    <row r="16060" spans="1:4" x14ac:dyDescent="0.25">
      <c r="A16060" s="31"/>
      <c r="D16060" s="30"/>
    </row>
    <row r="16061" spans="1:4" x14ac:dyDescent="0.25">
      <c r="A16061" s="31"/>
      <c r="D16061" s="30"/>
    </row>
    <row r="16062" spans="1:4" x14ac:dyDescent="0.25">
      <c r="A16062" s="31"/>
      <c r="D16062" s="30"/>
    </row>
    <row r="16063" spans="1:4" x14ac:dyDescent="0.25">
      <c r="A16063" s="31"/>
      <c r="D16063" s="30"/>
    </row>
    <row r="16064" spans="1:4" x14ac:dyDescent="0.25">
      <c r="A16064" s="31"/>
      <c r="D16064" s="30"/>
    </row>
    <row r="16065" spans="1:4" x14ac:dyDescent="0.25">
      <c r="A16065" s="31"/>
      <c r="D16065" s="30"/>
    </row>
    <row r="16066" spans="1:4" x14ac:dyDescent="0.25">
      <c r="A16066" s="31"/>
      <c r="D16066" s="30"/>
    </row>
    <row r="16067" spans="1:4" x14ac:dyDescent="0.25">
      <c r="A16067" s="31"/>
      <c r="D16067" s="30"/>
    </row>
    <row r="16068" spans="1:4" x14ac:dyDescent="0.25">
      <c r="A16068" s="31"/>
      <c r="D16068" s="30"/>
    </row>
    <row r="16069" spans="1:4" x14ac:dyDescent="0.25">
      <c r="A16069" s="31"/>
      <c r="D16069" s="30"/>
    </row>
    <row r="16070" spans="1:4" x14ac:dyDescent="0.25">
      <c r="A16070" s="31"/>
      <c r="D16070" s="30"/>
    </row>
    <row r="16071" spans="1:4" x14ac:dyDescent="0.25">
      <c r="A16071" s="31"/>
      <c r="D16071" s="30"/>
    </row>
    <row r="16072" spans="1:4" x14ac:dyDescent="0.25">
      <c r="A16072" s="31"/>
      <c r="D16072" s="30"/>
    </row>
    <row r="16073" spans="1:4" x14ac:dyDescent="0.25">
      <c r="A16073" s="31"/>
      <c r="D16073" s="30"/>
    </row>
    <row r="16074" spans="1:4" x14ac:dyDescent="0.25">
      <c r="A16074" s="31"/>
      <c r="D16074" s="30"/>
    </row>
    <row r="16075" spans="1:4" x14ac:dyDescent="0.25">
      <c r="A16075" s="31"/>
      <c r="D16075" s="30"/>
    </row>
    <row r="16076" spans="1:4" x14ac:dyDescent="0.25">
      <c r="A16076" s="31"/>
      <c r="D16076" s="30"/>
    </row>
    <row r="16077" spans="1:4" x14ac:dyDescent="0.25">
      <c r="A16077" s="31"/>
      <c r="D16077" s="30"/>
    </row>
    <row r="16078" spans="1:4" x14ac:dyDescent="0.25">
      <c r="A16078" s="31"/>
      <c r="D16078" s="30"/>
    </row>
    <row r="16079" spans="1:4" x14ac:dyDescent="0.25">
      <c r="A16079" s="31"/>
      <c r="D16079" s="30"/>
    </row>
    <row r="16080" spans="1:4" x14ac:dyDescent="0.25">
      <c r="A16080" s="31"/>
      <c r="D16080" s="30"/>
    </row>
    <row r="16081" spans="1:4" x14ac:dyDescent="0.25">
      <c r="A16081" s="31"/>
      <c r="D16081" s="30"/>
    </row>
    <row r="16082" spans="1:4" x14ac:dyDescent="0.25">
      <c r="A16082" s="31"/>
      <c r="D16082" s="30"/>
    </row>
    <row r="16083" spans="1:4" x14ac:dyDescent="0.25">
      <c r="A16083" s="31"/>
      <c r="D16083" s="30"/>
    </row>
    <row r="16084" spans="1:4" x14ac:dyDescent="0.25">
      <c r="A16084" s="31"/>
      <c r="D16084" s="30"/>
    </row>
    <row r="16085" spans="1:4" x14ac:dyDescent="0.25">
      <c r="A16085" s="31"/>
      <c r="D16085" s="30"/>
    </row>
    <row r="16086" spans="1:4" x14ac:dyDescent="0.25">
      <c r="A16086" s="31"/>
      <c r="D16086" s="30"/>
    </row>
    <row r="16087" spans="1:4" x14ac:dyDescent="0.25">
      <c r="A16087" s="31"/>
      <c r="D16087" s="30"/>
    </row>
    <row r="16088" spans="1:4" x14ac:dyDescent="0.25">
      <c r="A16088" s="31"/>
      <c r="D16088" s="30"/>
    </row>
    <row r="16089" spans="1:4" x14ac:dyDescent="0.25">
      <c r="A16089" s="31"/>
      <c r="D16089" s="30"/>
    </row>
    <row r="16090" spans="1:4" x14ac:dyDescent="0.25">
      <c r="A16090" s="31"/>
      <c r="D16090" s="30"/>
    </row>
    <row r="16091" spans="1:4" x14ac:dyDescent="0.25">
      <c r="A16091" s="31"/>
      <c r="D16091" s="30"/>
    </row>
    <row r="16092" spans="1:4" x14ac:dyDescent="0.25">
      <c r="A16092" s="31"/>
      <c r="D16092" s="30"/>
    </row>
    <row r="16093" spans="1:4" x14ac:dyDescent="0.25">
      <c r="A16093" s="31"/>
      <c r="D16093" s="30"/>
    </row>
    <row r="16094" spans="1:4" x14ac:dyDescent="0.25">
      <c r="A16094" s="31"/>
      <c r="D16094" s="30"/>
    </row>
    <row r="16095" spans="1:4" x14ac:dyDescent="0.25">
      <c r="A16095" s="31"/>
      <c r="D16095" s="30"/>
    </row>
    <row r="16096" spans="1:4" x14ac:dyDescent="0.25">
      <c r="A16096" s="31"/>
      <c r="D16096" s="30"/>
    </row>
    <row r="16097" spans="1:4" x14ac:dyDescent="0.25">
      <c r="A16097" s="31"/>
      <c r="D16097" s="30"/>
    </row>
    <row r="16098" spans="1:4" x14ac:dyDescent="0.25">
      <c r="A16098" s="31"/>
      <c r="D16098" s="30"/>
    </row>
    <row r="16099" spans="1:4" x14ac:dyDescent="0.25">
      <c r="A16099" s="31"/>
      <c r="D16099" s="30"/>
    </row>
    <row r="16100" spans="1:4" x14ac:dyDescent="0.25">
      <c r="A16100" s="31"/>
      <c r="D16100" s="30"/>
    </row>
    <row r="16101" spans="1:4" x14ac:dyDescent="0.25">
      <c r="A16101" s="31"/>
      <c r="D16101" s="30"/>
    </row>
    <row r="16102" spans="1:4" x14ac:dyDescent="0.25">
      <c r="A16102" s="31"/>
      <c r="D16102" s="30"/>
    </row>
    <row r="16103" spans="1:4" x14ac:dyDescent="0.25">
      <c r="A16103" s="31"/>
      <c r="D16103" s="30"/>
    </row>
    <row r="16104" spans="1:4" x14ac:dyDescent="0.25">
      <c r="A16104" s="31"/>
      <c r="D16104" s="30"/>
    </row>
    <row r="16105" spans="1:4" x14ac:dyDescent="0.25">
      <c r="A16105" s="31"/>
      <c r="D16105" s="30"/>
    </row>
    <row r="16106" spans="1:4" x14ac:dyDescent="0.25">
      <c r="A16106" s="31"/>
      <c r="D16106" s="30"/>
    </row>
    <row r="16107" spans="1:4" x14ac:dyDescent="0.25">
      <c r="A16107" s="31"/>
      <c r="D16107" s="30"/>
    </row>
    <row r="16108" spans="1:4" x14ac:dyDescent="0.25">
      <c r="A16108" s="31"/>
      <c r="D16108" s="30"/>
    </row>
    <row r="16109" spans="1:4" x14ac:dyDescent="0.25">
      <c r="A16109" s="31"/>
      <c r="D16109" s="30"/>
    </row>
    <row r="16110" spans="1:4" x14ac:dyDescent="0.25">
      <c r="A16110" s="31"/>
      <c r="D16110" s="30"/>
    </row>
    <row r="16111" spans="1:4" x14ac:dyDescent="0.25">
      <c r="A16111" s="31"/>
      <c r="D16111" s="30"/>
    </row>
    <row r="16112" spans="1:4" x14ac:dyDescent="0.25">
      <c r="A16112" s="31"/>
      <c r="D16112" s="30"/>
    </row>
    <row r="16113" spans="1:4" x14ac:dyDescent="0.25">
      <c r="A16113" s="31"/>
      <c r="D16113" s="30"/>
    </row>
    <row r="16114" spans="1:4" x14ac:dyDescent="0.25">
      <c r="A16114" s="31"/>
      <c r="D16114" s="30"/>
    </row>
    <row r="16115" spans="1:4" x14ac:dyDescent="0.25">
      <c r="A16115" s="31"/>
      <c r="D16115" s="30"/>
    </row>
    <row r="16116" spans="1:4" x14ac:dyDescent="0.25">
      <c r="A16116" s="31"/>
      <c r="D16116" s="30"/>
    </row>
    <row r="16117" spans="1:4" x14ac:dyDescent="0.25">
      <c r="A16117" s="31"/>
      <c r="D16117" s="30"/>
    </row>
    <row r="16118" spans="1:4" x14ac:dyDescent="0.25">
      <c r="A16118" s="31"/>
      <c r="D16118" s="30"/>
    </row>
    <row r="16119" spans="1:4" x14ac:dyDescent="0.25">
      <c r="A16119" s="31"/>
      <c r="D16119" s="30"/>
    </row>
    <row r="16120" spans="1:4" x14ac:dyDescent="0.25">
      <c r="A16120" s="31"/>
      <c r="D16120" s="30"/>
    </row>
    <row r="16121" spans="1:4" x14ac:dyDescent="0.25">
      <c r="A16121" s="31"/>
      <c r="D16121" s="30"/>
    </row>
    <row r="16122" spans="1:4" x14ac:dyDescent="0.25">
      <c r="A16122" s="31"/>
      <c r="D16122" s="30"/>
    </row>
    <row r="16123" spans="1:4" x14ac:dyDescent="0.25">
      <c r="A16123" s="31"/>
      <c r="D16123" s="30"/>
    </row>
    <row r="16124" spans="1:4" x14ac:dyDescent="0.25">
      <c r="A16124" s="31"/>
      <c r="D16124" s="30"/>
    </row>
    <row r="16125" spans="1:4" x14ac:dyDescent="0.25">
      <c r="A16125" s="31"/>
      <c r="D16125" s="30"/>
    </row>
    <row r="16126" spans="1:4" x14ac:dyDescent="0.25">
      <c r="A16126" s="31"/>
      <c r="D16126" s="30"/>
    </row>
    <row r="16127" spans="1:4" x14ac:dyDescent="0.25">
      <c r="A16127" s="31"/>
      <c r="D16127" s="30"/>
    </row>
    <row r="16128" spans="1:4" x14ac:dyDescent="0.25">
      <c r="A16128" s="31"/>
      <c r="D16128" s="30"/>
    </row>
    <row r="16129" spans="1:4" x14ac:dyDescent="0.25">
      <c r="A16129" s="31"/>
      <c r="D16129" s="30"/>
    </row>
    <row r="16130" spans="1:4" x14ac:dyDescent="0.25">
      <c r="A16130" s="31"/>
      <c r="D16130" s="30"/>
    </row>
    <row r="16131" spans="1:4" x14ac:dyDescent="0.25">
      <c r="A16131" s="31"/>
      <c r="D16131" s="30"/>
    </row>
    <row r="16132" spans="1:4" x14ac:dyDescent="0.25">
      <c r="A16132" s="31"/>
      <c r="D16132" s="30"/>
    </row>
    <row r="16133" spans="1:4" x14ac:dyDescent="0.25">
      <c r="A16133" s="31"/>
      <c r="D16133" s="30"/>
    </row>
    <row r="16134" spans="1:4" x14ac:dyDescent="0.25">
      <c r="A16134" s="31"/>
      <c r="D16134" s="30"/>
    </row>
    <row r="16135" spans="1:4" x14ac:dyDescent="0.25">
      <c r="A16135" s="31"/>
      <c r="D16135" s="30"/>
    </row>
    <row r="16136" spans="1:4" x14ac:dyDescent="0.25">
      <c r="A16136" s="31"/>
      <c r="D16136" s="30"/>
    </row>
    <row r="16137" spans="1:4" x14ac:dyDescent="0.25">
      <c r="A16137" s="31"/>
      <c r="D16137" s="30"/>
    </row>
    <row r="16138" spans="1:4" x14ac:dyDescent="0.25">
      <c r="A16138" s="31"/>
      <c r="D16138" s="30"/>
    </row>
    <row r="16139" spans="1:4" x14ac:dyDescent="0.25">
      <c r="A16139" s="31"/>
      <c r="D16139" s="30"/>
    </row>
    <row r="16140" spans="1:4" x14ac:dyDescent="0.25">
      <c r="A16140" s="31"/>
      <c r="D16140" s="30"/>
    </row>
    <row r="16141" spans="1:4" x14ac:dyDescent="0.25">
      <c r="A16141" s="31"/>
      <c r="D16141" s="30"/>
    </row>
    <row r="16142" spans="1:4" x14ac:dyDescent="0.25">
      <c r="A16142" s="31"/>
      <c r="D16142" s="30"/>
    </row>
    <row r="16143" spans="1:4" x14ac:dyDescent="0.25">
      <c r="A16143" s="31"/>
      <c r="D16143" s="30"/>
    </row>
    <row r="16144" spans="1:4" x14ac:dyDescent="0.25">
      <c r="A16144" s="31"/>
      <c r="D16144" s="30"/>
    </row>
    <row r="16145" spans="1:4" x14ac:dyDescent="0.25">
      <c r="A16145" s="31"/>
      <c r="D16145" s="30"/>
    </row>
    <row r="16146" spans="1:4" x14ac:dyDescent="0.25">
      <c r="A16146" s="31"/>
      <c r="D16146" s="30"/>
    </row>
    <row r="16147" spans="1:4" x14ac:dyDescent="0.25">
      <c r="A16147" s="31"/>
      <c r="D16147" s="30"/>
    </row>
    <row r="16148" spans="1:4" x14ac:dyDescent="0.25">
      <c r="A16148" s="31"/>
      <c r="D16148" s="30"/>
    </row>
    <row r="16149" spans="1:4" x14ac:dyDescent="0.25">
      <c r="A16149" s="31"/>
      <c r="D16149" s="30"/>
    </row>
    <row r="16150" spans="1:4" x14ac:dyDescent="0.25">
      <c r="A16150" s="31"/>
      <c r="D16150" s="30"/>
    </row>
    <row r="16151" spans="1:4" x14ac:dyDescent="0.25">
      <c r="A16151" s="31"/>
      <c r="D16151" s="30"/>
    </row>
    <row r="16152" spans="1:4" x14ac:dyDescent="0.25">
      <c r="A16152" s="31"/>
      <c r="D16152" s="30"/>
    </row>
    <row r="16153" spans="1:4" x14ac:dyDescent="0.25">
      <c r="A16153" s="31"/>
      <c r="D16153" s="30"/>
    </row>
    <row r="16154" spans="1:4" x14ac:dyDescent="0.25">
      <c r="A16154" s="31"/>
      <c r="D16154" s="30"/>
    </row>
    <row r="16155" spans="1:4" x14ac:dyDescent="0.25">
      <c r="A16155" s="31"/>
      <c r="D16155" s="30"/>
    </row>
    <row r="16156" spans="1:4" x14ac:dyDescent="0.25">
      <c r="A16156" s="31"/>
      <c r="D16156" s="30"/>
    </row>
    <row r="16157" spans="1:4" x14ac:dyDescent="0.25">
      <c r="A16157" s="31"/>
      <c r="D16157" s="30"/>
    </row>
    <row r="16158" spans="1:4" x14ac:dyDescent="0.25">
      <c r="A16158" s="31"/>
      <c r="D16158" s="30"/>
    </row>
    <row r="16159" spans="1:4" x14ac:dyDescent="0.25">
      <c r="A16159" s="31"/>
      <c r="D16159" s="30"/>
    </row>
    <row r="16160" spans="1:4" x14ac:dyDescent="0.25">
      <c r="A16160" s="31"/>
      <c r="D16160" s="30"/>
    </row>
    <row r="16161" spans="1:4" x14ac:dyDescent="0.25">
      <c r="A16161" s="31"/>
      <c r="D16161" s="30"/>
    </row>
    <row r="16162" spans="1:4" x14ac:dyDescent="0.25">
      <c r="A16162" s="31"/>
      <c r="D16162" s="30"/>
    </row>
    <row r="16163" spans="1:4" x14ac:dyDescent="0.25">
      <c r="A16163" s="31"/>
      <c r="D16163" s="30"/>
    </row>
    <row r="16164" spans="1:4" x14ac:dyDescent="0.25">
      <c r="A16164" s="31"/>
      <c r="D16164" s="30"/>
    </row>
    <row r="16165" spans="1:4" x14ac:dyDescent="0.25">
      <c r="A16165" s="31"/>
      <c r="D16165" s="30"/>
    </row>
    <row r="16166" spans="1:4" x14ac:dyDescent="0.25">
      <c r="A16166" s="31"/>
      <c r="D16166" s="30"/>
    </row>
    <row r="16167" spans="1:4" x14ac:dyDescent="0.25">
      <c r="A16167" s="31"/>
      <c r="D16167" s="30"/>
    </row>
    <row r="16168" spans="1:4" x14ac:dyDescent="0.25">
      <c r="A16168" s="31"/>
      <c r="D16168" s="30"/>
    </row>
    <row r="16169" spans="1:4" x14ac:dyDescent="0.25">
      <c r="A16169" s="31"/>
      <c r="D16169" s="30"/>
    </row>
    <row r="16170" spans="1:4" x14ac:dyDescent="0.25">
      <c r="A16170" s="31"/>
      <c r="D16170" s="30"/>
    </row>
    <row r="16171" spans="1:4" x14ac:dyDescent="0.25">
      <c r="A16171" s="31"/>
      <c r="D16171" s="30"/>
    </row>
    <row r="16172" spans="1:4" x14ac:dyDescent="0.25">
      <c r="A16172" s="31"/>
      <c r="D16172" s="30"/>
    </row>
    <row r="16173" spans="1:4" x14ac:dyDescent="0.25">
      <c r="A16173" s="31"/>
      <c r="D16173" s="30"/>
    </row>
    <row r="16174" spans="1:4" x14ac:dyDescent="0.25">
      <c r="A16174" s="31"/>
      <c r="D16174" s="30"/>
    </row>
    <row r="16175" spans="1:4" x14ac:dyDescent="0.25">
      <c r="A16175" s="31"/>
      <c r="D16175" s="30"/>
    </row>
    <row r="16176" spans="1:4" x14ac:dyDescent="0.25">
      <c r="A16176" s="31"/>
      <c r="D16176" s="30"/>
    </row>
    <row r="16177" spans="1:4" x14ac:dyDescent="0.25">
      <c r="A16177" s="31"/>
      <c r="D16177" s="30"/>
    </row>
    <row r="16178" spans="1:4" x14ac:dyDescent="0.25">
      <c r="A16178" s="31"/>
      <c r="D16178" s="30"/>
    </row>
    <row r="16179" spans="1:4" x14ac:dyDescent="0.25">
      <c r="A16179" s="31"/>
      <c r="D16179" s="30"/>
    </row>
    <row r="16180" spans="1:4" x14ac:dyDescent="0.25">
      <c r="A16180" s="31"/>
      <c r="D16180" s="30"/>
    </row>
    <row r="16181" spans="1:4" x14ac:dyDescent="0.25">
      <c r="A16181" s="31"/>
      <c r="D16181" s="30"/>
    </row>
    <row r="16182" spans="1:4" x14ac:dyDescent="0.25">
      <c r="A16182" s="31"/>
      <c r="D16182" s="30"/>
    </row>
    <row r="16183" spans="1:4" x14ac:dyDescent="0.25">
      <c r="A16183" s="31"/>
      <c r="D16183" s="30"/>
    </row>
    <row r="16184" spans="1:4" x14ac:dyDescent="0.25">
      <c r="A16184" s="31"/>
      <c r="D16184" s="30"/>
    </row>
    <row r="16185" spans="1:4" x14ac:dyDescent="0.25">
      <c r="A16185" s="31"/>
      <c r="D16185" s="30"/>
    </row>
    <row r="16186" spans="1:4" x14ac:dyDescent="0.25">
      <c r="A16186" s="31"/>
      <c r="D16186" s="30"/>
    </row>
    <row r="16187" spans="1:4" x14ac:dyDescent="0.25">
      <c r="A16187" s="31"/>
      <c r="D16187" s="30"/>
    </row>
    <row r="16188" spans="1:4" x14ac:dyDescent="0.25">
      <c r="A16188" s="31"/>
      <c r="D16188" s="30"/>
    </row>
    <row r="16189" spans="1:4" x14ac:dyDescent="0.25">
      <c r="A16189" s="31"/>
      <c r="D16189" s="30"/>
    </row>
    <row r="16190" spans="1:4" x14ac:dyDescent="0.25">
      <c r="A16190" s="31"/>
      <c r="D16190" s="30"/>
    </row>
    <row r="16191" spans="1:4" x14ac:dyDescent="0.25">
      <c r="A16191" s="31"/>
      <c r="D16191" s="30"/>
    </row>
    <row r="16192" spans="1:4" x14ac:dyDescent="0.25">
      <c r="A16192" s="31"/>
      <c r="D16192" s="30"/>
    </row>
    <row r="16193" spans="1:4" x14ac:dyDescent="0.25">
      <c r="A16193" s="31"/>
      <c r="D16193" s="30"/>
    </row>
    <row r="16194" spans="1:4" x14ac:dyDescent="0.25">
      <c r="A16194" s="31"/>
      <c r="D16194" s="30"/>
    </row>
    <row r="16195" spans="1:4" x14ac:dyDescent="0.25">
      <c r="A16195" s="31"/>
      <c r="D16195" s="30"/>
    </row>
    <row r="16196" spans="1:4" x14ac:dyDescent="0.25">
      <c r="A16196" s="31"/>
      <c r="D16196" s="30"/>
    </row>
    <row r="16197" spans="1:4" x14ac:dyDescent="0.25">
      <c r="A16197" s="31"/>
      <c r="D16197" s="30"/>
    </row>
    <row r="16198" spans="1:4" x14ac:dyDescent="0.25">
      <c r="A16198" s="31"/>
      <c r="D16198" s="30"/>
    </row>
    <row r="16199" spans="1:4" x14ac:dyDescent="0.25">
      <c r="A16199" s="31"/>
      <c r="D16199" s="30"/>
    </row>
    <row r="16200" spans="1:4" x14ac:dyDescent="0.25">
      <c r="A16200" s="31"/>
      <c r="D16200" s="30"/>
    </row>
    <row r="16201" spans="1:4" x14ac:dyDescent="0.25">
      <c r="A16201" s="31"/>
      <c r="D16201" s="30"/>
    </row>
    <row r="16202" spans="1:4" x14ac:dyDescent="0.25">
      <c r="A16202" s="31"/>
      <c r="D16202" s="30"/>
    </row>
    <row r="16203" spans="1:4" x14ac:dyDescent="0.25">
      <c r="A16203" s="31"/>
      <c r="D16203" s="30"/>
    </row>
    <row r="16204" spans="1:4" x14ac:dyDescent="0.25">
      <c r="A16204" s="31"/>
      <c r="D16204" s="30"/>
    </row>
    <row r="16205" spans="1:4" x14ac:dyDescent="0.25">
      <c r="A16205" s="31"/>
      <c r="D16205" s="30"/>
    </row>
    <row r="16206" spans="1:4" x14ac:dyDescent="0.25">
      <c r="A16206" s="31"/>
      <c r="D16206" s="30"/>
    </row>
    <row r="16207" spans="1:4" x14ac:dyDescent="0.25">
      <c r="A16207" s="31"/>
      <c r="D16207" s="30"/>
    </row>
    <row r="16208" spans="1:4" x14ac:dyDescent="0.25">
      <c r="A16208" s="31"/>
      <c r="D16208" s="30"/>
    </row>
    <row r="16209" spans="1:4" x14ac:dyDescent="0.25">
      <c r="A16209" s="31"/>
      <c r="D16209" s="30"/>
    </row>
    <row r="16210" spans="1:4" x14ac:dyDescent="0.25">
      <c r="A16210" s="31"/>
      <c r="D16210" s="30"/>
    </row>
    <row r="16211" spans="1:4" x14ac:dyDescent="0.25">
      <c r="A16211" s="31"/>
      <c r="D16211" s="30"/>
    </row>
    <row r="16212" spans="1:4" x14ac:dyDescent="0.25">
      <c r="A16212" s="31"/>
      <c r="D16212" s="30"/>
    </row>
    <row r="16213" spans="1:4" x14ac:dyDescent="0.25">
      <c r="A16213" s="31"/>
      <c r="D16213" s="30"/>
    </row>
    <row r="16214" spans="1:4" x14ac:dyDescent="0.25">
      <c r="A16214" s="31"/>
      <c r="D16214" s="30"/>
    </row>
    <row r="16215" spans="1:4" x14ac:dyDescent="0.25">
      <c r="A16215" s="31"/>
      <c r="D16215" s="30"/>
    </row>
    <row r="16216" spans="1:4" x14ac:dyDescent="0.25">
      <c r="A16216" s="31"/>
      <c r="D16216" s="30"/>
    </row>
    <row r="16217" spans="1:4" x14ac:dyDescent="0.25">
      <c r="A16217" s="31"/>
      <c r="D16217" s="30"/>
    </row>
    <row r="16218" spans="1:4" x14ac:dyDescent="0.25">
      <c r="A16218" s="31"/>
      <c r="D16218" s="30"/>
    </row>
    <row r="16219" spans="1:4" x14ac:dyDescent="0.25">
      <c r="A16219" s="31"/>
      <c r="D16219" s="30"/>
    </row>
    <row r="16220" spans="1:4" x14ac:dyDescent="0.25">
      <c r="A16220" s="31"/>
      <c r="D16220" s="30"/>
    </row>
    <row r="16221" spans="1:4" x14ac:dyDescent="0.25">
      <c r="A16221" s="31"/>
      <c r="D16221" s="30"/>
    </row>
    <row r="16222" spans="1:4" x14ac:dyDescent="0.25">
      <c r="A16222" s="31"/>
      <c r="D16222" s="30"/>
    </row>
    <row r="16223" spans="1:4" x14ac:dyDescent="0.25">
      <c r="A16223" s="31"/>
      <c r="D16223" s="30"/>
    </row>
    <row r="16224" spans="1:4" x14ac:dyDescent="0.25">
      <c r="A16224" s="31"/>
      <c r="D16224" s="30"/>
    </row>
    <row r="16225" spans="1:4" x14ac:dyDescent="0.25">
      <c r="A16225" s="31"/>
      <c r="D16225" s="30"/>
    </row>
    <row r="16226" spans="1:4" x14ac:dyDescent="0.25">
      <c r="A16226" s="31"/>
      <c r="D16226" s="30"/>
    </row>
    <row r="16227" spans="1:4" x14ac:dyDescent="0.25">
      <c r="A16227" s="31"/>
      <c r="D16227" s="30"/>
    </row>
    <row r="16228" spans="1:4" x14ac:dyDescent="0.25">
      <c r="A16228" s="31"/>
      <c r="D16228" s="30"/>
    </row>
    <row r="16229" spans="1:4" x14ac:dyDescent="0.25">
      <c r="A16229" s="31"/>
      <c r="D16229" s="30"/>
    </row>
    <row r="16230" spans="1:4" x14ac:dyDescent="0.25">
      <c r="A16230" s="31"/>
      <c r="D16230" s="30"/>
    </row>
    <row r="16231" spans="1:4" x14ac:dyDescent="0.25">
      <c r="A16231" s="31"/>
      <c r="D16231" s="30"/>
    </row>
    <row r="16232" spans="1:4" x14ac:dyDescent="0.25">
      <c r="A16232" s="31"/>
      <c r="D16232" s="30"/>
    </row>
    <row r="16233" spans="1:4" x14ac:dyDescent="0.25">
      <c r="A16233" s="31"/>
      <c r="D16233" s="30"/>
    </row>
    <row r="16234" spans="1:4" x14ac:dyDescent="0.25">
      <c r="A16234" s="31"/>
      <c r="D16234" s="30"/>
    </row>
    <row r="16235" spans="1:4" x14ac:dyDescent="0.25">
      <c r="A16235" s="31"/>
      <c r="D16235" s="30"/>
    </row>
    <row r="16236" spans="1:4" x14ac:dyDescent="0.25">
      <c r="A16236" s="31"/>
      <c r="D16236" s="30"/>
    </row>
    <row r="16237" spans="1:4" x14ac:dyDescent="0.25">
      <c r="A16237" s="31"/>
      <c r="D16237" s="30"/>
    </row>
    <row r="16238" spans="1:4" x14ac:dyDescent="0.25">
      <c r="A16238" s="31"/>
      <c r="D16238" s="30"/>
    </row>
    <row r="16239" spans="1:4" x14ac:dyDescent="0.25">
      <c r="A16239" s="31"/>
      <c r="D16239" s="30"/>
    </row>
    <row r="16240" spans="1:4" x14ac:dyDescent="0.25">
      <c r="A16240" s="31"/>
      <c r="D16240" s="30"/>
    </row>
    <row r="16241" spans="1:4" x14ac:dyDescent="0.25">
      <c r="A16241" s="31"/>
      <c r="D16241" s="30"/>
    </row>
    <row r="16242" spans="1:4" x14ac:dyDescent="0.25">
      <c r="A16242" s="31"/>
      <c r="D16242" s="30"/>
    </row>
    <row r="16243" spans="1:4" x14ac:dyDescent="0.25">
      <c r="A16243" s="31"/>
      <c r="D16243" s="30"/>
    </row>
    <row r="16244" spans="1:4" x14ac:dyDescent="0.25">
      <c r="A16244" s="31"/>
      <c r="D16244" s="30"/>
    </row>
    <row r="16245" spans="1:4" x14ac:dyDescent="0.25">
      <c r="A16245" s="31"/>
      <c r="D16245" s="30"/>
    </row>
    <row r="16246" spans="1:4" x14ac:dyDescent="0.25">
      <c r="A16246" s="31"/>
      <c r="D16246" s="30"/>
    </row>
    <row r="16247" spans="1:4" x14ac:dyDescent="0.25">
      <c r="A16247" s="31"/>
      <c r="D16247" s="30"/>
    </row>
    <row r="16248" spans="1:4" x14ac:dyDescent="0.25">
      <c r="A16248" s="31"/>
      <c r="D16248" s="30"/>
    </row>
    <row r="16249" spans="1:4" x14ac:dyDescent="0.25">
      <c r="A16249" s="31"/>
      <c r="D16249" s="30"/>
    </row>
    <row r="16250" spans="1:4" x14ac:dyDescent="0.25">
      <c r="A16250" s="31"/>
      <c r="D16250" s="30"/>
    </row>
    <row r="16251" spans="1:4" x14ac:dyDescent="0.25">
      <c r="A16251" s="31"/>
      <c r="D16251" s="30"/>
    </row>
    <row r="16252" spans="1:4" x14ac:dyDescent="0.25">
      <c r="A16252" s="31"/>
      <c r="D16252" s="30"/>
    </row>
    <row r="16253" spans="1:4" x14ac:dyDescent="0.25">
      <c r="A16253" s="31"/>
      <c r="D16253" s="30"/>
    </row>
    <row r="16254" spans="1:4" x14ac:dyDescent="0.25">
      <c r="A16254" s="31"/>
      <c r="D16254" s="30"/>
    </row>
    <row r="16255" spans="1:4" x14ac:dyDescent="0.25">
      <c r="A16255" s="31"/>
      <c r="D16255" s="30"/>
    </row>
    <row r="16256" spans="1:4" x14ac:dyDescent="0.25">
      <c r="A16256" s="31"/>
      <c r="D16256" s="30"/>
    </row>
    <row r="16257" spans="1:4" x14ac:dyDescent="0.25">
      <c r="A16257" s="31"/>
      <c r="D16257" s="30"/>
    </row>
    <row r="16258" spans="1:4" x14ac:dyDescent="0.25">
      <c r="A16258" s="31"/>
      <c r="D16258" s="30"/>
    </row>
    <row r="16259" spans="1:4" x14ac:dyDescent="0.25">
      <c r="A16259" s="31"/>
      <c r="D16259" s="30"/>
    </row>
    <row r="16260" spans="1:4" x14ac:dyDescent="0.25">
      <c r="A16260" s="31"/>
      <c r="D16260" s="30"/>
    </row>
    <row r="16261" spans="1:4" x14ac:dyDescent="0.25">
      <c r="A16261" s="31"/>
      <c r="D16261" s="30"/>
    </row>
    <row r="16262" spans="1:4" x14ac:dyDescent="0.25">
      <c r="A16262" s="31"/>
      <c r="D16262" s="30"/>
    </row>
    <row r="16263" spans="1:4" x14ac:dyDescent="0.25">
      <c r="A16263" s="31"/>
      <c r="D16263" s="30"/>
    </row>
    <row r="16264" spans="1:4" x14ac:dyDescent="0.25">
      <c r="A16264" s="31"/>
      <c r="D16264" s="30"/>
    </row>
    <row r="16265" spans="1:4" x14ac:dyDescent="0.25">
      <c r="A16265" s="31"/>
      <c r="D16265" s="30"/>
    </row>
    <row r="16266" spans="1:4" x14ac:dyDescent="0.25">
      <c r="A16266" s="31"/>
      <c r="D16266" s="30"/>
    </row>
    <row r="16267" spans="1:4" x14ac:dyDescent="0.25">
      <c r="A16267" s="31"/>
      <c r="D16267" s="30"/>
    </row>
    <row r="16268" spans="1:4" x14ac:dyDescent="0.25">
      <c r="A16268" s="31"/>
      <c r="D16268" s="30"/>
    </row>
    <row r="16269" spans="1:4" x14ac:dyDescent="0.25">
      <c r="A16269" s="31"/>
      <c r="D16269" s="30"/>
    </row>
    <row r="16270" spans="1:4" x14ac:dyDescent="0.25">
      <c r="A16270" s="31"/>
      <c r="D16270" s="30"/>
    </row>
    <row r="16271" spans="1:4" x14ac:dyDescent="0.25">
      <c r="A16271" s="31"/>
      <c r="D16271" s="30"/>
    </row>
    <row r="16272" spans="1:4" x14ac:dyDescent="0.25">
      <c r="A16272" s="31"/>
      <c r="D16272" s="30"/>
    </row>
    <row r="16273" spans="1:4" x14ac:dyDescent="0.25">
      <c r="A16273" s="31"/>
      <c r="D16273" s="30"/>
    </row>
    <row r="16274" spans="1:4" x14ac:dyDescent="0.25">
      <c r="A16274" s="31"/>
      <c r="D16274" s="30"/>
    </row>
    <row r="16275" spans="1:4" x14ac:dyDescent="0.25">
      <c r="A16275" s="31"/>
      <c r="D16275" s="30"/>
    </row>
    <row r="16276" spans="1:4" x14ac:dyDescent="0.25">
      <c r="A16276" s="31"/>
      <c r="D16276" s="30"/>
    </row>
    <row r="16277" spans="1:4" x14ac:dyDescent="0.25">
      <c r="A16277" s="31"/>
      <c r="D16277" s="30"/>
    </row>
    <row r="16278" spans="1:4" x14ac:dyDescent="0.25">
      <c r="A16278" s="31"/>
      <c r="D16278" s="30"/>
    </row>
    <row r="16279" spans="1:4" x14ac:dyDescent="0.25">
      <c r="A16279" s="31"/>
      <c r="D16279" s="30"/>
    </row>
    <row r="16280" spans="1:4" x14ac:dyDescent="0.25">
      <c r="A16280" s="31"/>
      <c r="D16280" s="30"/>
    </row>
    <row r="16281" spans="1:4" x14ac:dyDescent="0.25">
      <c r="A16281" s="31"/>
      <c r="D16281" s="30"/>
    </row>
    <row r="16282" spans="1:4" x14ac:dyDescent="0.25">
      <c r="A16282" s="31"/>
      <c r="D16282" s="30"/>
    </row>
    <row r="16283" spans="1:4" x14ac:dyDescent="0.25">
      <c r="A16283" s="31"/>
      <c r="D16283" s="30"/>
    </row>
    <row r="16284" spans="1:4" x14ac:dyDescent="0.25">
      <c r="A16284" s="31"/>
      <c r="D16284" s="30"/>
    </row>
    <row r="16285" spans="1:4" x14ac:dyDescent="0.25">
      <c r="A16285" s="31"/>
      <c r="D16285" s="30"/>
    </row>
    <row r="16286" spans="1:4" x14ac:dyDescent="0.25">
      <c r="A16286" s="31"/>
      <c r="D16286" s="30"/>
    </row>
    <row r="16287" spans="1:4" x14ac:dyDescent="0.25">
      <c r="A16287" s="31"/>
      <c r="D16287" s="30"/>
    </row>
    <row r="16288" spans="1:4" x14ac:dyDescent="0.25">
      <c r="A16288" s="31"/>
      <c r="D16288" s="30"/>
    </row>
    <row r="16289" spans="1:4" x14ac:dyDescent="0.25">
      <c r="A16289" s="31"/>
      <c r="D16289" s="30"/>
    </row>
    <row r="16290" spans="1:4" x14ac:dyDescent="0.25">
      <c r="A16290" s="31"/>
      <c r="D16290" s="30"/>
    </row>
    <row r="16291" spans="1:4" x14ac:dyDescent="0.25">
      <c r="A16291" s="31"/>
      <c r="D16291" s="30"/>
    </row>
    <row r="16292" spans="1:4" x14ac:dyDescent="0.25">
      <c r="A16292" s="31"/>
      <c r="D16292" s="30"/>
    </row>
    <row r="16293" spans="1:4" x14ac:dyDescent="0.25">
      <c r="A16293" s="31"/>
      <c r="D16293" s="30"/>
    </row>
    <row r="16294" spans="1:4" x14ac:dyDescent="0.25">
      <c r="A16294" s="31"/>
      <c r="D16294" s="30"/>
    </row>
    <row r="16295" spans="1:4" x14ac:dyDescent="0.25">
      <c r="A16295" s="31"/>
      <c r="D16295" s="30"/>
    </row>
    <row r="16296" spans="1:4" x14ac:dyDescent="0.25">
      <c r="A16296" s="31"/>
      <c r="D16296" s="30"/>
    </row>
    <row r="16297" spans="1:4" x14ac:dyDescent="0.25">
      <c r="A16297" s="31"/>
      <c r="D16297" s="30"/>
    </row>
    <row r="16298" spans="1:4" x14ac:dyDescent="0.25">
      <c r="A16298" s="31"/>
      <c r="D16298" s="30"/>
    </row>
    <row r="16299" spans="1:4" x14ac:dyDescent="0.25">
      <c r="A16299" s="31"/>
      <c r="D16299" s="30"/>
    </row>
    <row r="16300" spans="1:4" x14ac:dyDescent="0.25">
      <c r="A16300" s="31"/>
      <c r="D16300" s="30"/>
    </row>
    <row r="16301" spans="1:4" x14ac:dyDescent="0.25">
      <c r="A16301" s="31"/>
      <c r="D16301" s="30"/>
    </row>
    <row r="16302" spans="1:4" x14ac:dyDescent="0.25">
      <c r="A16302" s="31"/>
      <c r="D16302" s="30"/>
    </row>
    <row r="16303" spans="1:4" x14ac:dyDescent="0.25">
      <c r="A16303" s="31"/>
      <c r="D16303" s="30"/>
    </row>
    <row r="16304" spans="1:4" x14ac:dyDescent="0.25">
      <c r="A16304" s="31"/>
      <c r="D16304" s="30"/>
    </row>
    <row r="16305" spans="1:4" x14ac:dyDescent="0.25">
      <c r="A16305" s="31"/>
      <c r="D16305" s="30"/>
    </row>
    <row r="16306" spans="1:4" x14ac:dyDescent="0.25">
      <c r="A16306" s="31"/>
      <c r="D16306" s="30"/>
    </row>
    <row r="16307" spans="1:4" x14ac:dyDescent="0.25">
      <c r="A16307" s="31"/>
      <c r="D16307" s="30"/>
    </row>
    <row r="16308" spans="1:4" x14ac:dyDescent="0.25">
      <c r="A16308" s="31"/>
      <c r="D16308" s="30"/>
    </row>
    <row r="16309" spans="1:4" x14ac:dyDescent="0.25">
      <c r="A16309" s="31"/>
      <c r="D16309" s="30"/>
    </row>
    <row r="16310" spans="1:4" x14ac:dyDescent="0.25">
      <c r="A16310" s="31"/>
      <c r="D16310" s="30"/>
    </row>
    <row r="16311" spans="1:4" x14ac:dyDescent="0.25">
      <c r="A16311" s="31"/>
      <c r="D16311" s="30"/>
    </row>
    <row r="16312" spans="1:4" x14ac:dyDescent="0.25">
      <c r="A16312" s="31"/>
      <c r="D16312" s="30"/>
    </row>
    <row r="16313" spans="1:4" x14ac:dyDescent="0.25">
      <c r="A16313" s="31"/>
      <c r="D16313" s="30"/>
    </row>
    <row r="16314" spans="1:4" x14ac:dyDescent="0.25">
      <c r="A16314" s="31"/>
      <c r="D16314" s="30"/>
    </row>
    <row r="16315" spans="1:4" x14ac:dyDescent="0.25">
      <c r="A16315" s="31"/>
      <c r="D16315" s="30"/>
    </row>
    <row r="16316" spans="1:4" x14ac:dyDescent="0.25">
      <c r="A16316" s="31"/>
      <c r="D16316" s="30"/>
    </row>
    <row r="16317" spans="1:4" x14ac:dyDescent="0.25">
      <c r="A16317" s="31"/>
      <c r="D16317" s="30"/>
    </row>
    <row r="16318" spans="1:4" x14ac:dyDescent="0.25">
      <c r="A16318" s="31"/>
      <c r="D16318" s="30"/>
    </row>
    <row r="16319" spans="1:4" x14ac:dyDescent="0.25">
      <c r="A16319" s="31"/>
      <c r="D16319" s="30"/>
    </row>
    <row r="16320" spans="1:4" x14ac:dyDescent="0.25">
      <c r="A16320" s="31"/>
      <c r="D16320" s="30"/>
    </row>
    <row r="16321" spans="1:4" x14ac:dyDescent="0.25">
      <c r="A16321" s="31"/>
      <c r="D16321" s="30"/>
    </row>
    <row r="16322" spans="1:4" x14ac:dyDescent="0.25">
      <c r="A16322" s="31"/>
      <c r="D16322" s="30"/>
    </row>
    <row r="16323" spans="1:4" x14ac:dyDescent="0.25">
      <c r="A16323" s="31"/>
      <c r="D16323" s="30"/>
    </row>
    <row r="16324" spans="1:4" x14ac:dyDescent="0.25">
      <c r="A16324" s="31"/>
      <c r="D16324" s="30"/>
    </row>
    <row r="16325" spans="1:4" x14ac:dyDescent="0.25">
      <c r="A16325" s="31"/>
      <c r="D16325" s="30"/>
    </row>
    <row r="16326" spans="1:4" x14ac:dyDescent="0.25">
      <c r="A16326" s="31"/>
      <c r="D16326" s="30"/>
    </row>
    <row r="16327" spans="1:4" x14ac:dyDescent="0.25">
      <c r="A16327" s="31"/>
      <c r="D16327" s="30"/>
    </row>
    <row r="16328" spans="1:4" x14ac:dyDescent="0.25">
      <c r="A16328" s="31"/>
      <c r="D16328" s="30"/>
    </row>
    <row r="16329" spans="1:4" x14ac:dyDescent="0.25">
      <c r="A16329" s="31"/>
      <c r="D16329" s="30"/>
    </row>
    <row r="16330" spans="1:4" x14ac:dyDescent="0.25">
      <c r="A16330" s="31"/>
      <c r="D16330" s="30"/>
    </row>
    <row r="16331" spans="1:4" x14ac:dyDescent="0.25">
      <c r="A16331" s="31"/>
      <c r="D16331" s="30"/>
    </row>
    <row r="16332" spans="1:4" x14ac:dyDescent="0.25">
      <c r="A16332" s="31"/>
      <c r="D16332" s="30"/>
    </row>
    <row r="16333" spans="1:4" x14ac:dyDescent="0.25">
      <c r="A16333" s="31"/>
      <c r="D16333" s="30"/>
    </row>
    <row r="16334" spans="1:4" x14ac:dyDescent="0.25">
      <c r="A16334" s="31"/>
      <c r="D16334" s="30"/>
    </row>
    <row r="16335" spans="1:4" x14ac:dyDescent="0.25">
      <c r="A16335" s="31"/>
      <c r="D16335" s="30"/>
    </row>
    <row r="16336" spans="1:4" x14ac:dyDescent="0.25">
      <c r="A16336" s="31"/>
      <c r="D16336" s="30"/>
    </row>
    <row r="16337" spans="1:4" x14ac:dyDescent="0.25">
      <c r="A16337" s="31"/>
      <c r="D16337" s="30"/>
    </row>
    <row r="16338" spans="1:4" x14ac:dyDescent="0.25">
      <c r="A16338" s="31"/>
      <c r="D16338" s="30"/>
    </row>
    <row r="16339" spans="1:4" x14ac:dyDescent="0.25">
      <c r="A16339" s="31"/>
      <c r="D16339" s="30"/>
    </row>
    <row r="16340" spans="1:4" x14ac:dyDescent="0.25">
      <c r="A16340" s="31"/>
      <c r="D16340" s="30"/>
    </row>
    <row r="16341" spans="1:4" x14ac:dyDescent="0.25">
      <c r="A16341" s="31"/>
      <c r="D16341" s="30"/>
    </row>
    <row r="16342" spans="1:4" x14ac:dyDescent="0.25">
      <c r="A16342" s="31"/>
      <c r="D16342" s="30"/>
    </row>
    <row r="16343" spans="1:4" x14ac:dyDescent="0.25">
      <c r="A16343" s="31"/>
      <c r="D16343" s="30"/>
    </row>
    <row r="16344" spans="1:4" x14ac:dyDescent="0.25">
      <c r="A16344" s="31"/>
      <c r="D16344" s="30"/>
    </row>
    <row r="16345" spans="1:4" x14ac:dyDescent="0.25">
      <c r="A16345" s="31"/>
      <c r="D16345" s="30"/>
    </row>
    <row r="16346" spans="1:4" x14ac:dyDescent="0.25">
      <c r="A16346" s="31"/>
      <c r="D16346" s="30"/>
    </row>
    <row r="16347" spans="1:4" x14ac:dyDescent="0.25">
      <c r="A16347" s="31"/>
      <c r="D16347" s="30"/>
    </row>
    <row r="16348" spans="1:4" x14ac:dyDescent="0.25">
      <c r="A16348" s="31"/>
      <c r="D16348" s="30"/>
    </row>
    <row r="16349" spans="1:4" x14ac:dyDescent="0.25">
      <c r="A16349" s="31"/>
      <c r="D16349" s="30"/>
    </row>
    <row r="16350" spans="1:4" x14ac:dyDescent="0.25">
      <c r="A16350" s="31"/>
      <c r="D16350" s="30"/>
    </row>
    <row r="16351" spans="1:4" x14ac:dyDescent="0.25">
      <c r="A16351" s="31"/>
      <c r="D16351" s="30"/>
    </row>
    <row r="16352" spans="1:4" x14ac:dyDescent="0.25">
      <c r="A16352" s="31"/>
      <c r="D16352" s="30"/>
    </row>
    <row r="16353" spans="1:4" x14ac:dyDescent="0.25">
      <c r="A16353" s="31"/>
      <c r="D16353" s="30"/>
    </row>
    <row r="16354" spans="1:4" x14ac:dyDescent="0.25">
      <c r="A16354" s="31"/>
      <c r="D16354" s="30"/>
    </row>
    <row r="16355" spans="1:4" x14ac:dyDescent="0.25">
      <c r="A16355" s="31"/>
      <c r="D16355" s="30"/>
    </row>
    <row r="16356" spans="1:4" x14ac:dyDescent="0.25">
      <c r="A16356" s="31"/>
      <c r="D16356" s="30"/>
    </row>
    <row r="16357" spans="1:4" x14ac:dyDescent="0.25">
      <c r="A16357" s="31"/>
      <c r="D16357" s="30"/>
    </row>
    <row r="16358" spans="1:4" x14ac:dyDescent="0.25">
      <c r="A16358" s="31"/>
      <c r="D16358" s="30"/>
    </row>
    <row r="16359" spans="1:4" x14ac:dyDescent="0.25">
      <c r="A16359" s="31"/>
      <c r="D16359" s="30"/>
    </row>
    <row r="16360" spans="1:4" x14ac:dyDescent="0.25">
      <c r="A16360" s="31"/>
      <c r="D16360" s="30"/>
    </row>
    <row r="16361" spans="1:4" x14ac:dyDescent="0.25">
      <c r="A16361" s="31"/>
      <c r="D16361" s="30"/>
    </row>
    <row r="16362" spans="1:4" x14ac:dyDescent="0.25">
      <c r="A16362" s="31"/>
      <c r="D16362" s="30"/>
    </row>
    <row r="16363" spans="1:4" x14ac:dyDescent="0.25">
      <c r="A16363" s="31"/>
      <c r="D16363" s="30"/>
    </row>
    <row r="16364" spans="1:4" x14ac:dyDescent="0.25">
      <c r="A16364" s="31"/>
      <c r="D16364" s="30"/>
    </row>
    <row r="16365" spans="1:4" x14ac:dyDescent="0.25">
      <c r="A16365" s="31"/>
      <c r="D16365" s="30"/>
    </row>
    <row r="16366" spans="1:4" x14ac:dyDescent="0.25">
      <c r="A16366" s="31"/>
      <c r="D16366" s="30"/>
    </row>
    <row r="16367" spans="1:4" x14ac:dyDescent="0.25">
      <c r="A16367" s="31"/>
      <c r="D16367" s="30"/>
    </row>
    <row r="16368" spans="1:4" x14ac:dyDescent="0.25">
      <c r="A16368" s="31"/>
      <c r="D16368" s="30"/>
    </row>
    <row r="16369" spans="1:4" x14ac:dyDescent="0.25">
      <c r="A16369" s="31"/>
      <c r="D16369" s="30"/>
    </row>
    <row r="16370" spans="1:4" x14ac:dyDescent="0.25">
      <c r="A16370" s="31"/>
      <c r="D16370" s="30"/>
    </row>
    <row r="16371" spans="1:4" x14ac:dyDescent="0.25">
      <c r="A16371" s="31"/>
      <c r="D16371" s="30"/>
    </row>
    <row r="16372" spans="1:4" x14ac:dyDescent="0.25">
      <c r="A16372" s="31"/>
      <c r="D16372" s="30"/>
    </row>
    <row r="16373" spans="1:4" x14ac:dyDescent="0.25">
      <c r="A16373" s="31"/>
      <c r="D16373" s="30"/>
    </row>
    <row r="16374" spans="1:4" x14ac:dyDescent="0.25">
      <c r="A16374" s="31"/>
      <c r="D16374" s="30"/>
    </row>
    <row r="16375" spans="1:4" x14ac:dyDescent="0.25">
      <c r="A16375" s="31"/>
      <c r="D16375" s="30"/>
    </row>
    <row r="16376" spans="1:4" x14ac:dyDescent="0.25">
      <c r="A16376" s="31"/>
      <c r="D16376" s="30"/>
    </row>
    <row r="16377" spans="1:4" x14ac:dyDescent="0.25">
      <c r="A16377" s="31"/>
      <c r="D16377" s="30"/>
    </row>
    <row r="16378" spans="1:4" x14ac:dyDescent="0.25">
      <c r="A16378" s="31"/>
      <c r="D16378" s="30"/>
    </row>
    <row r="16379" spans="1:4" x14ac:dyDescent="0.25">
      <c r="A16379" s="31"/>
      <c r="D16379" s="30"/>
    </row>
    <row r="16380" spans="1:4" x14ac:dyDescent="0.25">
      <c r="A16380" s="31"/>
      <c r="D16380" s="30"/>
    </row>
    <row r="16381" spans="1:4" x14ac:dyDescent="0.25">
      <c r="A16381" s="31"/>
      <c r="D16381" s="30"/>
    </row>
    <row r="16382" spans="1:4" x14ac:dyDescent="0.25">
      <c r="A16382" s="31"/>
      <c r="D16382" s="30"/>
    </row>
    <row r="16383" spans="1:4" x14ac:dyDescent="0.25">
      <c r="A16383" s="31"/>
      <c r="D16383" s="30"/>
    </row>
    <row r="16384" spans="1:4" x14ac:dyDescent="0.25">
      <c r="A16384" s="31"/>
      <c r="D16384" s="30"/>
    </row>
    <row r="16385" spans="1:4" x14ac:dyDescent="0.25">
      <c r="A16385" s="31"/>
      <c r="D16385" s="30"/>
    </row>
    <row r="16386" spans="1:4" x14ac:dyDescent="0.25">
      <c r="A16386" s="31"/>
      <c r="D16386" s="30"/>
    </row>
    <row r="16387" spans="1:4" x14ac:dyDescent="0.25">
      <c r="A16387" s="31"/>
      <c r="D16387" s="30"/>
    </row>
    <row r="16388" spans="1:4" x14ac:dyDescent="0.25">
      <c r="A16388" s="31"/>
      <c r="D16388" s="30"/>
    </row>
    <row r="16389" spans="1:4" x14ac:dyDescent="0.25">
      <c r="A16389" s="31"/>
      <c r="D16389" s="30"/>
    </row>
    <row r="16390" spans="1:4" x14ac:dyDescent="0.25">
      <c r="A16390" s="31"/>
      <c r="D16390" s="30"/>
    </row>
    <row r="16391" spans="1:4" x14ac:dyDescent="0.25">
      <c r="A16391" s="31"/>
      <c r="D16391" s="30"/>
    </row>
    <row r="16392" spans="1:4" x14ac:dyDescent="0.25">
      <c r="A16392" s="31"/>
      <c r="D16392" s="30"/>
    </row>
    <row r="16393" spans="1:4" x14ac:dyDescent="0.25">
      <c r="A16393" s="31"/>
      <c r="D16393" s="30"/>
    </row>
    <row r="16394" spans="1:4" x14ac:dyDescent="0.25">
      <c r="A16394" s="31"/>
      <c r="D16394" s="30"/>
    </row>
    <row r="16395" spans="1:4" x14ac:dyDescent="0.25">
      <c r="A16395" s="31"/>
      <c r="D16395" s="30"/>
    </row>
    <row r="16396" spans="1:4" x14ac:dyDescent="0.25">
      <c r="A16396" s="31"/>
      <c r="D16396" s="30"/>
    </row>
    <row r="16397" spans="1:4" x14ac:dyDescent="0.25">
      <c r="A16397" s="31"/>
      <c r="D16397" s="30"/>
    </row>
    <row r="16398" spans="1:4" x14ac:dyDescent="0.25">
      <c r="A16398" s="31"/>
      <c r="D16398" s="30"/>
    </row>
    <row r="16399" spans="1:4" x14ac:dyDescent="0.25">
      <c r="A16399" s="31"/>
      <c r="D16399" s="30"/>
    </row>
    <row r="16400" spans="1:4" x14ac:dyDescent="0.25">
      <c r="A16400" s="31"/>
      <c r="D16400" s="30"/>
    </row>
    <row r="16401" spans="1:4" x14ac:dyDescent="0.25">
      <c r="A16401" s="31"/>
      <c r="D16401" s="30"/>
    </row>
    <row r="16402" spans="1:4" x14ac:dyDescent="0.25">
      <c r="A16402" s="31"/>
      <c r="D16402" s="30"/>
    </row>
    <row r="16403" spans="1:4" x14ac:dyDescent="0.25">
      <c r="A16403" s="31"/>
      <c r="D16403" s="30"/>
    </row>
    <row r="16404" spans="1:4" x14ac:dyDescent="0.25">
      <c r="A16404" s="31"/>
      <c r="D16404" s="30"/>
    </row>
    <row r="16405" spans="1:4" x14ac:dyDescent="0.25">
      <c r="A16405" s="31"/>
      <c r="D16405" s="30"/>
    </row>
    <row r="16406" spans="1:4" x14ac:dyDescent="0.25">
      <c r="A16406" s="31"/>
      <c r="D16406" s="30"/>
    </row>
    <row r="16407" spans="1:4" x14ac:dyDescent="0.25">
      <c r="A16407" s="31"/>
      <c r="D16407" s="30"/>
    </row>
    <row r="16408" spans="1:4" x14ac:dyDescent="0.25">
      <c r="A16408" s="31"/>
      <c r="D16408" s="30"/>
    </row>
    <row r="16409" spans="1:4" x14ac:dyDescent="0.25">
      <c r="A16409" s="31"/>
      <c r="D16409" s="30"/>
    </row>
    <row r="16410" spans="1:4" x14ac:dyDescent="0.25">
      <c r="A16410" s="31"/>
      <c r="D16410" s="30"/>
    </row>
    <row r="16411" spans="1:4" x14ac:dyDescent="0.25">
      <c r="A16411" s="31"/>
      <c r="D16411" s="30"/>
    </row>
    <row r="16412" spans="1:4" x14ac:dyDescent="0.25">
      <c r="A16412" s="31"/>
      <c r="D16412" s="30"/>
    </row>
    <row r="16413" spans="1:4" x14ac:dyDescent="0.25">
      <c r="A16413" s="31"/>
      <c r="D16413" s="30"/>
    </row>
    <row r="16414" spans="1:4" x14ac:dyDescent="0.25">
      <c r="A16414" s="31"/>
      <c r="D16414" s="30"/>
    </row>
    <row r="16415" spans="1:4" x14ac:dyDescent="0.25">
      <c r="A16415" s="31"/>
      <c r="D16415" s="30"/>
    </row>
    <row r="16416" spans="1:4" x14ac:dyDescent="0.25">
      <c r="A16416" s="31"/>
      <c r="D16416" s="30"/>
    </row>
    <row r="16417" spans="1:4" x14ac:dyDescent="0.25">
      <c r="A16417" s="31"/>
      <c r="D16417" s="30"/>
    </row>
    <row r="16418" spans="1:4" x14ac:dyDescent="0.25">
      <c r="A16418" s="31"/>
      <c r="D16418" s="30"/>
    </row>
    <row r="16419" spans="1:4" x14ac:dyDescent="0.25">
      <c r="A16419" s="31"/>
      <c r="D16419" s="30"/>
    </row>
    <row r="16420" spans="1:4" x14ac:dyDescent="0.25">
      <c r="A16420" s="31"/>
      <c r="D16420" s="30"/>
    </row>
    <row r="16421" spans="1:4" x14ac:dyDescent="0.25">
      <c r="A16421" s="31"/>
      <c r="D16421" s="30"/>
    </row>
    <row r="16422" spans="1:4" x14ac:dyDescent="0.25">
      <c r="A16422" s="31"/>
      <c r="D16422" s="30"/>
    </row>
    <row r="16423" spans="1:4" x14ac:dyDescent="0.25">
      <c r="A16423" s="31"/>
      <c r="D16423" s="30"/>
    </row>
    <row r="16424" spans="1:4" x14ac:dyDescent="0.25">
      <c r="A16424" s="31"/>
      <c r="D16424" s="30"/>
    </row>
    <row r="16425" spans="1:4" x14ac:dyDescent="0.25">
      <c r="A16425" s="31"/>
      <c r="D16425" s="30"/>
    </row>
    <row r="16426" spans="1:4" x14ac:dyDescent="0.25">
      <c r="A16426" s="31"/>
      <c r="D16426" s="30"/>
    </row>
    <row r="16427" spans="1:4" x14ac:dyDescent="0.25">
      <c r="A16427" s="31"/>
      <c r="D16427" s="30"/>
    </row>
    <row r="16428" spans="1:4" x14ac:dyDescent="0.25">
      <c r="A16428" s="31"/>
      <c r="D16428" s="30"/>
    </row>
    <row r="16429" spans="1:4" x14ac:dyDescent="0.25">
      <c r="A16429" s="31"/>
      <c r="D16429" s="30"/>
    </row>
    <row r="16430" spans="1:4" x14ac:dyDescent="0.25">
      <c r="A16430" s="31"/>
      <c r="D16430" s="30"/>
    </row>
    <row r="16431" spans="1:4" x14ac:dyDescent="0.25">
      <c r="A16431" s="31"/>
      <c r="D16431" s="30"/>
    </row>
    <row r="16432" spans="1:4" x14ac:dyDescent="0.25">
      <c r="A16432" s="31"/>
      <c r="D16432" s="30"/>
    </row>
    <row r="16433" spans="1:4" x14ac:dyDescent="0.25">
      <c r="A16433" s="31"/>
      <c r="D16433" s="30"/>
    </row>
    <row r="16434" spans="1:4" x14ac:dyDescent="0.25">
      <c r="A16434" s="31"/>
      <c r="D16434" s="30"/>
    </row>
    <row r="16435" spans="1:4" x14ac:dyDescent="0.25">
      <c r="A16435" s="31"/>
      <c r="D16435" s="30"/>
    </row>
    <row r="16436" spans="1:4" x14ac:dyDescent="0.25">
      <c r="A16436" s="31"/>
      <c r="D16436" s="30"/>
    </row>
    <row r="16437" spans="1:4" x14ac:dyDescent="0.25">
      <c r="A16437" s="31"/>
      <c r="D16437" s="30"/>
    </row>
    <row r="16438" spans="1:4" x14ac:dyDescent="0.25">
      <c r="A16438" s="31"/>
      <c r="D16438" s="30"/>
    </row>
    <row r="16439" spans="1:4" x14ac:dyDescent="0.25">
      <c r="A16439" s="31"/>
      <c r="D16439" s="30"/>
    </row>
    <row r="16440" spans="1:4" x14ac:dyDescent="0.25">
      <c r="A16440" s="31"/>
      <c r="D16440" s="30"/>
    </row>
    <row r="16441" spans="1:4" x14ac:dyDescent="0.25">
      <c r="A16441" s="31"/>
      <c r="D16441" s="30"/>
    </row>
    <row r="16442" spans="1:4" x14ac:dyDescent="0.25">
      <c r="A16442" s="31"/>
      <c r="D16442" s="30"/>
    </row>
    <row r="16443" spans="1:4" x14ac:dyDescent="0.25">
      <c r="A16443" s="31"/>
      <c r="D16443" s="30"/>
    </row>
    <row r="16444" spans="1:4" x14ac:dyDescent="0.25">
      <c r="A16444" s="31"/>
      <c r="D16444" s="30"/>
    </row>
    <row r="16445" spans="1:4" x14ac:dyDescent="0.25">
      <c r="A16445" s="31"/>
      <c r="D16445" s="30"/>
    </row>
    <row r="16446" spans="1:4" x14ac:dyDescent="0.25">
      <c r="A16446" s="31"/>
      <c r="D16446" s="30"/>
    </row>
    <row r="16447" spans="1:4" x14ac:dyDescent="0.25">
      <c r="A16447" s="31"/>
      <c r="D16447" s="30"/>
    </row>
    <row r="16448" spans="1:4" x14ac:dyDescent="0.25">
      <c r="A16448" s="31"/>
      <c r="D16448" s="30"/>
    </row>
    <row r="16449" spans="1:4" x14ac:dyDescent="0.25">
      <c r="A16449" s="31"/>
      <c r="D16449" s="30"/>
    </row>
    <row r="16450" spans="1:4" x14ac:dyDescent="0.25">
      <c r="A16450" s="31"/>
      <c r="D16450" s="30"/>
    </row>
    <row r="16451" spans="1:4" x14ac:dyDescent="0.25">
      <c r="A16451" s="31"/>
      <c r="D16451" s="30"/>
    </row>
    <row r="16452" spans="1:4" x14ac:dyDescent="0.25">
      <c r="A16452" s="31"/>
      <c r="D16452" s="30"/>
    </row>
    <row r="16453" spans="1:4" x14ac:dyDescent="0.25">
      <c r="A16453" s="31"/>
      <c r="D16453" s="30"/>
    </row>
    <row r="16454" spans="1:4" x14ac:dyDescent="0.25">
      <c r="A16454" s="31"/>
      <c r="D16454" s="30"/>
    </row>
    <row r="16455" spans="1:4" x14ac:dyDescent="0.25">
      <c r="A16455" s="31"/>
      <c r="D16455" s="30"/>
    </row>
    <row r="16456" spans="1:4" x14ac:dyDescent="0.25">
      <c r="A16456" s="31"/>
      <c r="D16456" s="30"/>
    </row>
    <row r="16457" spans="1:4" x14ac:dyDescent="0.25">
      <c r="A16457" s="31"/>
      <c r="D16457" s="30"/>
    </row>
    <row r="16458" spans="1:4" x14ac:dyDescent="0.25">
      <c r="A16458" s="31"/>
      <c r="D16458" s="30"/>
    </row>
    <row r="16459" spans="1:4" x14ac:dyDescent="0.25">
      <c r="A16459" s="31"/>
      <c r="D16459" s="30"/>
    </row>
    <row r="16460" spans="1:4" x14ac:dyDescent="0.25">
      <c r="A16460" s="31"/>
      <c r="D16460" s="30"/>
    </row>
    <row r="16461" spans="1:4" x14ac:dyDescent="0.25">
      <c r="A16461" s="31"/>
      <c r="D16461" s="30"/>
    </row>
    <row r="16462" spans="1:4" x14ac:dyDescent="0.25">
      <c r="A16462" s="31"/>
      <c r="D16462" s="30"/>
    </row>
    <row r="16463" spans="1:4" x14ac:dyDescent="0.25">
      <c r="A16463" s="31"/>
      <c r="D16463" s="30"/>
    </row>
    <row r="16464" spans="1:4" x14ac:dyDescent="0.25">
      <c r="A16464" s="31"/>
      <c r="D16464" s="30"/>
    </row>
    <row r="16465" spans="1:4" x14ac:dyDescent="0.25">
      <c r="A16465" s="31"/>
      <c r="D16465" s="30"/>
    </row>
    <row r="16466" spans="1:4" x14ac:dyDescent="0.25">
      <c r="A16466" s="31"/>
      <c r="D16466" s="30"/>
    </row>
    <row r="16467" spans="1:4" x14ac:dyDescent="0.25">
      <c r="A16467" s="31"/>
      <c r="D16467" s="30"/>
    </row>
    <row r="16468" spans="1:4" x14ac:dyDescent="0.25">
      <c r="A16468" s="31"/>
      <c r="D16468" s="30"/>
    </row>
    <row r="16469" spans="1:4" x14ac:dyDescent="0.25">
      <c r="A16469" s="31"/>
      <c r="D16469" s="30"/>
    </row>
    <row r="16470" spans="1:4" x14ac:dyDescent="0.25">
      <c r="A16470" s="31"/>
      <c r="D16470" s="30"/>
    </row>
    <row r="16471" spans="1:4" x14ac:dyDescent="0.25">
      <c r="A16471" s="31"/>
      <c r="D16471" s="30"/>
    </row>
    <row r="16472" spans="1:4" x14ac:dyDescent="0.25">
      <c r="A16472" s="31"/>
      <c r="D16472" s="30"/>
    </row>
    <row r="16473" spans="1:4" x14ac:dyDescent="0.25">
      <c r="A16473" s="31"/>
      <c r="D16473" s="30"/>
    </row>
    <row r="16474" spans="1:4" x14ac:dyDescent="0.25">
      <c r="A16474" s="31"/>
      <c r="D16474" s="30"/>
    </row>
    <row r="16475" spans="1:4" x14ac:dyDescent="0.25">
      <c r="A16475" s="31"/>
      <c r="D16475" s="30"/>
    </row>
    <row r="16476" spans="1:4" x14ac:dyDescent="0.25">
      <c r="A16476" s="31"/>
      <c r="D16476" s="30"/>
    </row>
    <row r="16477" spans="1:4" x14ac:dyDescent="0.25">
      <c r="A16477" s="31"/>
      <c r="D16477" s="30"/>
    </row>
    <row r="16478" spans="1:4" x14ac:dyDescent="0.25">
      <c r="A16478" s="31"/>
      <c r="D16478" s="30"/>
    </row>
    <row r="16479" spans="1:4" x14ac:dyDescent="0.25">
      <c r="A16479" s="31"/>
      <c r="D16479" s="30"/>
    </row>
    <row r="16480" spans="1:4" x14ac:dyDescent="0.25">
      <c r="A16480" s="31"/>
      <c r="D16480" s="30"/>
    </row>
    <row r="16481" spans="1:4" x14ac:dyDescent="0.25">
      <c r="A16481" s="31"/>
      <c r="D16481" s="30"/>
    </row>
    <row r="16482" spans="1:4" x14ac:dyDescent="0.25">
      <c r="A16482" s="31"/>
      <c r="D16482" s="30"/>
    </row>
    <row r="16483" spans="1:4" x14ac:dyDescent="0.25">
      <c r="A16483" s="31"/>
      <c r="D16483" s="30"/>
    </row>
    <row r="16484" spans="1:4" x14ac:dyDescent="0.25">
      <c r="A16484" s="31"/>
      <c r="D16484" s="30"/>
    </row>
    <row r="16485" spans="1:4" x14ac:dyDescent="0.25">
      <c r="A16485" s="31"/>
      <c r="D16485" s="30"/>
    </row>
    <row r="16486" spans="1:4" x14ac:dyDescent="0.25">
      <c r="A16486" s="31"/>
      <c r="D16486" s="30"/>
    </row>
    <row r="16487" spans="1:4" x14ac:dyDescent="0.25">
      <c r="A16487" s="31"/>
      <c r="D16487" s="30"/>
    </row>
    <row r="16488" spans="1:4" x14ac:dyDescent="0.25">
      <c r="A16488" s="31"/>
      <c r="D16488" s="30"/>
    </row>
    <row r="16489" spans="1:4" x14ac:dyDescent="0.25">
      <c r="A16489" s="31"/>
      <c r="D16489" s="30"/>
    </row>
    <row r="16490" spans="1:4" x14ac:dyDescent="0.25">
      <c r="A16490" s="31"/>
      <c r="D16490" s="30"/>
    </row>
    <row r="16491" spans="1:4" x14ac:dyDescent="0.25">
      <c r="A16491" s="31"/>
      <c r="D16491" s="30"/>
    </row>
    <row r="16492" spans="1:4" x14ac:dyDescent="0.25">
      <c r="A16492" s="31"/>
      <c r="D16492" s="30"/>
    </row>
    <row r="16493" spans="1:4" x14ac:dyDescent="0.25">
      <c r="A16493" s="31"/>
      <c r="D16493" s="30"/>
    </row>
    <row r="16494" spans="1:4" x14ac:dyDescent="0.25">
      <c r="A16494" s="31"/>
      <c r="D16494" s="30"/>
    </row>
    <row r="16495" spans="1:4" x14ac:dyDescent="0.25">
      <c r="A16495" s="31"/>
      <c r="D16495" s="30"/>
    </row>
    <row r="16496" spans="1:4" x14ac:dyDescent="0.25">
      <c r="A16496" s="31"/>
      <c r="D16496" s="30"/>
    </row>
    <row r="16497" spans="1:4" x14ac:dyDescent="0.25">
      <c r="A16497" s="31"/>
      <c r="D16497" s="30"/>
    </row>
    <row r="16498" spans="1:4" x14ac:dyDescent="0.25">
      <c r="A16498" s="31"/>
      <c r="D16498" s="30"/>
    </row>
    <row r="16499" spans="1:4" x14ac:dyDescent="0.25">
      <c r="A16499" s="31"/>
      <c r="D16499" s="30"/>
    </row>
    <row r="16500" spans="1:4" x14ac:dyDescent="0.25">
      <c r="A16500" s="31"/>
      <c r="D16500" s="30"/>
    </row>
    <row r="16501" spans="1:4" x14ac:dyDescent="0.25">
      <c r="A16501" s="31"/>
      <c r="D16501" s="30"/>
    </row>
    <row r="16502" spans="1:4" x14ac:dyDescent="0.25">
      <c r="A16502" s="31"/>
      <c r="D16502" s="30"/>
    </row>
    <row r="16503" spans="1:4" x14ac:dyDescent="0.25">
      <c r="A16503" s="31"/>
      <c r="D16503" s="30"/>
    </row>
    <row r="16504" spans="1:4" x14ac:dyDescent="0.25">
      <c r="A16504" s="31"/>
      <c r="D16504" s="30"/>
    </row>
    <row r="16505" spans="1:4" x14ac:dyDescent="0.25">
      <c r="A16505" s="31"/>
      <c r="D16505" s="30"/>
    </row>
    <row r="16506" spans="1:4" x14ac:dyDescent="0.25">
      <c r="A16506" s="31"/>
      <c r="D16506" s="30"/>
    </row>
    <row r="16507" spans="1:4" x14ac:dyDescent="0.25">
      <c r="A16507" s="31"/>
      <c r="D16507" s="30"/>
    </row>
    <row r="16508" spans="1:4" x14ac:dyDescent="0.25">
      <c r="A16508" s="31"/>
      <c r="D16508" s="30"/>
    </row>
    <row r="16509" spans="1:4" x14ac:dyDescent="0.25">
      <c r="A16509" s="31"/>
      <c r="D16509" s="30"/>
    </row>
    <row r="16510" spans="1:4" x14ac:dyDescent="0.25">
      <c r="A16510" s="31"/>
      <c r="D16510" s="30"/>
    </row>
    <row r="16511" spans="1:4" x14ac:dyDescent="0.25">
      <c r="A16511" s="31"/>
      <c r="D16511" s="30"/>
    </row>
    <row r="16512" spans="1:4" x14ac:dyDescent="0.25">
      <c r="A16512" s="31"/>
      <c r="D16512" s="30"/>
    </row>
    <row r="16513" spans="1:4" x14ac:dyDescent="0.25">
      <c r="A16513" s="31"/>
      <c r="D16513" s="30"/>
    </row>
    <row r="16514" spans="1:4" x14ac:dyDescent="0.25">
      <c r="A16514" s="31"/>
      <c r="D16514" s="30"/>
    </row>
    <row r="16515" spans="1:4" x14ac:dyDescent="0.25">
      <c r="A16515" s="31"/>
      <c r="D16515" s="30"/>
    </row>
    <row r="16516" spans="1:4" x14ac:dyDescent="0.25">
      <c r="A16516" s="31"/>
      <c r="D16516" s="30"/>
    </row>
    <row r="16517" spans="1:4" x14ac:dyDescent="0.25">
      <c r="A16517" s="31"/>
      <c r="D16517" s="30"/>
    </row>
    <row r="16518" spans="1:4" x14ac:dyDescent="0.25">
      <c r="A16518" s="31"/>
      <c r="D16518" s="30"/>
    </row>
    <row r="16519" spans="1:4" x14ac:dyDescent="0.25">
      <c r="A16519" s="31"/>
      <c r="D16519" s="30"/>
    </row>
    <row r="16520" spans="1:4" x14ac:dyDescent="0.25">
      <c r="A16520" s="31"/>
      <c r="D16520" s="30"/>
    </row>
    <row r="16521" spans="1:4" x14ac:dyDescent="0.25">
      <c r="A16521" s="31"/>
      <c r="D16521" s="30"/>
    </row>
    <row r="16522" spans="1:4" x14ac:dyDescent="0.25">
      <c r="A16522" s="31"/>
      <c r="D16522" s="30"/>
    </row>
    <row r="16523" spans="1:4" x14ac:dyDescent="0.25">
      <c r="A16523" s="31"/>
      <c r="D16523" s="30"/>
    </row>
    <row r="16524" spans="1:4" x14ac:dyDescent="0.25">
      <c r="A16524" s="31"/>
      <c r="D16524" s="30"/>
    </row>
    <row r="16525" spans="1:4" x14ac:dyDescent="0.25">
      <c r="A16525" s="31"/>
      <c r="D16525" s="30"/>
    </row>
    <row r="16526" spans="1:4" x14ac:dyDescent="0.25">
      <c r="A16526" s="31"/>
      <c r="D16526" s="30"/>
    </row>
    <row r="16527" spans="1:4" x14ac:dyDescent="0.25">
      <c r="A16527" s="31"/>
      <c r="D16527" s="30"/>
    </row>
    <row r="16528" spans="1:4" x14ac:dyDescent="0.25">
      <c r="A16528" s="31"/>
      <c r="D16528" s="30"/>
    </row>
    <row r="16529" spans="1:4" x14ac:dyDescent="0.25">
      <c r="A16529" s="31"/>
      <c r="D16529" s="30"/>
    </row>
    <row r="16530" spans="1:4" x14ac:dyDescent="0.25">
      <c r="A16530" s="31"/>
      <c r="D16530" s="30"/>
    </row>
    <row r="16531" spans="1:4" x14ac:dyDescent="0.25">
      <c r="A16531" s="31"/>
      <c r="D16531" s="30"/>
    </row>
    <row r="16532" spans="1:4" x14ac:dyDescent="0.25">
      <c r="A16532" s="31"/>
      <c r="D16532" s="30"/>
    </row>
    <row r="16533" spans="1:4" x14ac:dyDescent="0.25">
      <c r="A16533" s="31"/>
      <c r="D16533" s="30"/>
    </row>
    <row r="16534" spans="1:4" x14ac:dyDescent="0.25">
      <c r="A16534" s="31"/>
      <c r="D16534" s="30"/>
    </row>
    <row r="16535" spans="1:4" x14ac:dyDescent="0.25">
      <c r="A16535" s="31"/>
      <c r="D16535" s="30"/>
    </row>
    <row r="16536" spans="1:4" x14ac:dyDescent="0.25">
      <c r="A16536" s="31"/>
      <c r="D16536" s="30"/>
    </row>
    <row r="16537" spans="1:4" x14ac:dyDescent="0.25">
      <c r="A16537" s="31"/>
      <c r="D16537" s="30"/>
    </row>
    <row r="16538" spans="1:4" x14ac:dyDescent="0.25">
      <c r="A16538" s="31"/>
      <c r="D16538" s="30"/>
    </row>
    <row r="16539" spans="1:4" x14ac:dyDescent="0.25">
      <c r="A16539" s="31"/>
      <c r="D16539" s="30"/>
    </row>
    <row r="16540" spans="1:4" x14ac:dyDescent="0.25">
      <c r="A16540" s="31"/>
      <c r="D16540" s="30"/>
    </row>
    <row r="16541" spans="1:4" x14ac:dyDescent="0.25">
      <c r="A16541" s="31"/>
      <c r="D16541" s="30"/>
    </row>
    <row r="16542" spans="1:4" x14ac:dyDescent="0.25">
      <c r="A16542" s="31"/>
      <c r="D16542" s="30"/>
    </row>
    <row r="16543" spans="1:4" x14ac:dyDescent="0.25">
      <c r="A16543" s="31"/>
      <c r="D16543" s="30"/>
    </row>
    <row r="16544" spans="1:4" x14ac:dyDescent="0.25">
      <c r="A16544" s="31"/>
      <c r="D16544" s="30"/>
    </row>
    <row r="16545" spans="1:4" x14ac:dyDescent="0.25">
      <c r="A16545" s="31"/>
      <c r="D16545" s="30"/>
    </row>
    <row r="16546" spans="1:4" x14ac:dyDescent="0.25">
      <c r="A16546" s="31"/>
      <c r="D16546" s="30"/>
    </row>
    <row r="16547" spans="1:4" x14ac:dyDescent="0.25">
      <c r="A16547" s="31"/>
      <c r="D16547" s="30"/>
    </row>
    <row r="16548" spans="1:4" x14ac:dyDescent="0.25">
      <c r="A16548" s="31"/>
      <c r="D16548" s="30"/>
    </row>
    <row r="16549" spans="1:4" x14ac:dyDescent="0.25">
      <c r="A16549" s="31"/>
      <c r="D16549" s="30"/>
    </row>
    <row r="16550" spans="1:4" x14ac:dyDescent="0.25">
      <c r="A16550" s="31"/>
      <c r="D16550" s="30"/>
    </row>
    <row r="16551" spans="1:4" x14ac:dyDescent="0.25">
      <c r="A16551" s="31"/>
      <c r="D16551" s="30"/>
    </row>
    <row r="16552" spans="1:4" x14ac:dyDescent="0.25">
      <c r="A16552" s="31"/>
      <c r="D16552" s="30"/>
    </row>
    <row r="16553" spans="1:4" x14ac:dyDescent="0.25">
      <c r="A16553" s="31"/>
      <c r="D16553" s="30"/>
    </row>
    <row r="16554" spans="1:4" x14ac:dyDescent="0.25">
      <c r="A16554" s="31"/>
      <c r="D16554" s="30"/>
    </row>
    <row r="16555" spans="1:4" x14ac:dyDescent="0.25">
      <c r="A16555" s="31"/>
      <c r="D16555" s="30"/>
    </row>
    <row r="16556" spans="1:4" x14ac:dyDescent="0.25">
      <c r="A16556" s="31"/>
      <c r="D16556" s="30"/>
    </row>
    <row r="16557" spans="1:4" x14ac:dyDescent="0.25">
      <c r="A16557" s="31"/>
      <c r="D16557" s="30"/>
    </row>
    <row r="16558" spans="1:4" x14ac:dyDescent="0.25">
      <c r="A16558" s="31"/>
      <c r="D16558" s="30"/>
    </row>
    <row r="16559" spans="1:4" x14ac:dyDescent="0.25">
      <c r="A16559" s="31"/>
      <c r="D16559" s="30"/>
    </row>
    <row r="16560" spans="1:4" x14ac:dyDescent="0.25">
      <c r="A16560" s="31"/>
      <c r="D16560" s="30"/>
    </row>
    <row r="16561" spans="1:4" x14ac:dyDescent="0.25">
      <c r="A16561" s="31"/>
      <c r="D16561" s="30"/>
    </row>
    <row r="16562" spans="1:4" x14ac:dyDescent="0.25">
      <c r="A16562" s="31"/>
      <c r="D16562" s="30"/>
    </row>
    <row r="16563" spans="1:4" x14ac:dyDescent="0.25">
      <c r="A16563" s="31"/>
      <c r="D16563" s="30"/>
    </row>
    <row r="16564" spans="1:4" x14ac:dyDescent="0.25">
      <c r="A16564" s="31"/>
      <c r="D16564" s="30"/>
    </row>
    <row r="16565" spans="1:4" x14ac:dyDescent="0.25">
      <c r="A16565" s="31"/>
      <c r="D16565" s="30"/>
    </row>
    <row r="16566" spans="1:4" x14ac:dyDescent="0.25">
      <c r="A16566" s="31"/>
      <c r="D16566" s="30"/>
    </row>
    <row r="16567" spans="1:4" x14ac:dyDescent="0.25">
      <c r="A16567" s="31"/>
      <c r="D16567" s="30"/>
    </row>
    <row r="16568" spans="1:4" x14ac:dyDescent="0.25">
      <c r="A16568" s="31"/>
      <c r="D16568" s="30"/>
    </row>
    <row r="16569" spans="1:4" x14ac:dyDescent="0.25">
      <c r="A16569" s="31"/>
      <c r="D16569" s="30"/>
    </row>
    <row r="16570" spans="1:4" x14ac:dyDescent="0.25">
      <c r="A16570" s="31"/>
      <c r="D16570" s="30"/>
    </row>
    <row r="16571" spans="1:4" x14ac:dyDescent="0.25">
      <c r="A16571" s="31"/>
      <c r="D16571" s="30"/>
    </row>
    <row r="16572" spans="1:4" x14ac:dyDescent="0.25">
      <c r="A16572" s="31"/>
      <c r="D16572" s="30"/>
    </row>
    <row r="16573" spans="1:4" x14ac:dyDescent="0.25">
      <c r="A16573" s="31"/>
      <c r="D16573" s="30"/>
    </row>
    <row r="16574" spans="1:4" x14ac:dyDescent="0.25">
      <c r="A16574" s="31"/>
      <c r="D16574" s="30"/>
    </row>
    <row r="16575" spans="1:4" x14ac:dyDescent="0.25">
      <c r="A16575" s="31"/>
      <c r="D16575" s="30"/>
    </row>
    <row r="16576" spans="1:4" x14ac:dyDescent="0.25">
      <c r="A16576" s="31"/>
      <c r="D16576" s="30"/>
    </row>
    <row r="16577" spans="1:4" x14ac:dyDescent="0.25">
      <c r="A16577" s="31"/>
      <c r="D16577" s="30"/>
    </row>
    <row r="16578" spans="1:4" x14ac:dyDescent="0.25">
      <c r="A16578" s="31"/>
      <c r="D16578" s="30"/>
    </row>
    <row r="16579" spans="1:4" x14ac:dyDescent="0.25">
      <c r="A16579" s="31"/>
      <c r="D16579" s="30"/>
    </row>
    <row r="16580" spans="1:4" x14ac:dyDescent="0.25">
      <c r="A16580" s="31"/>
      <c r="D16580" s="30"/>
    </row>
    <row r="16581" spans="1:4" x14ac:dyDescent="0.25">
      <c r="A16581" s="31"/>
      <c r="D16581" s="30"/>
    </row>
    <row r="16582" spans="1:4" x14ac:dyDescent="0.25">
      <c r="A16582" s="31"/>
      <c r="D16582" s="30"/>
    </row>
    <row r="16583" spans="1:4" x14ac:dyDescent="0.25">
      <c r="A16583" s="31"/>
      <c r="D16583" s="30"/>
    </row>
    <row r="16584" spans="1:4" x14ac:dyDescent="0.25">
      <c r="A16584" s="31"/>
      <c r="D16584" s="30"/>
    </row>
    <row r="16585" spans="1:4" x14ac:dyDescent="0.25">
      <c r="A16585" s="31"/>
      <c r="D16585" s="30"/>
    </row>
    <row r="16586" spans="1:4" x14ac:dyDescent="0.25">
      <c r="A16586" s="31"/>
      <c r="D16586" s="30"/>
    </row>
    <row r="16587" spans="1:4" x14ac:dyDescent="0.25">
      <c r="A16587" s="31"/>
      <c r="D16587" s="30"/>
    </row>
    <row r="16588" spans="1:4" x14ac:dyDescent="0.25">
      <c r="A16588" s="31"/>
      <c r="D16588" s="30"/>
    </row>
    <row r="16589" spans="1:4" x14ac:dyDescent="0.25">
      <c r="A16589" s="31"/>
      <c r="D16589" s="30"/>
    </row>
    <row r="16590" spans="1:4" x14ac:dyDescent="0.25">
      <c r="A16590" s="31"/>
      <c r="D16590" s="30"/>
    </row>
    <row r="16591" spans="1:4" x14ac:dyDescent="0.25">
      <c r="A16591" s="31"/>
      <c r="D16591" s="30"/>
    </row>
    <row r="16592" spans="1:4" x14ac:dyDescent="0.25">
      <c r="A16592" s="31"/>
      <c r="D16592" s="30"/>
    </row>
    <row r="16593" spans="1:4" x14ac:dyDescent="0.25">
      <c r="A16593" s="31"/>
      <c r="D16593" s="30"/>
    </row>
    <row r="16594" spans="1:4" x14ac:dyDescent="0.25">
      <c r="A16594" s="31"/>
      <c r="D16594" s="30"/>
    </row>
    <row r="16595" spans="1:4" x14ac:dyDescent="0.25">
      <c r="A16595" s="31"/>
      <c r="D16595" s="30"/>
    </row>
    <row r="16596" spans="1:4" x14ac:dyDescent="0.25">
      <c r="A16596" s="31"/>
      <c r="D16596" s="30"/>
    </row>
    <row r="16597" spans="1:4" x14ac:dyDescent="0.25">
      <c r="A16597" s="31"/>
      <c r="D16597" s="30"/>
    </row>
    <row r="16598" spans="1:4" x14ac:dyDescent="0.25">
      <c r="A16598" s="31"/>
      <c r="D16598" s="30"/>
    </row>
    <row r="16599" spans="1:4" x14ac:dyDescent="0.25">
      <c r="A16599" s="31"/>
      <c r="D16599" s="30"/>
    </row>
    <row r="16600" spans="1:4" x14ac:dyDescent="0.25">
      <c r="A16600" s="31"/>
      <c r="D16600" s="30"/>
    </row>
    <row r="16601" spans="1:4" x14ac:dyDescent="0.25">
      <c r="A16601" s="31"/>
      <c r="D16601" s="30"/>
    </row>
    <row r="16602" spans="1:4" x14ac:dyDescent="0.25">
      <c r="A16602" s="31"/>
      <c r="D16602" s="30"/>
    </row>
    <row r="16603" spans="1:4" x14ac:dyDescent="0.25">
      <c r="A16603" s="31"/>
      <c r="D16603" s="30"/>
    </row>
    <row r="16604" spans="1:4" x14ac:dyDescent="0.25">
      <c r="A16604" s="31"/>
      <c r="D16604" s="30"/>
    </row>
    <row r="16605" spans="1:4" x14ac:dyDescent="0.25">
      <c r="A16605" s="31"/>
      <c r="D16605" s="30"/>
    </row>
    <row r="16606" spans="1:4" x14ac:dyDescent="0.25">
      <c r="A16606" s="31"/>
      <c r="D16606" s="30"/>
    </row>
    <row r="16607" spans="1:4" x14ac:dyDescent="0.25">
      <c r="A16607" s="31"/>
      <c r="D16607" s="30"/>
    </row>
    <row r="16608" spans="1:4" x14ac:dyDescent="0.25">
      <c r="A16608" s="31"/>
      <c r="D16608" s="30"/>
    </row>
    <row r="16609" spans="1:4" x14ac:dyDescent="0.25">
      <c r="A16609" s="31"/>
      <c r="D16609" s="30"/>
    </row>
    <row r="16610" spans="1:4" x14ac:dyDescent="0.25">
      <c r="A16610" s="31"/>
      <c r="D16610" s="30"/>
    </row>
    <row r="16611" spans="1:4" x14ac:dyDescent="0.25">
      <c r="A16611" s="31"/>
      <c r="D16611" s="30"/>
    </row>
    <row r="16612" spans="1:4" x14ac:dyDescent="0.25">
      <c r="A16612" s="31"/>
      <c r="D16612" s="30"/>
    </row>
    <row r="16613" spans="1:4" x14ac:dyDescent="0.25">
      <c r="A16613" s="31"/>
      <c r="D16613" s="30"/>
    </row>
    <row r="16614" spans="1:4" x14ac:dyDescent="0.25">
      <c r="A16614" s="31"/>
      <c r="D16614" s="30"/>
    </row>
    <row r="16615" spans="1:4" x14ac:dyDescent="0.25">
      <c r="A16615" s="31"/>
      <c r="D16615" s="30"/>
    </row>
    <row r="16616" spans="1:4" x14ac:dyDescent="0.25">
      <c r="A16616" s="31"/>
      <c r="D16616" s="30"/>
    </row>
    <row r="16617" spans="1:4" x14ac:dyDescent="0.25">
      <c r="A16617" s="31"/>
      <c r="D16617" s="30"/>
    </row>
    <row r="16618" spans="1:4" x14ac:dyDescent="0.25">
      <c r="A16618" s="31"/>
      <c r="D16618" s="30"/>
    </row>
    <row r="16619" spans="1:4" x14ac:dyDescent="0.25">
      <c r="A16619" s="31"/>
      <c r="D16619" s="30"/>
    </row>
    <row r="16620" spans="1:4" x14ac:dyDescent="0.25">
      <c r="A16620" s="31"/>
      <c r="D16620" s="30"/>
    </row>
    <row r="16621" spans="1:4" x14ac:dyDescent="0.25">
      <c r="A16621" s="31"/>
      <c r="D16621" s="30"/>
    </row>
    <row r="16622" spans="1:4" x14ac:dyDescent="0.25">
      <c r="A16622" s="31"/>
      <c r="D16622" s="30"/>
    </row>
    <row r="16623" spans="1:4" x14ac:dyDescent="0.25">
      <c r="A16623" s="31"/>
      <c r="D16623" s="30"/>
    </row>
    <row r="16624" spans="1:4" x14ac:dyDescent="0.25">
      <c r="A16624" s="31"/>
      <c r="D16624" s="30"/>
    </row>
    <row r="16625" spans="1:4" x14ac:dyDescent="0.25">
      <c r="A16625" s="31"/>
      <c r="D16625" s="30"/>
    </row>
    <row r="16626" spans="1:4" x14ac:dyDescent="0.25">
      <c r="A16626" s="31"/>
      <c r="D16626" s="30"/>
    </row>
    <row r="16627" spans="1:4" x14ac:dyDescent="0.25">
      <c r="A16627" s="31"/>
      <c r="D16627" s="30"/>
    </row>
    <row r="16628" spans="1:4" x14ac:dyDescent="0.25">
      <c r="A16628" s="31"/>
      <c r="D16628" s="30"/>
    </row>
    <row r="16629" spans="1:4" x14ac:dyDescent="0.25">
      <c r="A16629" s="31"/>
      <c r="D16629" s="30"/>
    </row>
    <row r="16630" spans="1:4" x14ac:dyDescent="0.25">
      <c r="A16630" s="31"/>
      <c r="D16630" s="30"/>
    </row>
    <row r="16631" spans="1:4" x14ac:dyDescent="0.25">
      <c r="A16631" s="31"/>
      <c r="D16631" s="30"/>
    </row>
    <row r="16632" spans="1:4" x14ac:dyDescent="0.25">
      <c r="A16632" s="31"/>
      <c r="D16632" s="30"/>
    </row>
    <row r="16633" spans="1:4" x14ac:dyDescent="0.25">
      <c r="A16633" s="31"/>
      <c r="D16633" s="30"/>
    </row>
    <row r="16634" spans="1:4" x14ac:dyDescent="0.25">
      <c r="A16634" s="31"/>
      <c r="D16634" s="30"/>
    </row>
    <row r="16635" spans="1:4" x14ac:dyDescent="0.25">
      <c r="A16635" s="31"/>
      <c r="D16635" s="30"/>
    </row>
    <row r="16636" spans="1:4" x14ac:dyDescent="0.25">
      <c r="A16636" s="31"/>
      <c r="D16636" s="30"/>
    </row>
    <row r="16637" spans="1:4" x14ac:dyDescent="0.25">
      <c r="A16637" s="31"/>
      <c r="D16637" s="30"/>
    </row>
    <row r="16638" spans="1:4" x14ac:dyDescent="0.25">
      <c r="A16638" s="31"/>
      <c r="D16638" s="30"/>
    </row>
    <row r="16639" spans="1:4" x14ac:dyDescent="0.25">
      <c r="A16639" s="31"/>
      <c r="D16639" s="30"/>
    </row>
    <row r="16640" spans="1:4" x14ac:dyDescent="0.25">
      <c r="A16640" s="31"/>
      <c r="D16640" s="30"/>
    </row>
    <row r="16641" spans="1:4" x14ac:dyDescent="0.25">
      <c r="A16641" s="31"/>
      <c r="D16641" s="30"/>
    </row>
    <row r="16642" spans="1:4" x14ac:dyDescent="0.25">
      <c r="A16642" s="31"/>
      <c r="D16642" s="30"/>
    </row>
    <row r="16643" spans="1:4" x14ac:dyDescent="0.25">
      <c r="A16643" s="31"/>
      <c r="D16643" s="30"/>
    </row>
    <row r="16644" spans="1:4" x14ac:dyDescent="0.25">
      <c r="A16644" s="31"/>
      <c r="D16644" s="30"/>
    </row>
    <row r="16645" spans="1:4" x14ac:dyDescent="0.25">
      <c r="A16645" s="31"/>
      <c r="D16645" s="30"/>
    </row>
    <row r="16646" spans="1:4" x14ac:dyDescent="0.25">
      <c r="A16646" s="31"/>
      <c r="D16646" s="30"/>
    </row>
    <row r="16647" spans="1:4" x14ac:dyDescent="0.25">
      <c r="A16647" s="31"/>
      <c r="D16647" s="30"/>
    </row>
    <row r="16648" spans="1:4" x14ac:dyDescent="0.25">
      <c r="A16648" s="31"/>
      <c r="D16648" s="30"/>
    </row>
    <row r="16649" spans="1:4" x14ac:dyDescent="0.25">
      <c r="A16649" s="31"/>
      <c r="D16649" s="30"/>
    </row>
    <row r="16650" spans="1:4" x14ac:dyDescent="0.25">
      <c r="A16650" s="31"/>
      <c r="D16650" s="30"/>
    </row>
    <row r="16651" spans="1:4" x14ac:dyDescent="0.25">
      <c r="A16651" s="31"/>
      <c r="D16651" s="30"/>
    </row>
    <row r="16652" spans="1:4" x14ac:dyDescent="0.25">
      <c r="A16652" s="31"/>
      <c r="D16652" s="30"/>
    </row>
    <row r="16653" spans="1:4" x14ac:dyDescent="0.25">
      <c r="A16653" s="31"/>
      <c r="D16653" s="30"/>
    </row>
    <row r="16654" spans="1:4" x14ac:dyDescent="0.25">
      <c r="A16654" s="31"/>
      <c r="D16654" s="30"/>
    </row>
    <row r="16655" spans="1:4" x14ac:dyDescent="0.25">
      <c r="A16655" s="31"/>
      <c r="D16655" s="30"/>
    </row>
    <row r="16656" spans="1:4" x14ac:dyDescent="0.25">
      <c r="A16656" s="31"/>
      <c r="D16656" s="30"/>
    </row>
    <row r="16657" spans="1:4" x14ac:dyDescent="0.25">
      <c r="A16657" s="31"/>
      <c r="D16657" s="30"/>
    </row>
    <row r="16658" spans="1:4" x14ac:dyDescent="0.25">
      <c r="A16658" s="31"/>
      <c r="D16658" s="30"/>
    </row>
    <row r="16659" spans="1:4" x14ac:dyDescent="0.25">
      <c r="A16659" s="31"/>
      <c r="D16659" s="30"/>
    </row>
    <row r="16660" spans="1:4" x14ac:dyDescent="0.25">
      <c r="A16660" s="31"/>
      <c r="D16660" s="30"/>
    </row>
    <row r="16661" spans="1:4" x14ac:dyDescent="0.25">
      <c r="A16661" s="31"/>
      <c r="D16661" s="30"/>
    </row>
    <row r="16662" spans="1:4" x14ac:dyDescent="0.25">
      <c r="A16662" s="31"/>
      <c r="D16662" s="30"/>
    </row>
    <row r="16663" spans="1:4" x14ac:dyDescent="0.25">
      <c r="A16663" s="31"/>
      <c r="D16663" s="30"/>
    </row>
    <row r="16664" spans="1:4" x14ac:dyDescent="0.25">
      <c r="A16664" s="31"/>
      <c r="D16664" s="30"/>
    </row>
    <row r="16665" spans="1:4" x14ac:dyDescent="0.25">
      <c r="A16665" s="31"/>
      <c r="D16665" s="30"/>
    </row>
    <row r="16666" spans="1:4" x14ac:dyDescent="0.25">
      <c r="A16666" s="31"/>
      <c r="D16666" s="30"/>
    </row>
    <row r="16667" spans="1:4" x14ac:dyDescent="0.25">
      <c r="A16667" s="31"/>
      <c r="D16667" s="30"/>
    </row>
    <row r="16668" spans="1:4" x14ac:dyDescent="0.25">
      <c r="A16668" s="31"/>
      <c r="D16668" s="30"/>
    </row>
    <row r="16669" spans="1:4" x14ac:dyDescent="0.25">
      <c r="A16669" s="31"/>
      <c r="D16669" s="30"/>
    </row>
    <row r="16670" spans="1:4" x14ac:dyDescent="0.25">
      <c r="A16670" s="31"/>
      <c r="D16670" s="30"/>
    </row>
    <row r="16671" spans="1:4" x14ac:dyDescent="0.25">
      <c r="A16671" s="31"/>
      <c r="D16671" s="30"/>
    </row>
    <row r="16672" spans="1:4" x14ac:dyDescent="0.25">
      <c r="A16672" s="31"/>
      <c r="D16672" s="30"/>
    </row>
    <row r="16673" spans="1:4" x14ac:dyDescent="0.25">
      <c r="A16673" s="31"/>
      <c r="D16673" s="30"/>
    </row>
    <row r="16674" spans="1:4" x14ac:dyDescent="0.25">
      <c r="A16674" s="31"/>
      <c r="D16674" s="30"/>
    </row>
    <row r="16675" spans="1:4" x14ac:dyDescent="0.25">
      <c r="A16675" s="31"/>
      <c r="D16675" s="30"/>
    </row>
    <row r="16676" spans="1:4" x14ac:dyDescent="0.25">
      <c r="A16676" s="31"/>
      <c r="D16676" s="30"/>
    </row>
    <row r="16677" spans="1:4" x14ac:dyDescent="0.25">
      <c r="A16677" s="31"/>
      <c r="D16677" s="30"/>
    </row>
    <row r="16678" spans="1:4" x14ac:dyDescent="0.25">
      <c r="A16678" s="31"/>
      <c r="D16678" s="30"/>
    </row>
    <row r="16679" spans="1:4" x14ac:dyDescent="0.25">
      <c r="A16679" s="31"/>
      <c r="D16679" s="30"/>
    </row>
    <row r="16680" spans="1:4" x14ac:dyDescent="0.25">
      <c r="A16680" s="31"/>
      <c r="D16680" s="30"/>
    </row>
    <row r="16681" spans="1:4" x14ac:dyDescent="0.25">
      <c r="A16681" s="31"/>
      <c r="D16681" s="30"/>
    </row>
    <row r="16682" spans="1:4" x14ac:dyDescent="0.25">
      <c r="A16682" s="31"/>
      <c r="D16682" s="30"/>
    </row>
    <row r="16683" spans="1:4" x14ac:dyDescent="0.25">
      <c r="A16683" s="31"/>
      <c r="D16683" s="30"/>
    </row>
    <row r="16684" spans="1:4" x14ac:dyDescent="0.25">
      <c r="A16684" s="31"/>
      <c r="D16684" s="30"/>
    </row>
    <row r="16685" spans="1:4" x14ac:dyDescent="0.25">
      <c r="A16685" s="31"/>
      <c r="D16685" s="30"/>
    </row>
    <row r="16686" spans="1:4" x14ac:dyDescent="0.25">
      <c r="A16686" s="31"/>
      <c r="D16686" s="30"/>
    </row>
    <row r="16687" spans="1:4" x14ac:dyDescent="0.25">
      <c r="A16687" s="31"/>
      <c r="D16687" s="30"/>
    </row>
    <row r="16688" spans="1:4" x14ac:dyDescent="0.25">
      <c r="A16688" s="31"/>
      <c r="D16688" s="30"/>
    </row>
    <row r="16689" spans="1:4" x14ac:dyDescent="0.25">
      <c r="A16689" s="31"/>
      <c r="D16689" s="30"/>
    </row>
    <row r="16690" spans="1:4" x14ac:dyDescent="0.25">
      <c r="A16690" s="31"/>
      <c r="D16690" s="30"/>
    </row>
    <row r="16691" spans="1:4" x14ac:dyDescent="0.25">
      <c r="A16691" s="31"/>
      <c r="D16691" s="30"/>
    </row>
    <row r="16692" spans="1:4" x14ac:dyDescent="0.25">
      <c r="A16692" s="31"/>
      <c r="D16692" s="30"/>
    </row>
    <row r="16693" spans="1:4" x14ac:dyDescent="0.25">
      <c r="A16693" s="31"/>
      <c r="D16693" s="30"/>
    </row>
    <row r="16694" spans="1:4" x14ac:dyDescent="0.25">
      <c r="A16694" s="31"/>
      <c r="D16694" s="30"/>
    </row>
    <row r="16695" spans="1:4" x14ac:dyDescent="0.25">
      <c r="A16695" s="31"/>
      <c r="D16695" s="30"/>
    </row>
    <row r="16696" spans="1:4" x14ac:dyDescent="0.25">
      <c r="A16696" s="31"/>
      <c r="D16696" s="30"/>
    </row>
    <row r="16697" spans="1:4" x14ac:dyDescent="0.25">
      <c r="A16697" s="31"/>
      <c r="D16697" s="30"/>
    </row>
    <row r="16698" spans="1:4" x14ac:dyDescent="0.25">
      <c r="A16698" s="31"/>
      <c r="D16698" s="30"/>
    </row>
    <row r="16699" spans="1:4" x14ac:dyDescent="0.25">
      <c r="A16699" s="31"/>
      <c r="D16699" s="30"/>
    </row>
    <row r="16700" spans="1:4" x14ac:dyDescent="0.25">
      <c r="A16700" s="31"/>
      <c r="D16700" s="30"/>
    </row>
    <row r="16701" spans="1:4" x14ac:dyDescent="0.25">
      <c r="A16701" s="31"/>
      <c r="D16701" s="30"/>
    </row>
    <row r="16702" spans="1:4" x14ac:dyDescent="0.25">
      <c r="A16702" s="31"/>
      <c r="D16702" s="30"/>
    </row>
    <row r="16703" spans="1:4" x14ac:dyDescent="0.25">
      <c r="A16703" s="31"/>
      <c r="D16703" s="30"/>
    </row>
    <row r="16704" spans="1:4" x14ac:dyDescent="0.25">
      <c r="A16704" s="31"/>
      <c r="D16704" s="30"/>
    </row>
    <row r="16705" spans="1:4" x14ac:dyDescent="0.25">
      <c r="A16705" s="31"/>
      <c r="D16705" s="30"/>
    </row>
    <row r="16706" spans="1:4" x14ac:dyDescent="0.25">
      <c r="A16706" s="31"/>
      <c r="D16706" s="30"/>
    </row>
    <row r="16707" spans="1:4" x14ac:dyDescent="0.25">
      <c r="A16707" s="31"/>
      <c r="D16707" s="30"/>
    </row>
    <row r="16708" spans="1:4" x14ac:dyDescent="0.25">
      <c r="A16708" s="31"/>
      <c r="D16708" s="30"/>
    </row>
    <row r="16709" spans="1:4" x14ac:dyDescent="0.25">
      <c r="A16709" s="31"/>
      <c r="D16709" s="30"/>
    </row>
    <row r="16710" spans="1:4" x14ac:dyDescent="0.25">
      <c r="A16710" s="31"/>
      <c r="D16710" s="30"/>
    </row>
    <row r="16711" spans="1:4" x14ac:dyDescent="0.25">
      <c r="A16711" s="31"/>
      <c r="D16711" s="30"/>
    </row>
    <row r="16712" spans="1:4" x14ac:dyDescent="0.25">
      <c r="A16712" s="31"/>
      <c r="D16712" s="30"/>
    </row>
    <row r="16713" spans="1:4" x14ac:dyDescent="0.25">
      <c r="A16713" s="31"/>
      <c r="D16713" s="30"/>
    </row>
    <row r="16714" spans="1:4" x14ac:dyDescent="0.25">
      <c r="A16714" s="31"/>
      <c r="D16714" s="30"/>
    </row>
    <row r="16715" spans="1:4" x14ac:dyDescent="0.25">
      <c r="A16715" s="31"/>
      <c r="D16715" s="30"/>
    </row>
    <row r="16716" spans="1:4" x14ac:dyDescent="0.25">
      <c r="A16716" s="31"/>
      <c r="D16716" s="30"/>
    </row>
    <row r="16717" spans="1:4" x14ac:dyDescent="0.25">
      <c r="A16717" s="31"/>
      <c r="D16717" s="30"/>
    </row>
    <row r="16718" spans="1:4" x14ac:dyDescent="0.25">
      <c r="A16718" s="31"/>
      <c r="D16718" s="30"/>
    </row>
    <row r="16719" spans="1:4" x14ac:dyDescent="0.25">
      <c r="A16719" s="31"/>
      <c r="D16719" s="30"/>
    </row>
    <row r="16720" spans="1:4" x14ac:dyDescent="0.25">
      <c r="A16720" s="31"/>
      <c r="D16720" s="30"/>
    </row>
    <row r="16721" spans="1:4" x14ac:dyDescent="0.25">
      <c r="A16721" s="31"/>
      <c r="D16721" s="30"/>
    </row>
    <row r="16722" spans="1:4" x14ac:dyDescent="0.25">
      <c r="A16722" s="31"/>
      <c r="D16722" s="30"/>
    </row>
    <row r="16723" spans="1:4" x14ac:dyDescent="0.25">
      <c r="A16723" s="31"/>
      <c r="D16723" s="30"/>
    </row>
    <row r="16724" spans="1:4" x14ac:dyDescent="0.25">
      <c r="A16724" s="31"/>
      <c r="D16724" s="30"/>
    </row>
    <row r="16725" spans="1:4" x14ac:dyDescent="0.25">
      <c r="A16725" s="31"/>
      <c r="D16725" s="30"/>
    </row>
    <row r="16726" spans="1:4" x14ac:dyDescent="0.25">
      <c r="A16726" s="31"/>
      <c r="D16726" s="30"/>
    </row>
    <row r="16727" spans="1:4" x14ac:dyDescent="0.25">
      <c r="A16727" s="31"/>
      <c r="D16727" s="30"/>
    </row>
    <row r="16728" spans="1:4" x14ac:dyDescent="0.25">
      <c r="A16728" s="31"/>
      <c r="D16728" s="30"/>
    </row>
    <row r="16729" spans="1:4" x14ac:dyDescent="0.25">
      <c r="A16729" s="31"/>
      <c r="D16729" s="30"/>
    </row>
    <row r="16730" spans="1:4" x14ac:dyDescent="0.25">
      <c r="A16730" s="31"/>
      <c r="D16730" s="30"/>
    </row>
    <row r="16731" spans="1:4" x14ac:dyDescent="0.25">
      <c r="A16731" s="31"/>
      <c r="D16731" s="30"/>
    </row>
    <row r="16732" spans="1:4" x14ac:dyDescent="0.25">
      <c r="A16732" s="31"/>
      <c r="D16732" s="30"/>
    </row>
    <row r="16733" spans="1:4" x14ac:dyDescent="0.25">
      <c r="A16733" s="31"/>
      <c r="D16733" s="30"/>
    </row>
    <row r="16734" spans="1:4" x14ac:dyDescent="0.25">
      <c r="A16734" s="31"/>
      <c r="D16734" s="30"/>
    </row>
    <row r="16735" spans="1:4" x14ac:dyDescent="0.25">
      <c r="A16735" s="31"/>
      <c r="D16735" s="30"/>
    </row>
    <row r="16736" spans="1:4" x14ac:dyDescent="0.25">
      <c r="A16736" s="31"/>
      <c r="D16736" s="30"/>
    </row>
    <row r="16737" spans="1:4" x14ac:dyDescent="0.25">
      <c r="A16737" s="31"/>
      <c r="D16737" s="30"/>
    </row>
    <row r="16738" spans="1:4" x14ac:dyDescent="0.25">
      <c r="A16738" s="31"/>
      <c r="D16738" s="30"/>
    </row>
    <row r="16739" spans="1:4" x14ac:dyDescent="0.25">
      <c r="A16739" s="31"/>
      <c r="D16739" s="30"/>
    </row>
    <row r="16740" spans="1:4" x14ac:dyDescent="0.25">
      <c r="A16740" s="31"/>
      <c r="D16740" s="30"/>
    </row>
    <row r="16741" spans="1:4" x14ac:dyDescent="0.25">
      <c r="A16741" s="31"/>
      <c r="D16741" s="30"/>
    </row>
    <row r="16742" spans="1:4" x14ac:dyDescent="0.25">
      <c r="A16742" s="31"/>
      <c r="D16742" s="30"/>
    </row>
    <row r="16743" spans="1:4" x14ac:dyDescent="0.25">
      <c r="A16743" s="31"/>
      <c r="D16743" s="30"/>
    </row>
    <row r="16744" spans="1:4" x14ac:dyDescent="0.25">
      <c r="A16744" s="31"/>
      <c r="D16744" s="30"/>
    </row>
    <row r="16745" spans="1:4" x14ac:dyDescent="0.25">
      <c r="A16745" s="31"/>
      <c r="D16745" s="30"/>
    </row>
    <row r="16746" spans="1:4" x14ac:dyDescent="0.25">
      <c r="A16746" s="31"/>
      <c r="D16746" s="30"/>
    </row>
    <row r="16747" spans="1:4" x14ac:dyDescent="0.25">
      <c r="A16747" s="31"/>
      <c r="D16747" s="30"/>
    </row>
    <row r="16748" spans="1:4" x14ac:dyDescent="0.25">
      <c r="A16748" s="31"/>
      <c r="D16748" s="30"/>
    </row>
    <row r="16749" spans="1:4" x14ac:dyDescent="0.25">
      <c r="A16749" s="31"/>
      <c r="D16749" s="30"/>
    </row>
    <row r="16750" spans="1:4" x14ac:dyDescent="0.25">
      <c r="A16750" s="31"/>
      <c r="D16750" s="30"/>
    </row>
    <row r="16751" spans="1:4" x14ac:dyDescent="0.25">
      <c r="A16751" s="31"/>
      <c r="D16751" s="30"/>
    </row>
    <row r="16752" spans="1:4" x14ac:dyDescent="0.25">
      <c r="A16752" s="31"/>
      <c r="D16752" s="30"/>
    </row>
    <row r="16753" spans="1:4" x14ac:dyDescent="0.25">
      <c r="A16753" s="31"/>
      <c r="D16753" s="30"/>
    </row>
    <row r="16754" spans="1:4" x14ac:dyDescent="0.25">
      <c r="A16754" s="31"/>
      <c r="D16754" s="30"/>
    </row>
    <row r="16755" spans="1:4" x14ac:dyDescent="0.25">
      <c r="A16755" s="31"/>
      <c r="D16755" s="30"/>
    </row>
    <row r="16756" spans="1:4" x14ac:dyDescent="0.25">
      <c r="A16756" s="31"/>
      <c r="D16756" s="30"/>
    </row>
    <row r="16757" spans="1:4" x14ac:dyDescent="0.25">
      <c r="A16757" s="31"/>
      <c r="D16757" s="30"/>
    </row>
    <row r="16758" spans="1:4" x14ac:dyDescent="0.25">
      <c r="A16758" s="31"/>
      <c r="D16758" s="30"/>
    </row>
    <row r="16759" spans="1:4" x14ac:dyDescent="0.25">
      <c r="A16759" s="31"/>
      <c r="D16759" s="30"/>
    </row>
    <row r="16760" spans="1:4" x14ac:dyDescent="0.25">
      <c r="A16760" s="31"/>
      <c r="D16760" s="30"/>
    </row>
    <row r="16761" spans="1:4" x14ac:dyDescent="0.25">
      <c r="A16761" s="31"/>
      <c r="D16761" s="30"/>
    </row>
    <row r="16762" spans="1:4" x14ac:dyDescent="0.25">
      <c r="A16762" s="31"/>
      <c r="D16762" s="30"/>
    </row>
    <row r="16763" spans="1:4" x14ac:dyDescent="0.25">
      <c r="A16763" s="31"/>
      <c r="D16763" s="30"/>
    </row>
    <row r="16764" spans="1:4" x14ac:dyDescent="0.25">
      <c r="A16764" s="31"/>
      <c r="D16764" s="30"/>
    </row>
    <row r="16765" spans="1:4" x14ac:dyDescent="0.25">
      <c r="A16765" s="31"/>
      <c r="D16765" s="30"/>
    </row>
    <row r="16766" spans="1:4" x14ac:dyDescent="0.25">
      <c r="A16766" s="31"/>
      <c r="D16766" s="30"/>
    </row>
    <row r="16767" spans="1:4" x14ac:dyDescent="0.25">
      <c r="A16767" s="31"/>
      <c r="D16767" s="30"/>
    </row>
    <row r="16768" spans="1:4" x14ac:dyDescent="0.25">
      <c r="A16768" s="31"/>
      <c r="D16768" s="30"/>
    </row>
    <row r="16769" spans="1:4" x14ac:dyDescent="0.25">
      <c r="A16769" s="31"/>
      <c r="D16769" s="30"/>
    </row>
    <row r="16770" spans="1:4" x14ac:dyDescent="0.25">
      <c r="A16770" s="31"/>
      <c r="D16770" s="30"/>
    </row>
    <row r="16771" spans="1:4" x14ac:dyDescent="0.25">
      <c r="A16771" s="31"/>
      <c r="D16771" s="30"/>
    </row>
    <row r="16772" spans="1:4" x14ac:dyDescent="0.25">
      <c r="A16772" s="31"/>
      <c r="D16772" s="30"/>
    </row>
    <row r="16773" spans="1:4" x14ac:dyDescent="0.25">
      <c r="A16773" s="31"/>
      <c r="D16773" s="30"/>
    </row>
    <row r="16774" spans="1:4" x14ac:dyDescent="0.25">
      <c r="A16774" s="31"/>
      <c r="D16774" s="30"/>
    </row>
    <row r="16775" spans="1:4" x14ac:dyDescent="0.25">
      <c r="A16775" s="31"/>
      <c r="D16775" s="30"/>
    </row>
    <row r="16776" spans="1:4" x14ac:dyDescent="0.25">
      <c r="A16776" s="31"/>
      <c r="D16776" s="30"/>
    </row>
    <row r="16777" spans="1:4" x14ac:dyDescent="0.25">
      <c r="A16777" s="31"/>
      <c r="D16777" s="30"/>
    </row>
    <row r="16778" spans="1:4" x14ac:dyDescent="0.25">
      <c r="A16778" s="31"/>
      <c r="D16778" s="30"/>
    </row>
    <row r="16779" spans="1:4" x14ac:dyDescent="0.25">
      <c r="A16779" s="31"/>
      <c r="D16779" s="30"/>
    </row>
    <row r="16780" spans="1:4" x14ac:dyDescent="0.25">
      <c r="A16780" s="31"/>
      <c r="D16780" s="30"/>
    </row>
    <row r="16781" spans="1:4" x14ac:dyDescent="0.25">
      <c r="A16781" s="31"/>
      <c r="D16781" s="30"/>
    </row>
    <row r="16782" spans="1:4" x14ac:dyDescent="0.25">
      <c r="A16782" s="31"/>
      <c r="D16782" s="30"/>
    </row>
    <row r="16783" spans="1:4" x14ac:dyDescent="0.25">
      <c r="A16783" s="31"/>
      <c r="D16783" s="30"/>
    </row>
    <row r="16784" spans="1:4" x14ac:dyDescent="0.25">
      <c r="A16784" s="31"/>
      <c r="D16784" s="30"/>
    </row>
    <row r="16785" spans="1:4" x14ac:dyDescent="0.25">
      <c r="A16785" s="31"/>
      <c r="D16785" s="30"/>
    </row>
    <row r="16786" spans="1:4" x14ac:dyDescent="0.25">
      <c r="A16786" s="31"/>
      <c r="D16786" s="30"/>
    </row>
    <row r="16787" spans="1:4" x14ac:dyDescent="0.25">
      <c r="A16787" s="31"/>
      <c r="D16787" s="30"/>
    </row>
    <row r="16788" spans="1:4" x14ac:dyDescent="0.25">
      <c r="A16788" s="31"/>
      <c r="D16788" s="30"/>
    </row>
    <row r="16789" spans="1:4" x14ac:dyDescent="0.25">
      <c r="A16789" s="31"/>
      <c r="D16789" s="30"/>
    </row>
    <row r="16790" spans="1:4" x14ac:dyDescent="0.25">
      <c r="A16790" s="31"/>
      <c r="D16790" s="30"/>
    </row>
    <row r="16791" spans="1:4" x14ac:dyDescent="0.25">
      <c r="A16791" s="31"/>
      <c r="D16791" s="30"/>
    </row>
    <row r="16792" spans="1:4" x14ac:dyDescent="0.25">
      <c r="A16792" s="31"/>
      <c r="D16792" s="30"/>
    </row>
    <row r="16793" spans="1:4" x14ac:dyDescent="0.25">
      <c r="A16793" s="31"/>
      <c r="D16793" s="30"/>
    </row>
    <row r="16794" spans="1:4" x14ac:dyDescent="0.25">
      <c r="A16794" s="31"/>
      <c r="D16794" s="30"/>
    </row>
    <row r="16795" spans="1:4" x14ac:dyDescent="0.25">
      <c r="A16795" s="31"/>
      <c r="D16795" s="30"/>
    </row>
    <row r="16796" spans="1:4" x14ac:dyDescent="0.25">
      <c r="A16796" s="31"/>
      <c r="D16796" s="30"/>
    </row>
    <row r="16797" spans="1:4" x14ac:dyDescent="0.25">
      <c r="A16797" s="31"/>
      <c r="D16797" s="30"/>
    </row>
    <row r="16798" spans="1:4" x14ac:dyDescent="0.25">
      <c r="A16798" s="31"/>
      <c r="D16798" s="30"/>
    </row>
    <row r="16799" spans="1:4" x14ac:dyDescent="0.25">
      <c r="A16799" s="31"/>
      <c r="D16799" s="30"/>
    </row>
    <row r="16800" spans="1:4" x14ac:dyDescent="0.25">
      <c r="A16800" s="31"/>
      <c r="D16800" s="30"/>
    </row>
    <row r="16801" spans="1:4" x14ac:dyDescent="0.25">
      <c r="A16801" s="31"/>
      <c r="D16801" s="30"/>
    </row>
    <row r="16802" spans="1:4" x14ac:dyDescent="0.25">
      <c r="A16802" s="31"/>
      <c r="D16802" s="30"/>
    </row>
    <row r="16803" spans="1:4" x14ac:dyDescent="0.25">
      <c r="A16803" s="31"/>
      <c r="D16803" s="30"/>
    </row>
    <row r="16804" spans="1:4" x14ac:dyDescent="0.25">
      <c r="A16804" s="31"/>
      <c r="D16804" s="30"/>
    </row>
    <row r="16805" spans="1:4" x14ac:dyDescent="0.25">
      <c r="A16805" s="31"/>
      <c r="D16805" s="30"/>
    </row>
    <row r="16806" spans="1:4" x14ac:dyDescent="0.25">
      <c r="A16806" s="31"/>
      <c r="D16806" s="30"/>
    </row>
    <row r="16807" spans="1:4" x14ac:dyDescent="0.25">
      <c r="A16807" s="31"/>
      <c r="D16807" s="30"/>
    </row>
    <row r="16808" spans="1:4" x14ac:dyDescent="0.25">
      <c r="A16808" s="31"/>
      <c r="D16808" s="30"/>
    </row>
    <row r="16809" spans="1:4" x14ac:dyDescent="0.25">
      <c r="A16809" s="31"/>
      <c r="D16809" s="30"/>
    </row>
    <row r="16810" spans="1:4" x14ac:dyDescent="0.25">
      <c r="A16810" s="31"/>
      <c r="D16810" s="30"/>
    </row>
    <row r="16811" spans="1:4" x14ac:dyDescent="0.25">
      <c r="A16811" s="31"/>
      <c r="D16811" s="30"/>
    </row>
    <row r="16812" spans="1:4" x14ac:dyDescent="0.25">
      <c r="A16812" s="31"/>
      <c r="D16812" s="30"/>
    </row>
    <row r="16813" spans="1:4" x14ac:dyDescent="0.25">
      <c r="A16813" s="31"/>
      <c r="D16813" s="30"/>
    </row>
    <row r="16814" spans="1:4" x14ac:dyDescent="0.25">
      <c r="A16814" s="31"/>
      <c r="D16814" s="30"/>
    </row>
    <row r="16815" spans="1:4" x14ac:dyDescent="0.25">
      <c r="A16815" s="31"/>
      <c r="D16815" s="30"/>
    </row>
    <row r="16816" spans="1:4" x14ac:dyDescent="0.25">
      <c r="A16816" s="31"/>
      <c r="D16816" s="30"/>
    </row>
    <row r="16817" spans="1:4" x14ac:dyDescent="0.25">
      <c r="A16817" s="31"/>
      <c r="D16817" s="30"/>
    </row>
    <row r="16818" spans="1:4" x14ac:dyDescent="0.25">
      <c r="A16818" s="31"/>
      <c r="D16818" s="30"/>
    </row>
    <row r="16819" spans="1:4" x14ac:dyDescent="0.25">
      <c r="A16819" s="31"/>
      <c r="D16819" s="30"/>
    </row>
    <row r="16820" spans="1:4" x14ac:dyDescent="0.25">
      <c r="A16820" s="31"/>
      <c r="D16820" s="30"/>
    </row>
    <row r="16821" spans="1:4" x14ac:dyDescent="0.25">
      <c r="A16821" s="31"/>
      <c r="D16821" s="30"/>
    </row>
    <row r="16822" spans="1:4" x14ac:dyDescent="0.25">
      <c r="A16822" s="31"/>
      <c r="D16822" s="30"/>
    </row>
    <row r="16823" spans="1:4" x14ac:dyDescent="0.25">
      <c r="A16823" s="31"/>
      <c r="D16823" s="30"/>
    </row>
    <row r="16824" spans="1:4" x14ac:dyDescent="0.25">
      <c r="A16824" s="31"/>
      <c r="D16824" s="30"/>
    </row>
    <row r="16825" spans="1:4" x14ac:dyDescent="0.25">
      <c r="A16825" s="31"/>
      <c r="D16825" s="30"/>
    </row>
    <row r="16826" spans="1:4" x14ac:dyDescent="0.25">
      <c r="A16826" s="31"/>
      <c r="D16826" s="30"/>
    </row>
    <row r="16827" spans="1:4" x14ac:dyDescent="0.25">
      <c r="A16827" s="31"/>
      <c r="D16827" s="30"/>
    </row>
    <row r="16828" spans="1:4" x14ac:dyDescent="0.25">
      <c r="A16828" s="31"/>
      <c r="D16828" s="30"/>
    </row>
    <row r="16829" spans="1:4" x14ac:dyDescent="0.25">
      <c r="A16829" s="31"/>
      <c r="D16829" s="30"/>
    </row>
    <row r="16830" spans="1:4" x14ac:dyDescent="0.25">
      <c r="A16830" s="31"/>
      <c r="D16830" s="30"/>
    </row>
    <row r="16831" spans="1:4" x14ac:dyDescent="0.25">
      <c r="A16831" s="31"/>
      <c r="D16831" s="30"/>
    </row>
    <row r="16832" spans="1:4" x14ac:dyDescent="0.25">
      <c r="A16832" s="31"/>
      <c r="D16832" s="30"/>
    </row>
    <row r="16833" spans="1:4" x14ac:dyDescent="0.25">
      <c r="A16833" s="31"/>
      <c r="D16833" s="30"/>
    </row>
    <row r="16834" spans="1:4" x14ac:dyDescent="0.25">
      <c r="A16834" s="31"/>
      <c r="D16834" s="30"/>
    </row>
    <row r="16835" spans="1:4" x14ac:dyDescent="0.25">
      <c r="A16835" s="31"/>
      <c r="D16835" s="30"/>
    </row>
    <row r="16836" spans="1:4" x14ac:dyDescent="0.25">
      <c r="A16836" s="31"/>
      <c r="D16836" s="30"/>
    </row>
    <row r="16837" spans="1:4" x14ac:dyDescent="0.25">
      <c r="A16837" s="31"/>
      <c r="D16837" s="30"/>
    </row>
    <row r="16838" spans="1:4" x14ac:dyDescent="0.25">
      <c r="A16838" s="31"/>
      <c r="D16838" s="30"/>
    </row>
    <row r="16839" spans="1:4" x14ac:dyDescent="0.25">
      <c r="A16839" s="31"/>
      <c r="D16839" s="30"/>
    </row>
    <row r="16840" spans="1:4" x14ac:dyDescent="0.25">
      <c r="A16840" s="31"/>
      <c r="D16840" s="30"/>
    </row>
    <row r="16841" spans="1:4" x14ac:dyDescent="0.25">
      <c r="A16841" s="31"/>
      <c r="D16841" s="30"/>
    </row>
    <row r="16842" spans="1:4" x14ac:dyDescent="0.25">
      <c r="A16842" s="31"/>
      <c r="D16842" s="30"/>
    </row>
    <row r="16843" spans="1:4" x14ac:dyDescent="0.25">
      <c r="A16843" s="31"/>
      <c r="D16843" s="30"/>
    </row>
    <row r="16844" spans="1:4" x14ac:dyDescent="0.25">
      <c r="A16844" s="31"/>
      <c r="D16844" s="30"/>
    </row>
    <row r="16845" spans="1:4" x14ac:dyDescent="0.25">
      <c r="A16845" s="31"/>
      <c r="D16845" s="30"/>
    </row>
    <row r="16846" spans="1:4" x14ac:dyDescent="0.25">
      <c r="A16846" s="31"/>
      <c r="D16846" s="30"/>
    </row>
    <row r="16847" spans="1:4" x14ac:dyDescent="0.25">
      <c r="A16847" s="31"/>
      <c r="D16847" s="30"/>
    </row>
    <row r="16848" spans="1:4" x14ac:dyDescent="0.25">
      <c r="A16848" s="31"/>
      <c r="D16848" s="30"/>
    </row>
    <row r="16849" spans="1:4" x14ac:dyDescent="0.25">
      <c r="A16849" s="31"/>
      <c r="D16849" s="30"/>
    </row>
    <row r="16850" spans="1:4" x14ac:dyDescent="0.25">
      <c r="A16850" s="31"/>
      <c r="D16850" s="30"/>
    </row>
    <row r="16851" spans="1:4" x14ac:dyDescent="0.25">
      <c r="A16851" s="31"/>
      <c r="D16851" s="30"/>
    </row>
    <row r="16852" spans="1:4" x14ac:dyDescent="0.25">
      <c r="A16852" s="31"/>
      <c r="D16852" s="30"/>
    </row>
    <row r="16853" spans="1:4" x14ac:dyDescent="0.25">
      <c r="A16853" s="31"/>
      <c r="D16853" s="30"/>
    </row>
    <row r="16854" spans="1:4" x14ac:dyDescent="0.25">
      <c r="A16854" s="31"/>
      <c r="D16854" s="30"/>
    </row>
    <row r="16855" spans="1:4" x14ac:dyDescent="0.25">
      <c r="A16855" s="31"/>
      <c r="D16855" s="30"/>
    </row>
    <row r="16856" spans="1:4" x14ac:dyDescent="0.25">
      <c r="A16856" s="31"/>
      <c r="D16856" s="30"/>
    </row>
    <row r="16857" spans="1:4" x14ac:dyDescent="0.25">
      <c r="A16857" s="31"/>
      <c r="D16857" s="30"/>
    </row>
    <row r="16858" spans="1:4" x14ac:dyDescent="0.25">
      <c r="A16858" s="31"/>
      <c r="D16858" s="30"/>
    </row>
    <row r="16859" spans="1:4" x14ac:dyDescent="0.25">
      <c r="A16859" s="31"/>
      <c r="D16859" s="30"/>
    </row>
    <row r="16860" spans="1:4" x14ac:dyDescent="0.25">
      <c r="A16860" s="31"/>
      <c r="D16860" s="30"/>
    </row>
    <row r="16861" spans="1:4" x14ac:dyDescent="0.25">
      <c r="A16861" s="31"/>
      <c r="D16861" s="30"/>
    </row>
    <row r="16862" spans="1:4" x14ac:dyDescent="0.25">
      <c r="A16862" s="31"/>
      <c r="D16862" s="30"/>
    </row>
    <row r="16863" spans="1:4" x14ac:dyDescent="0.25">
      <c r="A16863" s="31"/>
      <c r="D16863" s="30"/>
    </row>
    <row r="16864" spans="1:4" x14ac:dyDescent="0.25">
      <c r="A16864" s="31"/>
      <c r="D16864" s="30"/>
    </row>
    <row r="16865" spans="1:4" x14ac:dyDescent="0.25">
      <c r="A16865" s="31"/>
      <c r="D16865" s="30"/>
    </row>
    <row r="16866" spans="1:4" x14ac:dyDescent="0.25">
      <c r="A16866" s="31"/>
      <c r="D16866" s="30"/>
    </row>
    <row r="16867" spans="1:4" x14ac:dyDescent="0.25">
      <c r="A16867" s="31"/>
      <c r="D16867" s="30"/>
    </row>
    <row r="16868" spans="1:4" x14ac:dyDescent="0.25">
      <c r="A16868" s="31"/>
      <c r="D16868" s="30"/>
    </row>
    <row r="16869" spans="1:4" x14ac:dyDescent="0.25">
      <c r="A16869" s="31"/>
      <c r="D16869" s="30"/>
    </row>
    <row r="16870" spans="1:4" x14ac:dyDescent="0.25">
      <c r="A16870" s="31"/>
      <c r="D16870" s="30"/>
    </row>
    <row r="16871" spans="1:4" x14ac:dyDescent="0.25">
      <c r="A16871" s="31"/>
      <c r="D16871" s="30"/>
    </row>
    <row r="16872" spans="1:4" x14ac:dyDescent="0.25">
      <c r="A16872" s="31"/>
      <c r="D16872" s="30"/>
    </row>
    <row r="16873" spans="1:4" x14ac:dyDescent="0.25">
      <c r="A16873" s="31"/>
      <c r="D16873" s="30"/>
    </row>
    <row r="16874" spans="1:4" x14ac:dyDescent="0.25">
      <c r="A16874" s="31"/>
      <c r="D16874" s="30"/>
    </row>
    <row r="16875" spans="1:4" x14ac:dyDescent="0.25">
      <c r="A16875" s="31"/>
      <c r="D16875" s="30"/>
    </row>
    <row r="16876" spans="1:4" x14ac:dyDescent="0.25">
      <c r="A16876" s="31"/>
      <c r="D16876" s="30"/>
    </row>
    <row r="16877" spans="1:4" x14ac:dyDescent="0.25">
      <c r="A16877" s="31"/>
      <c r="D16877" s="30"/>
    </row>
    <row r="16878" spans="1:4" x14ac:dyDescent="0.25">
      <c r="A16878" s="31"/>
      <c r="D16878" s="30"/>
    </row>
    <row r="16879" spans="1:4" x14ac:dyDescent="0.25">
      <c r="A16879" s="31"/>
      <c r="D16879" s="30"/>
    </row>
    <row r="16880" spans="1:4" x14ac:dyDescent="0.25">
      <c r="A16880" s="31"/>
      <c r="D16880" s="30"/>
    </row>
    <row r="16881" spans="1:4" x14ac:dyDescent="0.25">
      <c r="A16881" s="31"/>
      <c r="D16881" s="30"/>
    </row>
    <row r="16882" spans="1:4" x14ac:dyDescent="0.25">
      <c r="A16882" s="31"/>
      <c r="D16882" s="30"/>
    </row>
    <row r="16883" spans="1:4" x14ac:dyDescent="0.25">
      <c r="A16883" s="31"/>
      <c r="D16883" s="30"/>
    </row>
    <row r="16884" spans="1:4" x14ac:dyDescent="0.25">
      <c r="A16884" s="31"/>
      <c r="D16884" s="30"/>
    </row>
    <row r="16885" spans="1:4" x14ac:dyDescent="0.25">
      <c r="A16885" s="31"/>
      <c r="D16885" s="30"/>
    </row>
    <row r="16886" spans="1:4" x14ac:dyDescent="0.25">
      <c r="A16886" s="31"/>
      <c r="D16886" s="30"/>
    </row>
    <row r="16887" spans="1:4" x14ac:dyDescent="0.25">
      <c r="A16887" s="31"/>
      <c r="D16887" s="30"/>
    </row>
    <row r="16888" spans="1:4" x14ac:dyDescent="0.25">
      <c r="A16888" s="31"/>
      <c r="D16888" s="30"/>
    </row>
    <row r="16889" spans="1:4" x14ac:dyDescent="0.25">
      <c r="A16889" s="31"/>
      <c r="D16889" s="30"/>
    </row>
    <row r="16890" spans="1:4" x14ac:dyDescent="0.25">
      <c r="A16890" s="31"/>
      <c r="D16890" s="30"/>
    </row>
    <row r="16891" spans="1:4" x14ac:dyDescent="0.25">
      <c r="A16891" s="31"/>
      <c r="D16891" s="30"/>
    </row>
    <row r="16892" spans="1:4" x14ac:dyDescent="0.25">
      <c r="A16892" s="31"/>
      <c r="D16892" s="30"/>
    </row>
    <row r="16893" spans="1:4" x14ac:dyDescent="0.25">
      <c r="A16893" s="31"/>
      <c r="D16893" s="30"/>
    </row>
    <row r="16894" spans="1:4" x14ac:dyDescent="0.25">
      <c r="A16894" s="31"/>
      <c r="D16894" s="30"/>
    </row>
    <row r="16895" spans="1:4" x14ac:dyDescent="0.25">
      <c r="A16895" s="31"/>
      <c r="D16895" s="30"/>
    </row>
    <row r="16896" spans="1:4" x14ac:dyDescent="0.25">
      <c r="A16896" s="31"/>
      <c r="D16896" s="30"/>
    </row>
    <row r="16897" spans="1:4" x14ac:dyDescent="0.25">
      <c r="A16897" s="31"/>
      <c r="D16897" s="30"/>
    </row>
    <row r="16898" spans="1:4" x14ac:dyDescent="0.25">
      <c r="A16898" s="31"/>
      <c r="D16898" s="30"/>
    </row>
    <row r="16899" spans="1:4" x14ac:dyDescent="0.25">
      <c r="A16899" s="31"/>
      <c r="D16899" s="30"/>
    </row>
    <row r="16900" spans="1:4" x14ac:dyDescent="0.25">
      <c r="A16900" s="31"/>
      <c r="D16900" s="30"/>
    </row>
    <row r="16901" spans="1:4" x14ac:dyDescent="0.25">
      <c r="A16901" s="31"/>
      <c r="D16901" s="30"/>
    </row>
    <row r="16902" spans="1:4" x14ac:dyDescent="0.25">
      <c r="A16902" s="31"/>
      <c r="D16902" s="30"/>
    </row>
    <row r="16903" spans="1:4" x14ac:dyDescent="0.25">
      <c r="A16903" s="31"/>
      <c r="D16903" s="30"/>
    </row>
    <row r="16904" spans="1:4" x14ac:dyDescent="0.25">
      <c r="A16904" s="31"/>
      <c r="D16904" s="30"/>
    </row>
    <row r="16905" spans="1:4" x14ac:dyDescent="0.25">
      <c r="A16905" s="31"/>
      <c r="D16905" s="30"/>
    </row>
    <row r="16906" spans="1:4" x14ac:dyDescent="0.25">
      <c r="A16906" s="31"/>
      <c r="D16906" s="30"/>
    </row>
    <row r="16907" spans="1:4" x14ac:dyDescent="0.25">
      <c r="A16907" s="31"/>
      <c r="D16907" s="30"/>
    </row>
    <row r="16908" spans="1:4" x14ac:dyDescent="0.25">
      <c r="A16908" s="31"/>
      <c r="D16908" s="30"/>
    </row>
    <row r="16909" spans="1:4" x14ac:dyDescent="0.25">
      <c r="A16909" s="31"/>
      <c r="D16909" s="30"/>
    </row>
    <row r="16910" spans="1:4" x14ac:dyDescent="0.25">
      <c r="A16910" s="31"/>
      <c r="D16910" s="30"/>
    </row>
    <row r="16911" spans="1:4" x14ac:dyDescent="0.25">
      <c r="A16911" s="31"/>
      <c r="D16911" s="30"/>
    </row>
    <row r="16912" spans="1:4" x14ac:dyDescent="0.25">
      <c r="A16912" s="31"/>
      <c r="D16912" s="30"/>
    </row>
    <row r="16913" spans="1:4" x14ac:dyDescent="0.25">
      <c r="A16913" s="31"/>
      <c r="D16913" s="30"/>
    </row>
    <row r="16914" spans="1:4" x14ac:dyDescent="0.25">
      <c r="A16914" s="31"/>
      <c r="D16914" s="30"/>
    </row>
    <row r="16915" spans="1:4" x14ac:dyDescent="0.25">
      <c r="A16915" s="31"/>
      <c r="D16915" s="30"/>
    </row>
    <row r="16916" spans="1:4" x14ac:dyDescent="0.25">
      <c r="A16916" s="31"/>
      <c r="D16916" s="30"/>
    </row>
    <row r="16917" spans="1:4" x14ac:dyDescent="0.25">
      <c r="A16917" s="31"/>
      <c r="D16917" s="30"/>
    </row>
    <row r="16918" spans="1:4" x14ac:dyDescent="0.25">
      <c r="A16918" s="31"/>
      <c r="D16918" s="30"/>
    </row>
    <row r="16919" spans="1:4" x14ac:dyDescent="0.25">
      <c r="A16919" s="31"/>
      <c r="D16919" s="30"/>
    </row>
    <row r="16920" spans="1:4" x14ac:dyDescent="0.25">
      <c r="A16920" s="31"/>
      <c r="D16920" s="30"/>
    </row>
    <row r="16921" spans="1:4" x14ac:dyDescent="0.25">
      <c r="A16921" s="31"/>
      <c r="D16921" s="30"/>
    </row>
    <row r="16922" spans="1:4" x14ac:dyDescent="0.25">
      <c r="A16922" s="31"/>
      <c r="D16922" s="30"/>
    </row>
    <row r="16923" spans="1:4" x14ac:dyDescent="0.25">
      <c r="A16923" s="31"/>
      <c r="D16923" s="30"/>
    </row>
    <row r="16924" spans="1:4" x14ac:dyDescent="0.25">
      <c r="A16924" s="31"/>
      <c r="D16924" s="30"/>
    </row>
    <row r="16925" spans="1:4" x14ac:dyDescent="0.25">
      <c r="A16925" s="31"/>
      <c r="D16925" s="30"/>
    </row>
    <row r="16926" spans="1:4" x14ac:dyDescent="0.25">
      <c r="A16926" s="31"/>
      <c r="D16926" s="30"/>
    </row>
    <row r="16927" spans="1:4" x14ac:dyDescent="0.25">
      <c r="A16927" s="31"/>
      <c r="D16927" s="30"/>
    </row>
    <row r="16928" spans="1:4" x14ac:dyDescent="0.25">
      <c r="A16928" s="31"/>
      <c r="D16928" s="30"/>
    </row>
    <row r="16929" spans="1:4" x14ac:dyDescent="0.25">
      <c r="A16929" s="31"/>
      <c r="D16929" s="30"/>
    </row>
    <row r="16930" spans="1:4" x14ac:dyDescent="0.25">
      <c r="A16930" s="31"/>
      <c r="D16930" s="30"/>
    </row>
    <row r="16931" spans="1:4" x14ac:dyDescent="0.25">
      <c r="A16931" s="31"/>
      <c r="D16931" s="30"/>
    </row>
    <row r="16932" spans="1:4" x14ac:dyDescent="0.25">
      <c r="A16932" s="31"/>
      <c r="D16932" s="30"/>
    </row>
    <row r="16933" spans="1:4" x14ac:dyDescent="0.25">
      <c r="A16933" s="31"/>
      <c r="D16933" s="30"/>
    </row>
    <row r="16934" spans="1:4" x14ac:dyDescent="0.25">
      <c r="A16934" s="31"/>
      <c r="D16934" s="30"/>
    </row>
    <row r="16935" spans="1:4" x14ac:dyDescent="0.25">
      <c r="A16935" s="31"/>
      <c r="D16935" s="30"/>
    </row>
    <row r="16936" spans="1:4" x14ac:dyDescent="0.25">
      <c r="A16936" s="31"/>
      <c r="D16936" s="30"/>
    </row>
    <row r="16937" spans="1:4" x14ac:dyDescent="0.25">
      <c r="A16937" s="31"/>
      <c r="D16937" s="30"/>
    </row>
    <row r="16938" spans="1:4" x14ac:dyDescent="0.25">
      <c r="A16938" s="31"/>
      <c r="D16938" s="30"/>
    </row>
    <row r="16939" spans="1:4" x14ac:dyDescent="0.25">
      <c r="A16939" s="31"/>
      <c r="D16939" s="30"/>
    </row>
    <row r="16940" spans="1:4" x14ac:dyDescent="0.25">
      <c r="A16940" s="31"/>
      <c r="D16940" s="30"/>
    </row>
    <row r="16941" spans="1:4" x14ac:dyDescent="0.25">
      <c r="A16941" s="31"/>
      <c r="D16941" s="30"/>
    </row>
    <row r="16942" spans="1:4" x14ac:dyDescent="0.25">
      <c r="A16942" s="31"/>
      <c r="D16942" s="30"/>
    </row>
    <row r="16943" spans="1:4" x14ac:dyDescent="0.25">
      <c r="A16943" s="31"/>
      <c r="D16943" s="30"/>
    </row>
    <row r="16944" spans="1:4" x14ac:dyDescent="0.25">
      <c r="A16944" s="31"/>
      <c r="D16944" s="30"/>
    </row>
    <row r="16945" spans="1:4" x14ac:dyDescent="0.25">
      <c r="A16945" s="31"/>
      <c r="D16945" s="30"/>
    </row>
    <row r="16946" spans="1:4" x14ac:dyDescent="0.25">
      <c r="A16946" s="31"/>
      <c r="D16946" s="30"/>
    </row>
    <row r="16947" spans="1:4" x14ac:dyDescent="0.25">
      <c r="A16947" s="31"/>
      <c r="D16947" s="30"/>
    </row>
    <row r="16948" spans="1:4" x14ac:dyDescent="0.25">
      <c r="A16948" s="31"/>
      <c r="D16948" s="30"/>
    </row>
    <row r="16949" spans="1:4" x14ac:dyDescent="0.25">
      <c r="A16949" s="31"/>
      <c r="D16949" s="30"/>
    </row>
    <row r="16950" spans="1:4" x14ac:dyDescent="0.25">
      <c r="A16950" s="31"/>
      <c r="D16950" s="30"/>
    </row>
    <row r="16951" spans="1:4" x14ac:dyDescent="0.25">
      <c r="A16951" s="31"/>
      <c r="D16951" s="30"/>
    </row>
    <row r="16952" spans="1:4" x14ac:dyDescent="0.25">
      <c r="A16952" s="31"/>
      <c r="D16952" s="30"/>
    </row>
    <row r="16953" spans="1:4" x14ac:dyDescent="0.25">
      <c r="A16953" s="31"/>
      <c r="D16953" s="30"/>
    </row>
    <row r="16954" spans="1:4" x14ac:dyDescent="0.25">
      <c r="A16954" s="31"/>
      <c r="D16954" s="30"/>
    </row>
    <row r="16955" spans="1:4" x14ac:dyDescent="0.25">
      <c r="A16955" s="31"/>
      <c r="D16955" s="30"/>
    </row>
    <row r="16956" spans="1:4" x14ac:dyDescent="0.25">
      <c r="A16956" s="31"/>
      <c r="D16956" s="30"/>
    </row>
    <row r="16957" spans="1:4" x14ac:dyDescent="0.25">
      <c r="A16957" s="31"/>
      <c r="D16957" s="30"/>
    </row>
    <row r="16958" spans="1:4" x14ac:dyDescent="0.25">
      <c r="A16958" s="31"/>
      <c r="D16958" s="30"/>
    </row>
    <row r="16959" spans="1:4" x14ac:dyDescent="0.25">
      <c r="A16959" s="31"/>
      <c r="D16959" s="30"/>
    </row>
    <row r="16960" spans="1:4" x14ac:dyDescent="0.25">
      <c r="A16960" s="31"/>
      <c r="D16960" s="30"/>
    </row>
    <row r="16961" spans="1:4" x14ac:dyDescent="0.25">
      <c r="A16961" s="31"/>
      <c r="D16961" s="30"/>
    </row>
    <row r="16962" spans="1:4" x14ac:dyDescent="0.25">
      <c r="A16962" s="31"/>
      <c r="D16962" s="30"/>
    </row>
    <row r="16963" spans="1:4" x14ac:dyDescent="0.25">
      <c r="A16963" s="31"/>
      <c r="D16963" s="30"/>
    </row>
    <row r="16964" spans="1:4" x14ac:dyDescent="0.25">
      <c r="A16964" s="31"/>
      <c r="D16964" s="30"/>
    </row>
    <row r="16965" spans="1:4" x14ac:dyDescent="0.25">
      <c r="A16965" s="31"/>
      <c r="D16965" s="30"/>
    </row>
    <row r="16966" spans="1:4" x14ac:dyDescent="0.25">
      <c r="A16966" s="31"/>
      <c r="D16966" s="30"/>
    </row>
    <row r="16967" spans="1:4" x14ac:dyDescent="0.25">
      <c r="A16967" s="31"/>
      <c r="D16967" s="30"/>
    </row>
    <row r="16968" spans="1:4" x14ac:dyDescent="0.25">
      <c r="A16968" s="31"/>
      <c r="D16968" s="30"/>
    </row>
    <row r="16969" spans="1:4" x14ac:dyDescent="0.25">
      <c r="A16969" s="31"/>
      <c r="D16969" s="30"/>
    </row>
    <row r="16970" spans="1:4" x14ac:dyDescent="0.25">
      <c r="A16970" s="31"/>
      <c r="D16970" s="30"/>
    </row>
    <row r="16971" spans="1:4" x14ac:dyDescent="0.25">
      <c r="A16971" s="31"/>
      <c r="D16971" s="30"/>
    </row>
    <row r="16972" spans="1:4" x14ac:dyDescent="0.25">
      <c r="A16972" s="31"/>
      <c r="D16972" s="30"/>
    </row>
    <row r="16973" spans="1:4" x14ac:dyDescent="0.25">
      <c r="A16973" s="31"/>
      <c r="D16973" s="30"/>
    </row>
    <row r="16974" spans="1:4" x14ac:dyDescent="0.25">
      <c r="A16974" s="31"/>
      <c r="D16974" s="30"/>
    </row>
    <row r="16975" spans="1:4" x14ac:dyDescent="0.25">
      <c r="A16975" s="31"/>
      <c r="D16975" s="30"/>
    </row>
    <row r="16976" spans="1:4" x14ac:dyDescent="0.25">
      <c r="A16976" s="31"/>
      <c r="D16976" s="30"/>
    </row>
    <row r="16977" spans="1:4" x14ac:dyDescent="0.25">
      <c r="A16977" s="31"/>
      <c r="D16977" s="30"/>
    </row>
    <row r="16978" spans="1:4" x14ac:dyDescent="0.25">
      <c r="A16978" s="31"/>
      <c r="D16978" s="30"/>
    </row>
    <row r="16979" spans="1:4" x14ac:dyDescent="0.25">
      <c r="A16979" s="31"/>
      <c r="D16979" s="30"/>
    </row>
    <row r="16980" spans="1:4" x14ac:dyDescent="0.25">
      <c r="A16980" s="31"/>
      <c r="D16980" s="30"/>
    </row>
    <row r="16981" spans="1:4" x14ac:dyDescent="0.25">
      <c r="A16981" s="31"/>
      <c r="D16981" s="30"/>
    </row>
    <row r="16982" spans="1:4" x14ac:dyDescent="0.25">
      <c r="A16982" s="31"/>
      <c r="D16982" s="30"/>
    </row>
    <row r="16983" spans="1:4" x14ac:dyDescent="0.25">
      <c r="A16983" s="31"/>
      <c r="D16983" s="30"/>
    </row>
    <row r="16984" spans="1:4" x14ac:dyDescent="0.25">
      <c r="A16984" s="31"/>
      <c r="D16984" s="30"/>
    </row>
    <row r="16985" spans="1:4" x14ac:dyDescent="0.25">
      <c r="A16985" s="31"/>
      <c r="D16985" s="30"/>
    </row>
    <row r="16986" spans="1:4" x14ac:dyDescent="0.25">
      <c r="A16986" s="31"/>
      <c r="D16986" s="30"/>
    </row>
    <row r="16987" spans="1:4" x14ac:dyDescent="0.25">
      <c r="A16987" s="31"/>
      <c r="D16987" s="30"/>
    </row>
    <row r="16988" spans="1:4" x14ac:dyDescent="0.25">
      <c r="A16988" s="31"/>
      <c r="D16988" s="30"/>
    </row>
    <row r="16989" spans="1:4" x14ac:dyDescent="0.25">
      <c r="A16989" s="31"/>
      <c r="D16989" s="30"/>
    </row>
    <row r="16990" spans="1:4" x14ac:dyDescent="0.25">
      <c r="A16990" s="31"/>
      <c r="D16990" s="30"/>
    </row>
    <row r="16991" spans="1:4" x14ac:dyDescent="0.25">
      <c r="A16991" s="31"/>
      <c r="D16991" s="30"/>
    </row>
    <row r="16992" spans="1:4" x14ac:dyDescent="0.25">
      <c r="A16992" s="31"/>
      <c r="D16992" s="30"/>
    </row>
    <row r="16993" spans="1:4" x14ac:dyDescent="0.25">
      <c r="A16993" s="31"/>
      <c r="D16993" s="30"/>
    </row>
    <row r="16994" spans="1:4" x14ac:dyDescent="0.25">
      <c r="A16994" s="31"/>
      <c r="D16994" s="30"/>
    </row>
    <row r="16995" spans="1:4" x14ac:dyDescent="0.25">
      <c r="A16995" s="31"/>
      <c r="D16995" s="30"/>
    </row>
    <row r="16996" spans="1:4" x14ac:dyDescent="0.25">
      <c r="A16996" s="31"/>
      <c r="D16996" s="30"/>
    </row>
    <row r="16997" spans="1:4" x14ac:dyDescent="0.25">
      <c r="A16997" s="31"/>
      <c r="D16997" s="30"/>
    </row>
    <row r="16998" spans="1:4" x14ac:dyDescent="0.25">
      <c r="A16998" s="31"/>
      <c r="D16998" s="30"/>
    </row>
    <row r="16999" spans="1:4" x14ac:dyDescent="0.25">
      <c r="A16999" s="31"/>
      <c r="D16999" s="30"/>
    </row>
    <row r="17000" spans="1:4" x14ac:dyDescent="0.25">
      <c r="A17000" s="31"/>
      <c r="D17000" s="30"/>
    </row>
    <row r="17001" spans="1:4" x14ac:dyDescent="0.25">
      <c r="A17001" s="31"/>
      <c r="D17001" s="30"/>
    </row>
    <row r="17002" spans="1:4" x14ac:dyDescent="0.25">
      <c r="A17002" s="31"/>
      <c r="D17002" s="30"/>
    </row>
    <row r="17003" spans="1:4" x14ac:dyDescent="0.25">
      <c r="A17003" s="31"/>
      <c r="D17003" s="30"/>
    </row>
    <row r="17004" spans="1:4" x14ac:dyDescent="0.25">
      <c r="A17004" s="31"/>
      <c r="D17004" s="30"/>
    </row>
    <row r="17005" spans="1:4" x14ac:dyDescent="0.25">
      <c r="A17005" s="31"/>
      <c r="D17005" s="30"/>
    </row>
    <row r="17006" spans="1:4" x14ac:dyDescent="0.25">
      <c r="A17006" s="31"/>
      <c r="D17006" s="30"/>
    </row>
    <row r="17007" spans="1:4" x14ac:dyDescent="0.25">
      <c r="A17007" s="31"/>
      <c r="D17007" s="30"/>
    </row>
    <row r="17008" spans="1:4" x14ac:dyDescent="0.25">
      <c r="A17008" s="31"/>
      <c r="D17008" s="30"/>
    </row>
    <row r="17009" spans="1:4" x14ac:dyDescent="0.25">
      <c r="A17009" s="31"/>
      <c r="D17009" s="30"/>
    </row>
    <row r="17010" spans="1:4" x14ac:dyDescent="0.25">
      <c r="A17010" s="31"/>
      <c r="D17010" s="30"/>
    </row>
    <row r="17011" spans="1:4" x14ac:dyDescent="0.25">
      <c r="A17011" s="31"/>
      <c r="D17011" s="30"/>
    </row>
    <row r="17012" spans="1:4" x14ac:dyDescent="0.25">
      <c r="A17012" s="31"/>
      <c r="D17012" s="30"/>
    </row>
    <row r="17013" spans="1:4" x14ac:dyDescent="0.25">
      <c r="A17013" s="31"/>
      <c r="D17013" s="30"/>
    </row>
    <row r="17014" spans="1:4" x14ac:dyDescent="0.25">
      <c r="A17014" s="31"/>
      <c r="D17014" s="30"/>
    </row>
    <row r="17015" spans="1:4" x14ac:dyDescent="0.25">
      <c r="A17015" s="31"/>
      <c r="D17015" s="30"/>
    </row>
    <row r="17016" spans="1:4" x14ac:dyDescent="0.25">
      <c r="A17016" s="31"/>
      <c r="D17016" s="30"/>
    </row>
    <row r="17017" spans="1:4" x14ac:dyDescent="0.25">
      <c r="A17017" s="31"/>
      <c r="D17017" s="30"/>
    </row>
    <row r="17018" spans="1:4" x14ac:dyDescent="0.25">
      <c r="A17018" s="31"/>
      <c r="D17018" s="30"/>
    </row>
    <row r="17019" spans="1:4" x14ac:dyDescent="0.25">
      <c r="A17019" s="31"/>
      <c r="D17019" s="30"/>
    </row>
    <row r="17020" spans="1:4" x14ac:dyDescent="0.25">
      <c r="A17020" s="31"/>
      <c r="D17020" s="30"/>
    </row>
    <row r="17021" spans="1:4" x14ac:dyDescent="0.25">
      <c r="A17021" s="31"/>
      <c r="D17021" s="30"/>
    </row>
    <row r="17022" spans="1:4" x14ac:dyDescent="0.25">
      <c r="A17022" s="31"/>
      <c r="D17022" s="30"/>
    </row>
    <row r="17023" spans="1:4" x14ac:dyDescent="0.25">
      <c r="A17023" s="31"/>
      <c r="D17023" s="30"/>
    </row>
    <row r="17024" spans="1:4" x14ac:dyDescent="0.25">
      <c r="A17024" s="31"/>
      <c r="D17024" s="30"/>
    </row>
    <row r="17025" spans="1:4" x14ac:dyDescent="0.25">
      <c r="A17025" s="31"/>
      <c r="D17025" s="30"/>
    </row>
    <row r="17026" spans="1:4" x14ac:dyDescent="0.25">
      <c r="A17026" s="31"/>
      <c r="D17026" s="30"/>
    </row>
    <row r="17027" spans="1:4" x14ac:dyDescent="0.25">
      <c r="A17027" s="31"/>
      <c r="D17027" s="30"/>
    </row>
    <row r="17028" spans="1:4" x14ac:dyDescent="0.25">
      <c r="A17028" s="31"/>
      <c r="D17028" s="30"/>
    </row>
    <row r="17029" spans="1:4" x14ac:dyDescent="0.25">
      <c r="A17029" s="31"/>
      <c r="D17029" s="30"/>
    </row>
    <row r="17030" spans="1:4" x14ac:dyDescent="0.25">
      <c r="A17030" s="31"/>
      <c r="D17030" s="30"/>
    </row>
    <row r="17031" spans="1:4" x14ac:dyDescent="0.25">
      <c r="A17031" s="31"/>
      <c r="D17031" s="30"/>
    </row>
    <row r="17032" spans="1:4" x14ac:dyDescent="0.25">
      <c r="A17032" s="31"/>
      <c r="D17032" s="30"/>
    </row>
    <row r="17033" spans="1:4" x14ac:dyDescent="0.25">
      <c r="A17033" s="31"/>
      <c r="D17033" s="30"/>
    </row>
    <row r="17034" spans="1:4" x14ac:dyDescent="0.25">
      <c r="A17034" s="31"/>
      <c r="D17034" s="30"/>
    </row>
    <row r="17035" spans="1:4" x14ac:dyDescent="0.25">
      <c r="A17035" s="31"/>
      <c r="D17035" s="30"/>
    </row>
    <row r="17036" spans="1:4" x14ac:dyDescent="0.25">
      <c r="A17036" s="31"/>
      <c r="D17036" s="30"/>
    </row>
    <row r="17037" spans="1:4" x14ac:dyDescent="0.25">
      <c r="A17037" s="31"/>
      <c r="D17037" s="30"/>
    </row>
    <row r="17038" spans="1:4" x14ac:dyDescent="0.25">
      <c r="A17038" s="31"/>
      <c r="D17038" s="30"/>
    </row>
    <row r="17039" spans="1:4" x14ac:dyDescent="0.25">
      <c r="A17039" s="31"/>
      <c r="D17039" s="30"/>
    </row>
    <row r="17040" spans="1:4" x14ac:dyDescent="0.25">
      <c r="A17040" s="31"/>
      <c r="D17040" s="30"/>
    </row>
    <row r="17041" spans="1:4" x14ac:dyDescent="0.25">
      <c r="A17041" s="31"/>
      <c r="D17041" s="30"/>
    </row>
    <row r="17042" spans="1:4" x14ac:dyDescent="0.25">
      <c r="A17042" s="31"/>
      <c r="D17042" s="30"/>
    </row>
    <row r="17043" spans="1:4" x14ac:dyDescent="0.25">
      <c r="A17043" s="31"/>
      <c r="D17043" s="30"/>
    </row>
    <row r="17044" spans="1:4" x14ac:dyDescent="0.25">
      <c r="A17044" s="31"/>
      <c r="D17044" s="30"/>
    </row>
    <row r="17045" spans="1:4" x14ac:dyDescent="0.25">
      <c r="A17045" s="31"/>
      <c r="D17045" s="30"/>
    </row>
    <row r="17046" spans="1:4" x14ac:dyDescent="0.25">
      <c r="A17046" s="31"/>
      <c r="D17046" s="30"/>
    </row>
    <row r="17047" spans="1:4" x14ac:dyDescent="0.25">
      <c r="A17047" s="31"/>
      <c r="D17047" s="30"/>
    </row>
    <row r="17048" spans="1:4" x14ac:dyDescent="0.25">
      <c r="A17048" s="31"/>
      <c r="D17048" s="30"/>
    </row>
    <row r="17049" spans="1:4" x14ac:dyDescent="0.25">
      <c r="A17049" s="31"/>
      <c r="D17049" s="30"/>
    </row>
    <row r="17050" spans="1:4" x14ac:dyDescent="0.25">
      <c r="A17050" s="31"/>
      <c r="D17050" s="30"/>
    </row>
    <row r="17051" spans="1:4" x14ac:dyDescent="0.25">
      <c r="A17051" s="31"/>
      <c r="D17051" s="30"/>
    </row>
    <row r="17052" spans="1:4" x14ac:dyDescent="0.25">
      <c r="A17052" s="31"/>
      <c r="D17052" s="30"/>
    </row>
    <row r="17053" spans="1:4" x14ac:dyDescent="0.25">
      <c r="A17053" s="31"/>
      <c r="D17053" s="30"/>
    </row>
    <row r="17054" spans="1:4" x14ac:dyDescent="0.25">
      <c r="A17054" s="31"/>
      <c r="D17054" s="30"/>
    </row>
    <row r="17055" spans="1:4" x14ac:dyDescent="0.25">
      <c r="A17055" s="31"/>
      <c r="D17055" s="30"/>
    </row>
    <row r="17056" spans="1:4" x14ac:dyDescent="0.25">
      <c r="A17056" s="31"/>
      <c r="D17056" s="30"/>
    </row>
    <row r="17057" spans="1:4" x14ac:dyDescent="0.25">
      <c r="A17057" s="31"/>
      <c r="D17057" s="30"/>
    </row>
    <row r="17058" spans="1:4" x14ac:dyDescent="0.25">
      <c r="A17058" s="31"/>
      <c r="D17058" s="30"/>
    </row>
    <row r="17059" spans="1:4" x14ac:dyDescent="0.25">
      <c r="A17059" s="31"/>
      <c r="D17059" s="30"/>
    </row>
    <row r="17060" spans="1:4" x14ac:dyDescent="0.25">
      <c r="A17060" s="31"/>
      <c r="D17060" s="30"/>
    </row>
    <row r="17061" spans="1:4" x14ac:dyDescent="0.25">
      <c r="A17061" s="31"/>
      <c r="D17061" s="30"/>
    </row>
    <row r="17062" spans="1:4" x14ac:dyDescent="0.25">
      <c r="A17062" s="31"/>
      <c r="D17062" s="30"/>
    </row>
    <row r="17063" spans="1:4" x14ac:dyDescent="0.25">
      <c r="A17063" s="31"/>
      <c r="D17063" s="30"/>
    </row>
    <row r="17064" spans="1:4" x14ac:dyDescent="0.25">
      <c r="A17064" s="31"/>
      <c r="D17064" s="30"/>
    </row>
    <row r="17065" spans="1:4" x14ac:dyDescent="0.25">
      <c r="A17065" s="31"/>
      <c r="D17065" s="30"/>
    </row>
    <row r="17066" spans="1:4" x14ac:dyDescent="0.25">
      <c r="A17066" s="31"/>
      <c r="D17066" s="30"/>
    </row>
    <row r="17067" spans="1:4" x14ac:dyDescent="0.25">
      <c r="A17067" s="31"/>
      <c r="D17067" s="30"/>
    </row>
    <row r="17068" spans="1:4" x14ac:dyDescent="0.25">
      <c r="A17068" s="31"/>
      <c r="D17068" s="30"/>
    </row>
    <row r="17069" spans="1:4" x14ac:dyDescent="0.25">
      <c r="A17069" s="31"/>
      <c r="D17069" s="30"/>
    </row>
    <row r="17070" spans="1:4" x14ac:dyDescent="0.25">
      <c r="A17070" s="31"/>
      <c r="D17070" s="30"/>
    </row>
    <row r="17071" spans="1:4" x14ac:dyDescent="0.25">
      <c r="A17071" s="31"/>
      <c r="D17071" s="30"/>
    </row>
    <row r="17072" spans="1:4" x14ac:dyDescent="0.25">
      <c r="A17072" s="31"/>
      <c r="D17072" s="30"/>
    </row>
    <row r="17073" spans="1:4" x14ac:dyDescent="0.25">
      <c r="A17073" s="31"/>
      <c r="D17073" s="30"/>
    </row>
    <row r="17074" spans="1:4" x14ac:dyDescent="0.25">
      <c r="A17074" s="31"/>
      <c r="D17074" s="30"/>
    </row>
    <row r="17075" spans="1:4" x14ac:dyDescent="0.25">
      <c r="A17075" s="31"/>
      <c r="D17075" s="30"/>
    </row>
    <row r="17076" spans="1:4" x14ac:dyDescent="0.25">
      <c r="A17076" s="31"/>
      <c r="D17076" s="30"/>
    </row>
    <row r="17077" spans="1:4" x14ac:dyDescent="0.25">
      <c r="A17077" s="31"/>
      <c r="D17077" s="30"/>
    </row>
    <row r="17078" spans="1:4" x14ac:dyDescent="0.25">
      <c r="A17078" s="31"/>
      <c r="D17078" s="30"/>
    </row>
    <row r="17079" spans="1:4" x14ac:dyDescent="0.25">
      <c r="A17079" s="31"/>
      <c r="D17079" s="30"/>
    </row>
    <row r="17080" spans="1:4" x14ac:dyDescent="0.25">
      <c r="A17080" s="31"/>
      <c r="D17080" s="30"/>
    </row>
    <row r="17081" spans="1:4" x14ac:dyDescent="0.25">
      <c r="A17081" s="31"/>
      <c r="D17081" s="30"/>
    </row>
    <row r="17082" spans="1:4" x14ac:dyDescent="0.25">
      <c r="A17082" s="31"/>
      <c r="D17082" s="30"/>
    </row>
    <row r="17083" spans="1:4" x14ac:dyDescent="0.25">
      <c r="A17083" s="31"/>
      <c r="D17083" s="30"/>
    </row>
    <row r="17084" spans="1:4" x14ac:dyDescent="0.25">
      <c r="A17084" s="31"/>
      <c r="D17084" s="30"/>
    </row>
    <row r="17085" spans="1:4" x14ac:dyDescent="0.25">
      <c r="A17085" s="31"/>
      <c r="D17085" s="30"/>
    </row>
    <row r="17086" spans="1:4" x14ac:dyDescent="0.25">
      <c r="A17086" s="31"/>
      <c r="D17086" s="30"/>
    </row>
    <row r="17087" spans="1:4" x14ac:dyDescent="0.25">
      <c r="A17087" s="31"/>
      <c r="D17087" s="30"/>
    </row>
    <row r="17088" spans="1:4" x14ac:dyDescent="0.25">
      <c r="A17088" s="31"/>
      <c r="D17088" s="30"/>
    </row>
    <row r="17089" spans="1:4" x14ac:dyDescent="0.25">
      <c r="A17089" s="31"/>
      <c r="D17089" s="30"/>
    </row>
    <row r="17090" spans="1:4" x14ac:dyDescent="0.25">
      <c r="A17090" s="31"/>
      <c r="D17090" s="30"/>
    </row>
    <row r="17091" spans="1:4" x14ac:dyDescent="0.25">
      <c r="A17091" s="31"/>
      <c r="D17091" s="30"/>
    </row>
    <row r="17092" spans="1:4" x14ac:dyDescent="0.25">
      <c r="A17092" s="31"/>
      <c r="D17092" s="30"/>
    </row>
    <row r="17093" spans="1:4" x14ac:dyDescent="0.25">
      <c r="A17093" s="31"/>
      <c r="D17093" s="30"/>
    </row>
    <row r="17094" spans="1:4" x14ac:dyDescent="0.25">
      <c r="A17094" s="31"/>
      <c r="D17094" s="30"/>
    </row>
    <row r="17095" spans="1:4" x14ac:dyDescent="0.25">
      <c r="A17095" s="31"/>
      <c r="D17095" s="30"/>
    </row>
    <row r="17096" spans="1:4" x14ac:dyDescent="0.25">
      <c r="A17096" s="31"/>
      <c r="D17096" s="30"/>
    </row>
    <row r="17097" spans="1:4" x14ac:dyDescent="0.25">
      <c r="A17097" s="31"/>
      <c r="D17097" s="30"/>
    </row>
    <row r="17098" spans="1:4" x14ac:dyDescent="0.25">
      <c r="A17098" s="31"/>
      <c r="D17098" s="30"/>
    </row>
    <row r="17099" spans="1:4" x14ac:dyDescent="0.25">
      <c r="A17099" s="31"/>
      <c r="D17099" s="30"/>
    </row>
    <row r="17100" spans="1:4" x14ac:dyDescent="0.25">
      <c r="A17100" s="31"/>
      <c r="D17100" s="30"/>
    </row>
    <row r="17101" spans="1:4" x14ac:dyDescent="0.25">
      <c r="A17101" s="31"/>
      <c r="D17101" s="30"/>
    </row>
    <row r="17102" spans="1:4" x14ac:dyDescent="0.25">
      <c r="A17102" s="31"/>
      <c r="D17102" s="30"/>
    </row>
    <row r="17103" spans="1:4" x14ac:dyDescent="0.25">
      <c r="A17103" s="31"/>
      <c r="D17103" s="30"/>
    </row>
    <row r="17104" spans="1:4" x14ac:dyDescent="0.25">
      <c r="A17104" s="31"/>
      <c r="D17104" s="30"/>
    </row>
    <row r="17105" spans="1:4" x14ac:dyDescent="0.25">
      <c r="A17105" s="31"/>
      <c r="D17105" s="30"/>
    </row>
    <row r="17106" spans="1:4" x14ac:dyDescent="0.25">
      <c r="A17106" s="31"/>
      <c r="D17106" s="30"/>
    </row>
    <row r="17107" spans="1:4" x14ac:dyDescent="0.25">
      <c r="A17107" s="31"/>
      <c r="D17107" s="30"/>
    </row>
    <row r="17108" spans="1:4" x14ac:dyDescent="0.25">
      <c r="A17108" s="31"/>
      <c r="D17108" s="30"/>
    </row>
    <row r="17109" spans="1:4" x14ac:dyDescent="0.25">
      <c r="A17109" s="31"/>
      <c r="D17109" s="30"/>
    </row>
    <row r="17110" spans="1:4" x14ac:dyDescent="0.25">
      <c r="A17110" s="31"/>
      <c r="D17110" s="30"/>
    </row>
    <row r="17111" spans="1:4" x14ac:dyDescent="0.25">
      <c r="A17111" s="31"/>
      <c r="D17111" s="30"/>
    </row>
    <row r="17112" spans="1:4" x14ac:dyDescent="0.25">
      <c r="A17112" s="31"/>
      <c r="D17112" s="30"/>
    </row>
    <row r="17113" spans="1:4" x14ac:dyDescent="0.25">
      <c r="A17113" s="31"/>
      <c r="D17113" s="30"/>
    </row>
    <row r="17114" spans="1:4" x14ac:dyDescent="0.25">
      <c r="A17114" s="31"/>
      <c r="D17114" s="30"/>
    </row>
    <row r="17115" spans="1:4" x14ac:dyDescent="0.25">
      <c r="A17115" s="31"/>
      <c r="D17115" s="30"/>
    </row>
    <row r="17116" spans="1:4" x14ac:dyDescent="0.25">
      <c r="A17116" s="31"/>
      <c r="D17116" s="30"/>
    </row>
    <row r="17117" spans="1:4" x14ac:dyDescent="0.25">
      <c r="A17117" s="31"/>
      <c r="D17117" s="30"/>
    </row>
    <row r="17118" spans="1:4" x14ac:dyDescent="0.25">
      <c r="A17118" s="31"/>
      <c r="D17118" s="30"/>
    </row>
    <row r="17119" spans="1:4" x14ac:dyDescent="0.25">
      <c r="A17119" s="31"/>
      <c r="D17119" s="30"/>
    </row>
    <row r="17120" spans="1:4" x14ac:dyDescent="0.25">
      <c r="A17120" s="31"/>
      <c r="D17120" s="30"/>
    </row>
    <row r="17121" spans="1:4" x14ac:dyDescent="0.25">
      <c r="A17121" s="31"/>
      <c r="D17121" s="30"/>
    </row>
    <row r="17122" spans="1:4" x14ac:dyDescent="0.25">
      <c r="A17122" s="31"/>
      <c r="D17122" s="30"/>
    </row>
    <row r="17123" spans="1:4" x14ac:dyDescent="0.25">
      <c r="A17123" s="31"/>
      <c r="D17123" s="30"/>
    </row>
    <row r="17124" spans="1:4" x14ac:dyDescent="0.25">
      <c r="A17124" s="31"/>
      <c r="D17124" s="30"/>
    </row>
    <row r="17125" spans="1:4" x14ac:dyDescent="0.25">
      <c r="A17125" s="31"/>
      <c r="D17125" s="30"/>
    </row>
    <row r="17126" spans="1:4" x14ac:dyDescent="0.25">
      <c r="A17126" s="31"/>
      <c r="D17126" s="30"/>
    </row>
    <row r="17127" spans="1:4" x14ac:dyDescent="0.25">
      <c r="A17127" s="31"/>
      <c r="D17127" s="30"/>
    </row>
    <row r="17128" spans="1:4" x14ac:dyDescent="0.25">
      <c r="A17128" s="31"/>
      <c r="D17128" s="30"/>
    </row>
    <row r="17129" spans="1:4" x14ac:dyDescent="0.25">
      <c r="A17129" s="31"/>
      <c r="D17129" s="30"/>
    </row>
    <row r="17130" spans="1:4" x14ac:dyDescent="0.25">
      <c r="A17130" s="31"/>
      <c r="D17130" s="30"/>
    </row>
    <row r="17131" spans="1:4" x14ac:dyDescent="0.25">
      <c r="A17131" s="31"/>
      <c r="D17131" s="30"/>
    </row>
    <row r="17132" spans="1:4" x14ac:dyDescent="0.25">
      <c r="A17132" s="31"/>
      <c r="D17132" s="30"/>
    </row>
    <row r="17133" spans="1:4" x14ac:dyDescent="0.25">
      <c r="A17133" s="31"/>
      <c r="D17133" s="30"/>
    </row>
    <row r="17134" spans="1:4" x14ac:dyDescent="0.25">
      <c r="A17134" s="31"/>
      <c r="D17134" s="30"/>
    </row>
    <row r="17135" spans="1:4" x14ac:dyDescent="0.25">
      <c r="A17135" s="31"/>
      <c r="D17135" s="30"/>
    </row>
    <row r="17136" spans="1:4" x14ac:dyDescent="0.25">
      <c r="A17136" s="31"/>
      <c r="D17136" s="30"/>
    </row>
    <row r="17137" spans="1:4" x14ac:dyDescent="0.25">
      <c r="A17137" s="31"/>
      <c r="D17137" s="30"/>
    </row>
    <row r="17138" spans="1:4" x14ac:dyDescent="0.25">
      <c r="A17138" s="31"/>
      <c r="D17138" s="30"/>
    </row>
    <row r="17139" spans="1:4" x14ac:dyDescent="0.25">
      <c r="A17139" s="31"/>
      <c r="D17139" s="30"/>
    </row>
    <row r="17140" spans="1:4" x14ac:dyDescent="0.25">
      <c r="A17140" s="31"/>
      <c r="D17140" s="30"/>
    </row>
    <row r="17141" spans="1:4" x14ac:dyDescent="0.25">
      <c r="A17141" s="31"/>
      <c r="D17141" s="30"/>
    </row>
    <row r="17142" spans="1:4" x14ac:dyDescent="0.25">
      <c r="A17142" s="31"/>
      <c r="D17142" s="30"/>
    </row>
    <row r="17143" spans="1:4" x14ac:dyDescent="0.25">
      <c r="A17143" s="31"/>
      <c r="D17143" s="30"/>
    </row>
    <row r="17144" spans="1:4" x14ac:dyDescent="0.25">
      <c r="A17144" s="31"/>
      <c r="D17144" s="30"/>
    </row>
    <row r="17145" spans="1:4" x14ac:dyDescent="0.25">
      <c r="A17145" s="31"/>
      <c r="D17145" s="30"/>
    </row>
    <row r="17146" spans="1:4" x14ac:dyDescent="0.25">
      <c r="A17146" s="31"/>
      <c r="D17146" s="30"/>
    </row>
    <row r="17147" spans="1:4" x14ac:dyDescent="0.25">
      <c r="A17147" s="31"/>
      <c r="D17147" s="30"/>
    </row>
    <row r="17148" spans="1:4" x14ac:dyDescent="0.25">
      <c r="A17148" s="31"/>
      <c r="D17148" s="30"/>
    </row>
    <row r="17149" spans="1:4" x14ac:dyDescent="0.25">
      <c r="A17149" s="31"/>
      <c r="D17149" s="30"/>
    </row>
    <row r="17150" spans="1:4" x14ac:dyDescent="0.25">
      <c r="A17150" s="31"/>
      <c r="D17150" s="30"/>
    </row>
    <row r="17151" spans="1:4" x14ac:dyDescent="0.25">
      <c r="A17151" s="31"/>
      <c r="D17151" s="30"/>
    </row>
    <row r="17152" spans="1:4" x14ac:dyDescent="0.25">
      <c r="A17152" s="31"/>
      <c r="D17152" s="30"/>
    </row>
    <row r="17153" spans="1:4" x14ac:dyDescent="0.25">
      <c r="A17153" s="31"/>
      <c r="D17153" s="30"/>
    </row>
    <row r="17154" spans="1:4" x14ac:dyDescent="0.25">
      <c r="A17154" s="31"/>
      <c r="D17154" s="30"/>
    </row>
    <row r="17155" spans="1:4" x14ac:dyDescent="0.25">
      <c r="A17155" s="31"/>
      <c r="D17155" s="30"/>
    </row>
    <row r="17156" spans="1:4" x14ac:dyDescent="0.25">
      <c r="A17156" s="31"/>
      <c r="D17156" s="30"/>
    </row>
    <row r="17157" spans="1:4" x14ac:dyDescent="0.25">
      <c r="A17157" s="31"/>
      <c r="D17157" s="30"/>
    </row>
    <row r="17158" spans="1:4" x14ac:dyDescent="0.25">
      <c r="A17158" s="31"/>
      <c r="D17158" s="30"/>
    </row>
    <row r="17159" spans="1:4" x14ac:dyDescent="0.25">
      <c r="A17159" s="31"/>
      <c r="D17159" s="30"/>
    </row>
    <row r="17160" spans="1:4" x14ac:dyDescent="0.25">
      <c r="A17160" s="31"/>
      <c r="D17160" s="30"/>
    </row>
    <row r="17161" spans="1:4" x14ac:dyDescent="0.25">
      <c r="A17161" s="31"/>
      <c r="D17161" s="30"/>
    </row>
    <row r="17162" spans="1:4" x14ac:dyDescent="0.25">
      <c r="A17162" s="31"/>
      <c r="D17162" s="30"/>
    </row>
    <row r="17163" spans="1:4" x14ac:dyDescent="0.25">
      <c r="A17163" s="31"/>
      <c r="D17163" s="30"/>
    </row>
    <row r="17164" spans="1:4" x14ac:dyDescent="0.25">
      <c r="A17164" s="31"/>
      <c r="D17164" s="30"/>
    </row>
    <row r="17165" spans="1:4" x14ac:dyDescent="0.25">
      <c r="A17165" s="31"/>
      <c r="D17165" s="30"/>
    </row>
    <row r="17166" spans="1:4" x14ac:dyDescent="0.25">
      <c r="A17166" s="31"/>
      <c r="D17166" s="30"/>
    </row>
    <row r="17167" spans="1:4" x14ac:dyDescent="0.25">
      <c r="A17167" s="31"/>
      <c r="D17167" s="30"/>
    </row>
    <row r="17168" spans="1:4" x14ac:dyDescent="0.25">
      <c r="A17168" s="31"/>
      <c r="D17168" s="30"/>
    </row>
    <row r="17169" spans="1:4" x14ac:dyDescent="0.25">
      <c r="A17169" s="31"/>
      <c r="D17169" s="30"/>
    </row>
    <row r="17170" spans="1:4" x14ac:dyDescent="0.25">
      <c r="A17170" s="31"/>
      <c r="D17170" s="30"/>
    </row>
    <row r="17171" spans="1:4" x14ac:dyDescent="0.25">
      <c r="A17171" s="31"/>
      <c r="D17171" s="30"/>
    </row>
    <row r="17172" spans="1:4" x14ac:dyDescent="0.25">
      <c r="A17172" s="31"/>
      <c r="D17172" s="30"/>
    </row>
    <row r="17173" spans="1:4" x14ac:dyDescent="0.25">
      <c r="A17173" s="31"/>
      <c r="D17173" s="30"/>
    </row>
    <row r="17174" spans="1:4" x14ac:dyDescent="0.25">
      <c r="A17174" s="31"/>
      <c r="D17174" s="30"/>
    </row>
    <row r="17175" spans="1:4" x14ac:dyDescent="0.25">
      <c r="A17175" s="31"/>
      <c r="D17175" s="30"/>
    </row>
    <row r="17176" spans="1:4" x14ac:dyDescent="0.25">
      <c r="A17176" s="31"/>
      <c r="D17176" s="30"/>
    </row>
    <row r="17177" spans="1:4" x14ac:dyDescent="0.25">
      <c r="A17177" s="31"/>
      <c r="D17177" s="30"/>
    </row>
    <row r="17178" spans="1:4" x14ac:dyDescent="0.25">
      <c r="A17178" s="31"/>
      <c r="D17178" s="30"/>
    </row>
    <row r="17179" spans="1:4" x14ac:dyDescent="0.25">
      <c r="A17179" s="31"/>
      <c r="D17179" s="30"/>
    </row>
    <row r="17180" spans="1:4" x14ac:dyDescent="0.25">
      <c r="A17180" s="31"/>
      <c r="D17180" s="30"/>
    </row>
    <row r="17181" spans="1:4" x14ac:dyDescent="0.25">
      <c r="A17181" s="31"/>
      <c r="D17181" s="30"/>
    </row>
    <row r="17182" spans="1:4" x14ac:dyDescent="0.25">
      <c r="A17182" s="31"/>
      <c r="D17182" s="30"/>
    </row>
    <row r="17183" spans="1:4" x14ac:dyDescent="0.25">
      <c r="A17183" s="31"/>
      <c r="D17183" s="30"/>
    </row>
    <row r="17184" spans="1:4" x14ac:dyDescent="0.25">
      <c r="A17184" s="31"/>
      <c r="D17184" s="30"/>
    </row>
    <row r="17185" spans="1:4" x14ac:dyDescent="0.25">
      <c r="A17185" s="31"/>
      <c r="D17185" s="30"/>
    </row>
    <row r="17186" spans="1:4" x14ac:dyDescent="0.25">
      <c r="A17186" s="31"/>
      <c r="D17186" s="30"/>
    </row>
    <row r="17187" spans="1:4" x14ac:dyDescent="0.25">
      <c r="A17187" s="31"/>
      <c r="D17187" s="30"/>
    </row>
    <row r="17188" spans="1:4" x14ac:dyDescent="0.25">
      <c r="A17188" s="31"/>
      <c r="D17188" s="30"/>
    </row>
    <row r="17189" spans="1:4" x14ac:dyDescent="0.25">
      <c r="A17189" s="31"/>
      <c r="D17189" s="30"/>
    </row>
    <row r="17190" spans="1:4" x14ac:dyDescent="0.25">
      <c r="A17190" s="31"/>
      <c r="D17190" s="30"/>
    </row>
    <row r="17191" spans="1:4" x14ac:dyDescent="0.25">
      <c r="A17191" s="31"/>
      <c r="D17191" s="30"/>
    </row>
    <row r="17192" spans="1:4" x14ac:dyDescent="0.25">
      <c r="A17192" s="31"/>
      <c r="D17192" s="30"/>
    </row>
    <row r="17193" spans="1:4" x14ac:dyDescent="0.25">
      <c r="A17193" s="31"/>
      <c r="D17193" s="30"/>
    </row>
    <row r="17194" spans="1:4" x14ac:dyDescent="0.25">
      <c r="A17194" s="31"/>
      <c r="D17194" s="30"/>
    </row>
    <row r="17195" spans="1:4" x14ac:dyDescent="0.25">
      <c r="A17195" s="31"/>
      <c r="D17195" s="30"/>
    </row>
    <row r="17196" spans="1:4" x14ac:dyDescent="0.25">
      <c r="A17196" s="31"/>
      <c r="D17196" s="30"/>
    </row>
    <row r="17197" spans="1:4" x14ac:dyDescent="0.25">
      <c r="A17197" s="31"/>
      <c r="D17197" s="30"/>
    </row>
    <row r="17198" spans="1:4" x14ac:dyDescent="0.25">
      <c r="A17198" s="31"/>
      <c r="D17198" s="30"/>
    </row>
    <row r="17199" spans="1:4" x14ac:dyDescent="0.25">
      <c r="A17199" s="31"/>
      <c r="D17199" s="30"/>
    </row>
    <row r="17200" spans="1:4" x14ac:dyDescent="0.25">
      <c r="A17200" s="31"/>
      <c r="D17200" s="30"/>
    </row>
    <row r="17201" spans="1:4" x14ac:dyDescent="0.25">
      <c r="A17201" s="31"/>
      <c r="D17201" s="30"/>
    </row>
    <row r="17202" spans="1:4" x14ac:dyDescent="0.25">
      <c r="A17202" s="31"/>
      <c r="D17202" s="30"/>
    </row>
    <row r="17203" spans="1:4" x14ac:dyDescent="0.25">
      <c r="A17203" s="31"/>
      <c r="D17203" s="30"/>
    </row>
    <row r="17204" spans="1:4" x14ac:dyDescent="0.25">
      <c r="A17204" s="31"/>
      <c r="D17204" s="30"/>
    </row>
    <row r="17205" spans="1:4" x14ac:dyDescent="0.25">
      <c r="A17205" s="31"/>
      <c r="D17205" s="30"/>
    </row>
    <row r="17206" spans="1:4" x14ac:dyDescent="0.25">
      <c r="A17206" s="31"/>
      <c r="D17206" s="30"/>
    </row>
    <row r="17207" spans="1:4" x14ac:dyDescent="0.25">
      <c r="A17207" s="31"/>
      <c r="D17207" s="30"/>
    </row>
    <row r="17208" spans="1:4" x14ac:dyDescent="0.25">
      <c r="A17208" s="31"/>
      <c r="D17208" s="30"/>
    </row>
    <row r="17209" spans="1:4" x14ac:dyDescent="0.25">
      <c r="A17209" s="31"/>
      <c r="D17209" s="30"/>
    </row>
    <row r="17210" spans="1:4" x14ac:dyDescent="0.25">
      <c r="A17210" s="31"/>
      <c r="D17210" s="30"/>
    </row>
    <row r="17211" spans="1:4" x14ac:dyDescent="0.25">
      <c r="A17211" s="31"/>
      <c r="D17211" s="30"/>
    </row>
    <row r="17212" spans="1:4" x14ac:dyDescent="0.25">
      <c r="A17212" s="31"/>
      <c r="D17212" s="30"/>
    </row>
    <row r="17213" spans="1:4" x14ac:dyDescent="0.25">
      <c r="A17213" s="31"/>
      <c r="D17213" s="30"/>
    </row>
    <row r="17214" spans="1:4" x14ac:dyDescent="0.25">
      <c r="A17214" s="31"/>
      <c r="D17214" s="30"/>
    </row>
    <row r="17215" spans="1:4" x14ac:dyDescent="0.25">
      <c r="A17215" s="31"/>
      <c r="D17215" s="30"/>
    </row>
    <row r="17216" spans="1:4" x14ac:dyDescent="0.25">
      <c r="A17216" s="31"/>
      <c r="D17216" s="30"/>
    </row>
    <row r="17217" spans="1:4" x14ac:dyDescent="0.25">
      <c r="A17217" s="31"/>
      <c r="D17217" s="30"/>
    </row>
    <row r="17218" spans="1:4" x14ac:dyDescent="0.25">
      <c r="A17218" s="31"/>
      <c r="D17218" s="30"/>
    </row>
    <row r="17219" spans="1:4" x14ac:dyDescent="0.25">
      <c r="A17219" s="31"/>
      <c r="D17219" s="30"/>
    </row>
    <row r="17220" spans="1:4" x14ac:dyDescent="0.25">
      <c r="A17220" s="31"/>
      <c r="D17220" s="30"/>
    </row>
    <row r="17221" spans="1:4" x14ac:dyDescent="0.25">
      <c r="A17221" s="31"/>
      <c r="D17221" s="30"/>
    </row>
    <row r="17222" spans="1:4" x14ac:dyDescent="0.25">
      <c r="A17222" s="31"/>
      <c r="D17222" s="30"/>
    </row>
    <row r="17223" spans="1:4" x14ac:dyDescent="0.25">
      <c r="A17223" s="31"/>
      <c r="D17223" s="30"/>
    </row>
    <row r="17224" spans="1:4" x14ac:dyDescent="0.25">
      <c r="A17224" s="31"/>
      <c r="D17224" s="30"/>
    </row>
    <row r="17225" spans="1:4" x14ac:dyDescent="0.25">
      <c r="A17225" s="31"/>
      <c r="D17225" s="30"/>
    </row>
    <row r="17226" spans="1:4" x14ac:dyDescent="0.25">
      <c r="A17226" s="31"/>
      <c r="D17226" s="30"/>
    </row>
    <row r="17227" spans="1:4" x14ac:dyDescent="0.25">
      <c r="A17227" s="31"/>
      <c r="D17227" s="30"/>
    </row>
    <row r="17228" spans="1:4" x14ac:dyDescent="0.25">
      <c r="A17228" s="31"/>
      <c r="D17228" s="30"/>
    </row>
    <row r="17229" spans="1:4" x14ac:dyDescent="0.25">
      <c r="A17229" s="31"/>
      <c r="D17229" s="30"/>
    </row>
    <row r="17230" spans="1:4" x14ac:dyDescent="0.25">
      <c r="A17230" s="31"/>
      <c r="D17230" s="30"/>
    </row>
    <row r="17231" spans="1:4" x14ac:dyDescent="0.25">
      <c r="A17231" s="31"/>
      <c r="D17231" s="30"/>
    </row>
    <row r="17232" spans="1:4" x14ac:dyDescent="0.25">
      <c r="A17232" s="31"/>
      <c r="D17232" s="30"/>
    </row>
    <row r="17233" spans="1:4" x14ac:dyDescent="0.25">
      <c r="A17233" s="31"/>
      <c r="D17233" s="30"/>
    </row>
    <row r="17234" spans="1:4" x14ac:dyDescent="0.25">
      <c r="A17234" s="31"/>
      <c r="D17234" s="30"/>
    </row>
    <row r="17235" spans="1:4" x14ac:dyDescent="0.25">
      <c r="A17235" s="31"/>
      <c r="D17235" s="30"/>
    </row>
    <row r="17236" spans="1:4" x14ac:dyDescent="0.25">
      <c r="A17236" s="31"/>
      <c r="D17236" s="30"/>
    </row>
    <row r="17237" spans="1:4" x14ac:dyDescent="0.25">
      <c r="A17237" s="31"/>
      <c r="D17237" s="30"/>
    </row>
    <row r="17238" spans="1:4" x14ac:dyDescent="0.25">
      <c r="A17238" s="31"/>
      <c r="D17238" s="30"/>
    </row>
    <row r="17239" spans="1:4" x14ac:dyDescent="0.25">
      <c r="A17239" s="31"/>
      <c r="D17239" s="30"/>
    </row>
    <row r="17240" spans="1:4" x14ac:dyDescent="0.25">
      <c r="A17240" s="31"/>
      <c r="D17240" s="30"/>
    </row>
    <row r="17241" spans="1:4" x14ac:dyDescent="0.25">
      <c r="A17241" s="31"/>
      <c r="D17241" s="30"/>
    </row>
    <row r="17242" spans="1:4" x14ac:dyDescent="0.25">
      <c r="A17242" s="31"/>
      <c r="D17242" s="30"/>
    </row>
    <row r="17243" spans="1:4" x14ac:dyDescent="0.25">
      <c r="A17243" s="31"/>
      <c r="D17243" s="30"/>
    </row>
    <row r="17244" spans="1:4" x14ac:dyDescent="0.25">
      <c r="A17244" s="31"/>
      <c r="D17244" s="30"/>
    </row>
    <row r="17245" spans="1:4" x14ac:dyDescent="0.25">
      <c r="A17245" s="31"/>
      <c r="D17245" s="30"/>
    </row>
    <row r="17246" spans="1:4" x14ac:dyDescent="0.25">
      <c r="A17246" s="31"/>
      <c r="D17246" s="30"/>
    </row>
    <row r="17247" spans="1:4" x14ac:dyDescent="0.25">
      <c r="A17247" s="31"/>
      <c r="D17247" s="30"/>
    </row>
    <row r="17248" spans="1:4" x14ac:dyDescent="0.25">
      <c r="A17248" s="31"/>
      <c r="D17248" s="30"/>
    </row>
    <row r="17249" spans="1:4" x14ac:dyDescent="0.25">
      <c r="A17249" s="31"/>
      <c r="D17249" s="30"/>
    </row>
    <row r="17250" spans="1:4" x14ac:dyDescent="0.25">
      <c r="A17250" s="31"/>
      <c r="D17250" s="30"/>
    </row>
    <row r="17251" spans="1:4" x14ac:dyDescent="0.25">
      <c r="A17251" s="31"/>
      <c r="D17251" s="30"/>
    </row>
    <row r="17252" spans="1:4" x14ac:dyDescent="0.25">
      <c r="A17252" s="31"/>
      <c r="D17252" s="30"/>
    </row>
    <row r="17253" spans="1:4" x14ac:dyDescent="0.25">
      <c r="A17253" s="31"/>
      <c r="D17253" s="30"/>
    </row>
    <row r="17254" spans="1:4" x14ac:dyDescent="0.25">
      <c r="A17254" s="31"/>
      <c r="D17254" s="30"/>
    </row>
    <row r="17255" spans="1:4" x14ac:dyDescent="0.25">
      <c r="A17255" s="31"/>
      <c r="D17255" s="30"/>
    </row>
    <row r="17256" spans="1:4" x14ac:dyDescent="0.25">
      <c r="A17256" s="31"/>
      <c r="D17256" s="30"/>
    </row>
    <row r="17257" spans="1:4" x14ac:dyDescent="0.25">
      <c r="A17257" s="31"/>
      <c r="D17257" s="30"/>
    </row>
    <row r="17258" spans="1:4" x14ac:dyDescent="0.25">
      <c r="A17258" s="31"/>
      <c r="D17258" s="30"/>
    </row>
    <row r="17259" spans="1:4" x14ac:dyDescent="0.25">
      <c r="A17259" s="31"/>
      <c r="D17259" s="30"/>
    </row>
    <row r="17260" spans="1:4" x14ac:dyDescent="0.25">
      <c r="A17260" s="31"/>
      <c r="D17260" s="30"/>
    </row>
    <row r="17261" spans="1:4" x14ac:dyDescent="0.25">
      <c r="A17261" s="31"/>
      <c r="D17261" s="30"/>
    </row>
    <row r="17262" spans="1:4" x14ac:dyDescent="0.25">
      <c r="A17262" s="31"/>
      <c r="D17262" s="30"/>
    </row>
    <row r="17263" spans="1:4" x14ac:dyDescent="0.25">
      <c r="A17263" s="31"/>
      <c r="D17263" s="30"/>
    </row>
    <row r="17264" spans="1:4" x14ac:dyDescent="0.25">
      <c r="A17264" s="31"/>
      <c r="D17264" s="30"/>
    </row>
    <row r="17265" spans="1:4" x14ac:dyDescent="0.25">
      <c r="A17265" s="31"/>
      <c r="D17265" s="30"/>
    </row>
    <row r="17266" spans="1:4" x14ac:dyDescent="0.25">
      <c r="A17266" s="31"/>
      <c r="D17266" s="30"/>
    </row>
    <row r="17267" spans="1:4" x14ac:dyDescent="0.25">
      <c r="A17267" s="31"/>
      <c r="D17267" s="30"/>
    </row>
    <row r="17268" spans="1:4" x14ac:dyDescent="0.25">
      <c r="A17268" s="31"/>
      <c r="D17268" s="30"/>
    </row>
    <row r="17269" spans="1:4" x14ac:dyDescent="0.25">
      <c r="A17269" s="31"/>
      <c r="D17269" s="30"/>
    </row>
    <row r="17270" spans="1:4" x14ac:dyDescent="0.25">
      <c r="A17270" s="31"/>
      <c r="D17270" s="30"/>
    </row>
    <row r="17271" spans="1:4" x14ac:dyDescent="0.25">
      <c r="A17271" s="31"/>
      <c r="D17271" s="30"/>
    </row>
    <row r="17272" spans="1:4" x14ac:dyDescent="0.25">
      <c r="A17272" s="31"/>
      <c r="D17272" s="30"/>
    </row>
    <row r="17273" spans="1:4" x14ac:dyDescent="0.25">
      <c r="A17273" s="31"/>
      <c r="D17273" s="30"/>
    </row>
    <row r="17274" spans="1:4" x14ac:dyDescent="0.25">
      <c r="A17274" s="31"/>
      <c r="D17274" s="30"/>
    </row>
    <row r="17275" spans="1:4" x14ac:dyDescent="0.25">
      <c r="A17275" s="31"/>
      <c r="D17275" s="30"/>
    </row>
    <row r="17276" spans="1:4" x14ac:dyDescent="0.25">
      <c r="A17276" s="31"/>
      <c r="D17276" s="30"/>
    </row>
    <row r="17277" spans="1:4" x14ac:dyDescent="0.25">
      <c r="A17277" s="31"/>
      <c r="D17277" s="30"/>
    </row>
    <row r="17278" spans="1:4" x14ac:dyDescent="0.25">
      <c r="A17278" s="31"/>
      <c r="D17278" s="30"/>
    </row>
    <row r="17279" spans="1:4" x14ac:dyDescent="0.25">
      <c r="A17279" s="31"/>
      <c r="D17279" s="30"/>
    </row>
    <row r="17280" spans="1:4" x14ac:dyDescent="0.25">
      <c r="A17280" s="31"/>
      <c r="D17280" s="30"/>
    </row>
    <row r="17281" spans="1:4" x14ac:dyDescent="0.25">
      <c r="A17281" s="31"/>
      <c r="D17281" s="30"/>
    </row>
    <row r="17282" spans="1:4" x14ac:dyDescent="0.25">
      <c r="A17282" s="31"/>
      <c r="D17282" s="30"/>
    </row>
    <row r="17283" spans="1:4" x14ac:dyDescent="0.25">
      <c r="A17283" s="31"/>
      <c r="D17283" s="30"/>
    </row>
    <row r="17284" spans="1:4" x14ac:dyDescent="0.25">
      <c r="A17284" s="31"/>
      <c r="D17284" s="30"/>
    </row>
    <row r="17285" spans="1:4" x14ac:dyDescent="0.25">
      <c r="A17285" s="31"/>
      <c r="D17285" s="30"/>
    </row>
    <row r="17286" spans="1:4" x14ac:dyDescent="0.25">
      <c r="A17286" s="31"/>
      <c r="D17286" s="30"/>
    </row>
    <row r="17287" spans="1:4" x14ac:dyDescent="0.25">
      <c r="A17287" s="31"/>
      <c r="D17287" s="30"/>
    </row>
    <row r="17288" spans="1:4" x14ac:dyDescent="0.25">
      <c r="A17288" s="31"/>
      <c r="D17288" s="30"/>
    </row>
    <row r="17289" spans="1:4" x14ac:dyDescent="0.25">
      <c r="A17289" s="31"/>
      <c r="D17289" s="30"/>
    </row>
    <row r="17290" spans="1:4" x14ac:dyDescent="0.25">
      <c r="A17290" s="31"/>
      <c r="D17290" s="30"/>
    </row>
    <row r="17291" spans="1:4" x14ac:dyDescent="0.25">
      <c r="A17291" s="31"/>
      <c r="D17291" s="30"/>
    </row>
    <row r="17292" spans="1:4" x14ac:dyDescent="0.25">
      <c r="A17292" s="31"/>
      <c r="D17292" s="30"/>
    </row>
    <row r="17293" spans="1:4" x14ac:dyDescent="0.25">
      <c r="A17293" s="31"/>
      <c r="D17293" s="30"/>
    </row>
    <row r="17294" spans="1:4" x14ac:dyDescent="0.25">
      <c r="A17294" s="31"/>
      <c r="D17294" s="30"/>
    </row>
    <row r="17295" spans="1:4" x14ac:dyDescent="0.25">
      <c r="A17295" s="31"/>
      <c r="D17295" s="30"/>
    </row>
    <row r="17296" spans="1:4" x14ac:dyDescent="0.25">
      <c r="A17296" s="31"/>
      <c r="D17296" s="30"/>
    </row>
    <row r="17297" spans="1:4" x14ac:dyDescent="0.25">
      <c r="A17297" s="31"/>
      <c r="D17297" s="30"/>
    </row>
    <row r="17298" spans="1:4" x14ac:dyDescent="0.25">
      <c r="A17298" s="31"/>
      <c r="D17298" s="30"/>
    </row>
    <row r="17299" spans="1:4" x14ac:dyDescent="0.25">
      <c r="A17299" s="31"/>
      <c r="D17299" s="30"/>
    </row>
    <row r="17300" spans="1:4" x14ac:dyDescent="0.25">
      <c r="A17300" s="31"/>
      <c r="D17300" s="30"/>
    </row>
    <row r="17301" spans="1:4" x14ac:dyDescent="0.25">
      <c r="A17301" s="31"/>
      <c r="D17301" s="30"/>
    </row>
    <row r="17302" spans="1:4" x14ac:dyDescent="0.25">
      <c r="A17302" s="31"/>
      <c r="D17302" s="30"/>
    </row>
    <row r="17303" spans="1:4" x14ac:dyDescent="0.25">
      <c r="A17303" s="31"/>
      <c r="D17303" s="30"/>
    </row>
    <row r="17304" spans="1:4" x14ac:dyDescent="0.25">
      <c r="A17304" s="31"/>
      <c r="D17304" s="30"/>
    </row>
    <row r="17305" spans="1:4" x14ac:dyDescent="0.25">
      <c r="A17305" s="31"/>
      <c r="D17305" s="30"/>
    </row>
    <row r="17306" spans="1:4" x14ac:dyDescent="0.25">
      <c r="A17306" s="31"/>
      <c r="D17306" s="30"/>
    </row>
    <row r="17307" spans="1:4" x14ac:dyDescent="0.25">
      <c r="A17307" s="31"/>
      <c r="D17307" s="30"/>
    </row>
    <row r="17308" spans="1:4" x14ac:dyDescent="0.25">
      <c r="A17308" s="31"/>
      <c r="D17308" s="30"/>
    </row>
    <row r="17309" spans="1:4" x14ac:dyDescent="0.25">
      <c r="A17309" s="31"/>
      <c r="D17309" s="30"/>
    </row>
    <row r="17310" spans="1:4" x14ac:dyDescent="0.25">
      <c r="A17310" s="31"/>
      <c r="D17310" s="30"/>
    </row>
    <row r="17311" spans="1:4" x14ac:dyDescent="0.25">
      <c r="A17311" s="31"/>
      <c r="D17311" s="30"/>
    </row>
    <row r="17312" spans="1:4" x14ac:dyDescent="0.25">
      <c r="A17312" s="31"/>
      <c r="D17312" s="30"/>
    </row>
    <row r="17313" spans="1:4" x14ac:dyDescent="0.25">
      <c r="A17313" s="31"/>
      <c r="D17313" s="30"/>
    </row>
    <row r="17314" spans="1:4" x14ac:dyDescent="0.25">
      <c r="A17314" s="31"/>
      <c r="D17314" s="30"/>
    </row>
    <row r="17315" spans="1:4" x14ac:dyDescent="0.25">
      <c r="A17315" s="31"/>
      <c r="D17315" s="30"/>
    </row>
    <row r="17316" spans="1:4" x14ac:dyDescent="0.25">
      <c r="A17316" s="31"/>
      <c r="D17316" s="30"/>
    </row>
    <row r="17317" spans="1:4" x14ac:dyDescent="0.25">
      <c r="A17317" s="31"/>
      <c r="D17317" s="30"/>
    </row>
    <row r="17318" spans="1:4" x14ac:dyDescent="0.25">
      <c r="A17318" s="31"/>
      <c r="D17318" s="30"/>
    </row>
    <row r="17319" spans="1:4" x14ac:dyDescent="0.25">
      <c r="A17319" s="31"/>
      <c r="D17319" s="30"/>
    </row>
    <row r="17320" spans="1:4" x14ac:dyDescent="0.25">
      <c r="A17320" s="31"/>
      <c r="D17320" s="30"/>
    </row>
    <row r="17321" spans="1:4" x14ac:dyDescent="0.25">
      <c r="A17321" s="31"/>
      <c r="D17321" s="30"/>
    </row>
    <row r="17322" spans="1:4" x14ac:dyDescent="0.25">
      <c r="A17322" s="31"/>
      <c r="D17322" s="30"/>
    </row>
    <row r="17323" spans="1:4" x14ac:dyDescent="0.25">
      <c r="A17323" s="31"/>
      <c r="D17323" s="30"/>
    </row>
    <row r="17324" spans="1:4" x14ac:dyDescent="0.25">
      <c r="A17324" s="31"/>
      <c r="D17324" s="30"/>
    </row>
    <row r="17325" spans="1:4" x14ac:dyDescent="0.25">
      <c r="A17325" s="31"/>
      <c r="D17325" s="30"/>
    </row>
    <row r="17326" spans="1:4" x14ac:dyDescent="0.25">
      <c r="A17326" s="31"/>
      <c r="D17326" s="30"/>
    </row>
    <row r="17327" spans="1:4" x14ac:dyDescent="0.25">
      <c r="A17327" s="31"/>
      <c r="D17327" s="30"/>
    </row>
    <row r="17328" spans="1:4" x14ac:dyDescent="0.25">
      <c r="A17328" s="31"/>
      <c r="D17328" s="30"/>
    </row>
    <row r="17329" spans="1:4" x14ac:dyDescent="0.25">
      <c r="A17329" s="31"/>
      <c r="D17329" s="30"/>
    </row>
    <row r="17330" spans="1:4" x14ac:dyDescent="0.25">
      <c r="A17330" s="31"/>
      <c r="D17330" s="30"/>
    </row>
    <row r="17331" spans="1:4" x14ac:dyDescent="0.25">
      <c r="A17331" s="31"/>
      <c r="D17331" s="30"/>
    </row>
    <row r="17332" spans="1:4" x14ac:dyDescent="0.25">
      <c r="A17332" s="31"/>
      <c r="D17332" s="30"/>
    </row>
    <row r="17333" spans="1:4" x14ac:dyDescent="0.25">
      <c r="A17333" s="31"/>
      <c r="D17333" s="30"/>
    </row>
    <row r="17334" spans="1:4" x14ac:dyDescent="0.25">
      <c r="A17334" s="31"/>
      <c r="D17334" s="30"/>
    </row>
    <row r="17335" spans="1:4" x14ac:dyDescent="0.25">
      <c r="A17335" s="31"/>
      <c r="D17335" s="30"/>
    </row>
    <row r="17336" spans="1:4" x14ac:dyDescent="0.25">
      <c r="A17336" s="31"/>
      <c r="D17336" s="30"/>
    </row>
    <row r="17337" spans="1:4" x14ac:dyDescent="0.25">
      <c r="A17337" s="31"/>
      <c r="D17337" s="30"/>
    </row>
    <row r="17338" spans="1:4" x14ac:dyDescent="0.25">
      <c r="A17338" s="31"/>
      <c r="D17338" s="30"/>
    </row>
    <row r="17339" spans="1:4" x14ac:dyDescent="0.25">
      <c r="A17339" s="31"/>
      <c r="D17339" s="30"/>
    </row>
    <row r="17340" spans="1:4" x14ac:dyDescent="0.25">
      <c r="A17340" s="31"/>
      <c r="D17340" s="30"/>
    </row>
    <row r="17341" spans="1:4" x14ac:dyDescent="0.25">
      <c r="A17341" s="31"/>
      <c r="D17341" s="30"/>
    </row>
    <row r="17342" spans="1:4" x14ac:dyDescent="0.25">
      <c r="A17342" s="31"/>
      <c r="D17342" s="30"/>
    </row>
    <row r="17343" spans="1:4" x14ac:dyDescent="0.25">
      <c r="A17343" s="31"/>
      <c r="D17343" s="30"/>
    </row>
    <row r="17344" spans="1:4" x14ac:dyDescent="0.25">
      <c r="A17344" s="31"/>
      <c r="D17344" s="30"/>
    </row>
    <row r="17345" spans="1:4" x14ac:dyDescent="0.25">
      <c r="A17345" s="31"/>
      <c r="D17345" s="30"/>
    </row>
    <row r="17346" spans="1:4" x14ac:dyDescent="0.25">
      <c r="A17346" s="31"/>
      <c r="D17346" s="30"/>
    </row>
    <row r="17347" spans="1:4" x14ac:dyDescent="0.25">
      <c r="A17347" s="31"/>
      <c r="D17347" s="30"/>
    </row>
    <row r="17348" spans="1:4" x14ac:dyDescent="0.25">
      <c r="A17348" s="31"/>
      <c r="D17348" s="30"/>
    </row>
    <row r="17349" spans="1:4" x14ac:dyDescent="0.25">
      <c r="A17349" s="31"/>
      <c r="D17349" s="30"/>
    </row>
    <row r="17350" spans="1:4" x14ac:dyDescent="0.25">
      <c r="A17350" s="31"/>
      <c r="D17350" s="30"/>
    </row>
    <row r="17351" spans="1:4" x14ac:dyDescent="0.25">
      <c r="A17351" s="31"/>
      <c r="D17351" s="30"/>
    </row>
    <row r="17352" spans="1:4" x14ac:dyDescent="0.25">
      <c r="A17352" s="31"/>
      <c r="D17352" s="30"/>
    </row>
    <row r="17353" spans="1:4" x14ac:dyDescent="0.25">
      <c r="A17353" s="31"/>
      <c r="D17353" s="30"/>
    </row>
    <row r="17354" spans="1:4" x14ac:dyDescent="0.25">
      <c r="A17354" s="31"/>
      <c r="D17354" s="30"/>
    </row>
    <row r="17355" spans="1:4" x14ac:dyDescent="0.25">
      <c r="A17355" s="31"/>
      <c r="D17355" s="30"/>
    </row>
    <row r="17356" spans="1:4" x14ac:dyDescent="0.25">
      <c r="A17356" s="31"/>
      <c r="D17356" s="30"/>
    </row>
    <row r="17357" spans="1:4" x14ac:dyDescent="0.25">
      <c r="A17357" s="31"/>
      <c r="D17357" s="30"/>
    </row>
    <row r="17358" spans="1:4" x14ac:dyDescent="0.25">
      <c r="A17358" s="31"/>
      <c r="D17358" s="30"/>
    </row>
    <row r="17359" spans="1:4" x14ac:dyDescent="0.25">
      <c r="A17359" s="31"/>
      <c r="D17359" s="30"/>
    </row>
    <row r="17360" spans="1:4" x14ac:dyDescent="0.25">
      <c r="A17360" s="31"/>
      <c r="D17360" s="30"/>
    </row>
    <row r="17361" spans="1:4" x14ac:dyDescent="0.25">
      <c r="A17361" s="31"/>
      <c r="D17361" s="30"/>
    </row>
    <row r="17362" spans="1:4" x14ac:dyDescent="0.25">
      <c r="A17362" s="31"/>
      <c r="D17362" s="30"/>
    </row>
    <row r="17363" spans="1:4" x14ac:dyDescent="0.25">
      <c r="A17363" s="31"/>
      <c r="D17363" s="30"/>
    </row>
    <row r="17364" spans="1:4" x14ac:dyDescent="0.25">
      <c r="A17364" s="31"/>
      <c r="D17364" s="30"/>
    </row>
    <row r="17365" spans="1:4" x14ac:dyDescent="0.25">
      <c r="A17365" s="31"/>
      <c r="D17365" s="30"/>
    </row>
    <row r="17366" spans="1:4" x14ac:dyDescent="0.25">
      <c r="A17366" s="31"/>
      <c r="D17366" s="30"/>
    </row>
    <row r="17367" spans="1:4" x14ac:dyDescent="0.25">
      <c r="A17367" s="31"/>
      <c r="D17367" s="30"/>
    </row>
    <row r="17368" spans="1:4" x14ac:dyDescent="0.25">
      <c r="A17368" s="31"/>
      <c r="D17368" s="30"/>
    </row>
    <row r="17369" spans="1:4" x14ac:dyDescent="0.25">
      <c r="A17369" s="31"/>
      <c r="D17369" s="30"/>
    </row>
    <row r="17370" spans="1:4" x14ac:dyDescent="0.25">
      <c r="A17370" s="31"/>
      <c r="D17370" s="30"/>
    </row>
    <row r="17371" spans="1:4" x14ac:dyDescent="0.25">
      <c r="A17371" s="31"/>
      <c r="D17371" s="30"/>
    </row>
    <row r="17372" spans="1:4" x14ac:dyDescent="0.25">
      <c r="A17372" s="31"/>
      <c r="D17372" s="30"/>
    </row>
    <row r="17373" spans="1:4" x14ac:dyDescent="0.25">
      <c r="A17373" s="31"/>
      <c r="D17373" s="30"/>
    </row>
    <row r="17374" spans="1:4" x14ac:dyDescent="0.25">
      <c r="A17374" s="31"/>
      <c r="D17374" s="30"/>
    </row>
    <row r="17375" spans="1:4" x14ac:dyDescent="0.25">
      <c r="A17375" s="31"/>
      <c r="D17375" s="30"/>
    </row>
    <row r="17376" spans="1:4" x14ac:dyDescent="0.25">
      <c r="A17376" s="31"/>
      <c r="D17376" s="30"/>
    </row>
    <row r="17377" spans="1:4" x14ac:dyDescent="0.25">
      <c r="A17377" s="31"/>
      <c r="D17377" s="30"/>
    </row>
    <row r="17378" spans="1:4" x14ac:dyDescent="0.25">
      <c r="A17378" s="31"/>
      <c r="D17378" s="30"/>
    </row>
    <row r="17379" spans="1:4" x14ac:dyDescent="0.25">
      <c r="A17379" s="31"/>
      <c r="D17379" s="30"/>
    </row>
    <row r="17380" spans="1:4" x14ac:dyDescent="0.25">
      <c r="A17380" s="31"/>
      <c r="D17380" s="30"/>
    </row>
    <row r="17381" spans="1:4" x14ac:dyDescent="0.25">
      <c r="A17381" s="31"/>
      <c r="D17381" s="30"/>
    </row>
    <row r="17382" spans="1:4" x14ac:dyDescent="0.25">
      <c r="A17382" s="31"/>
      <c r="D17382" s="30"/>
    </row>
    <row r="17383" spans="1:4" x14ac:dyDescent="0.25">
      <c r="A17383" s="31"/>
      <c r="D17383" s="30"/>
    </row>
    <row r="17384" spans="1:4" x14ac:dyDescent="0.25">
      <c r="A17384" s="31"/>
      <c r="D17384" s="30"/>
    </row>
    <row r="17385" spans="1:4" x14ac:dyDescent="0.25">
      <c r="A17385" s="31"/>
      <c r="D17385" s="30"/>
    </row>
    <row r="17386" spans="1:4" x14ac:dyDescent="0.25">
      <c r="A17386" s="31"/>
      <c r="D17386" s="30"/>
    </row>
    <row r="17387" spans="1:4" x14ac:dyDescent="0.25">
      <c r="A17387" s="31"/>
      <c r="D17387" s="30"/>
    </row>
    <row r="17388" spans="1:4" x14ac:dyDescent="0.25">
      <c r="A17388" s="31"/>
      <c r="D17388" s="30"/>
    </row>
    <row r="17389" spans="1:4" x14ac:dyDescent="0.25">
      <c r="A17389" s="31"/>
      <c r="D17389" s="30"/>
    </row>
    <row r="17390" spans="1:4" x14ac:dyDescent="0.25">
      <c r="A17390" s="31"/>
      <c r="D17390" s="30"/>
    </row>
    <row r="17391" spans="1:4" x14ac:dyDescent="0.25">
      <c r="A17391" s="31"/>
      <c r="D17391" s="30"/>
    </row>
    <row r="17392" spans="1:4" x14ac:dyDescent="0.25">
      <c r="A17392" s="31"/>
      <c r="D17392" s="30"/>
    </row>
    <row r="17393" spans="1:4" x14ac:dyDescent="0.25">
      <c r="A17393" s="31"/>
      <c r="D17393" s="30"/>
    </row>
    <row r="17394" spans="1:4" x14ac:dyDescent="0.25">
      <c r="A17394" s="31"/>
      <c r="D17394" s="30"/>
    </row>
    <row r="17395" spans="1:4" x14ac:dyDescent="0.25">
      <c r="A17395" s="31"/>
      <c r="D17395" s="30"/>
    </row>
    <row r="17396" spans="1:4" x14ac:dyDescent="0.25">
      <c r="A17396" s="31"/>
      <c r="D17396" s="30"/>
    </row>
    <row r="17397" spans="1:4" x14ac:dyDescent="0.25">
      <c r="A17397" s="31"/>
      <c r="D17397" s="30"/>
    </row>
    <row r="17398" spans="1:4" x14ac:dyDescent="0.25">
      <c r="A17398" s="31"/>
      <c r="D17398" s="30"/>
    </row>
    <row r="17399" spans="1:4" x14ac:dyDescent="0.25">
      <c r="A17399" s="31"/>
      <c r="D17399" s="30"/>
    </row>
    <row r="17400" spans="1:4" x14ac:dyDescent="0.25">
      <c r="A17400" s="31"/>
      <c r="D17400" s="30"/>
    </row>
    <row r="17401" spans="1:4" x14ac:dyDescent="0.25">
      <c r="A17401" s="31"/>
      <c r="D17401" s="30"/>
    </row>
    <row r="17402" spans="1:4" x14ac:dyDescent="0.25">
      <c r="A17402" s="31"/>
      <c r="D17402" s="30"/>
    </row>
    <row r="17403" spans="1:4" x14ac:dyDescent="0.25">
      <c r="A17403" s="31"/>
      <c r="D17403" s="30"/>
    </row>
    <row r="17404" spans="1:4" x14ac:dyDescent="0.25">
      <c r="A17404" s="31"/>
      <c r="D17404" s="30"/>
    </row>
    <row r="17405" spans="1:4" x14ac:dyDescent="0.25">
      <c r="A17405" s="31"/>
      <c r="D17405" s="30"/>
    </row>
    <row r="17406" spans="1:4" x14ac:dyDescent="0.25">
      <c r="A17406" s="31"/>
      <c r="D17406" s="30"/>
    </row>
    <row r="17407" spans="1:4" x14ac:dyDescent="0.25">
      <c r="A17407" s="31"/>
      <c r="D17407" s="30"/>
    </row>
    <row r="17408" spans="1:4" x14ac:dyDescent="0.25">
      <c r="A17408" s="31"/>
      <c r="D17408" s="30"/>
    </row>
    <row r="17409" spans="1:4" x14ac:dyDescent="0.25">
      <c r="A17409" s="31"/>
      <c r="D17409" s="30"/>
    </row>
    <row r="17410" spans="1:4" x14ac:dyDescent="0.25">
      <c r="A17410" s="31"/>
      <c r="D17410" s="30"/>
    </row>
    <row r="17411" spans="1:4" x14ac:dyDescent="0.25">
      <c r="A17411" s="31"/>
      <c r="D17411" s="30"/>
    </row>
    <row r="17412" spans="1:4" x14ac:dyDescent="0.25">
      <c r="A17412" s="31"/>
      <c r="D17412" s="30"/>
    </row>
    <row r="17413" spans="1:4" x14ac:dyDescent="0.25">
      <c r="A17413" s="31"/>
      <c r="D17413" s="30"/>
    </row>
    <row r="17414" spans="1:4" x14ac:dyDescent="0.25">
      <c r="A17414" s="31"/>
      <c r="D17414" s="30"/>
    </row>
    <row r="17415" spans="1:4" x14ac:dyDescent="0.25">
      <c r="A17415" s="31"/>
      <c r="D17415" s="30"/>
    </row>
    <row r="17416" spans="1:4" x14ac:dyDescent="0.25">
      <c r="A17416" s="31"/>
      <c r="D17416" s="30"/>
    </row>
    <row r="17417" spans="1:4" x14ac:dyDescent="0.25">
      <c r="A17417" s="31"/>
      <c r="D17417" s="30"/>
    </row>
    <row r="17418" spans="1:4" x14ac:dyDescent="0.25">
      <c r="A17418" s="31"/>
      <c r="D17418" s="30"/>
    </row>
    <row r="17419" spans="1:4" x14ac:dyDescent="0.25">
      <c r="A17419" s="31"/>
      <c r="D17419" s="30"/>
    </row>
    <row r="17420" spans="1:4" x14ac:dyDescent="0.25">
      <c r="A17420" s="31"/>
      <c r="D17420" s="30"/>
    </row>
    <row r="17421" spans="1:4" x14ac:dyDescent="0.25">
      <c r="A17421" s="31"/>
      <c r="D17421" s="30"/>
    </row>
    <row r="17422" spans="1:4" x14ac:dyDescent="0.25">
      <c r="A17422" s="31"/>
      <c r="D17422" s="30"/>
    </row>
    <row r="17423" spans="1:4" x14ac:dyDescent="0.25">
      <c r="A17423" s="31"/>
      <c r="D17423" s="30"/>
    </row>
    <row r="17424" spans="1:4" x14ac:dyDescent="0.25">
      <c r="A17424" s="31"/>
      <c r="D17424" s="30"/>
    </row>
    <row r="17425" spans="1:4" x14ac:dyDescent="0.25">
      <c r="A17425" s="31"/>
      <c r="D17425" s="30"/>
    </row>
    <row r="17426" spans="1:4" x14ac:dyDescent="0.25">
      <c r="A17426" s="31"/>
      <c r="D17426" s="30"/>
    </row>
    <row r="17427" spans="1:4" x14ac:dyDescent="0.25">
      <c r="A17427" s="31"/>
      <c r="D17427" s="30"/>
    </row>
    <row r="17428" spans="1:4" x14ac:dyDescent="0.25">
      <c r="A17428" s="31"/>
      <c r="D17428" s="30"/>
    </row>
    <row r="17429" spans="1:4" x14ac:dyDescent="0.25">
      <c r="A17429" s="31"/>
      <c r="D17429" s="30"/>
    </row>
    <row r="17430" spans="1:4" x14ac:dyDescent="0.25">
      <c r="A17430" s="31"/>
      <c r="D17430" s="30"/>
    </row>
    <row r="17431" spans="1:4" x14ac:dyDescent="0.25">
      <c r="A17431" s="31"/>
      <c r="D17431" s="30"/>
    </row>
    <row r="17432" spans="1:4" x14ac:dyDescent="0.25">
      <c r="A17432" s="31"/>
      <c r="D17432" s="30"/>
    </row>
    <row r="17433" spans="1:4" x14ac:dyDescent="0.25">
      <c r="A17433" s="31"/>
      <c r="D17433" s="30"/>
    </row>
    <row r="17434" spans="1:4" x14ac:dyDescent="0.25">
      <c r="A17434" s="31"/>
      <c r="D17434" s="30"/>
    </row>
    <row r="17435" spans="1:4" x14ac:dyDescent="0.25">
      <c r="A17435" s="31"/>
      <c r="D17435" s="30"/>
    </row>
    <row r="17436" spans="1:4" x14ac:dyDescent="0.25">
      <c r="A17436" s="31"/>
      <c r="D17436" s="30"/>
    </row>
    <row r="17437" spans="1:4" x14ac:dyDescent="0.25">
      <c r="A17437" s="31"/>
      <c r="D17437" s="30"/>
    </row>
    <row r="17438" spans="1:4" x14ac:dyDescent="0.25">
      <c r="A17438" s="31"/>
      <c r="D17438" s="30"/>
    </row>
    <row r="17439" spans="1:4" x14ac:dyDescent="0.25">
      <c r="A17439" s="31"/>
      <c r="D17439" s="30"/>
    </row>
    <row r="17440" spans="1:4" x14ac:dyDescent="0.25">
      <c r="A17440" s="31"/>
      <c r="D17440" s="30"/>
    </row>
    <row r="17441" spans="1:4" x14ac:dyDescent="0.25">
      <c r="A17441" s="31"/>
      <c r="D17441" s="30"/>
    </row>
    <row r="17442" spans="1:4" x14ac:dyDescent="0.25">
      <c r="A17442" s="31"/>
      <c r="D17442" s="30"/>
    </row>
    <row r="17443" spans="1:4" x14ac:dyDescent="0.25">
      <c r="A17443" s="31"/>
      <c r="D17443" s="30"/>
    </row>
    <row r="17444" spans="1:4" x14ac:dyDescent="0.25">
      <c r="A17444" s="31"/>
      <c r="D17444" s="30"/>
    </row>
    <row r="17445" spans="1:4" x14ac:dyDescent="0.25">
      <c r="A17445" s="31"/>
      <c r="D17445" s="30"/>
    </row>
    <row r="17446" spans="1:4" x14ac:dyDescent="0.25">
      <c r="A17446" s="31"/>
      <c r="D17446" s="30"/>
    </row>
    <row r="17447" spans="1:4" x14ac:dyDescent="0.25">
      <c r="A17447" s="31"/>
      <c r="D17447" s="30"/>
    </row>
    <row r="17448" spans="1:4" x14ac:dyDescent="0.25">
      <c r="A17448" s="31"/>
      <c r="D17448" s="30"/>
    </row>
    <row r="17449" spans="1:4" x14ac:dyDescent="0.25">
      <c r="A17449" s="31"/>
      <c r="D17449" s="30"/>
    </row>
    <row r="17450" spans="1:4" x14ac:dyDescent="0.25">
      <c r="A17450" s="31"/>
      <c r="D17450" s="30"/>
    </row>
    <row r="17451" spans="1:4" x14ac:dyDescent="0.25">
      <c r="A17451" s="31"/>
      <c r="D17451" s="30"/>
    </row>
    <row r="17452" spans="1:4" x14ac:dyDescent="0.25">
      <c r="A17452" s="31"/>
      <c r="D17452" s="30"/>
    </row>
    <row r="17453" spans="1:4" x14ac:dyDescent="0.25">
      <c r="A17453" s="31"/>
      <c r="D17453" s="30"/>
    </row>
    <row r="17454" spans="1:4" x14ac:dyDescent="0.25">
      <c r="A17454" s="31"/>
      <c r="D17454" s="30"/>
    </row>
    <row r="17455" spans="1:4" x14ac:dyDescent="0.25">
      <c r="A17455" s="31"/>
      <c r="D17455" s="30"/>
    </row>
    <row r="17456" spans="1:4" x14ac:dyDescent="0.25">
      <c r="A17456" s="31"/>
      <c r="D17456" s="30"/>
    </row>
    <row r="17457" spans="1:4" x14ac:dyDescent="0.25">
      <c r="A17457" s="31"/>
      <c r="D17457" s="30"/>
    </row>
    <row r="17458" spans="1:4" x14ac:dyDescent="0.25">
      <c r="A17458" s="31"/>
      <c r="D17458" s="30"/>
    </row>
    <row r="17459" spans="1:4" x14ac:dyDescent="0.25">
      <c r="A17459" s="31"/>
      <c r="D17459" s="30"/>
    </row>
    <row r="17460" spans="1:4" x14ac:dyDescent="0.25">
      <c r="A17460" s="31"/>
      <c r="D17460" s="30"/>
    </row>
    <row r="17461" spans="1:4" x14ac:dyDescent="0.25">
      <c r="A17461" s="31"/>
      <c r="D17461" s="30"/>
    </row>
    <row r="17462" spans="1:4" x14ac:dyDescent="0.25">
      <c r="A17462" s="31"/>
      <c r="D17462" s="30"/>
    </row>
    <row r="17463" spans="1:4" x14ac:dyDescent="0.25">
      <c r="A17463" s="31"/>
      <c r="D17463" s="30"/>
    </row>
    <row r="17464" spans="1:4" x14ac:dyDescent="0.25">
      <c r="A17464" s="31"/>
      <c r="D17464" s="30"/>
    </row>
    <row r="17465" spans="1:4" x14ac:dyDescent="0.25">
      <c r="A17465" s="31"/>
      <c r="D17465" s="30"/>
    </row>
    <row r="17466" spans="1:4" x14ac:dyDescent="0.25">
      <c r="A17466" s="31"/>
      <c r="D17466" s="30"/>
    </row>
    <row r="17467" spans="1:4" x14ac:dyDescent="0.25">
      <c r="A17467" s="31"/>
      <c r="D17467" s="30"/>
    </row>
    <row r="17468" spans="1:4" x14ac:dyDescent="0.25">
      <c r="A17468" s="31"/>
      <c r="D17468" s="30"/>
    </row>
    <row r="17469" spans="1:4" x14ac:dyDescent="0.25">
      <c r="A17469" s="31"/>
      <c r="D17469" s="30"/>
    </row>
    <row r="17470" spans="1:4" x14ac:dyDescent="0.25">
      <c r="A17470" s="31"/>
      <c r="D17470" s="30"/>
    </row>
    <row r="17471" spans="1:4" x14ac:dyDescent="0.25">
      <c r="A17471" s="31"/>
      <c r="D17471" s="30"/>
    </row>
    <row r="17472" spans="1:4" x14ac:dyDescent="0.25">
      <c r="A17472" s="31"/>
      <c r="D17472" s="30"/>
    </row>
    <row r="17473" spans="1:4" x14ac:dyDescent="0.25">
      <c r="A17473" s="31"/>
      <c r="D17473" s="30"/>
    </row>
    <row r="17474" spans="1:4" x14ac:dyDescent="0.25">
      <c r="A17474" s="31"/>
      <c r="D17474" s="30"/>
    </row>
    <row r="17475" spans="1:4" x14ac:dyDescent="0.25">
      <c r="A17475" s="31"/>
      <c r="D17475" s="30"/>
    </row>
    <row r="17476" spans="1:4" x14ac:dyDescent="0.25">
      <c r="A17476" s="31"/>
      <c r="D17476" s="30"/>
    </row>
    <row r="17477" spans="1:4" x14ac:dyDescent="0.25">
      <c r="A17477" s="31"/>
      <c r="D17477" s="30"/>
    </row>
    <row r="17478" spans="1:4" x14ac:dyDescent="0.25">
      <c r="A17478" s="31"/>
      <c r="D17478" s="30"/>
    </row>
    <row r="17479" spans="1:4" x14ac:dyDescent="0.25">
      <c r="A17479" s="31"/>
      <c r="D17479" s="30"/>
    </row>
    <row r="17480" spans="1:4" x14ac:dyDescent="0.25">
      <c r="A17480" s="31"/>
      <c r="D17480" s="30"/>
    </row>
    <row r="17481" spans="1:4" x14ac:dyDescent="0.25">
      <c r="A17481" s="31"/>
      <c r="D17481" s="30"/>
    </row>
    <row r="17482" spans="1:4" x14ac:dyDescent="0.25">
      <c r="A17482" s="31"/>
      <c r="D17482" s="30"/>
    </row>
    <row r="17483" spans="1:4" x14ac:dyDescent="0.25">
      <c r="A17483" s="31"/>
      <c r="D17483" s="30"/>
    </row>
    <row r="17484" spans="1:4" x14ac:dyDescent="0.25">
      <c r="A17484" s="31"/>
      <c r="D17484" s="30"/>
    </row>
    <row r="17485" spans="1:4" x14ac:dyDescent="0.25">
      <c r="A17485" s="31"/>
      <c r="D17485" s="30"/>
    </row>
    <row r="17486" spans="1:4" x14ac:dyDescent="0.25">
      <c r="A17486" s="31"/>
      <c r="D17486" s="30"/>
    </row>
    <row r="17487" spans="1:4" x14ac:dyDescent="0.25">
      <c r="A17487" s="31"/>
      <c r="D17487" s="30"/>
    </row>
    <row r="17488" spans="1:4" x14ac:dyDescent="0.25">
      <c r="A17488" s="31"/>
      <c r="D17488" s="30"/>
    </row>
    <row r="17489" spans="1:4" x14ac:dyDescent="0.25">
      <c r="A17489" s="31"/>
      <c r="D17489" s="30"/>
    </row>
    <row r="17490" spans="1:4" x14ac:dyDescent="0.25">
      <c r="A17490" s="31"/>
      <c r="D17490" s="30"/>
    </row>
    <row r="17491" spans="1:4" x14ac:dyDescent="0.25">
      <c r="A17491" s="31"/>
      <c r="D17491" s="30"/>
    </row>
    <row r="17492" spans="1:4" x14ac:dyDescent="0.25">
      <c r="A17492" s="31"/>
      <c r="D17492" s="30"/>
    </row>
    <row r="17493" spans="1:4" x14ac:dyDescent="0.25">
      <c r="A17493" s="31"/>
      <c r="D17493" s="30"/>
    </row>
    <row r="17494" spans="1:4" x14ac:dyDescent="0.25">
      <c r="A17494" s="31"/>
      <c r="D17494" s="30"/>
    </row>
    <row r="17495" spans="1:4" x14ac:dyDescent="0.25">
      <c r="A17495" s="31"/>
      <c r="D17495" s="30"/>
    </row>
    <row r="17496" spans="1:4" x14ac:dyDescent="0.25">
      <c r="A17496" s="31"/>
      <c r="D17496" s="30"/>
    </row>
    <row r="17497" spans="1:4" x14ac:dyDescent="0.25">
      <c r="A17497" s="31"/>
      <c r="D17497" s="30"/>
    </row>
    <row r="17498" spans="1:4" x14ac:dyDescent="0.25">
      <c r="A17498" s="31"/>
      <c r="D17498" s="30"/>
    </row>
    <row r="17499" spans="1:4" x14ac:dyDescent="0.25">
      <c r="A17499" s="31"/>
      <c r="D17499" s="30"/>
    </row>
    <row r="17500" spans="1:4" x14ac:dyDescent="0.25">
      <c r="A17500" s="31"/>
      <c r="D17500" s="30"/>
    </row>
    <row r="17501" spans="1:4" x14ac:dyDescent="0.25">
      <c r="A17501" s="31"/>
      <c r="D17501" s="30"/>
    </row>
    <row r="17502" spans="1:4" x14ac:dyDescent="0.25">
      <c r="A17502" s="31"/>
      <c r="D17502" s="30"/>
    </row>
    <row r="17503" spans="1:4" x14ac:dyDescent="0.25">
      <c r="A17503" s="31"/>
      <c r="D17503" s="30"/>
    </row>
    <row r="17504" spans="1:4" x14ac:dyDescent="0.25">
      <c r="A17504" s="31"/>
      <c r="D17504" s="30"/>
    </row>
    <row r="17505" spans="1:4" x14ac:dyDescent="0.25">
      <c r="A17505" s="31"/>
      <c r="D17505" s="30"/>
    </row>
    <row r="17506" spans="1:4" x14ac:dyDescent="0.25">
      <c r="A17506" s="31"/>
      <c r="D17506" s="30"/>
    </row>
    <row r="17507" spans="1:4" x14ac:dyDescent="0.25">
      <c r="A17507" s="31"/>
      <c r="D17507" s="30"/>
    </row>
    <row r="17508" spans="1:4" x14ac:dyDescent="0.25">
      <c r="A17508" s="31"/>
      <c r="D17508" s="30"/>
    </row>
    <row r="17509" spans="1:4" x14ac:dyDescent="0.25">
      <c r="A17509" s="31"/>
      <c r="D17509" s="30"/>
    </row>
    <row r="17510" spans="1:4" x14ac:dyDescent="0.25">
      <c r="A17510" s="31"/>
      <c r="D17510" s="30"/>
    </row>
    <row r="17511" spans="1:4" x14ac:dyDescent="0.25">
      <c r="A17511" s="31"/>
      <c r="D17511" s="30"/>
    </row>
    <row r="17512" spans="1:4" x14ac:dyDescent="0.25">
      <c r="A17512" s="31"/>
      <c r="D17512" s="30"/>
    </row>
    <row r="17513" spans="1:4" x14ac:dyDescent="0.25">
      <c r="A17513" s="31"/>
      <c r="D17513" s="30"/>
    </row>
    <row r="17514" spans="1:4" x14ac:dyDescent="0.25">
      <c r="A17514" s="31"/>
      <c r="D17514" s="30"/>
    </row>
    <row r="17515" spans="1:4" x14ac:dyDescent="0.25">
      <c r="A17515" s="31"/>
      <c r="D17515" s="30"/>
    </row>
    <row r="17516" spans="1:4" x14ac:dyDescent="0.25">
      <c r="A17516" s="31"/>
      <c r="D17516" s="30"/>
    </row>
    <row r="17517" spans="1:4" x14ac:dyDescent="0.25">
      <c r="A17517" s="31"/>
      <c r="D17517" s="30"/>
    </row>
    <row r="17518" spans="1:4" x14ac:dyDescent="0.25">
      <c r="A17518" s="31"/>
      <c r="D17518" s="30"/>
    </row>
    <row r="17519" spans="1:4" x14ac:dyDescent="0.25">
      <c r="A17519" s="31"/>
      <c r="D17519" s="30"/>
    </row>
    <row r="17520" spans="1:4" x14ac:dyDescent="0.25">
      <c r="A17520" s="31"/>
      <c r="D17520" s="30"/>
    </row>
    <row r="17521" spans="1:4" x14ac:dyDescent="0.25">
      <c r="A17521" s="31"/>
      <c r="D17521" s="30"/>
    </row>
    <row r="17522" spans="1:4" x14ac:dyDescent="0.25">
      <c r="A17522" s="31"/>
      <c r="D17522" s="30"/>
    </row>
    <row r="17523" spans="1:4" x14ac:dyDescent="0.25">
      <c r="A17523" s="31"/>
      <c r="D17523" s="30"/>
    </row>
    <row r="17524" spans="1:4" x14ac:dyDescent="0.25">
      <c r="A17524" s="31"/>
      <c r="D17524" s="30"/>
    </row>
    <row r="17525" spans="1:4" x14ac:dyDescent="0.25">
      <c r="A17525" s="31"/>
      <c r="D17525" s="30"/>
    </row>
    <row r="17526" spans="1:4" x14ac:dyDescent="0.25">
      <c r="A17526" s="31"/>
      <c r="D17526" s="30"/>
    </row>
    <row r="17527" spans="1:4" x14ac:dyDescent="0.25">
      <c r="A17527" s="31"/>
      <c r="D17527" s="30"/>
    </row>
    <row r="17528" spans="1:4" x14ac:dyDescent="0.25">
      <c r="A17528" s="31"/>
      <c r="D17528" s="30"/>
    </row>
    <row r="17529" spans="1:4" x14ac:dyDescent="0.25">
      <c r="A17529" s="31"/>
      <c r="D17529" s="30"/>
    </row>
    <row r="17530" spans="1:4" x14ac:dyDescent="0.25">
      <c r="A17530" s="31"/>
      <c r="D17530" s="30"/>
    </row>
    <row r="17531" spans="1:4" x14ac:dyDescent="0.25">
      <c r="A17531" s="31"/>
      <c r="D17531" s="30"/>
    </row>
    <row r="17532" spans="1:4" x14ac:dyDescent="0.25">
      <c r="A17532" s="31"/>
      <c r="D17532" s="30"/>
    </row>
    <row r="17533" spans="1:4" x14ac:dyDescent="0.25">
      <c r="A17533" s="31"/>
      <c r="D17533" s="30"/>
    </row>
    <row r="17534" spans="1:4" x14ac:dyDescent="0.25">
      <c r="A17534" s="31"/>
      <c r="D17534" s="30"/>
    </row>
    <row r="17535" spans="1:4" x14ac:dyDescent="0.25">
      <c r="A17535" s="31"/>
      <c r="D17535" s="30"/>
    </row>
    <row r="17536" spans="1:4" x14ac:dyDescent="0.25">
      <c r="A17536" s="31"/>
      <c r="D17536" s="30"/>
    </row>
    <row r="17537" spans="1:4" x14ac:dyDescent="0.25">
      <c r="A17537" s="31"/>
      <c r="D17537" s="30"/>
    </row>
    <row r="17538" spans="1:4" x14ac:dyDescent="0.25">
      <c r="A17538" s="31"/>
      <c r="D17538" s="30"/>
    </row>
    <row r="17539" spans="1:4" x14ac:dyDescent="0.25">
      <c r="A17539" s="31"/>
      <c r="D17539" s="30"/>
    </row>
    <row r="17540" spans="1:4" x14ac:dyDescent="0.25">
      <c r="A17540" s="31"/>
      <c r="D17540" s="30"/>
    </row>
    <row r="17541" spans="1:4" x14ac:dyDescent="0.25">
      <c r="A17541" s="31"/>
      <c r="D17541" s="30"/>
    </row>
    <row r="17542" spans="1:4" x14ac:dyDescent="0.25">
      <c r="A17542" s="31"/>
      <c r="D17542" s="30"/>
    </row>
    <row r="17543" spans="1:4" x14ac:dyDescent="0.25">
      <c r="A17543" s="31"/>
      <c r="D17543" s="30"/>
    </row>
    <row r="17544" spans="1:4" x14ac:dyDescent="0.25">
      <c r="A17544" s="31"/>
      <c r="D17544" s="30"/>
    </row>
    <row r="17545" spans="1:4" x14ac:dyDescent="0.25">
      <c r="A17545" s="31"/>
      <c r="D17545" s="30"/>
    </row>
    <row r="17546" spans="1:4" x14ac:dyDescent="0.25">
      <c r="A17546" s="31"/>
      <c r="D17546" s="30"/>
    </row>
    <row r="17547" spans="1:4" x14ac:dyDescent="0.25">
      <c r="A17547" s="31"/>
      <c r="D17547" s="30"/>
    </row>
    <row r="17548" spans="1:4" x14ac:dyDescent="0.25">
      <c r="A17548" s="31"/>
      <c r="D17548" s="30"/>
    </row>
    <row r="17549" spans="1:4" x14ac:dyDescent="0.25">
      <c r="A17549" s="31"/>
      <c r="D17549" s="30"/>
    </row>
    <row r="17550" spans="1:4" x14ac:dyDescent="0.25">
      <c r="A17550" s="31"/>
      <c r="D17550" s="30"/>
    </row>
    <row r="17551" spans="1:4" x14ac:dyDescent="0.25">
      <c r="A17551" s="31"/>
      <c r="D17551" s="30"/>
    </row>
    <row r="17552" spans="1:4" x14ac:dyDescent="0.25">
      <c r="A17552" s="31"/>
      <c r="D17552" s="30"/>
    </row>
    <row r="17553" spans="1:4" x14ac:dyDescent="0.25">
      <c r="A17553" s="31"/>
      <c r="D17553" s="30"/>
    </row>
    <row r="17554" spans="1:4" x14ac:dyDescent="0.25">
      <c r="A17554" s="31"/>
      <c r="D17554" s="30"/>
    </row>
    <row r="17555" spans="1:4" x14ac:dyDescent="0.25">
      <c r="A17555" s="31"/>
      <c r="D17555" s="30"/>
    </row>
    <row r="17556" spans="1:4" x14ac:dyDescent="0.25">
      <c r="A17556" s="31"/>
      <c r="D17556" s="30"/>
    </row>
    <row r="17557" spans="1:4" x14ac:dyDescent="0.25">
      <c r="A17557" s="31"/>
      <c r="D17557" s="30"/>
    </row>
    <row r="17558" spans="1:4" x14ac:dyDescent="0.25">
      <c r="A17558" s="31"/>
      <c r="D17558" s="30"/>
    </row>
    <row r="17559" spans="1:4" x14ac:dyDescent="0.25">
      <c r="A17559" s="31"/>
      <c r="D17559" s="30"/>
    </row>
    <row r="17560" spans="1:4" x14ac:dyDescent="0.25">
      <c r="A17560" s="31"/>
      <c r="D17560" s="30"/>
    </row>
    <row r="17561" spans="1:4" x14ac:dyDescent="0.25">
      <c r="A17561" s="31"/>
      <c r="D17561" s="30"/>
    </row>
    <row r="17562" spans="1:4" x14ac:dyDescent="0.25">
      <c r="A17562" s="31"/>
      <c r="D17562" s="30"/>
    </row>
    <row r="17563" spans="1:4" x14ac:dyDescent="0.25">
      <c r="A17563" s="31"/>
      <c r="D17563" s="30"/>
    </row>
    <row r="17564" spans="1:4" x14ac:dyDescent="0.25">
      <c r="A17564" s="31"/>
      <c r="D17564" s="30"/>
    </row>
    <row r="17565" spans="1:4" x14ac:dyDescent="0.25">
      <c r="A17565" s="31"/>
      <c r="D17565" s="30"/>
    </row>
    <row r="17566" spans="1:4" x14ac:dyDescent="0.25">
      <c r="A17566" s="31"/>
      <c r="D17566" s="30"/>
    </row>
    <row r="17567" spans="1:4" x14ac:dyDescent="0.25">
      <c r="A17567" s="31"/>
      <c r="D17567" s="30"/>
    </row>
    <row r="17568" spans="1:4" x14ac:dyDescent="0.25">
      <c r="A17568" s="31"/>
      <c r="D17568" s="30"/>
    </row>
    <row r="17569" spans="1:4" x14ac:dyDescent="0.25">
      <c r="A17569" s="31"/>
      <c r="D17569" s="30"/>
    </row>
    <row r="17570" spans="1:4" x14ac:dyDescent="0.25">
      <c r="A17570" s="31"/>
      <c r="D17570" s="30"/>
    </row>
    <row r="17571" spans="1:4" x14ac:dyDescent="0.25">
      <c r="A17571" s="31"/>
      <c r="D17571" s="30"/>
    </row>
    <row r="17572" spans="1:4" x14ac:dyDescent="0.25">
      <c r="A17572" s="31"/>
      <c r="D17572" s="30"/>
    </row>
    <row r="17573" spans="1:4" x14ac:dyDescent="0.25">
      <c r="A17573" s="31"/>
      <c r="D17573" s="30"/>
    </row>
    <row r="17574" spans="1:4" x14ac:dyDescent="0.25">
      <c r="A17574" s="31"/>
      <c r="D17574" s="30"/>
    </row>
    <row r="17575" spans="1:4" x14ac:dyDescent="0.25">
      <c r="A17575" s="31"/>
      <c r="D17575" s="30"/>
    </row>
    <row r="17576" spans="1:4" x14ac:dyDescent="0.25">
      <c r="A17576" s="31"/>
      <c r="D17576" s="30"/>
    </row>
    <row r="17577" spans="1:4" x14ac:dyDescent="0.25">
      <c r="A17577" s="31"/>
      <c r="D17577" s="30"/>
    </row>
    <row r="17578" spans="1:4" x14ac:dyDescent="0.25">
      <c r="A17578" s="31"/>
      <c r="D17578" s="30"/>
    </row>
    <row r="17579" spans="1:4" x14ac:dyDescent="0.25">
      <c r="A17579" s="31"/>
      <c r="D17579" s="30"/>
    </row>
    <row r="17580" spans="1:4" x14ac:dyDescent="0.25">
      <c r="A17580" s="31"/>
      <c r="D17580" s="30"/>
    </row>
    <row r="17581" spans="1:4" x14ac:dyDescent="0.25">
      <c r="A17581" s="31"/>
      <c r="D17581" s="30"/>
    </row>
    <row r="17582" spans="1:4" x14ac:dyDescent="0.25">
      <c r="A17582" s="31"/>
      <c r="D17582" s="30"/>
    </row>
    <row r="17583" spans="1:4" x14ac:dyDescent="0.25">
      <c r="A17583" s="31"/>
      <c r="D17583" s="30"/>
    </row>
    <row r="17584" spans="1:4" x14ac:dyDescent="0.25">
      <c r="A17584" s="31"/>
      <c r="D17584" s="30"/>
    </row>
    <row r="17585" spans="1:4" x14ac:dyDescent="0.25">
      <c r="A17585" s="31"/>
      <c r="D17585" s="30"/>
    </row>
    <row r="17586" spans="1:4" x14ac:dyDescent="0.25">
      <c r="A17586" s="31"/>
      <c r="D17586" s="30"/>
    </row>
    <row r="17587" spans="1:4" x14ac:dyDescent="0.25">
      <c r="A17587" s="31"/>
      <c r="D17587" s="30"/>
    </row>
    <row r="17588" spans="1:4" x14ac:dyDescent="0.25">
      <c r="A17588" s="31"/>
      <c r="D17588" s="30"/>
    </row>
    <row r="17589" spans="1:4" x14ac:dyDescent="0.25">
      <c r="A17589" s="31"/>
      <c r="D17589" s="30"/>
    </row>
    <row r="17590" spans="1:4" x14ac:dyDescent="0.25">
      <c r="A17590" s="31"/>
      <c r="D17590" s="30"/>
    </row>
    <row r="17591" spans="1:4" x14ac:dyDescent="0.25">
      <c r="A17591" s="31"/>
      <c r="D17591" s="30"/>
    </row>
    <row r="17592" spans="1:4" x14ac:dyDescent="0.25">
      <c r="A17592" s="31"/>
      <c r="D17592" s="30"/>
    </row>
    <row r="17593" spans="1:4" x14ac:dyDescent="0.25">
      <c r="A17593" s="31"/>
      <c r="D17593" s="30"/>
    </row>
    <row r="17594" spans="1:4" x14ac:dyDescent="0.25">
      <c r="A17594" s="31"/>
      <c r="D17594" s="30"/>
    </row>
    <row r="17595" spans="1:4" x14ac:dyDescent="0.25">
      <c r="A17595" s="31"/>
      <c r="D17595" s="30"/>
    </row>
    <row r="17596" spans="1:4" x14ac:dyDescent="0.25">
      <c r="A17596" s="31"/>
      <c r="D17596" s="30"/>
    </row>
    <row r="17597" spans="1:4" x14ac:dyDescent="0.25">
      <c r="A17597" s="31"/>
      <c r="D17597" s="30"/>
    </row>
    <row r="17598" spans="1:4" x14ac:dyDescent="0.25">
      <c r="A17598" s="31"/>
      <c r="D17598" s="30"/>
    </row>
    <row r="17599" spans="1:4" x14ac:dyDescent="0.25">
      <c r="A17599" s="31"/>
      <c r="D17599" s="30"/>
    </row>
    <row r="17600" spans="1:4" x14ac:dyDescent="0.25">
      <c r="A17600" s="31"/>
      <c r="D17600" s="30"/>
    </row>
    <row r="17601" spans="1:4" x14ac:dyDescent="0.25">
      <c r="A17601" s="31"/>
      <c r="D17601" s="30"/>
    </row>
    <row r="17602" spans="1:4" x14ac:dyDescent="0.25">
      <c r="A17602" s="31"/>
      <c r="D17602" s="30"/>
    </row>
    <row r="17603" spans="1:4" x14ac:dyDescent="0.25">
      <c r="A17603" s="31"/>
      <c r="D17603" s="30"/>
    </row>
    <row r="17604" spans="1:4" x14ac:dyDescent="0.25">
      <c r="A17604" s="31"/>
      <c r="D17604" s="30"/>
    </row>
    <row r="17605" spans="1:4" x14ac:dyDescent="0.25">
      <c r="A17605" s="31"/>
      <c r="D17605" s="30"/>
    </row>
    <row r="17606" spans="1:4" x14ac:dyDescent="0.25">
      <c r="A17606" s="31"/>
      <c r="D17606" s="30"/>
    </row>
    <row r="17607" spans="1:4" x14ac:dyDescent="0.25">
      <c r="A17607" s="31"/>
      <c r="D17607" s="30"/>
    </row>
    <row r="17608" spans="1:4" x14ac:dyDescent="0.25">
      <c r="A17608" s="31"/>
      <c r="D17608" s="30"/>
    </row>
    <row r="17609" spans="1:4" x14ac:dyDescent="0.25">
      <c r="A17609" s="31"/>
      <c r="D17609" s="30"/>
    </row>
    <row r="17610" spans="1:4" x14ac:dyDescent="0.25">
      <c r="A17610" s="31"/>
      <c r="D17610" s="30"/>
    </row>
    <row r="17611" spans="1:4" x14ac:dyDescent="0.25">
      <c r="A17611" s="31"/>
      <c r="D17611" s="30"/>
    </row>
    <row r="17612" spans="1:4" x14ac:dyDescent="0.25">
      <c r="A17612" s="31"/>
      <c r="D17612" s="30"/>
    </row>
    <row r="17613" spans="1:4" x14ac:dyDescent="0.25">
      <c r="A17613" s="31"/>
      <c r="D17613" s="30"/>
    </row>
    <row r="17614" spans="1:4" x14ac:dyDescent="0.25">
      <c r="A17614" s="31"/>
      <c r="D17614" s="30"/>
    </row>
    <row r="17615" spans="1:4" x14ac:dyDescent="0.25">
      <c r="A17615" s="31"/>
      <c r="D17615" s="30"/>
    </row>
    <row r="17616" spans="1:4" x14ac:dyDescent="0.25">
      <c r="A17616" s="31"/>
      <c r="D17616" s="30"/>
    </row>
    <row r="17617" spans="1:4" x14ac:dyDescent="0.25">
      <c r="A17617" s="31"/>
      <c r="D17617" s="30"/>
    </row>
    <row r="17618" spans="1:4" x14ac:dyDescent="0.25">
      <c r="A17618" s="31"/>
      <c r="D17618" s="30"/>
    </row>
    <row r="17619" spans="1:4" x14ac:dyDescent="0.25">
      <c r="A17619" s="31"/>
      <c r="D17619" s="30"/>
    </row>
    <row r="17620" spans="1:4" x14ac:dyDescent="0.25">
      <c r="A17620" s="31"/>
      <c r="D17620" s="30"/>
    </row>
    <row r="17621" spans="1:4" x14ac:dyDescent="0.25">
      <c r="A17621" s="31"/>
      <c r="D17621" s="30"/>
    </row>
    <row r="17622" spans="1:4" x14ac:dyDescent="0.25">
      <c r="A17622" s="31"/>
      <c r="D17622" s="30"/>
    </row>
    <row r="17623" spans="1:4" x14ac:dyDescent="0.25">
      <c r="A17623" s="31"/>
      <c r="D17623" s="30"/>
    </row>
    <row r="17624" spans="1:4" x14ac:dyDescent="0.25">
      <c r="A17624" s="31"/>
      <c r="D17624" s="30"/>
    </row>
    <row r="17625" spans="1:4" x14ac:dyDescent="0.25">
      <c r="A17625" s="31"/>
      <c r="D17625" s="30"/>
    </row>
    <row r="17626" spans="1:4" x14ac:dyDescent="0.25">
      <c r="A17626" s="31"/>
      <c r="D17626" s="30"/>
    </row>
    <row r="17627" spans="1:4" x14ac:dyDescent="0.25">
      <c r="A17627" s="31"/>
      <c r="D17627" s="30"/>
    </row>
    <row r="17628" spans="1:4" x14ac:dyDescent="0.25">
      <c r="A17628" s="31"/>
      <c r="D17628" s="30"/>
    </row>
    <row r="17629" spans="1:4" x14ac:dyDescent="0.25">
      <c r="A17629" s="31"/>
      <c r="D17629" s="30"/>
    </row>
    <row r="17630" spans="1:4" x14ac:dyDescent="0.25">
      <c r="A17630" s="31"/>
      <c r="D17630" s="30"/>
    </row>
    <row r="17631" spans="1:4" x14ac:dyDescent="0.25">
      <c r="A17631" s="31"/>
      <c r="D17631" s="30"/>
    </row>
    <row r="17632" spans="1:4" x14ac:dyDescent="0.25">
      <c r="A17632" s="31"/>
      <c r="D17632" s="30"/>
    </row>
    <row r="17633" spans="1:4" x14ac:dyDescent="0.25">
      <c r="A17633" s="31"/>
      <c r="D17633" s="30"/>
    </row>
    <row r="17634" spans="1:4" x14ac:dyDescent="0.25">
      <c r="A17634" s="31"/>
      <c r="D17634" s="30"/>
    </row>
    <row r="17635" spans="1:4" x14ac:dyDescent="0.25">
      <c r="A17635" s="31"/>
      <c r="D17635" s="30"/>
    </row>
    <row r="17636" spans="1:4" x14ac:dyDescent="0.25">
      <c r="A17636" s="31"/>
      <c r="D17636" s="30"/>
    </row>
    <row r="17637" spans="1:4" x14ac:dyDescent="0.25">
      <c r="A17637" s="31"/>
      <c r="D17637" s="30"/>
    </row>
    <row r="17638" spans="1:4" x14ac:dyDescent="0.25">
      <c r="A17638" s="31"/>
      <c r="D17638" s="30"/>
    </row>
    <row r="17639" spans="1:4" x14ac:dyDescent="0.25">
      <c r="A17639" s="31"/>
      <c r="D17639" s="30"/>
    </row>
    <row r="17640" spans="1:4" x14ac:dyDescent="0.25">
      <c r="A17640" s="31"/>
      <c r="D17640" s="30"/>
    </row>
    <row r="17641" spans="1:4" x14ac:dyDescent="0.25">
      <c r="A17641" s="31"/>
      <c r="D17641" s="30"/>
    </row>
    <row r="17642" spans="1:4" x14ac:dyDescent="0.25">
      <c r="A17642" s="31"/>
      <c r="D17642" s="30"/>
    </row>
    <row r="17643" spans="1:4" x14ac:dyDescent="0.25">
      <c r="A17643" s="31"/>
      <c r="D17643" s="30"/>
    </row>
    <row r="17644" spans="1:4" x14ac:dyDescent="0.25">
      <c r="A17644" s="31"/>
      <c r="D17644" s="30"/>
    </row>
    <row r="17645" spans="1:4" x14ac:dyDescent="0.25">
      <c r="A17645" s="31"/>
      <c r="D17645" s="30"/>
    </row>
    <row r="17646" spans="1:4" x14ac:dyDescent="0.25">
      <c r="A17646" s="31"/>
      <c r="D17646" s="30"/>
    </row>
    <row r="17647" spans="1:4" x14ac:dyDescent="0.25">
      <c r="A17647" s="31"/>
      <c r="D17647" s="30"/>
    </row>
    <row r="17648" spans="1:4" x14ac:dyDescent="0.25">
      <c r="A17648" s="31"/>
      <c r="D17648" s="30"/>
    </row>
    <row r="17649" spans="1:4" x14ac:dyDescent="0.25">
      <c r="A17649" s="31"/>
      <c r="D17649" s="30"/>
    </row>
    <row r="17650" spans="1:4" x14ac:dyDescent="0.25">
      <c r="A17650" s="31"/>
      <c r="D17650" s="30"/>
    </row>
    <row r="17651" spans="1:4" x14ac:dyDescent="0.25">
      <c r="A17651" s="31"/>
      <c r="D17651" s="30"/>
    </row>
    <row r="17652" spans="1:4" x14ac:dyDescent="0.25">
      <c r="A17652" s="31"/>
      <c r="D17652" s="30"/>
    </row>
    <row r="17653" spans="1:4" x14ac:dyDescent="0.25">
      <c r="A17653" s="31"/>
      <c r="D17653" s="30"/>
    </row>
    <row r="17654" spans="1:4" x14ac:dyDescent="0.25">
      <c r="A17654" s="31"/>
      <c r="D17654" s="30"/>
    </row>
    <row r="17655" spans="1:4" x14ac:dyDescent="0.25">
      <c r="A17655" s="31"/>
      <c r="D17655" s="30"/>
    </row>
    <row r="17656" spans="1:4" x14ac:dyDescent="0.25">
      <c r="A17656" s="31"/>
      <c r="D17656" s="30"/>
    </row>
    <row r="17657" spans="1:4" x14ac:dyDescent="0.25">
      <c r="A17657" s="31"/>
      <c r="D17657" s="30"/>
    </row>
    <row r="17658" spans="1:4" x14ac:dyDescent="0.25">
      <c r="A17658" s="31"/>
      <c r="D17658" s="30"/>
    </row>
    <row r="17659" spans="1:4" x14ac:dyDescent="0.25">
      <c r="A17659" s="31"/>
      <c r="D17659" s="30"/>
    </row>
    <row r="17660" spans="1:4" x14ac:dyDescent="0.25">
      <c r="A17660" s="31"/>
      <c r="D17660" s="30"/>
    </row>
    <row r="17661" spans="1:4" x14ac:dyDescent="0.25">
      <c r="A17661" s="31"/>
      <c r="D17661" s="30"/>
    </row>
    <row r="17662" spans="1:4" x14ac:dyDescent="0.25">
      <c r="A17662" s="31"/>
      <c r="D17662" s="30"/>
    </row>
    <row r="17663" spans="1:4" x14ac:dyDescent="0.25">
      <c r="A17663" s="31"/>
      <c r="D17663" s="30"/>
    </row>
    <row r="17664" spans="1:4" x14ac:dyDescent="0.25">
      <c r="A17664" s="31"/>
      <c r="D17664" s="30"/>
    </row>
    <row r="17665" spans="1:4" x14ac:dyDescent="0.25">
      <c r="A17665" s="31"/>
      <c r="D17665" s="30"/>
    </row>
    <row r="17666" spans="1:4" x14ac:dyDescent="0.25">
      <c r="A17666" s="31"/>
      <c r="D17666" s="30"/>
    </row>
    <row r="17667" spans="1:4" x14ac:dyDescent="0.25">
      <c r="A17667" s="31"/>
      <c r="D17667" s="30"/>
    </row>
    <row r="17668" spans="1:4" x14ac:dyDescent="0.25">
      <c r="A17668" s="31"/>
      <c r="D17668" s="30"/>
    </row>
    <row r="17669" spans="1:4" x14ac:dyDescent="0.25">
      <c r="A17669" s="31"/>
      <c r="D17669" s="30"/>
    </row>
    <row r="17670" spans="1:4" x14ac:dyDescent="0.25">
      <c r="A17670" s="31"/>
      <c r="D17670" s="30"/>
    </row>
    <row r="17671" spans="1:4" x14ac:dyDescent="0.25">
      <c r="A17671" s="31"/>
      <c r="D17671" s="30"/>
    </row>
    <row r="17672" spans="1:4" x14ac:dyDescent="0.25">
      <c r="A17672" s="31"/>
      <c r="D17672" s="30"/>
    </row>
    <row r="17673" spans="1:4" x14ac:dyDescent="0.25">
      <c r="A17673" s="31"/>
      <c r="D17673" s="30"/>
    </row>
    <row r="17674" spans="1:4" x14ac:dyDescent="0.25">
      <c r="A17674" s="31"/>
      <c r="D17674" s="30"/>
    </row>
    <row r="17675" spans="1:4" x14ac:dyDescent="0.25">
      <c r="A17675" s="31"/>
      <c r="D17675" s="30"/>
    </row>
    <row r="17676" spans="1:4" x14ac:dyDescent="0.25">
      <c r="A17676" s="31"/>
      <c r="D17676" s="30"/>
    </row>
    <row r="17677" spans="1:4" x14ac:dyDescent="0.25">
      <c r="A17677" s="31"/>
      <c r="D17677" s="30"/>
    </row>
    <row r="17678" spans="1:4" x14ac:dyDescent="0.25">
      <c r="A17678" s="31"/>
      <c r="D17678" s="30"/>
    </row>
    <row r="17679" spans="1:4" x14ac:dyDescent="0.25">
      <c r="A17679" s="31"/>
      <c r="D17679" s="30"/>
    </row>
    <row r="17680" spans="1:4" x14ac:dyDescent="0.25">
      <c r="A17680" s="31"/>
      <c r="D17680" s="30"/>
    </row>
    <row r="17681" spans="1:4" x14ac:dyDescent="0.25">
      <c r="A17681" s="31"/>
      <c r="D17681" s="30"/>
    </row>
    <row r="17682" spans="1:4" x14ac:dyDescent="0.25">
      <c r="A17682" s="31"/>
      <c r="D17682" s="30"/>
    </row>
    <row r="17683" spans="1:4" x14ac:dyDescent="0.25">
      <c r="A17683" s="31"/>
      <c r="D17683" s="30"/>
    </row>
    <row r="17684" spans="1:4" x14ac:dyDescent="0.25">
      <c r="A17684" s="31"/>
      <c r="D17684" s="30"/>
    </row>
    <row r="17685" spans="1:4" x14ac:dyDescent="0.25">
      <c r="A17685" s="31"/>
      <c r="D17685" s="30"/>
    </row>
    <row r="17686" spans="1:4" x14ac:dyDescent="0.25">
      <c r="A17686" s="31"/>
      <c r="D17686" s="30"/>
    </row>
    <row r="17687" spans="1:4" x14ac:dyDescent="0.25">
      <c r="A17687" s="31"/>
      <c r="D17687" s="30"/>
    </row>
    <row r="17688" spans="1:4" x14ac:dyDescent="0.25">
      <c r="A17688" s="31"/>
      <c r="D17688" s="30"/>
    </row>
    <row r="17689" spans="1:4" x14ac:dyDescent="0.25">
      <c r="A17689" s="31"/>
      <c r="D17689" s="30"/>
    </row>
    <row r="17690" spans="1:4" x14ac:dyDescent="0.25">
      <c r="A17690" s="31"/>
      <c r="D17690" s="30"/>
    </row>
    <row r="17691" spans="1:4" x14ac:dyDescent="0.25">
      <c r="A17691" s="31"/>
      <c r="D17691" s="30"/>
    </row>
    <row r="17692" spans="1:4" x14ac:dyDescent="0.25">
      <c r="A17692" s="31"/>
      <c r="D17692" s="30"/>
    </row>
    <row r="17693" spans="1:4" x14ac:dyDescent="0.25">
      <c r="A17693" s="31"/>
      <c r="D17693" s="30"/>
    </row>
    <row r="17694" spans="1:4" x14ac:dyDescent="0.25">
      <c r="A17694" s="31"/>
      <c r="D17694" s="30"/>
    </row>
    <row r="17695" spans="1:4" x14ac:dyDescent="0.25">
      <c r="A17695" s="31"/>
      <c r="D17695" s="30"/>
    </row>
    <row r="17696" spans="1:4" x14ac:dyDescent="0.25">
      <c r="A17696" s="31"/>
      <c r="D17696" s="30"/>
    </row>
    <row r="17697" spans="1:4" x14ac:dyDescent="0.25">
      <c r="A17697" s="31"/>
      <c r="D17697" s="30"/>
    </row>
    <row r="17698" spans="1:4" x14ac:dyDescent="0.25">
      <c r="A17698" s="31"/>
      <c r="D17698" s="30"/>
    </row>
    <row r="17699" spans="1:4" x14ac:dyDescent="0.25">
      <c r="A17699" s="31"/>
      <c r="D17699" s="30"/>
    </row>
    <row r="17700" spans="1:4" x14ac:dyDescent="0.25">
      <c r="A17700" s="31"/>
      <c r="D17700" s="30"/>
    </row>
    <row r="17701" spans="1:4" x14ac:dyDescent="0.25">
      <c r="A17701" s="31"/>
      <c r="D17701" s="30"/>
    </row>
    <row r="17702" spans="1:4" x14ac:dyDescent="0.25">
      <c r="A17702" s="31"/>
      <c r="D17702" s="30"/>
    </row>
    <row r="17703" spans="1:4" x14ac:dyDescent="0.25">
      <c r="A17703" s="31"/>
      <c r="D17703" s="30"/>
    </row>
    <row r="17704" spans="1:4" x14ac:dyDescent="0.25">
      <c r="A17704" s="31"/>
      <c r="D17704" s="30"/>
    </row>
    <row r="17705" spans="1:4" x14ac:dyDescent="0.25">
      <c r="A17705" s="31"/>
      <c r="D17705" s="30"/>
    </row>
    <row r="17706" spans="1:4" x14ac:dyDescent="0.25">
      <c r="A17706" s="31"/>
      <c r="D17706" s="30"/>
    </row>
    <row r="17707" spans="1:4" x14ac:dyDescent="0.25">
      <c r="A17707" s="31"/>
      <c r="D17707" s="30"/>
    </row>
    <row r="17708" spans="1:4" x14ac:dyDescent="0.25">
      <c r="A17708" s="31"/>
      <c r="D17708" s="30"/>
    </row>
    <row r="17709" spans="1:4" x14ac:dyDescent="0.25">
      <c r="A17709" s="31"/>
      <c r="D17709" s="30"/>
    </row>
    <row r="17710" spans="1:4" x14ac:dyDescent="0.25">
      <c r="A17710" s="31"/>
      <c r="D17710" s="30"/>
    </row>
    <row r="17711" spans="1:4" x14ac:dyDescent="0.25">
      <c r="A17711" s="31"/>
      <c r="D17711" s="30"/>
    </row>
    <row r="17712" spans="1:4" x14ac:dyDescent="0.25">
      <c r="A17712" s="31"/>
      <c r="D17712" s="30"/>
    </row>
    <row r="17713" spans="1:4" x14ac:dyDescent="0.25">
      <c r="A17713" s="31"/>
      <c r="D17713" s="30"/>
    </row>
    <row r="17714" spans="1:4" x14ac:dyDescent="0.25">
      <c r="A17714" s="31"/>
      <c r="D17714" s="30"/>
    </row>
    <row r="17715" spans="1:4" x14ac:dyDescent="0.25">
      <c r="A17715" s="31"/>
      <c r="D17715" s="30"/>
    </row>
    <row r="17716" spans="1:4" x14ac:dyDescent="0.25">
      <c r="A17716" s="31"/>
      <c r="D17716" s="30"/>
    </row>
    <row r="17717" spans="1:4" x14ac:dyDescent="0.25">
      <c r="A17717" s="31"/>
      <c r="D17717" s="30"/>
    </row>
    <row r="17718" spans="1:4" x14ac:dyDescent="0.25">
      <c r="A17718" s="31"/>
      <c r="D17718" s="30"/>
    </row>
    <row r="17719" spans="1:4" x14ac:dyDescent="0.25">
      <c r="A17719" s="31"/>
      <c r="D17719" s="30"/>
    </row>
    <row r="17720" spans="1:4" x14ac:dyDescent="0.25">
      <c r="A17720" s="31"/>
      <c r="D17720" s="30"/>
    </row>
    <row r="17721" spans="1:4" x14ac:dyDescent="0.25">
      <c r="A17721" s="31"/>
      <c r="D17721" s="30"/>
    </row>
    <row r="17722" spans="1:4" x14ac:dyDescent="0.25">
      <c r="A17722" s="31"/>
      <c r="D17722" s="30"/>
    </row>
    <row r="17723" spans="1:4" x14ac:dyDescent="0.25">
      <c r="A17723" s="31"/>
      <c r="D17723" s="30"/>
    </row>
    <row r="17724" spans="1:4" x14ac:dyDescent="0.25">
      <c r="A17724" s="31"/>
      <c r="D17724" s="30"/>
    </row>
    <row r="17725" spans="1:4" x14ac:dyDescent="0.25">
      <c r="A17725" s="31"/>
      <c r="D17725" s="30"/>
    </row>
    <row r="17726" spans="1:4" x14ac:dyDescent="0.25">
      <c r="A17726" s="31"/>
      <c r="D17726" s="30"/>
    </row>
    <row r="17727" spans="1:4" x14ac:dyDescent="0.25">
      <c r="A17727" s="31"/>
      <c r="D17727" s="30"/>
    </row>
    <row r="17728" spans="1:4" x14ac:dyDescent="0.25">
      <c r="A17728" s="31"/>
      <c r="D17728" s="30"/>
    </row>
    <row r="17729" spans="1:4" x14ac:dyDescent="0.25">
      <c r="A17729" s="31"/>
      <c r="D17729" s="30"/>
    </row>
    <row r="17730" spans="1:4" x14ac:dyDescent="0.25">
      <c r="A17730" s="31"/>
      <c r="D17730" s="30"/>
    </row>
    <row r="17731" spans="1:4" x14ac:dyDescent="0.25">
      <c r="A17731" s="31"/>
      <c r="D17731" s="30"/>
    </row>
    <row r="17732" spans="1:4" x14ac:dyDescent="0.25">
      <c r="A17732" s="31"/>
      <c r="D17732" s="30"/>
    </row>
    <row r="17733" spans="1:4" x14ac:dyDescent="0.25">
      <c r="A17733" s="31"/>
      <c r="D17733" s="30"/>
    </row>
    <row r="17734" spans="1:4" x14ac:dyDescent="0.25">
      <c r="A17734" s="31"/>
      <c r="D17734" s="30"/>
    </row>
    <row r="17735" spans="1:4" x14ac:dyDescent="0.25">
      <c r="A17735" s="31"/>
      <c r="D17735" s="30"/>
    </row>
    <row r="17736" spans="1:4" x14ac:dyDescent="0.25">
      <c r="A17736" s="31"/>
      <c r="D17736" s="30"/>
    </row>
    <row r="17737" spans="1:4" x14ac:dyDescent="0.25">
      <c r="A17737" s="31"/>
      <c r="D17737" s="30"/>
    </row>
    <row r="17738" spans="1:4" x14ac:dyDescent="0.25">
      <c r="A17738" s="31"/>
      <c r="D17738" s="30"/>
    </row>
    <row r="17739" spans="1:4" x14ac:dyDescent="0.25">
      <c r="A17739" s="31"/>
      <c r="D17739" s="30"/>
    </row>
    <row r="17740" spans="1:4" x14ac:dyDescent="0.25">
      <c r="A17740" s="31"/>
      <c r="D17740" s="30"/>
    </row>
    <row r="17741" spans="1:4" x14ac:dyDescent="0.25">
      <c r="A17741" s="31"/>
      <c r="D17741" s="30"/>
    </row>
    <row r="17742" spans="1:4" x14ac:dyDescent="0.25">
      <c r="A17742" s="31"/>
      <c r="D17742" s="30"/>
    </row>
    <row r="17743" spans="1:4" x14ac:dyDescent="0.25">
      <c r="A17743" s="31"/>
      <c r="D17743" s="30"/>
    </row>
    <row r="17744" spans="1:4" x14ac:dyDescent="0.25">
      <c r="A17744" s="31"/>
      <c r="D17744" s="30"/>
    </row>
    <row r="17745" spans="1:4" x14ac:dyDescent="0.25">
      <c r="A17745" s="31"/>
      <c r="D17745" s="30"/>
    </row>
    <row r="17746" spans="1:4" x14ac:dyDescent="0.25">
      <c r="A17746" s="31"/>
      <c r="D17746" s="30"/>
    </row>
    <row r="17747" spans="1:4" x14ac:dyDescent="0.25">
      <c r="A17747" s="31"/>
      <c r="D17747" s="30"/>
    </row>
    <row r="17748" spans="1:4" x14ac:dyDescent="0.25">
      <c r="A17748" s="31"/>
      <c r="D17748" s="30"/>
    </row>
    <row r="17749" spans="1:4" x14ac:dyDescent="0.25">
      <c r="A17749" s="31"/>
      <c r="D17749" s="30"/>
    </row>
    <row r="17750" spans="1:4" x14ac:dyDescent="0.25">
      <c r="A17750" s="31"/>
      <c r="D17750" s="30"/>
    </row>
    <row r="17751" spans="1:4" x14ac:dyDescent="0.25">
      <c r="A17751" s="31"/>
      <c r="D17751" s="30"/>
    </row>
    <row r="17752" spans="1:4" x14ac:dyDescent="0.25">
      <c r="A17752" s="31"/>
      <c r="D17752" s="30"/>
    </row>
    <row r="17753" spans="1:4" x14ac:dyDescent="0.25">
      <c r="A17753" s="31"/>
      <c r="D17753" s="30"/>
    </row>
    <row r="17754" spans="1:4" x14ac:dyDescent="0.25">
      <c r="A17754" s="31"/>
      <c r="D17754" s="30"/>
    </row>
    <row r="17755" spans="1:4" x14ac:dyDescent="0.25">
      <c r="A17755" s="31"/>
      <c r="D17755" s="30"/>
    </row>
    <row r="17756" spans="1:4" x14ac:dyDescent="0.25">
      <c r="A17756" s="31"/>
      <c r="D17756" s="30"/>
    </row>
    <row r="17757" spans="1:4" x14ac:dyDescent="0.25">
      <c r="A17757" s="31"/>
      <c r="D17757" s="30"/>
    </row>
    <row r="17758" spans="1:4" x14ac:dyDescent="0.25">
      <c r="A17758" s="31"/>
      <c r="D17758" s="30"/>
    </row>
    <row r="17759" spans="1:4" x14ac:dyDescent="0.25">
      <c r="A17759" s="31"/>
      <c r="D17759" s="30"/>
    </row>
    <row r="17760" spans="1:4" x14ac:dyDescent="0.25">
      <c r="A17760" s="31"/>
      <c r="D17760" s="30"/>
    </row>
    <row r="17761" spans="1:4" x14ac:dyDescent="0.25">
      <c r="A17761" s="31"/>
      <c r="D17761" s="30"/>
    </row>
    <row r="17762" spans="1:4" x14ac:dyDescent="0.25">
      <c r="A17762" s="31"/>
      <c r="D17762" s="30"/>
    </row>
    <row r="17763" spans="1:4" x14ac:dyDescent="0.25">
      <c r="A17763" s="31"/>
      <c r="D17763" s="30"/>
    </row>
    <row r="17764" spans="1:4" x14ac:dyDescent="0.25">
      <c r="A17764" s="31"/>
      <c r="D17764" s="30"/>
    </row>
    <row r="17765" spans="1:4" x14ac:dyDescent="0.25">
      <c r="A17765" s="31"/>
      <c r="D17765" s="30"/>
    </row>
    <row r="17766" spans="1:4" x14ac:dyDescent="0.25">
      <c r="A17766" s="31"/>
      <c r="D17766" s="30"/>
    </row>
    <row r="17767" spans="1:4" x14ac:dyDescent="0.25">
      <c r="A17767" s="31"/>
      <c r="D17767" s="30"/>
    </row>
    <row r="17768" spans="1:4" x14ac:dyDescent="0.25">
      <c r="A17768" s="31"/>
      <c r="D17768" s="30"/>
    </row>
    <row r="17769" spans="1:4" x14ac:dyDescent="0.25">
      <c r="A17769" s="31"/>
      <c r="D17769" s="30"/>
    </row>
    <row r="17770" spans="1:4" x14ac:dyDescent="0.25">
      <c r="A17770" s="31"/>
      <c r="D17770" s="30"/>
    </row>
    <row r="17771" spans="1:4" x14ac:dyDescent="0.25">
      <c r="A17771" s="31"/>
      <c r="D17771" s="30"/>
    </row>
    <row r="17772" spans="1:4" x14ac:dyDescent="0.25">
      <c r="A17772" s="31"/>
      <c r="D17772" s="30"/>
    </row>
    <row r="17773" spans="1:4" x14ac:dyDescent="0.25">
      <c r="A17773" s="31"/>
      <c r="D17773" s="30"/>
    </row>
    <row r="17774" spans="1:4" x14ac:dyDescent="0.25">
      <c r="A17774" s="31"/>
      <c r="D17774" s="30"/>
    </row>
    <row r="17775" spans="1:4" x14ac:dyDescent="0.25">
      <c r="A17775" s="31"/>
      <c r="D17775" s="30"/>
    </row>
    <row r="17776" spans="1:4" x14ac:dyDescent="0.25">
      <c r="A17776" s="31"/>
      <c r="D17776" s="30"/>
    </row>
    <row r="17777" spans="1:4" x14ac:dyDescent="0.25">
      <c r="A17777" s="31"/>
      <c r="D17777" s="30"/>
    </row>
    <row r="17778" spans="1:4" x14ac:dyDescent="0.25">
      <c r="A17778" s="31"/>
      <c r="D17778" s="30"/>
    </row>
    <row r="17779" spans="1:4" x14ac:dyDescent="0.25">
      <c r="A17779" s="31"/>
      <c r="D17779" s="30"/>
    </row>
    <row r="17780" spans="1:4" x14ac:dyDescent="0.25">
      <c r="A17780" s="31"/>
      <c r="D17780" s="30"/>
    </row>
    <row r="17781" spans="1:4" x14ac:dyDescent="0.25">
      <c r="A17781" s="31"/>
      <c r="D17781" s="30"/>
    </row>
    <row r="17782" spans="1:4" x14ac:dyDescent="0.25">
      <c r="A17782" s="31"/>
      <c r="D17782" s="30"/>
    </row>
    <row r="17783" spans="1:4" x14ac:dyDescent="0.25">
      <c r="A17783" s="31"/>
      <c r="D17783" s="30"/>
    </row>
    <row r="17784" spans="1:4" x14ac:dyDescent="0.25">
      <c r="A17784" s="31"/>
      <c r="D17784" s="30"/>
    </row>
    <row r="17785" spans="1:4" x14ac:dyDescent="0.25">
      <c r="A17785" s="31"/>
      <c r="D17785" s="30"/>
    </row>
    <row r="17786" spans="1:4" x14ac:dyDescent="0.25">
      <c r="A17786" s="31"/>
      <c r="D17786" s="30"/>
    </row>
    <row r="17787" spans="1:4" x14ac:dyDescent="0.25">
      <c r="A17787" s="31"/>
      <c r="D17787" s="30"/>
    </row>
    <row r="17788" spans="1:4" x14ac:dyDescent="0.25">
      <c r="A17788" s="31"/>
      <c r="D17788" s="30"/>
    </row>
    <row r="17789" spans="1:4" x14ac:dyDescent="0.25">
      <c r="A17789" s="31"/>
      <c r="D17789" s="30"/>
    </row>
    <row r="17790" spans="1:4" x14ac:dyDescent="0.25">
      <c r="A17790" s="31"/>
      <c r="D17790" s="30"/>
    </row>
    <row r="17791" spans="1:4" x14ac:dyDescent="0.25">
      <c r="A17791" s="31"/>
      <c r="D17791" s="30"/>
    </row>
    <row r="17792" spans="1:4" x14ac:dyDescent="0.25">
      <c r="A17792" s="31"/>
      <c r="D17792" s="30"/>
    </row>
    <row r="17793" spans="1:4" x14ac:dyDescent="0.25">
      <c r="A17793" s="31"/>
      <c r="D17793" s="30"/>
    </row>
    <row r="17794" spans="1:4" x14ac:dyDescent="0.25">
      <c r="A17794" s="31"/>
      <c r="D17794" s="30"/>
    </row>
    <row r="17795" spans="1:4" x14ac:dyDescent="0.25">
      <c r="A17795" s="31"/>
      <c r="D17795" s="30"/>
    </row>
    <row r="17796" spans="1:4" x14ac:dyDescent="0.25">
      <c r="A17796" s="31"/>
      <c r="D17796" s="30"/>
    </row>
    <row r="17797" spans="1:4" x14ac:dyDescent="0.25">
      <c r="A17797" s="31"/>
      <c r="D17797" s="30"/>
    </row>
    <row r="17798" spans="1:4" x14ac:dyDescent="0.25">
      <c r="A17798" s="31"/>
      <c r="D17798" s="30"/>
    </row>
    <row r="17799" spans="1:4" x14ac:dyDescent="0.25">
      <c r="A17799" s="31"/>
      <c r="D17799" s="30"/>
    </row>
    <row r="17800" spans="1:4" x14ac:dyDescent="0.25">
      <c r="A17800" s="31"/>
      <c r="D17800" s="30"/>
    </row>
    <row r="17801" spans="1:4" x14ac:dyDescent="0.25">
      <c r="A17801" s="31"/>
      <c r="D17801" s="30"/>
    </row>
    <row r="17802" spans="1:4" x14ac:dyDescent="0.25">
      <c r="A17802" s="31"/>
      <c r="D17802" s="30"/>
    </row>
    <row r="17803" spans="1:4" x14ac:dyDescent="0.25">
      <c r="A17803" s="31"/>
      <c r="D17803" s="30"/>
    </row>
    <row r="17804" spans="1:4" x14ac:dyDescent="0.25">
      <c r="A17804" s="31"/>
      <c r="D17804" s="30"/>
    </row>
    <row r="17805" spans="1:4" x14ac:dyDescent="0.25">
      <c r="A17805" s="31"/>
      <c r="D17805" s="30"/>
    </row>
    <row r="17806" spans="1:4" x14ac:dyDescent="0.25">
      <c r="A17806" s="31"/>
      <c r="D17806" s="30"/>
    </row>
    <row r="17807" spans="1:4" x14ac:dyDescent="0.25">
      <c r="A17807" s="31"/>
      <c r="D17807" s="30"/>
    </row>
    <row r="17808" spans="1:4" x14ac:dyDescent="0.25">
      <c r="A17808" s="31"/>
      <c r="D17808" s="30"/>
    </row>
    <row r="17809" spans="1:4" x14ac:dyDescent="0.25">
      <c r="A17809" s="31"/>
      <c r="D17809" s="30"/>
    </row>
    <row r="17810" spans="1:4" x14ac:dyDescent="0.25">
      <c r="A17810" s="31"/>
      <c r="D17810" s="30"/>
    </row>
    <row r="17811" spans="1:4" x14ac:dyDescent="0.25">
      <c r="A17811" s="31"/>
      <c r="D17811" s="30"/>
    </row>
    <row r="17812" spans="1:4" x14ac:dyDescent="0.25">
      <c r="A17812" s="31"/>
      <c r="D17812" s="30"/>
    </row>
    <row r="17813" spans="1:4" x14ac:dyDescent="0.25">
      <c r="A17813" s="31"/>
      <c r="D17813" s="30"/>
    </row>
    <row r="17814" spans="1:4" x14ac:dyDescent="0.25">
      <c r="A17814" s="31"/>
      <c r="D17814" s="30"/>
    </row>
    <row r="17815" spans="1:4" x14ac:dyDescent="0.25">
      <c r="A17815" s="31"/>
      <c r="D17815" s="30"/>
    </row>
    <row r="17816" spans="1:4" x14ac:dyDescent="0.25">
      <c r="A17816" s="31"/>
      <c r="D17816" s="30"/>
    </row>
    <row r="17817" spans="1:4" x14ac:dyDescent="0.25">
      <c r="A17817" s="31"/>
      <c r="D17817" s="30"/>
    </row>
    <row r="17818" spans="1:4" x14ac:dyDescent="0.25">
      <c r="A17818" s="31"/>
      <c r="D17818" s="30"/>
    </row>
    <row r="17819" spans="1:4" x14ac:dyDescent="0.25">
      <c r="A17819" s="31"/>
      <c r="D17819" s="30"/>
    </row>
    <row r="17820" spans="1:4" x14ac:dyDescent="0.25">
      <c r="A17820" s="31"/>
      <c r="D17820" s="30"/>
    </row>
    <row r="17821" spans="1:4" x14ac:dyDescent="0.25">
      <c r="A17821" s="31"/>
      <c r="D17821" s="30"/>
    </row>
    <row r="17822" spans="1:4" x14ac:dyDescent="0.25">
      <c r="A17822" s="31"/>
      <c r="D17822" s="30"/>
    </row>
    <row r="17823" spans="1:4" x14ac:dyDescent="0.25">
      <c r="A17823" s="31"/>
      <c r="D17823" s="30"/>
    </row>
    <row r="17824" spans="1:4" x14ac:dyDescent="0.25">
      <c r="A17824" s="31"/>
      <c r="D17824" s="30"/>
    </row>
    <row r="17825" spans="1:4" x14ac:dyDescent="0.25">
      <c r="A17825" s="31"/>
      <c r="D17825" s="30"/>
    </row>
    <row r="17826" spans="1:4" x14ac:dyDescent="0.25">
      <c r="A17826" s="31"/>
      <c r="D17826" s="30"/>
    </row>
    <row r="17827" spans="1:4" x14ac:dyDescent="0.25">
      <c r="A17827" s="31"/>
      <c r="D17827" s="30"/>
    </row>
    <row r="17828" spans="1:4" x14ac:dyDescent="0.25">
      <c r="A17828" s="31"/>
      <c r="D17828" s="30"/>
    </row>
    <row r="17829" spans="1:4" x14ac:dyDescent="0.25">
      <c r="A17829" s="31"/>
      <c r="D17829" s="30"/>
    </row>
    <row r="17830" spans="1:4" x14ac:dyDescent="0.25">
      <c r="A17830" s="31"/>
      <c r="D17830" s="30"/>
    </row>
    <row r="17831" spans="1:4" x14ac:dyDescent="0.25">
      <c r="A17831" s="31"/>
      <c r="D17831" s="30"/>
    </row>
    <row r="17832" spans="1:4" x14ac:dyDescent="0.25">
      <c r="A17832" s="31"/>
      <c r="D17832" s="30"/>
    </row>
    <row r="17833" spans="1:4" x14ac:dyDescent="0.25">
      <c r="A17833" s="31"/>
      <c r="D17833" s="30"/>
    </row>
    <row r="17834" spans="1:4" x14ac:dyDescent="0.25">
      <c r="A17834" s="31"/>
      <c r="D17834" s="30"/>
    </row>
    <row r="17835" spans="1:4" x14ac:dyDescent="0.25">
      <c r="A17835" s="31"/>
      <c r="D17835" s="30"/>
    </row>
    <row r="17836" spans="1:4" x14ac:dyDescent="0.25">
      <c r="A17836" s="31"/>
      <c r="D17836" s="30"/>
    </row>
    <row r="17837" spans="1:4" x14ac:dyDescent="0.25">
      <c r="A17837" s="31"/>
      <c r="D17837" s="30"/>
    </row>
    <row r="17838" spans="1:4" x14ac:dyDescent="0.25">
      <c r="A17838" s="31"/>
      <c r="D17838" s="30"/>
    </row>
    <row r="17839" spans="1:4" x14ac:dyDescent="0.25">
      <c r="A17839" s="31"/>
      <c r="D17839" s="30"/>
    </row>
    <row r="17840" spans="1:4" x14ac:dyDescent="0.25">
      <c r="A17840" s="31"/>
      <c r="D17840" s="30"/>
    </row>
    <row r="17841" spans="1:4" x14ac:dyDescent="0.25">
      <c r="A17841" s="31"/>
      <c r="D17841" s="30"/>
    </row>
    <row r="17842" spans="1:4" x14ac:dyDescent="0.25">
      <c r="A17842" s="31"/>
      <c r="D17842" s="30"/>
    </row>
    <row r="17843" spans="1:4" x14ac:dyDescent="0.25">
      <c r="A17843" s="31"/>
      <c r="D17843" s="30"/>
    </row>
    <row r="17844" spans="1:4" x14ac:dyDescent="0.25">
      <c r="A17844" s="31"/>
      <c r="D17844" s="30"/>
    </row>
    <row r="17845" spans="1:4" x14ac:dyDescent="0.25">
      <c r="A17845" s="31"/>
      <c r="D17845" s="30"/>
    </row>
    <row r="17846" spans="1:4" x14ac:dyDescent="0.25">
      <c r="A17846" s="31"/>
      <c r="D17846" s="30"/>
    </row>
    <row r="17847" spans="1:4" x14ac:dyDescent="0.25">
      <c r="A17847" s="31"/>
      <c r="D17847" s="30"/>
    </row>
    <row r="17848" spans="1:4" x14ac:dyDescent="0.25">
      <c r="A17848" s="31"/>
      <c r="D17848" s="30"/>
    </row>
    <row r="17849" spans="1:4" x14ac:dyDescent="0.25">
      <c r="A17849" s="31"/>
      <c r="D17849" s="30"/>
    </row>
    <row r="17850" spans="1:4" x14ac:dyDescent="0.25">
      <c r="A17850" s="31"/>
      <c r="D17850" s="30"/>
    </row>
    <row r="17851" spans="1:4" x14ac:dyDescent="0.25">
      <c r="A17851" s="31"/>
      <c r="D17851" s="30"/>
    </row>
    <row r="17852" spans="1:4" x14ac:dyDescent="0.25">
      <c r="A17852" s="31"/>
      <c r="D17852" s="30"/>
    </row>
    <row r="17853" spans="1:4" x14ac:dyDescent="0.25">
      <c r="A17853" s="31"/>
      <c r="D17853" s="30"/>
    </row>
    <row r="17854" spans="1:4" x14ac:dyDescent="0.25">
      <c r="A17854" s="31"/>
      <c r="D17854" s="30"/>
    </row>
    <row r="17855" spans="1:4" x14ac:dyDescent="0.25">
      <c r="A17855" s="31"/>
      <c r="D17855" s="30"/>
    </row>
    <row r="17856" spans="1:4" x14ac:dyDescent="0.25">
      <c r="A17856" s="31"/>
      <c r="D17856" s="30"/>
    </row>
    <row r="17857" spans="1:4" x14ac:dyDescent="0.25">
      <c r="A17857" s="31"/>
      <c r="D17857" s="30"/>
    </row>
    <row r="17858" spans="1:4" x14ac:dyDescent="0.25">
      <c r="A17858" s="31"/>
      <c r="D17858" s="30"/>
    </row>
    <row r="17859" spans="1:4" x14ac:dyDescent="0.25">
      <c r="A17859" s="31"/>
      <c r="D17859" s="30"/>
    </row>
    <row r="17860" spans="1:4" x14ac:dyDescent="0.25">
      <c r="A17860" s="31"/>
      <c r="D17860" s="30"/>
    </row>
    <row r="17861" spans="1:4" x14ac:dyDescent="0.25">
      <c r="A17861" s="31"/>
      <c r="D17861" s="30"/>
    </row>
    <row r="17862" spans="1:4" x14ac:dyDescent="0.25">
      <c r="A17862" s="31"/>
      <c r="D17862" s="30"/>
    </row>
    <row r="17863" spans="1:4" x14ac:dyDescent="0.25">
      <c r="A17863" s="31"/>
      <c r="D17863" s="30"/>
    </row>
    <row r="17864" spans="1:4" x14ac:dyDescent="0.25">
      <c r="A17864" s="31"/>
      <c r="D17864" s="30"/>
    </row>
    <row r="17865" spans="1:4" x14ac:dyDescent="0.25">
      <c r="A17865" s="31"/>
      <c r="D17865" s="30"/>
    </row>
    <row r="17866" spans="1:4" x14ac:dyDescent="0.25">
      <c r="A17866" s="31"/>
      <c r="D17866" s="30"/>
    </row>
    <row r="17867" spans="1:4" x14ac:dyDescent="0.25">
      <c r="A17867" s="31"/>
      <c r="D17867" s="30"/>
    </row>
    <row r="17868" spans="1:4" x14ac:dyDescent="0.25">
      <c r="A17868" s="31"/>
      <c r="D17868" s="30"/>
    </row>
    <row r="17869" spans="1:4" x14ac:dyDescent="0.25">
      <c r="A17869" s="31"/>
      <c r="D17869" s="30"/>
    </row>
    <row r="17870" spans="1:4" x14ac:dyDescent="0.25">
      <c r="A17870" s="31"/>
      <c r="D17870" s="30"/>
    </row>
    <row r="17871" spans="1:4" x14ac:dyDescent="0.25">
      <c r="A17871" s="31"/>
      <c r="D17871" s="30"/>
    </row>
    <row r="17872" spans="1:4" x14ac:dyDescent="0.25">
      <c r="A17872" s="31"/>
      <c r="D17872" s="30"/>
    </row>
    <row r="17873" spans="1:4" x14ac:dyDescent="0.25">
      <c r="A17873" s="31"/>
      <c r="D17873" s="30"/>
    </row>
    <row r="17874" spans="1:4" x14ac:dyDescent="0.25">
      <c r="A17874" s="31"/>
      <c r="D17874" s="30"/>
    </row>
    <row r="17875" spans="1:4" x14ac:dyDescent="0.25">
      <c r="A17875" s="31"/>
      <c r="D17875" s="30"/>
    </row>
    <row r="17876" spans="1:4" x14ac:dyDescent="0.25">
      <c r="A17876" s="31"/>
      <c r="D17876" s="30"/>
    </row>
    <row r="17877" spans="1:4" x14ac:dyDescent="0.25">
      <c r="A17877" s="31"/>
      <c r="D17877" s="30"/>
    </row>
    <row r="17878" spans="1:4" x14ac:dyDescent="0.25">
      <c r="A17878" s="31"/>
      <c r="D17878" s="30"/>
    </row>
    <row r="17879" spans="1:4" x14ac:dyDescent="0.25">
      <c r="A17879" s="31"/>
      <c r="D17879" s="30"/>
    </row>
    <row r="17880" spans="1:4" x14ac:dyDescent="0.25">
      <c r="A17880" s="31"/>
      <c r="D17880" s="30"/>
    </row>
    <row r="17881" spans="1:4" x14ac:dyDescent="0.25">
      <c r="A17881" s="31"/>
      <c r="D17881" s="30"/>
    </row>
    <row r="17882" spans="1:4" x14ac:dyDescent="0.25">
      <c r="A17882" s="31"/>
      <c r="D17882" s="30"/>
    </row>
    <row r="17883" spans="1:4" x14ac:dyDescent="0.25">
      <c r="A17883" s="31"/>
      <c r="D17883" s="30"/>
    </row>
    <row r="17884" spans="1:4" x14ac:dyDescent="0.25">
      <c r="A17884" s="31"/>
      <c r="D17884" s="30"/>
    </row>
    <row r="17885" spans="1:4" x14ac:dyDescent="0.25">
      <c r="A17885" s="31"/>
      <c r="D17885" s="30"/>
    </row>
    <row r="17886" spans="1:4" x14ac:dyDescent="0.25">
      <c r="A17886" s="31"/>
      <c r="D17886" s="30"/>
    </row>
    <row r="17887" spans="1:4" x14ac:dyDescent="0.25">
      <c r="A17887" s="31"/>
      <c r="D17887" s="30"/>
    </row>
    <row r="17888" spans="1:4" x14ac:dyDescent="0.25">
      <c r="A17888" s="31"/>
      <c r="D17888" s="30"/>
    </row>
    <row r="17889" spans="1:4" x14ac:dyDescent="0.25">
      <c r="A17889" s="31"/>
      <c r="D17889" s="30"/>
    </row>
    <row r="17890" spans="1:4" x14ac:dyDescent="0.25">
      <c r="A17890" s="31"/>
      <c r="D17890" s="30"/>
    </row>
    <row r="17891" spans="1:4" x14ac:dyDescent="0.25">
      <c r="A17891" s="31"/>
      <c r="D17891" s="30"/>
    </row>
    <row r="17892" spans="1:4" x14ac:dyDescent="0.25">
      <c r="A17892" s="31"/>
      <c r="D17892" s="30"/>
    </row>
    <row r="17893" spans="1:4" x14ac:dyDescent="0.25">
      <c r="A17893" s="31"/>
      <c r="D17893" s="30"/>
    </row>
    <row r="17894" spans="1:4" x14ac:dyDescent="0.25">
      <c r="A17894" s="31"/>
      <c r="D17894" s="30"/>
    </row>
    <row r="17895" spans="1:4" x14ac:dyDescent="0.25">
      <c r="A17895" s="31"/>
      <c r="D17895" s="30"/>
    </row>
    <row r="17896" spans="1:4" x14ac:dyDescent="0.25">
      <c r="A17896" s="31"/>
      <c r="D17896" s="30"/>
    </row>
    <row r="17897" spans="1:4" x14ac:dyDescent="0.25">
      <c r="A17897" s="31"/>
      <c r="D17897" s="30"/>
    </row>
    <row r="17898" spans="1:4" x14ac:dyDescent="0.25">
      <c r="A17898" s="31"/>
      <c r="D17898" s="30"/>
    </row>
    <row r="17899" spans="1:4" x14ac:dyDescent="0.25">
      <c r="A17899" s="31"/>
      <c r="D17899" s="30"/>
    </row>
    <row r="17900" spans="1:4" x14ac:dyDescent="0.25">
      <c r="A17900" s="31"/>
      <c r="D17900" s="30"/>
    </row>
    <row r="17901" spans="1:4" x14ac:dyDescent="0.25">
      <c r="A17901" s="31"/>
      <c r="D17901" s="30"/>
    </row>
    <row r="17902" spans="1:4" x14ac:dyDescent="0.25">
      <c r="A17902" s="31"/>
      <c r="D17902" s="30"/>
    </row>
    <row r="17903" spans="1:4" x14ac:dyDescent="0.25">
      <c r="A17903" s="31"/>
      <c r="D17903" s="30"/>
    </row>
    <row r="17904" spans="1:4" x14ac:dyDescent="0.25">
      <c r="A17904" s="31"/>
      <c r="D17904" s="30"/>
    </row>
    <row r="17905" spans="1:4" x14ac:dyDescent="0.25">
      <c r="A17905" s="31"/>
      <c r="D17905" s="30"/>
    </row>
    <row r="17906" spans="1:4" x14ac:dyDescent="0.25">
      <c r="A17906" s="31"/>
      <c r="D17906" s="30"/>
    </row>
    <row r="17907" spans="1:4" x14ac:dyDescent="0.25">
      <c r="A17907" s="31"/>
      <c r="D17907" s="30"/>
    </row>
    <row r="17908" spans="1:4" x14ac:dyDescent="0.25">
      <c r="A17908" s="31"/>
      <c r="D17908" s="30"/>
    </row>
    <row r="17909" spans="1:4" x14ac:dyDescent="0.25">
      <c r="A17909" s="31"/>
      <c r="D17909" s="30"/>
    </row>
    <row r="17910" spans="1:4" x14ac:dyDescent="0.25">
      <c r="A17910" s="31"/>
      <c r="D17910" s="30"/>
    </row>
    <row r="17911" spans="1:4" x14ac:dyDescent="0.25">
      <c r="A17911" s="31"/>
      <c r="D17911" s="30"/>
    </row>
    <row r="17912" spans="1:4" x14ac:dyDescent="0.25">
      <c r="A17912" s="31"/>
      <c r="D17912" s="30"/>
    </row>
    <row r="17913" spans="1:4" x14ac:dyDescent="0.25">
      <c r="A17913" s="31"/>
      <c r="D17913" s="30"/>
    </row>
    <row r="17914" spans="1:4" x14ac:dyDescent="0.25">
      <c r="A17914" s="31"/>
      <c r="D17914" s="30"/>
    </row>
    <row r="17915" spans="1:4" x14ac:dyDescent="0.25">
      <c r="A17915" s="31"/>
      <c r="D17915" s="30"/>
    </row>
    <row r="17916" spans="1:4" x14ac:dyDescent="0.25">
      <c r="A17916" s="31"/>
      <c r="D17916" s="30"/>
    </row>
    <row r="17917" spans="1:4" x14ac:dyDescent="0.25">
      <c r="A17917" s="31"/>
      <c r="D17917" s="30"/>
    </row>
    <row r="17918" spans="1:4" x14ac:dyDescent="0.25">
      <c r="A17918" s="31"/>
      <c r="D17918" s="30"/>
    </row>
    <row r="17919" spans="1:4" x14ac:dyDescent="0.25">
      <c r="A17919" s="31"/>
      <c r="D17919" s="30"/>
    </row>
    <row r="17920" spans="1:4" x14ac:dyDescent="0.25">
      <c r="A17920" s="31"/>
      <c r="D17920" s="30"/>
    </row>
    <row r="17921" spans="1:4" x14ac:dyDescent="0.25">
      <c r="A17921" s="31"/>
      <c r="D17921" s="30"/>
    </row>
    <row r="17922" spans="1:4" x14ac:dyDescent="0.25">
      <c r="A17922" s="31"/>
      <c r="D17922" s="30"/>
    </row>
    <row r="17923" spans="1:4" x14ac:dyDescent="0.25">
      <c r="A17923" s="31"/>
      <c r="D17923" s="30"/>
    </row>
    <row r="17924" spans="1:4" x14ac:dyDescent="0.25">
      <c r="A17924" s="31"/>
      <c r="D17924" s="30"/>
    </row>
    <row r="17925" spans="1:4" x14ac:dyDescent="0.25">
      <c r="A17925" s="31"/>
      <c r="D17925" s="30"/>
    </row>
    <row r="17926" spans="1:4" x14ac:dyDescent="0.25">
      <c r="A17926" s="31"/>
      <c r="D17926" s="30"/>
    </row>
    <row r="17927" spans="1:4" x14ac:dyDescent="0.25">
      <c r="A17927" s="31"/>
      <c r="D17927" s="30"/>
    </row>
    <row r="17928" spans="1:4" x14ac:dyDescent="0.25">
      <c r="A17928" s="31"/>
      <c r="D17928" s="30"/>
    </row>
    <row r="17929" spans="1:4" x14ac:dyDescent="0.25">
      <c r="A17929" s="31"/>
      <c r="D17929" s="30"/>
    </row>
    <row r="17930" spans="1:4" x14ac:dyDescent="0.25">
      <c r="A17930" s="31"/>
      <c r="D17930" s="30"/>
    </row>
    <row r="17931" spans="1:4" x14ac:dyDescent="0.25">
      <c r="A17931" s="31"/>
      <c r="D17931" s="30"/>
    </row>
    <row r="17932" spans="1:4" x14ac:dyDescent="0.25">
      <c r="A17932" s="31"/>
      <c r="D17932" s="30"/>
    </row>
    <row r="17933" spans="1:4" x14ac:dyDescent="0.25">
      <c r="A17933" s="31"/>
      <c r="D17933" s="30"/>
    </row>
    <row r="17934" spans="1:4" x14ac:dyDescent="0.25">
      <c r="A17934" s="31"/>
      <c r="D17934" s="30"/>
    </row>
    <row r="17935" spans="1:4" x14ac:dyDescent="0.25">
      <c r="A17935" s="31"/>
      <c r="D17935" s="30"/>
    </row>
    <row r="17936" spans="1:4" x14ac:dyDescent="0.25">
      <c r="A17936" s="31"/>
      <c r="D17936" s="30"/>
    </row>
    <row r="17937" spans="1:4" x14ac:dyDescent="0.25">
      <c r="A17937" s="31"/>
      <c r="D17937" s="30"/>
    </row>
    <row r="17938" spans="1:4" x14ac:dyDescent="0.25">
      <c r="A17938" s="31"/>
      <c r="D17938" s="30"/>
    </row>
    <row r="17939" spans="1:4" x14ac:dyDescent="0.25">
      <c r="A17939" s="31"/>
      <c r="D17939" s="30"/>
    </row>
    <row r="17940" spans="1:4" x14ac:dyDescent="0.25">
      <c r="A17940" s="31"/>
      <c r="D17940" s="30"/>
    </row>
    <row r="17941" spans="1:4" x14ac:dyDescent="0.25">
      <c r="A17941" s="31"/>
      <c r="D17941" s="30"/>
    </row>
    <row r="17942" spans="1:4" x14ac:dyDescent="0.25">
      <c r="A17942" s="31"/>
      <c r="D17942" s="30"/>
    </row>
    <row r="17943" spans="1:4" x14ac:dyDescent="0.25">
      <c r="A17943" s="31"/>
      <c r="D17943" s="30"/>
    </row>
    <row r="17944" spans="1:4" x14ac:dyDescent="0.25">
      <c r="A17944" s="31"/>
      <c r="D17944" s="30"/>
    </row>
    <row r="17945" spans="1:4" x14ac:dyDescent="0.25">
      <c r="A17945" s="31"/>
      <c r="D17945" s="30"/>
    </row>
    <row r="17946" spans="1:4" x14ac:dyDescent="0.25">
      <c r="A17946" s="31"/>
      <c r="D17946" s="30"/>
    </row>
    <row r="17947" spans="1:4" x14ac:dyDescent="0.25">
      <c r="A17947" s="31"/>
      <c r="D17947" s="30"/>
    </row>
    <row r="17948" spans="1:4" x14ac:dyDescent="0.25">
      <c r="A17948" s="31"/>
      <c r="D17948" s="30"/>
    </row>
    <row r="17949" spans="1:4" x14ac:dyDescent="0.25">
      <c r="A17949" s="31"/>
      <c r="D17949" s="30"/>
    </row>
    <row r="17950" spans="1:4" x14ac:dyDescent="0.25">
      <c r="A17950" s="31"/>
      <c r="D17950" s="30"/>
    </row>
    <row r="17951" spans="1:4" x14ac:dyDescent="0.25">
      <c r="A17951" s="31"/>
      <c r="D17951" s="30"/>
    </row>
    <row r="17952" spans="1:4" x14ac:dyDescent="0.25">
      <c r="A17952" s="31"/>
      <c r="D17952" s="30"/>
    </row>
    <row r="17953" spans="1:4" x14ac:dyDescent="0.25">
      <c r="A17953" s="31"/>
      <c r="D17953" s="30"/>
    </row>
    <row r="17954" spans="1:4" x14ac:dyDescent="0.25">
      <c r="A17954" s="31"/>
      <c r="D17954" s="30"/>
    </row>
    <row r="17955" spans="1:4" x14ac:dyDescent="0.25">
      <c r="A17955" s="31"/>
      <c r="D17955" s="30"/>
    </row>
    <row r="17956" spans="1:4" x14ac:dyDescent="0.25">
      <c r="A17956" s="31"/>
      <c r="D17956" s="30"/>
    </row>
    <row r="17957" spans="1:4" x14ac:dyDescent="0.25">
      <c r="A17957" s="31"/>
      <c r="D17957" s="30"/>
    </row>
    <row r="17958" spans="1:4" x14ac:dyDescent="0.25">
      <c r="A17958" s="31"/>
      <c r="D17958" s="30"/>
    </row>
    <row r="17959" spans="1:4" x14ac:dyDescent="0.25">
      <c r="A17959" s="31"/>
      <c r="D17959" s="30"/>
    </row>
    <row r="17960" spans="1:4" x14ac:dyDescent="0.25">
      <c r="A17960" s="31"/>
      <c r="D17960" s="30"/>
    </row>
    <row r="17961" spans="1:4" x14ac:dyDescent="0.25">
      <c r="A17961" s="31"/>
      <c r="D17961" s="30"/>
    </row>
    <row r="17962" spans="1:4" x14ac:dyDescent="0.25">
      <c r="A17962" s="31"/>
      <c r="D17962" s="30"/>
    </row>
    <row r="17963" spans="1:4" x14ac:dyDescent="0.25">
      <c r="A17963" s="31"/>
      <c r="D17963" s="30"/>
    </row>
    <row r="17964" spans="1:4" x14ac:dyDescent="0.25">
      <c r="A17964" s="31"/>
      <c r="D17964" s="30"/>
    </row>
    <row r="17965" spans="1:4" x14ac:dyDescent="0.25">
      <c r="A17965" s="31"/>
      <c r="D17965" s="30"/>
    </row>
    <row r="17966" spans="1:4" x14ac:dyDescent="0.25">
      <c r="A17966" s="31"/>
      <c r="D17966" s="30"/>
    </row>
    <row r="17967" spans="1:4" x14ac:dyDescent="0.25">
      <c r="A17967" s="31"/>
      <c r="D17967" s="30"/>
    </row>
    <row r="17968" spans="1:4" x14ac:dyDescent="0.25">
      <c r="A17968" s="31"/>
      <c r="D17968" s="30"/>
    </row>
    <row r="17969" spans="1:4" x14ac:dyDescent="0.25">
      <c r="A17969" s="31"/>
      <c r="D17969" s="30"/>
    </row>
    <row r="17970" spans="1:4" x14ac:dyDescent="0.25">
      <c r="A17970" s="31"/>
      <c r="D17970" s="30"/>
    </row>
    <row r="17971" spans="1:4" x14ac:dyDescent="0.25">
      <c r="A17971" s="31"/>
      <c r="D17971" s="30"/>
    </row>
    <row r="17972" spans="1:4" x14ac:dyDescent="0.25">
      <c r="A17972" s="31"/>
      <c r="D17972" s="30"/>
    </row>
    <row r="17973" spans="1:4" x14ac:dyDescent="0.25">
      <c r="A17973" s="31"/>
      <c r="D17973" s="30"/>
    </row>
    <row r="17974" spans="1:4" x14ac:dyDescent="0.25">
      <c r="A17974" s="31"/>
      <c r="D17974" s="30"/>
    </row>
    <row r="17975" spans="1:4" x14ac:dyDescent="0.25">
      <c r="A17975" s="31"/>
      <c r="D17975" s="30"/>
    </row>
    <row r="17976" spans="1:4" x14ac:dyDescent="0.25">
      <c r="A17976" s="31"/>
      <c r="D17976" s="30"/>
    </row>
    <row r="17977" spans="1:4" x14ac:dyDescent="0.25">
      <c r="A17977" s="31"/>
      <c r="D17977" s="30"/>
    </row>
    <row r="17978" spans="1:4" x14ac:dyDescent="0.25">
      <c r="A17978" s="31"/>
      <c r="D17978" s="30"/>
    </row>
    <row r="17979" spans="1:4" x14ac:dyDescent="0.25">
      <c r="A17979" s="31"/>
      <c r="D17979" s="30"/>
    </row>
    <row r="17980" spans="1:4" x14ac:dyDescent="0.25">
      <c r="A17980" s="31"/>
      <c r="D17980" s="30"/>
    </row>
    <row r="17981" spans="1:4" x14ac:dyDescent="0.25">
      <c r="A17981" s="31"/>
      <c r="D17981" s="30"/>
    </row>
    <row r="17982" spans="1:4" x14ac:dyDescent="0.25">
      <c r="A17982" s="31"/>
      <c r="D17982" s="30"/>
    </row>
    <row r="17983" spans="1:4" x14ac:dyDescent="0.25">
      <c r="A17983" s="31"/>
      <c r="D17983" s="30"/>
    </row>
    <row r="17984" spans="1:4" x14ac:dyDescent="0.25">
      <c r="A17984" s="31"/>
      <c r="D17984" s="30"/>
    </row>
    <row r="17985" spans="1:4" x14ac:dyDescent="0.25">
      <c r="A17985" s="31"/>
      <c r="D17985" s="30"/>
    </row>
    <row r="17986" spans="1:4" x14ac:dyDescent="0.25">
      <c r="A17986" s="31"/>
      <c r="D17986" s="30"/>
    </row>
    <row r="17987" spans="1:4" x14ac:dyDescent="0.25">
      <c r="A17987" s="31"/>
      <c r="D17987" s="30"/>
    </row>
    <row r="17988" spans="1:4" x14ac:dyDescent="0.25">
      <c r="A17988" s="31"/>
      <c r="D17988" s="30"/>
    </row>
    <row r="17989" spans="1:4" x14ac:dyDescent="0.25">
      <c r="A17989" s="31"/>
      <c r="D17989" s="30"/>
    </row>
    <row r="17990" spans="1:4" x14ac:dyDescent="0.25">
      <c r="A17990" s="31"/>
      <c r="D17990" s="30"/>
    </row>
    <row r="17991" spans="1:4" x14ac:dyDescent="0.25">
      <c r="A17991" s="31"/>
      <c r="D17991" s="30"/>
    </row>
    <row r="17992" spans="1:4" x14ac:dyDescent="0.25">
      <c r="A17992" s="31"/>
      <c r="D17992" s="30"/>
    </row>
    <row r="17993" spans="1:4" x14ac:dyDescent="0.25">
      <c r="A17993" s="31"/>
      <c r="D17993" s="30"/>
    </row>
    <row r="17994" spans="1:4" x14ac:dyDescent="0.25">
      <c r="A17994" s="31"/>
      <c r="D17994" s="30"/>
    </row>
    <row r="17995" spans="1:4" x14ac:dyDescent="0.25">
      <c r="A17995" s="31"/>
      <c r="D17995" s="30"/>
    </row>
    <row r="17996" spans="1:4" x14ac:dyDescent="0.25">
      <c r="A17996" s="31"/>
      <c r="D17996" s="30"/>
    </row>
    <row r="17997" spans="1:4" x14ac:dyDescent="0.25">
      <c r="A17997" s="31"/>
      <c r="D17997" s="30"/>
    </row>
    <row r="17998" spans="1:4" x14ac:dyDescent="0.25">
      <c r="A17998" s="31"/>
      <c r="D17998" s="30"/>
    </row>
    <row r="17999" spans="1:4" x14ac:dyDescent="0.25">
      <c r="A17999" s="31"/>
      <c r="D17999" s="30"/>
    </row>
    <row r="18000" spans="1:4" x14ac:dyDescent="0.25">
      <c r="A18000" s="31"/>
      <c r="D18000" s="30"/>
    </row>
    <row r="18001" spans="1:4" x14ac:dyDescent="0.25">
      <c r="A18001" s="31"/>
      <c r="D18001" s="30"/>
    </row>
    <row r="18002" spans="1:4" x14ac:dyDescent="0.25">
      <c r="A18002" s="31"/>
      <c r="D18002" s="30"/>
    </row>
    <row r="18003" spans="1:4" x14ac:dyDescent="0.25">
      <c r="A18003" s="31"/>
      <c r="D18003" s="30"/>
    </row>
    <row r="18004" spans="1:4" x14ac:dyDescent="0.25">
      <c r="A18004" s="31"/>
      <c r="D18004" s="30"/>
    </row>
    <row r="18005" spans="1:4" x14ac:dyDescent="0.25">
      <c r="A18005" s="31"/>
      <c r="D18005" s="30"/>
    </row>
    <row r="18006" spans="1:4" x14ac:dyDescent="0.25">
      <c r="A18006" s="31"/>
      <c r="D18006" s="30"/>
    </row>
    <row r="18007" spans="1:4" x14ac:dyDescent="0.25">
      <c r="A18007" s="31"/>
      <c r="D18007" s="30"/>
    </row>
    <row r="18008" spans="1:4" x14ac:dyDescent="0.25">
      <c r="A18008" s="31"/>
      <c r="D18008" s="30"/>
    </row>
    <row r="18009" spans="1:4" x14ac:dyDescent="0.25">
      <c r="A18009" s="31"/>
      <c r="D18009" s="30"/>
    </row>
    <row r="18010" spans="1:4" x14ac:dyDescent="0.25">
      <c r="A18010" s="31"/>
      <c r="D18010" s="30"/>
    </row>
    <row r="18011" spans="1:4" x14ac:dyDescent="0.25">
      <c r="A18011" s="31"/>
      <c r="D18011" s="30"/>
    </row>
    <row r="18012" spans="1:4" x14ac:dyDescent="0.25">
      <c r="A18012" s="31"/>
      <c r="D18012" s="30"/>
    </row>
    <row r="18013" spans="1:4" x14ac:dyDescent="0.25">
      <c r="A18013" s="31"/>
      <c r="D18013" s="30"/>
    </row>
    <row r="18014" spans="1:4" x14ac:dyDescent="0.25">
      <c r="A18014" s="31"/>
      <c r="D18014" s="30"/>
    </row>
    <row r="18015" spans="1:4" x14ac:dyDescent="0.25">
      <c r="A18015" s="31"/>
      <c r="D18015" s="30"/>
    </row>
    <row r="18016" spans="1:4" x14ac:dyDescent="0.25">
      <c r="A18016" s="31"/>
      <c r="D18016" s="30"/>
    </row>
    <row r="18017" spans="1:4" x14ac:dyDescent="0.25">
      <c r="A18017" s="31"/>
      <c r="D18017" s="30"/>
    </row>
    <row r="18018" spans="1:4" x14ac:dyDescent="0.25">
      <c r="A18018" s="31"/>
      <c r="D18018" s="30"/>
    </row>
    <row r="18019" spans="1:4" x14ac:dyDescent="0.25">
      <c r="A18019" s="31"/>
      <c r="D18019" s="30"/>
    </row>
    <row r="18020" spans="1:4" x14ac:dyDescent="0.25">
      <c r="A18020" s="31"/>
      <c r="D18020" s="30"/>
    </row>
    <row r="18021" spans="1:4" x14ac:dyDescent="0.25">
      <c r="A18021" s="31"/>
      <c r="D18021" s="30"/>
    </row>
    <row r="18022" spans="1:4" x14ac:dyDescent="0.25">
      <c r="A18022" s="31"/>
      <c r="D18022" s="30"/>
    </row>
    <row r="18023" spans="1:4" x14ac:dyDescent="0.25">
      <c r="A18023" s="31"/>
      <c r="D18023" s="30"/>
    </row>
    <row r="18024" spans="1:4" x14ac:dyDescent="0.25">
      <c r="A18024" s="31"/>
      <c r="D18024" s="30"/>
    </row>
    <row r="18025" spans="1:4" x14ac:dyDescent="0.25">
      <c r="A18025" s="31"/>
      <c r="D18025" s="30"/>
    </row>
    <row r="18026" spans="1:4" x14ac:dyDescent="0.25">
      <c r="A18026" s="31"/>
      <c r="D18026" s="30"/>
    </row>
    <row r="18027" spans="1:4" x14ac:dyDescent="0.25">
      <c r="A18027" s="31"/>
      <c r="D18027" s="30"/>
    </row>
    <row r="18028" spans="1:4" x14ac:dyDescent="0.25">
      <c r="A18028" s="31"/>
      <c r="D18028" s="30"/>
    </row>
    <row r="18029" spans="1:4" x14ac:dyDescent="0.25">
      <c r="A18029" s="31"/>
      <c r="D18029" s="30"/>
    </row>
    <row r="18030" spans="1:4" x14ac:dyDescent="0.25">
      <c r="A18030" s="31"/>
      <c r="D18030" s="30"/>
    </row>
    <row r="18031" spans="1:4" x14ac:dyDescent="0.25">
      <c r="A18031" s="31"/>
      <c r="D18031" s="30"/>
    </row>
    <row r="18032" spans="1:4" x14ac:dyDescent="0.25">
      <c r="A18032" s="31"/>
      <c r="D18032" s="30"/>
    </row>
    <row r="18033" spans="1:4" x14ac:dyDescent="0.25">
      <c r="A18033" s="31"/>
      <c r="D18033" s="30"/>
    </row>
    <row r="18034" spans="1:4" x14ac:dyDescent="0.25">
      <c r="A18034" s="31"/>
      <c r="D18034" s="30"/>
    </row>
    <row r="18035" spans="1:4" x14ac:dyDescent="0.25">
      <c r="A18035" s="31"/>
      <c r="D18035" s="30"/>
    </row>
    <row r="18036" spans="1:4" x14ac:dyDescent="0.25">
      <c r="A18036" s="31"/>
      <c r="D18036" s="30"/>
    </row>
    <row r="18037" spans="1:4" x14ac:dyDescent="0.25">
      <c r="A18037" s="31"/>
      <c r="D18037" s="30"/>
    </row>
    <row r="18038" spans="1:4" x14ac:dyDescent="0.25">
      <c r="A18038" s="31"/>
      <c r="D18038" s="30"/>
    </row>
    <row r="18039" spans="1:4" x14ac:dyDescent="0.25">
      <c r="A18039" s="31"/>
      <c r="D18039" s="30"/>
    </row>
    <row r="18040" spans="1:4" x14ac:dyDescent="0.25">
      <c r="A18040" s="31"/>
      <c r="D18040" s="30"/>
    </row>
    <row r="18041" spans="1:4" x14ac:dyDescent="0.25">
      <c r="A18041" s="31"/>
      <c r="D18041" s="30"/>
    </row>
    <row r="18042" spans="1:4" x14ac:dyDescent="0.25">
      <c r="A18042" s="31"/>
      <c r="D18042" s="30"/>
    </row>
    <row r="18043" spans="1:4" x14ac:dyDescent="0.25">
      <c r="A18043" s="31"/>
      <c r="D18043" s="30"/>
    </row>
    <row r="18044" spans="1:4" x14ac:dyDescent="0.25">
      <c r="A18044" s="31"/>
      <c r="D18044" s="30"/>
    </row>
    <row r="18045" spans="1:4" x14ac:dyDescent="0.25">
      <c r="A18045" s="31"/>
      <c r="D18045" s="30"/>
    </row>
    <row r="18046" spans="1:4" x14ac:dyDescent="0.25">
      <c r="A18046" s="31"/>
      <c r="D18046" s="30"/>
    </row>
    <row r="18047" spans="1:4" x14ac:dyDescent="0.25">
      <c r="A18047" s="31"/>
      <c r="D18047" s="30"/>
    </row>
    <row r="18048" spans="1:4" x14ac:dyDescent="0.25">
      <c r="A18048" s="31"/>
      <c r="D18048" s="30"/>
    </row>
    <row r="18049" spans="1:4" x14ac:dyDescent="0.25">
      <c r="A18049" s="31"/>
      <c r="D18049" s="30"/>
    </row>
    <row r="18050" spans="1:4" x14ac:dyDescent="0.25">
      <c r="A18050" s="31"/>
      <c r="D18050" s="30"/>
    </row>
    <row r="18051" spans="1:4" x14ac:dyDescent="0.25">
      <c r="A18051" s="31"/>
      <c r="D18051" s="30"/>
    </row>
    <row r="18052" spans="1:4" x14ac:dyDescent="0.25">
      <c r="A18052" s="31"/>
      <c r="D18052" s="30"/>
    </row>
    <row r="18053" spans="1:4" x14ac:dyDescent="0.25">
      <c r="A18053" s="31"/>
      <c r="D18053" s="30"/>
    </row>
    <row r="18054" spans="1:4" x14ac:dyDescent="0.25">
      <c r="A18054" s="31"/>
      <c r="D18054" s="30"/>
    </row>
    <row r="18055" spans="1:4" x14ac:dyDescent="0.25">
      <c r="A18055" s="31"/>
      <c r="D18055" s="30"/>
    </row>
    <row r="18056" spans="1:4" x14ac:dyDescent="0.25">
      <c r="A18056" s="31"/>
      <c r="D18056" s="30"/>
    </row>
    <row r="18057" spans="1:4" x14ac:dyDescent="0.25">
      <c r="A18057" s="31"/>
      <c r="D18057" s="30"/>
    </row>
    <row r="18058" spans="1:4" x14ac:dyDescent="0.25">
      <c r="A18058" s="31"/>
      <c r="D18058" s="30"/>
    </row>
    <row r="18059" spans="1:4" x14ac:dyDescent="0.25">
      <c r="A18059" s="31"/>
      <c r="D18059" s="30"/>
    </row>
    <row r="18060" spans="1:4" x14ac:dyDescent="0.25">
      <c r="A18060" s="31"/>
      <c r="D18060" s="30"/>
    </row>
    <row r="18061" spans="1:4" x14ac:dyDescent="0.25">
      <c r="A18061" s="31"/>
      <c r="D18061" s="30"/>
    </row>
    <row r="18062" spans="1:4" x14ac:dyDescent="0.25">
      <c r="A18062" s="31"/>
      <c r="D18062" s="30"/>
    </row>
    <row r="18063" spans="1:4" x14ac:dyDescent="0.25">
      <c r="A18063" s="31"/>
      <c r="D18063" s="30"/>
    </row>
    <row r="18064" spans="1:4" x14ac:dyDescent="0.25">
      <c r="A18064" s="31"/>
      <c r="D18064" s="30"/>
    </row>
    <row r="18065" spans="1:4" x14ac:dyDescent="0.25">
      <c r="A18065" s="31"/>
      <c r="D18065" s="30"/>
    </row>
    <row r="18066" spans="1:4" x14ac:dyDescent="0.25">
      <c r="A18066" s="31"/>
      <c r="D18066" s="30"/>
    </row>
    <row r="18067" spans="1:4" x14ac:dyDescent="0.25">
      <c r="A18067" s="31"/>
      <c r="D18067" s="30"/>
    </row>
    <row r="18068" spans="1:4" x14ac:dyDescent="0.25">
      <c r="A18068" s="31"/>
      <c r="D18068" s="30"/>
    </row>
    <row r="18069" spans="1:4" x14ac:dyDescent="0.25">
      <c r="A18069" s="31"/>
      <c r="D18069" s="30"/>
    </row>
    <row r="18070" spans="1:4" x14ac:dyDescent="0.25">
      <c r="A18070" s="31"/>
      <c r="D18070" s="30"/>
    </row>
    <row r="18071" spans="1:4" x14ac:dyDescent="0.25">
      <c r="A18071" s="31"/>
      <c r="D18071" s="30"/>
    </row>
    <row r="18072" spans="1:4" x14ac:dyDescent="0.25">
      <c r="A18072" s="31"/>
      <c r="D18072" s="30"/>
    </row>
    <row r="18073" spans="1:4" x14ac:dyDescent="0.25">
      <c r="A18073" s="31"/>
      <c r="D18073" s="30"/>
    </row>
    <row r="18074" spans="1:4" x14ac:dyDescent="0.25">
      <c r="A18074" s="31"/>
      <c r="D18074" s="30"/>
    </row>
    <row r="18075" spans="1:4" x14ac:dyDescent="0.25">
      <c r="A18075" s="31"/>
      <c r="D18075" s="30"/>
    </row>
    <row r="18076" spans="1:4" x14ac:dyDescent="0.25">
      <c r="A18076" s="31"/>
      <c r="D18076" s="30"/>
    </row>
    <row r="18077" spans="1:4" x14ac:dyDescent="0.25">
      <c r="A18077" s="31"/>
      <c r="D18077" s="30"/>
    </row>
    <row r="18078" spans="1:4" x14ac:dyDescent="0.25">
      <c r="A18078" s="31"/>
      <c r="D18078" s="30"/>
    </row>
    <row r="18079" spans="1:4" x14ac:dyDescent="0.25">
      <c r="A18079" s="31"/>
      <c r="D18079" s="30"/>
    </row>
    <row r="18080" spans="1:4" x14ac:dyDescent="0.25">
      <c r="A18080" s="31"/>
      <c r="D18080" s="30"/>
    </row>
    <row r="18081" spans="1:4" x14ac:dyDescent="0.25">
      <c r="A18081" s="31"/>
      <c r="D18081" s="30"/>
    </row>
    <row r="18082" spans="1:4" x14ac:dyDescent="0.25">
      <c r="A18082" s="31"/>
      <c r="D18082" s="30"/>
    </row>
    <row r="18083" spans="1:4" x14ac:dyDescent="0.25">
      <c r="A18083" s="31"/>
      <c r="D18083" s="30"/>
    </row>
    <row r="18084" spans="1:4" x14ac:dyDescent="0.25">
      <c r="A18084" s="31"/>
      <c r="D18084" s="30"/>
    </row>
    <row r="18085" spans="1:4" x14ac:dyDescent="0.25">
      <c r="A18085" s="31"/>
      <c r="D18085" s="30"/>
    </row>
    <row r="18086" spans="1:4" x14ac:dyDescent="0.25">
      <c r="A18086" s="31"/>
      <c r="D18086" s="30"/>
    </row>
    <row r="18087" spans="1:4" x14ac:dyDescent="0.25">
      <c r="A18087" s="31"/>
      <c r="D18087" s="30"/>
    </row>
    <row r="18088" spans="1:4" x14ac:dyDescent="0.25">
      <c r="A18088" s="31"/>
      <c r="D18088" s="30"/>
    </row>
    <row r="18089" spans="1:4" x14ac:dyDescent="0.25">
      <c r="A18089" s="31"/>
      <c r="D18089" s="30"/>
    </row>
    <row r="18090" spans="1:4" x14ac:dyDescent="0.25">
      <c r="A18090" s="31"/>
      <c r="D18090" s="30"/>
    </row>
    <row r="18091" spans="1:4" x14ac:dyDescent="0.25">
      <c r="A18091" s="31"/>
      <c r="D18091" s="30"/>
    </row>
    <row r="18092" spans="1:4" x14ac:dyDescent="0.25">
      <c r="A18092" s="31"/>
      <c r="D18092" s="30"/>
    </row>
    <row r="18093" spans="1:4" x14ac:dyDescent="0.25">
      <c r="A18093" s="31"/>
      <c r="D18093" s="30"/>
    </row>
    <row r="18094" spans="1:4" x14ac:dyDescent="0.25">
      <c r="A18094" s="31"/>
      <c r="D18094" s="30"/>
    </row>
    <row r="18095" spans="1:4" x14ac:dyDescent="0.25">
      <c r="A18095" s="31"/>
      <c r="D18095" s="30"/>
    </row>
    <row r="18096" spans="1:4" x14ac:dyDescent="0.25">
      <c r="A18096" s="31"/>
      <c r="D18096" s="30"/>
    </row>
    <row r="18097" spans="1:4" x14ac:dyDescent="0.25">
      <c r="A18097" s="31"/>
      <c r="D18097" s="30"/>
    </row>
    <row r="18098" spans="1:4" x14ac:dyDescent="0.25">
      <c r="A18098" s="31"/>
      <c r="D18098" s="30"/>
    </row>
    <row r="18099" spans="1:4" x14ac:dyDescent="0.25">
      <c r="A18099" s="31"/>
      <c r="D18099" s="30"/>
    </row>
    <row r="18100" spans="1:4" x14ac:dyDescent="0.25">
      <c r="A18100" s="31"/>
      <c r="D18100" s="30"/>
    </row>
    <row r="18101" spans="1:4" x14ac:dyDescent="0.25">
      <c r="A18101" s="31"/>
      <c r="D18101" s="30"/>
    </row>
    <row r="18102" spans="1:4" x14ac:dyDescent="0.25">
      <c r="A18102" s="31"/>
      <c r="D18102" s="30"/>
    </row>
    <row r="18103" spans="1:4" x14ac:dyDescent="0.25">
      <c r="A18103" s="31"/>
      <c r="D18103" s="30"/>
    </row>
    <row r="18104" spans="1:4" x14ac:dyDescent="0.25">
      <c r="A18104" s="31"/>
      <c r="D18104" s="30"/>
    </row>
    <row r="18105" spans="1:4" x14ac:dyDescent="0.25">
      <c r="A18105" s="31"/>
      <c r="D18105" s="30"/>
    </row>
    <row r="18106" spans="1:4" x14ac:dyDescent="0.25">
      <c r="A18106" s="31"/>
      <c r="D18106" s="30"/>
    </row>
    <row r="18107" spans="1:4" x14ac:dyDescent="0.25">
      <c r="A18107" s="31"/>
      <c r="D18107" s="30"/>
    </row>
    <row r="18108" spans="1:4" x14ac:dyDescent="0.25">
      <c r="A18108" s="31"/>
      <c r="D18108" s="30"/>
    </row>
    <row r="18109" spans="1:4" x14ac:dyDescent="0.25">
      <c r="A18109" s="31"/>
      <c r="D18109" s="30"/>
    </row>
    <row r="18110" spans="1:4" x14ac:dyDescent="0.25">
      <c r="A18110" s="31"/>
      <c r="D18110" s="30"/>
    </row>
    <row r="18111" spans="1:4" x14ac:dyDescent="0.25">
      <c r="A18111" s="31"/>
      <c r="D18111" s="30"/>
    </row>
    <row r="18112" spans="1:4" x14ac:dyDescent="0.25">
      <c r="A18112" s="31"/>
      <c r="D18112" s="30"/>
    </row>
    <row r="18113" spans="1:4" x14ac:dyDescent="0.25">
      <c r="A18113" s="31"/>
      <c r="D18113" s="30"/>
    </row>
    <row r="18114" spans="1:4" x14ac:dyDescent="0.25">
      <c r="A18114" s="31"/>
      <c r="D18114" s="30"/>
    </row>
    <row r="18115" spans="1:4" x14ac:dyDescent="0.25">
      <c r="A18115" s="31"/>
      <c r="D18115" s="30"/>
    </row>
    <row r="18116" spans="1:4" x14ac:dyDescent="0.25">
      <c r="A18116" s="31"/>
      <c r="D18116" s="30"/>
    </row>
    <row r="18117" spans="1:4" x14ac:dyDescent="0.25">
      <c r="A18117" s="31"/>
      <c r="D18117" s="30"/>
    </row>
    <row r="18118" spans="1:4" x14ac:dyDescent="0.25">
      <c r="A18118" s="31"/>
      <c r="D18118" s="30"/>
    </row>
    <row r="18119" spans="1:4" x14ac:dyDescent="0.25">
      <c r="A18119" s="31"/>
      <c r="D18119" s="30"/>
    </row>
    <row r="18120" spans="1:4" x14ac:dyDescent="0.25">
      <c r="A18120" s="31"/>
      <c r="D18120" s="30"/>
    </row>
    <row r="18121" spans="1:4" x14ac:dyDescent="0.25">
      <c r="A18121" s="31"/>
      <c r="D18121" s="30"/>
    </row>
    <row r="18122" spans="1:4" x14ac:dyDescent="0.25">
      <c r="A18122" s="31"/>
      <c r="D18122" s="30"/>
    </row>
    <row r="18123" spans="1:4" x14ac:dyDescent="0.25">
      <c r="A18123" s="31"/>
      <c r="D18123" s="30"/>
    </row>
    <row r="18124" spans="1:4" x14ac:dyDescent="0.25">
      <c r="A18124" s="31"/>
      <c r="D18124" s="30"/>
    </row>
    <row r="18125" spans="1:4" x14ac:dyDescent="0.25">
      <c r="A18125" s="31"/>
      <c r="D18125" s="30"/>
    </row>
    <row r="18126" spans="1:4" x14ac:dyDescent="0.25">
      <c r="A18126" s="31"/>
      <c r="D18126" s="30"/>
    </row>
    <row r="18127" spans="1:4" x14ac:dyDescent="0.25">
      <c r="A18127" s="31"/>
      <c r="D18127" s="30"/>
    </row>
    <row r="18128" spans="1:4" x14ac:dyDescent="0.25">
      <c r="A18128" s="31"/>
      <c r="D18128" s="30"/>
    </row>
    <row r="18129" spans="1:4" x14ac:dyDescent="0.25">
      <c r="A18129" s="31"/>
      <c r="D18129" s="30"/>
    </row>
    <row r="18130" spans="1:4" x14ac:dyDescent="0.25">
      <c r="A18130" s="31"/>
      <c r="D18130" s="30"/>
    </row>
    <row r="18131" spans="1:4" x14ac:dyDescent="0.25">
      <c r="A18131" s="31"/>
      <c r="D18131" s="30"/>
    </row>
    <row r="18132" spans="1:4" x14ac:dyDescent="0.25">
      <c r="A18132" s="31"/>
      <c r="D18132" s="30"/>
    </row>
    <row r="18133" spans="1:4" x14ac:dyDescent="0.25">
      <c r="A18133" s="31"/>
      <c r="D18133" s="30"/>
    </row>
    <row r="18134" spans="1:4" x14ac:dyDescent="0.25">
      <c r="A18134" s="31"/>
      <c r="D18134" s="30"/>
    </row>
    <row r="18135" spans="1:4" x14ac:dyDescent="0.25">
      <c r="A18135" s="31"/>
      <c r="D18135" s="30"/>
    </row>
    <row r="18136" spans="1:4" x14ac:dyDescent="0.25">
      <c r="A18136" s="31"/>
      <c r="D18136" s="30"/>
    </row>
    <row r="18137" spans="1:4" x14ac:dyDescent="0.25">
      <c r="A18137" s="31"/>
      <c r="D18137" s="30"/>
    </row>
    <row r="18138" spans="1:4" x14ac:dyDescent="0.25">
      <c r="A18138" s="31"/>
      <c r="D18138" s="30"/>
    </row>
    <row r="18139" spans="1:4" x14ac:dyDescent="0.25">
      <c r="A18139" s="31"/>
      <c r="D18139" s="30"/>
    </row>
    <row r="18140" spans="1:4" x14ac:dyDescent="0.25">
      <c r="A18140" s="31"/>
      <c r="D18140" s="30"/>
    </row>
    <row r="18141" spans="1:4" x14ac:dyDescent="0.25">
      <c r="A18141" s="31"/>
      <c r="D18141" s="30"/>
    </row>
    <row r="18142" spans="1:4" x14ac:dyDescent="0.25">
      <c r="A18142" s="31"/>
      <c r="D18142" s="30"/>
    </row>
    <row r="18143" spans="1:4" x14ac:dyDescent="0.25">
      <c r="A18143" s="31"/>
      <c r="D18143" s="30"/>
    </row>
    <row r="18144" spans="1:4" x14ac:dyDescent="0.25">
      <c r="A18144" s="31"/>
      <c r="D18144" s="30"/>
    </row>
    <row r="18145" spans="1:4" x14ac:dyDescent="0.25">
      <c r="A18145" s="31"/>
      <c r="D18145" s="30"/>
    </row>
    <row r="18146" spans="1:4" x14ac:dyDescent="0.25">
      <c r="A18146" s="31"/>
      <c r="D18146" s="30"/>
    </row>
    <row r="18147" spans="1:4" x14ac:dyDescent="0.25">
      <c r="A18147" s="31"/>
      <c r="D18147" s="30"/>
    </row>
    <row r="18148" spans="1:4" x14ac:dyDescent="0.25">
      <c r="A18148" s="31"/>
      <c r="D18148" s="30"/>
    </row>
    <row r="18149" spans="1:4" x14ac:dyDescent="0.25">
      <c r="A18149" s="31"/>
      <c r="D18149" s="30"/>
    </row>
    <row r="18150" spans="1:4" x14ac:dyDescent="0.25">
      <c r="A18150" s="31"/>
      <c r="D18150" s="30"/>
    </row>
    <row r="18151" spans="1:4" x14ac:dyDescent="0.25">
      <c r="A18151" s="31"/>
      <c r="D18151" s="30"/>
    </row>
    <row r="18152" spans="1:4" x14ac:dyDescent="0.25">
      <c r="A18152" s="31"/>
      <c r="D18152" s="30"/>
    </row>
    <row r="18153" spans="1:4" x14ac:dyDescent="0.25">
      <c r="A18153" s="31"/>
      <c r="D18153" s="30"/>
    </row>
    <row r="18154" spans="1:4" x14ac:dyDescent="0.25">
      <c r="A18154" s="31"/>
      <c r="D18154" s="30"/>
    </row>
    <row r="18155" spans="1:4" x14ac:dyDescent="0.25">
      <c r="A18155" s="31"/>
      <c r="D18155" s="30"/>
    </row>
    <row r="18156" spans="1:4" x14ac:dyDescent="0.25">
      <c r="A18156" s="31"/>
      <c r="D18156" s="30"/>
    </row>
    <row r="18157" spans="1:4" x14ac:dyDescent="0.25">
      <c r="A18157" s="31"/>
      <c r="D18157" s="30"/>
    </row>
    <row r="18158" spans="1:4" x14ac:dyDescent="0.25">
      <c r="A18158" s="31"/>
      <c r="D18158" s="30"/>
    </row>
    <row r="18159" spans="1:4" x14ac:dyDescent="0.25">
      <c r="A18159" s="31"/>
      <c r="D18159" s="30"/>
    </row>
    <row r="18160" spans="1:4" x14ac:dyDescent="0.25">
      <c r="A18160" s="31"/>
      <c r="D18160" s="30"/>
    </row>
    <row r="18161" spans="1:4" x14ac:dyDescent="0.25">
      <c r="A18161" s="31"/>
      <c r="D18161" s="30"/>
    </row>
    <row r="18162" spans="1:4" x14ac:dyDescent="0.25">
      <c r="A18162" s="31"/>
      <c r="D18162" s="30"/>
    </row>
    <row r="18163" spans="1:4" x14ac:dyDescent="0.25">
      <c r="A18163" s="31"/>
      <c r="D18163" s="30"/>
    </row>
    <row r="18164" spans="1:4" x14ac:dyDescent="0.25">
      <c r="A18164" s="31"/>
      <c r="D18164" s="30"/>
    </row>
    <row r="18165" spans="1:4" x14ac:dyDescent="0.25">
      <c r="A18165" s="31"/>
      <c r="D18165" s="30"/>
    </row>
    <row r="18166" spans="1:4" x14ac:dyDescent="0.25">
      <c r="A18166" s="31"/>
      <c r="D18166" s="30"/>
    </row>
    <row r="18167" spans="1:4" x14ac:dyDescent="0.25">
      <c r="A18167" s="31"/>
      <c r="D18167" s="30"/>
    </row>
    <row r="18168" spans="1:4" x14ac:dyDescent="0.25">
      <c r="A18168" s="31"/>
      <c r="D18168" s="30"/>
    </row>
    <row r="18169" spans="1:4" x14ac:dyDescent="0.25">
      <c r="A18169" s="31"/>
      <c r="D18169" s="30"/>
    </row>
    <row r="18170" spans="1:4" x14ac:dyDescent="0.25">
      <c r="A18170" s="31"/>
      <c r="D18170" s="30"/>
    </row>
    <row r="18171" spans="1:4" x14ac:dyDescent="0.25">
      <c r="A18171" s="31"/>
      <c r="D18171" s="30"/>
    </row>
    <row r="18172" spans="1:4" x14ac:dyDescent="0.25">
      <c r="A18172" s="31"/>
      <c r="D18172" s="30"/>
    </row>
    <row r="18173" spans="1:4" x14ac:dyDescent="0.25">
      <c r="A18173" s="31"/>
      <c r="D18173" s="30"/>
    </row>
    <row r="18174" spans="1:4" x14ac:dyDescent="0.25">
      <c r="A18174" s="31"/>
      <c r="D18174" s="30"/>
    </row>
    <row r="18175" spans="1:4" x14ac:dyDescent="0.25">
      <c r="A18175" s="31"/>
      <c r="D18175" s="30"/>
    </row>
    <row r="18176" spans="1:4" x14ac:dyDescent="0.25">
      <c r="A18176" s="31"/>
      <c r="D18176" s="30"/>
    </row>
    <row r="18177" spans="1:4" x14ac:dyDescent="0.25">
      <c r="A18177" s="31"/>
      <c r="D18177" s="30"/>
    </row>
    <row r="18178" spans="1:4" x14ac:dyDescent="0.25">
      <c r="A18178" s="31"/>
      <c r="D18178" s="30"/>
    </row>
    <row r="18179" spans="1:4" x14ac:dyDescent="0.25">
      <c r="A18179" s="31"/>
      <c r="D18179" s="30"/>
    </row>
    <row r="18180" spans="1:4" x14ac:dyDescent="0.25">
      <c r="A18180" s="31"/>
      <c r="D18180" s="30"/>
    </row>
    <row r="18181" spans="1:4" x14ac:dyDescent="0.25">
      <c r="A18181" s="31"/>
      <c r="D18181" s="30"/>
    </row>
    <row r="18182" spans="1:4" x14ac:dyDescent="0.25">
      <c r="A18182" s="31"/>
      <c r="D18182" s="30"/>
    </row>
    <row r="18183" spans="1:4" x14ac:dyDescent="0.25">
      <c r="A18183" s="31"/>
      <c r="D18183" s="30"/>
    </row>
    <row r="18184" spans="1:4" x14ac:dyDescent="0.25">
      <c r="A18184" s="31"/>
      <c r="D18184" s="30"/>
    </row>
    <row r="18185" spans="1:4" x14ac:dyDescent="0.25">
      <c r="A18185" s="31"/>
      <c r="D18185" s="30"/>
    </row>
    <row r="18186" spans="1:4" x14ac:dyDescent="0.25">
      <c r="A18186" s="31"/>
      <c r="D18186" s="30"/>
    </row>
    <row r="18187" spans="1:4" x14ac:dyDescent="0.25">
      <c r="A18187" s="31"/>
      <c r="D18187" s="30"/>
    </row>
    <row r="18188" spans="1:4" x14ac:dyDescent="0.25">
      <c r="A18188" s="31"/>
      <c r="D18188" s="30"/>
    </row>
    <row r="18189" spans="1:4" x14ac:dyDescent="0.25">
      <c r="A18189" s="31"/>
      <c r="D18189" s="30"/>
    </row>
    <row r="18190" spans="1:4" x14ac:dyDescent="0.25">
      <c r="A18190" s="31"/>
      <c r="D18190" s="30"/>
    </row>
    <row r="18191" spans="1:4" x14ac:dyDescent="0.25">
      <c r="A18191" s="31"/>
      <c r="D18191" s="30"/>
    </row>
    <row r="18192" spans="1:4" x14ac:dyDescent="0.25">
      <c r="A18192" s="31"/>
      <c r="D18192" s="30"/>
    </row>
    <row r="18193" spans="1:4" x14ac:dyDescent="0.25">
      <c r="A18193" s="31"/>
      <c r="D18193" s="30"/>
    </row>
    <row r="18194" spans="1:4" x14ac:dyDescent="0.25">
      <c r="A18194" s="31"/>
      <c r="D18194" s="30"/>
    </row>
    <row r="18195" spans="1:4" x14ac:dyDescent="0.25">
      <c r="A18195" s="31"/>
      <c r="D18195" s="30"/>
    </row>
    <row r="18196" spans="1:4" x14ac:dyDescent="0.25">
      <c r="A18196" s="31"/>
      <c r="D18196" s="30"/>
    </row>
    <row r="18197" spans="1:4" x14ac:dyDescent="0.25">
      <c r="A18197" s="31"/>
      <c r="D18197" s="30"/>
    </row>
    <row r="18198" spans="1:4" x14ac:dyDescent="0.25">
      <c r="A18198" s="31"/>
      <c r="D18198" s="30"/>
    </row>
    <row r="18199" spans="1:4" x14ac:dyDescent="0.25">
      <c r="A18199" s="31"/>
      <c r="D18199" s="30"/>
    </row>
    <row r="18200" spans="1:4" x14ac:dyDescent="0.25">
      <c r="A18200" s="31"/>
      <c r="D18200" s="30"/>
    </row>
    <row r="18201" spans="1:4" x14ac:dyDescent="0.25">
      <c r="A18201" s="31"/>
      <c r="D18201" s="30"/>
    </row>
    <row r="18202" spans="1:4" x14ac:dyDescent="0.25">
      <c r="A18202" s="31"/>
      <c r="D18202" s="30"/>
    </row>
    <row r="18203" spans="1:4" x14ac:dyDescent="0.25">
      <c r="A18203" s="31"/>
      <c r="D18203" s="30"/>
    </row>
    <row r="18204" spans="1:4" x14ac:dyDescent="0.25">
      <c r="A18204" s="31"/>
      <c r="D18204" s="30"/>
    </row>
    <row r="18205" spans="1:4" x14ac:dyDescent="0.25">
      <c r="A18205" s="31"/>
      <c r="D18205" s="30"/>
    </row>
    <row r="18206" spans="1:4" x14ac:dyDescent="0.25">
      <c r="A18206" s="31"/>
      <c r="D18206" s="30"/>
    </row>
    <row r="18207" spans="1:4" x14ac:dyDescent="0.25">
      <c r="A18207" s="31"/>
      <c r="D18207" s="30"/>
    </row>
    <row r="18208" spans="1:4" x14ac:dyDescent="0.25">
      <c r="A18208" s="31"/>
      <c r="D18208" s="30"/>
    </row>
    <row r="18209" spans="1:4" x14ac:dyDescent="0.25">
      <c r="A18209" s="31"/>
      <c r="D18209" s="30"/>
    </row>
    <row r="18210" spans="1:4" x14ac:dyDescent="0.25">
      <c r="A18210" s="31"/>
      <c r="D18210" s="30"/>
    </row>
    <row r="18211" spans="1:4" x14ac:dyDescent="0.25">
      <c r="A18211" s="31"/>
      <c r="D18211" s="30"/>
    </row>
    <row r="18212" spans="1:4" x14ac:dyDescent="0.25">
      <c r="A18212" s="31"/>
      <c r="D18212" s="30"/>
    </row>
    <row r="18213" spans="1:4" x14ac:dyDescent="0.25">
      <c r="A18213" s="31"/>
      <c r="D18213" s="30"/>
    </row>
    <row r="18214" spans="1:4" x14ac:dyDescent="0.25">
      <c r="A18214" s="31"/>
      <c r="D18214" s="30"/>
    </row>
    <row r="18215" spans="1:4" x14ac:dyDescent="0.25">
      <c r="A18215" s="31"/>
      <c r="D18215" s="30"/>
    </row>
    <row r="18216" spans="1:4" x14ac:dyDescent="0.25">
      <c r="A18216" s="31"/>
      <c r="D18216" s="30"/>
    </row>
    <row r="18217" spans="1:4" x14ac:dyDescent="0.25">
      <c r="A18217" s="31"/>
      <c r="D18217" s="30"/>
    </row>
    <row r="18218" spans="1:4" x14ac:dyDescent="0.25">
      <c r="A18218" s="31"/>
      <c r="D18218" s="30"/>
    </row>
    <row r="18219" spans="1:4" x14ac:dyDescent="0.25">
      <c r="A18219" s="31"/>
      <c r="D18219" s="30"/>
    </row>
    <row r="18220" spans="1:4" x14ac:dyDescent="0.25">
      <c r="A18220" s="31"/>
      <c r="D18220" s="30"/>
    </row>
    <row r="18221" spans="1:4" x14ac:dyDescent="0.25">
      <c r="A18221" s="31"/>
      <c r="D18221" s="30"/>
    </row>
    <row r="18222" spans="1:4" x14ac:dyDescent="0.25">
      <c r="A18222" s="31"/>
      <c r="D18222" s="30"/>
    </row>
    <row r="18223" spans="1:4" x14ac:dyDescent="0.25">
      <c r="A18223" s="31"/>
      <c r="D18223" s="30"/>
    </row>
    <row r="18224" spans="1:4" x14ac:dyDescent="0.25">
      <c r="A18224" s="31"/>
      <c r="D18224" s="30"/>
    </row>
    <row r="18225" spans="1:4" x14ac:dyDescent="0.25">
      <c r="A18225" s="31"/>
      <c r="D18225" s="30"/>
    </row>
    <row r="18226" spans="1:4" x14ac:dyDescent="0.25">
      <c r="A18226" s="31"/>
      <c r="D18226" s="30"/>
    </row>
    <row r="18227" spans="1:4" x14ac:dyDescent="0.25">
      <c r="A18227" s="31"/>
      <c r="D18227" s="30"/>
    </row>
    <row r="18228" spans="1:4" x14ac:dyDescent="0.25">
      <c r="A18228" s="31"/>
      <c r="D18228" s="30"/>
    </row>
    <row r="18229" spans="1:4" x14ac:dyDescent="0.25">
      <c r="A18229" s="31"/>
      <c r="D18229" s="30"/>
    </row>
    <row r="18230" spans="1:4" x14ac:dyDescent="0.25">
      <c r="A18230" s="31"/>
      <c r="D18230" s="30"/>
    </row>
    <row r="18231" spans="1:4" x14ac:dyDescent="0.25">
      <c r="A18231" s="31"/>
      <c r="D18231" s="30"/>
    </row>
    <row r="18232" spans="1:4" x14ac:dyDescent="0.25">
      <c r="A18232" s="31"/>
      <c r="D18232" s="30"/>
    </row>
    <row r="18233" spans="1:4" x14ac:dyDescent="0.25">
      <c r="A18233" s="31"/>
      <c r="D18233" s="30"/>
    </row>
    <row r="18234" spans="1:4" x14ac:dyDescent="0.25">
      <c r="A18234" s="31"/>
      <c r="D18234" s="30"/>
    </row>
    <row r="18235" spans="1:4" x14ac:dyDescent="0.25">
      <c r="A18235" s="31"/>
      <c r="D18235" s="30"/>
    </row>
    <row r="18236" spans="1:4" x14ac:dyDescent="0.25">
      <c r="A18236" s="31"/>
      <c r="D18236" s="30"/>
    </row>
    <row r="18237" spans="1:4" x14ac:dyDescent="0.25">
      <c r="A18237" s="31"/>
      <c r="D18237" s="30"/>
    </row>
    <row r="18238" spans="1:4" x14ac:dyDescent="0.25">
      <c r="A18238" s="31"/>
      <c r="D18238" s="30"/>
    </row>
    <row r="18239" spans="1:4" x14ac:dyDescent="0.25">
      <c r="A18239" s="31"/>
      <c r="D18239" s="30"/>
    </row>
    <row r="18240" spans="1:4" x14ac:dyDescent="0.25">
      <c r="A18240" s="31"/>
      <c r="D18240" s="30"/>
    </row>
    <row r="18241" spans="1:4" x14ac:dyDescent="0.25">
      <c r="A18241" s="31"/>
      <c r="D18241" s="30"/>
    </row>
    <row r="18242" spans="1:4" x14ac:dyDescent="0.25">
      <c r="A18242" s="31"/>
      <c r="D18242" s="30"/>
    </row>
    <row r="18243" spans="1:4" x14ac:dyDescent="0.25">
      <c r="A18243" s="31"/>
      <c r="D18243" s="30"/>
    </row>
    <row r="18244" spans="1:4" x14ac:dyDescent="0.25">
      <c r="A18244" s="31"/>
      <c r="D18244" s="30"/>
    </row>
    <row r="18245" spans="1:4" x14ac:dyDescent="0.25">
      <c r="A18245" s="31"/>
      <c r="D18245" s="30"/>
    </row>
    <row r="18246" spans="1:4" x14ac:dyDescent="0.25">
      <c r="A18246" s="31"/>
      <c r="D18246" s="30"/>
    </row>
    <row r="18247" spans="1:4" x14ac:dyDescent="0.25">
      <c r="A18247" s="31"/>
      <c r="D18247" s="30"/>
    </row>
    <row r="18248" spans="1:4" x14ac:dyDescent="0.25">
      <c r="A18248" s="31"/>
      <c r="D18248" s="30"/>
    </row>
    <row r="18249" spans="1:4" x14ac:dyDescent="0.25">
      <c r="A18249" s="31"/>
      <c r="D18249" s="30"/>
    </row>
    <row r="18250" spans="1:4" x14ac:dyDescent="0.25">
      <c r="A18250" s="31"/>
      <c r="D18250" s="30"/>
    </row>
    <row r="18251" spans="1:4" x14ac:dyDescent="0.25">
      <c r="A18251" s="31"/>
      <c r="D18251" s="30"/>
    </row>
    <row r="18252" spans="1:4" x14ac:dyDescent="0.25">
      <c r="A18252" s="31"/>
      <c r="D18252" s="30"/>
    </row>
    <row r="18253" spans="1:4" x14ac:dyDescent="0.25">
      <c r="A18253" s="31"/>
      <c r="D18253" s="30"/>
    </row>
    <row r="18254" spans="1:4" x14ac:dyDescent="0.25">
      <c r="A18254" s="31"/>
      <c r="D18254" s="30"/>
    </row>
    <row r="18255" spans="1:4" x14ac:dyDescent="0.25">
      <c r="A18255" s="31"/>
      <c r="D18255" s="30"/>
    </row>
    <row r="18256" spans="1:4" x14ac:dyDescent="0.25">
      <c r="A18256" s="31"/>
      <c r="D18256" s="30"/>
    </row>
    <row r="18257" spans="1:4" x14ac:dyDescent="0.25">
      <c r="A18257" s="31"/>
      <c r="D18257" s="30"/>
    </row>
    <row r="18258" spans="1:4" x14ac:dyDescent="0.25">
      <c r="A18258" s="31"/>
      <c r="D18258" s="30"/>
    </row>
    <row r="18259" spans="1:4" x14ac:dyDescent="0.25">
      <c r="A18259" s="31"/>
      <c r="D18259" s="30"/>
    </row>
    <row r="18260" spans="1:4" x14ac:dyDescent="0.25">
      <c r="A18260" s="31"/>
      <c r="D18260" s="30"/>
    </row>
    <row r="18261" spans="1:4" x14ac:dyDescent="0.25">
      <c r="A18261" s="31"/>
      <c r="D18261" s="30"/>
    </row>
    <row r="18262" spans="1:4" x14ac:dyDescent="0.25">
      <c r="A18262" s="31"/>
      <c r="D18262" s="30"/>
    </row>
    <row r="18263" spans="1:4" x14ac:dyDescent="0.25">
      <c r="A18263" s="31"/>
      <c r="D18263" s="30"/>
    </row>
    <row r="18264" spans="1:4" x14ac:dyDescent="0.25">
      <c r="A18264" s="31"/>
      <c r="D18264" s="30"/>
    </row>
    <row r="18265" spans="1:4" x14ac:dyDescent="0.25">
      <c r="A18265" s="31"/>
      <c r="D18265" s="30"/>
    </row>
    <row r="18266" spans="1:4" x14ac:dyDescent="0.25">
      <c r="A18266" s="31"/>
      <c r="D18266" s="30"/>
    </row>
    <row r="18267" spans="1:4" x14ac:dyDescent="0.25">
      <c r="A18267" s="31"/>
      <c r="D18267" s="30"/>
    </row>
    <row r="18268" spans="1:4" x14ac:dyDescent="0.25">
      <c r="A18268" s="31"/>
      <c r="D18268" s="30"/>
    </row>
    <row r="18269" spans="1:4" x14ac:dyDescent="0.25">
      <c r="A18269" s="31"/>
      <c r="D18269" s="30"/>
    </row>
    <row r="18270" spans="1:4" x14ac:dyDescent="0.25">
      <c r="A18270" s="31"/>
      <c r="D18270" s="30"/>
    </row>
    <row r="18271" spans="1:4" x14ac:dyDescent="0.25">
      <c r="A18271" s="31"/>
      <c r="D18271" s="30"/>
    </row>
    <row r="18272" spans="1:4" x14ac:dyDescent="0.25">
      <c r="A18272" s="31"/>
      <c r="D18272" s="30"/>
    </row>
    <row r="18273" spans="1:4" x14ac:dyDescent="0.25">
      <c r="A18273" s="31"/>
      <c r="D18273" s="30"/>
    </row>
    <row r="18274" spans="1:4" x14ac:dyDescent="0.25">
      <c r="A18274" s="31"/>
      <c r="D18274" s="30"/>
    </row>
    <row r="18275" spans="1:4" x14ac:dyDescent="0.25">
      <c r="A18275" s="31"/>
      <c r="D18275" s="30"/>
    </row>
    <row r="18276" spans="1:4" x14ac:dyDescent="0.25">
      <c r="A18276" s="31"/>
      <c r="D18276" s="30"/>
    </row>
    <row r="18277" spans="1:4" x14ac:dyDescent="0.25">
      <c r="A18277" s="31"/>
      <c r="D18277" s="30"/>
    </row>
    <row r="18278" spans="1:4" x14ac:dyDescent="0.25">
      <c r="A18278" s="31"/>
      <c r="D18278" s="30"/>
    </row>
    <row r="18279" spans="1:4" x14ac:dyDescent="0.25">
      <c r="A18279" s="31"/>
      <c r="D18279" s="30"/>
    </row>
    <row r="18280" spans="1:4" x14ac:dyDescent="0.25">
      <c r="A18280" s="31"/>
      <c r="D18280" s="30"/>
    </row>
    <row r="18281" spans="1:4" x14ac:dyDescent="0.25">
      <c r="A18281" s="31"/>
      <c r="D18281" s="30"/>
    </row>
    <row r="18282" spans="1:4" x14ac:dyDescent="0.25">
      <c r="A18282" s="31"/>
      <c r="D18282" s="30"/>
    </row>
    <row r="18283" spans="1:4" x14ac:dyDescent="0.25">
      <c r="A18283" s="31"/>
      <c r="D18283" s="30"/>
    </row>
    <row r="18284" spans="1:4" x14ac:dyDescent="0.25">
      <c r="A18284" s="31"/>
      <c r="D18284" s="30"/>
    </row>
    <row r="18285" spans="1:4" x14ac:dyDescent="0.25">
      <c r="A18285" s="31"/>
      <c r="D18285" s="30"/>
    </row>
    <row r="18286" spans="1:4" x14ac:dyDescent="0.25">
      <c r="A18286" s="31"/>
      <c r="D18286" s="30"/>
    </row>
    <row r="18287" spans="1:4" x14ac:dyDescent="0.25">
      <c r="A18287" s="31"/>
      <c r="D18287" s="30"/>
    </row>
    <row r="18288" spans="1:4" x14ac:dyDescent="0.25">
      <c r="A18288" s="31"/>
      <c r="D18288" s="30"/>
    </row>
    <row r="18289" spans="1:4" x14ac:dyDescent="0.25">
      <c r="A18289" s="31"/>
      <c r="D18289" s="30"/>
    </row>
    <row r="18290" spans="1:4" x14ac:dyDescent="0.25">
      <c r="A18290" s="31"/>
      <c r="D18290" s="30"/>
    </row>
    <row r="18291" spans="1:4" x14ac:dyDescent="0.25">
      <c r="A18291" s="31"/>
      <c r="D18291" s="30"/>
    </row>
    <row r="18292" spans="1:4" x14ac:dyDescent="0.25">
      <c r="A18292" s="31"/>
      <c r="D18292" s="30"/>
    </row>
    <row r="18293" spans="1:4" x14ac:dyDescent="0.25">
      <c r="A18293" s="31"/>
      <c r="D18293" s="30"/>
    </row>
    <row r="18294" spans="1:4" x14ac:dyDescent="0.25">
      <c r="A18294" s="31"/>
      <c r="D18294" s="30"/>
    </row>
    <row r="18295" spans="1:4" x14ac:dyDescent="0.25">
      <c r="A18295" s="31"/>
      <c r="D18295" s="30"/>
    </row>
    <row r="18296" spans="1:4" x14ac:dyDescent="0.25">
      <c r="A18296" s="31"/>
      <c r="D18296" s="30"/>
    </row>
    <row r="18297" spans="1:4" x14ac:dyDescent="0.25">
      <c r="A18297" s="31"/>
      <c r="D18297" s="30"/>
    </row>
    <row r="18298" spans="1:4" x14ac:dyDescent="0.25">
      <c r="A18298" s="31"/>
      <c r="D18298" s="30"/>
    </row>
    <row r="18299" spans="1:4" x14ac:dyDescent="0.25">
      <c r="A18299" s="31"/>
      <c r="D18299" s="30"/>
    </row>
    <row r="18300" spans="1:4" x14ac:dyDescent="0.25">
      <c r="A18300" s="31"/>
      <c r="D18300" s="30"/>
    </row>
    <row r="18301" spans="1:4" x14ac:dyDescent="0.25">
      <c r="A18301" s="31"/>
      <c r="D18301" s="30"/>
    </row>
    <row r="18302" spans="1:4" x14ac:dyDescent="0.25">
      <c r="A18302" s="31"/>
      <c r="D18302" s="30"/>
    </row>
    <row r="18303" spans="1:4" x14ac:dyDescent="0.25">
      <c r="A18303" s="31"/>
      <c r="D18303" s="30"/>
    </row>
    <row r="18304" spans="1:4" x14ac:dyDescent="0.25">
      <c r="A18304" s="31"/>
      <c r="D18304" s="30"/>
    </row>
    <row r="18305" spans="1:4" x14ac:dyDescent="0.25">
      <c r="A18305" s="31"/>
      <c r="D18305" s="30"/>
    </row>
    <row r="18306" spans="1:4" x14ac:dyDescent="0.25">
      <c r="A18306" s="31"/>
      <c r="D18306" s="30"/>
    </row>
    <row r="18307" spans="1:4" x14ac:dyDescent="0.25">
      <c r="A18307" s="31"/>
      <c r="D18307" s="30"/>
    </row>
    <row r="18308" spans="1:4" x14ac:dyDescent="0.25">
      <c r="A18308" s="31"/>
      <c r="D18308" s="30"/>
    </row>
    <row r="18309" spans="1:4" x14ac:dyDescent="0.25">
      <c r="A18309" s="31"/>
      <c r="D18309" s="30"/>
    </row>
    <row r="18310" spans="1:4" x14ac:dyDescent="0.25">
      <c r="A18310" s="31"/>
      <c r="D18310" s="30"/>
    </row>
    <row r="18311" spans="1:4" x14ac:dyDescent="0.25">
      <c r="A18311" s="31"/>
      <c r="D18311" s="30"/>
    </row>
    <row r="18312" spans="1:4" x14ac:dyDescent="0.25">
      <c r="A18312" s="31"/>
      <c r="D18312" s="30"/>
    </row>
    <row r="18313" spans="1:4" x14ac:dyDescent="0.25">
      <c r="A18313" s="31"/>
      <c r="D18313" s="30"/>
    </row>
    <row r="18314" spans="1:4" x14ac:dyDescent="0.25">
      <c r="A18314" s="31"/>
      <c r="D18314" s="30"/>
    </row>
    <row r="18315" spans="1:4" x14ac:dyDescent="0.25">
      <c r="A18315" s="31"/>
      <c r="D18315" s="30"/>
    </row>
    <row r="18316" spans="1:4" x14ac:dyDescent="0.25">
      <c r="A18316" s="31"/>
      <c r="D18316" s="30"/>
    </row>
    <row r="18317" spans="1:4" x14ac:dyDescent="0.25">
      <c r="A18317" s="31"/>
      <c r="D18317" s="30"/>
    </row>
    <row r="18318" spans="1:4" x14ac:dyDescent="0.25">
      <c r="A18318" s="31"/>
      <c r="D18318" s="30"/>
    </row>
    <row r="18319" spans="1:4" x14ac:dyDescent="0.25">
      <c r="A18319" s="31"/>
      <c r="D18319" s="30"/>
    </row>
    <row r="18320" spans="1:4" x14ac:dyDescent="0.25">
      <c r="A18320" s="31"/>
      <c r="D18320" s="30"/>
    </row>
    <row r="18321" spans="1:4" x14ac:dyDescent="0.25">
      <c r="A18321" s="31"/>
      <c r="D18321" s="30"/>
    </row>
    <row r="18322" spans="1:4" x14ac:dyDescent="0.25">
      <c r="A18322" s="31"/>
      <c r="D18322" s="30"/>
    </row>
    <row r="18323" spans="1:4" x14ac:dyDescent="0.25">
      <c r="A18323" s="31"/>
      <c r="D18323" s="30"/>
    </row>
    <row r="18324" spans="1:4" x14ac:dyDescent="0.25">
      <c r="A18324" s="31"/>
      <c r="D18324" s="30"/>
    </row>
    <row r="18325" spans="1:4" x14ac:dyDescent="0.25">
      <c r="A18325" s="31"/>
      <c r="D18325" s="30"/>
    </row>
    <row r="18326" spans="1:4" x14ac:dyDescent="0.25">
      <c r="A18326" s="31"/>
      <c r="D18326" s="30"/>
    </row>
    <row r="18327" spans="1:4" x14ac:dyDescent="0.25">
      <c r="A18327" s="31"/>
      <c r="D18327" s="30"/>
    </row>
    <row r="18328" spans="1:4" x14ac:dyDescent="0.25">
      <c r="A18328" s="31"/>
      <c r="D18328" s="30"/>
    </row>
    <row r="18329" spans="1:4" x14ac:dyDescent="0.25">
      <c r="A18329" s="31"/>
      <c r="D18329" s="30"/>
    </row>
    <row r="18330" spans="1:4" x14ac:dyDescent="0.25">
      <c r="A18330" s="31"/>
      <c r="D18330" s="30"/>
    </row>
    <row r="18331" spans="1:4" x14ac:dyDescent="0.25">
      <c r="A18331" s="31"/>
      <c r="D18331" s="30"/>
    </row>
    <row r="18332" spans="1:4" x14ac:dyDescent="0.25">
      <c r="A18332" s="31"/>
      <c r="D18332" s="30"/>
    </row>
    <row r="18333" spans="1:4" x14ac:dyDescent="0.25">
      <c r="A18333" s="31"/>
      <c r="D18333" s="30"/>
    </row>
    <row r="18334" spans="1:4" x14ac:dyDescent="0.25">
      <c r="A18334" s="31"/>
      <c r="D18334" s="30"/>
    </row>
    <row r="18335" spans="1:4" x14ac:dyDescent="0.25">
      <c r="A18335" s="31"/>
      <c r="D18335" s="30"/>
    </row>
    <row r="18336" spans="1:4" x14ac:dyDescent="0.25">
      <c r="A18336" s="31"/>
      <c r="D18336" s="30"/>
    </row>
    <row r="18337" spans="1:4" x14ac:dyDescent="0.25">
      <c r="A18337" s="31"/>
      <c r="D18337" s="30"/>
    </row>
    <row r="18338" spans="1:4" x14ac:dyDescent="0.25">
      <c r="A18338" s="31"/>
      <c r="D18338" s="30"/>
    </row>
    <row r="18339" spans="1:4" x14ac:dyDescent="0.25">
      <c r="A18339" s="31"/>
      <c r="D18339" s="30"/>
    </row>
    <row r="18340" spans="1:4" x14ac:dyDescent="0.25">
      <c r="A18340" s="31"/>
      <c r="D18340" s="30"/>
    </row>
    <row r="18341" spans="1:4" x14ac:dyDescent="0.25">
      <c r="A18341" s="31"/>
      <c r="D18341" s="30"/>
    </row>
    <row r="18342" spans="1:4" x14ac:dyDescent="0.25">
      <c r="A18342" s="31"/>
      <c r="D18342" s="30"/>
    </row>
    <row r="18343" spans="1:4" x14ac:dyDescent="0.25">
      <c r="A18343" s="31"/>
      <c r="D18343" s="30"/>
    </row>
    <row r="18344" spans="1:4" x14ac:dyDescent="0.25">
      <c r="A18344" s="31"/>
      <c r="D18344" s="30"/>
    </row>
    <row r="18345" spans="1:4" x14ac:dyDescent="0.25">
      <c r="A18345" s="31"/>
      <c r="D18345" s="30"/>
    </row>
    <row r="18346" spans="1:4" x14ac:dyDescent="0.25">
      <c r="A18346" s="31"/>
      <c r="D18346" s="30"/>
    </row>
    <row r="18347" spans="1:4" x14ac:dyDescent="0.25">
      <c r="A18347" s="31"/>
      <c r="D18347" s="30"/>
    </row>
    <row r="18348" spans="1:4" x14ac:dyDescent="0.25">
      <c r="A18348" s="31"/>
      <c r="D18348" s="30"/>
    </row>
    <row r="18349" spans="1:4" x14ac:dyDescent="0.25">
      <c r="A18349" s="31"/>
      <c r="D18349" s="30"/>
    </row>
    <row r="18350" spans="1:4" x14ac:dyDescent="0.25">
      <c r="A18350" s="31"/>
      <c r="D18350" s="30"/>
    </row>
    <row r="18351" spans="1:4" x14ac:dyDescent="0.25">
      <c r="A18351" s="31"/>
      <c r="D18351" s="30"/>
    </row>
    <row r="18352" spans="1:4" x14ac:dyDescent="0.25">
      <c r="A18352" s="31"/>
      <c r="D18352" s="30"/>
    </row>
    <row r="18353" spans="1:4" x14ac:dyDescent="0.25">
      <c r="A18353" s="31"/>
      <c r="D18353" s="30"/>
    </row>
    <row r="18354" spans="1:4" x14ac:dyDescent="0.25">
      <c r="A18354" s="31"/>
      <c r="D18354" s="30"/>
    </row>
    <row r="18355" spans="1:4" x14ac:dyDescent="0.25">
      <c r="A18355" s="31"/>
      <c r="D18355" s="30"/>
    </row>
    <row r="18356" spans="1:4" x14ac:dyDescent="0.25">
      <c r="A18356" s="31"/>
      <c r="D18356" s="30"/>
    </row>
    <row r="18357" spans="1:4" x14ac:dyDescent="0.25">
      <c r="A18357" s="31"/>
      <c r="D18357" s="30"/>
    </row>
    <row r="18358" spans="1:4" x14ac:dyDescent="0.25">
      <c r="A18358" s="31"/>
      <c r="D18358" s="30"/>
    </row>
    <row r="18359" spans="1:4" x14ac:dyDescent="0.25">
      <c r="A18359" s="31"/>
      <c r="D18359" s="30"/>
    </row>
    <row r="18360" spans="1:4" x14ac:dyDescent="0.25">
      <c r="A18360" s="31"/>
      <c r="D18360" s="30"/>
    </row>
    <row r="18361" spans="1:4" x14ac:dyDescent="0.25">
      <c r="A18361" s="31"/>
      <c r="D18361" s="30"/>
    </row>
    <row r="18362" spans="1:4" x14ac:dyDescent="0.25">
      <c r="A18362" s="31"/>
      <c r="D18362" s="30"/>
    </row>
    <row r="18363" spans="1:4" x14ac:dyDescent="0.25">
      <c r="A18363" s="31"/>
      <c r="D18363" s="30"/>
    </row>
    <row r="18364" spans="1:4" x14ac:dyDescent="0.25">
      <c r="A18364" s="31"/>
      <c r="D18364" s="30"/>
    </row>
    <row r="18365" spans="1:4" x14ac:dyDescent="0.25">
      <c r="A18365" s="31"/>
      <c r="D18365" s="30"/>
    </row>
    <row r="18366" spans="1:4" x14ac:dyDescent="0.25">
      <c r="A18366" s="31"/>
      <c r="D18366" s="30"/>
    </row>
    <row r="18367" spans="1:4" x14ac:dyDescent="0.25">
      <c r="A18367" s="31"/>
      <c r="D18367" s="30"/>
    </row>
    <row r="18368" spans="1:4" x14ac:dyDescent="0.25">
      <c r="A18368" s="31"/>
      <c r="D18368" s="30"/>
    </row>
    <row r="18369" spans="1:4" x14ac:dyDescent="0.25">
      <c r="A18369" s="31"/>
      <c r="D18369" s="30"/>
    </row>
    <row r="18370" spans="1:4" x14ac:dyDescent="0.25">
      <c r="A18370" s="31"/>
      <c r="D18370" s="30"/>
    </row>
    <row r="18371" spans="1:4" x14ac:dyDescent="0.25">
      <c r="A18371" s="31"/>
      <c r="D18371" s="30"/>
    </row>
    <row r="18372" spans="1:4" x14ac:dyDescent="0.25">
      <c r="A18372" s="31"/>
      <c r="D18372" s="30"/>
    </row>
    <row r="18373" spans="1:4" x14ac:dyDescent="0.25">
      <c r="A18373" s="31"/>
      <c r="D18373" s="30"/>
    </row>
    <row r="18374" spans="1:4" x14ac:dyDescent="0.25">
      <c r="A18374" s="31"/>
      <c r="D18374" s="30"/>
    </row>
    <row r="18375" spans="1:4" x14ac:dyDescent="0.25">
      <c r="A18375" s="31"/>
      <c r="D18375" s="30"/>
    </row>
    <row r="18376" spans="1:4" x14ac:dyDescent="0.25">
      <c r="A18376" s="31"/>
      <c r="D18376" s="30"/>
    </row>
    <row r="18377" spans="1:4" x14ac:dyDescent="0.25">
      <c r="A18377" s="31"/>
      <c r="D18377" s="30"/>
    </row>
    <row r="18378" spans="1:4" x14ac:dyDescent="0.25">
      <c r="A18378" s="31"/>
      <c r="D18378" s="30"/>
    </row>
    <row r="18379" spans="1:4" x14ac:dyDescent="0.25">
      <c r="A18379" s="31"/>
      <c r="D18379" s="30"/>
    </row>
    <row r="18380" spans="1:4" x14ac:dyDescent="0.25">
      <c r="A18380" s="31"/>
      <c r="D18380" s="30"/>
    </row>
    <row r="18381" spans="1:4" x14ac:dyDescent="0.25">
      <c r="A18381" s="31"/>
      <c r="D18381" s="30"/>
    </row>
    <row r="18382" spans="1:4" x14ac:dyDescent="0.25">
      <c r="A18382" s="31"/>
      <c r="D18382" s="30"/>
    </row>
    <row r="18383" spans="1:4" x14ac:dyDescent="0.25">
      <c r="A18383" s="31"/>
      <c r="D18383" s="30"/>
    </row>
    <row r="18384" spans="1:4" x14ac:dyDescent="0.25">
      <c r="A18384" s="31"/>
      <c r="D18384" s="30"/>
    </row>
    <row r="18385" spans="1:4" x14ac:dyDescent="0.25">
      <c r="A18385" s="31"/>
      <c r="D18385" s="30"/>
    </row>
    <row r="18386" spans="1:4" x14ac:dyDescent="0.25">
      <c r="A18386" s="31"/>
      <c r="D18386" s="30"/>
    </row>
    <row r="18387" spans="1:4" x14ac:dyDescent="0.25">
      <c r="A18387" s="31"/>
      <c r="D18387" s="30"/>
    </row>
    <row r="18388" spans="1:4" x14ac:dyDescent="0.25">
      <c r="A18388" s="31"/>
      <c r="D18388" s="30"/>
    </row>
    <row r="18389" spans="1:4" x14ac:dyDescent="0.25">
      <c r="A18389" s="31"/>
      <c r="D18389" s="30"/>
    </row>
    <row r="18390" spans="1:4" x14ac:dyDescent="0.25">
      <c r="A18390" s="31"/>
      <c r="D18390" s="30"/>
    </row>
    <row r="18391" spans="1:4" x14ac:dyDescent="0.25">
      <c r="A18391" s="31"/>
      <c r="D18391" s="30"/>
    </row>
    <row r="18392" spans="1:4" x14ac:dyDescent="0.25">
      <c r="A18392" s="31"/>
      <c r="D18392" s="30"/>
    </row>
    <row r="18393" spans="1:4" x14ac:dyDescent="0.25">
      <c r="A18393" s="31"/>
      <c r="D18393" s="30"/>
    </row>
    <row r="18394" spans="1:4" x14ac:dyDescent="0.25">
      <c r="A18394" s="31"/>
      <c r="D18394" s="30"/>
    </row>
    <row r="18395" spans="1:4" x14ac:dyDescent="0.25">
      <c r="A18395" s="31"/>
      <c r="D18395" s="30"/>
    </row>
    <row r="18396" spans="1:4" x14ac:dyDescent="0.25">
      <c r="A18396" s="31"/>
      <c r="D18396" s="30"/>
    </row>
    <row r="18397" spans="1:4" x14ac:dyDescent="0.25">
      <c r="A18397" s="31"/>
      <c r="D18397" s="30"/>
    </row>
    <row r="18398" spans="1:4" x14ac:dyDescent="0.25">
      <c r="A18398" s="31"/>
      <c r="D18398" s="30"/>
    </row>
    <row r="18399" spans="1:4" x14ac:dyDescent="0.25">
      <c r="A18399" s="31"/>
      <c r="D18399" s="30"/>
    </row>
    <row r="18400" spans="1:4" x14ac:dyDescent="0.25">
      <c r="A18400" s="31"/>
      <c r="D18400" s="30"/>
    </row>
    <row r="18401" spans="1:4" x14ac:dyDescent="0.25">
      <c r="A18401" s="31"/>
      <c r="D18401" s="30"/>
    </row>
    <row r="18402" spans="1:4" x14ac:dyDescent="0.25">
      <c r="A18402" s="31"/>
      <c r="D18402" s="30"/>
    </row>
    <row r="18403" spans="1:4" x14ac:dyDescent="0.25">
      <c r="A18403" s="31"/>
      <c r="D18403" s="30"/>
    </row>
    <row r="18404" spans="1:4" x14ac:dyDescent="0.25">
      <c r="A18404" s="31"/>
      <c r="D18404" s="30"/>
    </row>
    <row r="18405" spans="1:4" x14ac:dyDescent="0.25">
      <c r="A18405" s="31"/>
      <c r="D18405" s="30"/>
    </row>
    <row r="18406" spans="1:4" x14ac:dyDescent="0.25">
      <c r="A18406" s="31"/>
      <c r="D18406" s="30"/>
    </row>
    <row r="18407" spans="1:4" x14ac:dyDescent="0.25">
      <c r="A18407" s="31"/>
      <c r="D18407" s="30"/>
    </row>
    <row r="18408" spans="1:4" x14ac:dyDescent="0.25">
      <c r="A18408" s="31"/>
      <c r="D18408" s="30"/>
    </row>
    <row r="18409" spans="1:4" x14ac:dyDescent="0.25">
      <c r="A18409" s="31"/>
      <c r="D18409" s="30"/>
    </row>
    <row r="18410" spans="1:4" x14ac:dyDescent="0.25">
      <c r="A18410" s="31"/>
      <c r="D18410" s="30"/>
    </row>
    <row r="18411" spans="1:4" x14ac:dyDescent="0.25">
      <c r="A18411" s="31"/>
      <c r="D18411" s="30"/>
    </row>
    <row r="18412" spans="1:4" x14ac:dyDescent="0.25">
      <c r="A18412" s="31"/>
      <c r="D18412" s="30"/>
    </row>
    <row r="18413" spans="1:4" x14ac:dyDescent="0.25">
      <c r="A18413" s="31"/>
      <c r="D18413" s="30"/>
    </row>
    <row r="18414" spans="1:4" x14ac:dyDescent="0.25">
      <c r="A18414" s="31"/>
      <c r="D18414" s="30"/>
    </row>
    <row r="18415" spans="1:4" x14ac:dyDescent="0.25">
      <c r="A18415" s="31"/>
      <c r="D18415" s="30"/>
    </row>
    <row r="18416" spans="1:4" x14ac:dyDescent="0.25">
      <c r="A18416" s="31"/>
      <c r="D18416" s="30"/>
    </row>
    <row r="18417" spans="1:4" x14ac:dyDescent="0.25">
      <c r="A18417" s="31"/>
      <c r="D18417" s="30"/>
    </row>
    <row r="18418" spans="1:4" x14ac:dyDescent="0.25">
      <c r="A18418" s="31"/>
      <c r="D18418" s="30"/>
    </row>
    <row r="18419" spans="1:4" x14ac:dyDescent="0.25">
      <c r="A18419" s="31"/>
      <c r="D18419" s="30"/>
    </row>
    <row r="18420" spans="1:4" x14ac:dyDescent="0.25">
      <c r="A18420" s="31"/>
      <c r="D18420" s="30"/>
    </row>
    <row r="18421" spans="1:4" x14ac:dyDescent="0.25">
      <c r="A18421" s="31"/>
      <c r="D18421" s="30"/>
    </row>
    <row r="18422" spans="1:4" x14ac:dyDescent="0.25">
      <c r="A18422" s="31"/>
      <c r="D18422" s="30"/>
    </row>
    <row r="18423" spans="1:4" x14ac:dyDescent="0.25">
      <c r="A18423" s="31"/>
      <c r="D18423" s="30"/>
    </row>
    <row r="18424" spans="1:4" x14ac:dyDescent="0.25">
      <c r="A18424" s="31"/>
      <c r="D18424" s="30"/>
    </row>
    <row r="18425" spans="1:4" x14ac:dyDescent="0.25">
      <c r="A18425" s="31"/>
      <c r="D18425" s="30"/>
    </row>
    <row r="18426" spans="1:4" x14ac:dyDescent="0.25">
      <c r="A18426" s="31"/>
      <c r="D18426" s="30"/>
    </row>
    <row r="18427" spans="1:4" x14ac:dyDescent="0.25">
      <c r="A18427" s="31"/>
      <c r="D18427" s="30"/>
    </row>
    <row r="18428" spans="1:4" x14ac:dyDescent="0.25">
      <c r="A18428" s="31"/>
      <c r="D18428" s="30"/>
    </row>
    <row r="18429" spans="1:4" x14ac:dyDescent="0.25">
      <c r="A18429" s="31"/>
      <c r="D18429" s="30"/>
    </row>
    <row r="18430" spans="1:4" x14ac:dyDescent="0.25">
      <c r="A18430" s="31"/>
      <c r="D18430" s="30"/>
    </row>
    <row r="18431" spans="1:4" x14ac:dyDescent="0.25">
      <c r="A18431" s="31"/>
      <c r="D18431" s="30"/>
    </row>
    <row r="18432" spans="1:4" x14ac:dyDescent="0.25">
      <c r="A18432" s="31"/>
      <c r="D18432" s="30"/>
    </row>
    <row r="18433" spans="1:4" x14ac:dyDescent="0.25">
      <c r="A18433" s="31"/>
      <c r="D18433" s="30"/>
    </row>
    <row r="18434" spans="1:4" x14ac:dyDescent="0.25">
      <c r="A18434" s="31"/>
      <c r="D18434" s="30"/>
    </row>
    <row r="18435" spans="1:4" x14ac:dyDescent="0.25">
      <c r="A18435" s="31"/>
      <c r="D18435" s="30"/>
    </row>
    <row r="18436" spans="1:4" x14ac:dyDescent="0.25">
      <c r="A18436" s="31"/>
      <c r="D18436" s="30"/>
    </row>
    <row r="18437" spans="1:4" x14ac:dyDescent="0.25">
      <c r="A18437" s="31"/>
      <c r="D18437" s="30"/>
    </row>
    <row r="18438" spans="1:4" x14ac:dyDescent="0.25">
      <c r="A18438" s="31"/>
      <c r="D18438" s="30"/>
    </row>
    <row r="18439" spans="1:4" x14ac:dyDescent="0.25">
      <c r="A18439" s="31"/>
      <c r="D18439" s="30"/>
    </row>
    <row r="18440" spans="1:4" x14ac:dyDescent="0.25">
      <c r="A18440" s="31"/>
      <c r="D18440" s="30"/>
    </row>
    <row r="18441" spans="1:4" x14ac:dyDescent="0.25">
      <c r="A18441" s="31"/>
      <c r="D18441" s="30"/>
    </row>
    <row r="18442" spans="1:4" x14ac:dyDescent="0.25">
      <c r="A18442" s="31"/>
      <c r="D18442" s="30"/>
    </row>
    <row r="18443" spans="1:4" x14ac:dyDescent="0.25">
      <c r="A18443" s="31"/>
      <c r="D18443" s="30"/>
    </row>
    <row r="18444" spans="1:4" x14ac:dyDescent="0.25">
      <c r="A18444" s="31"/>
      <c r="D18444" s="30"/>
    </row>
    <row r="18445" spans="1:4" x14ac:dyDescent="0.25">
      <c r="A18445" s="31"/>
      <c r="D18445" s="30"/>
    </row>
    <row r="18446" spans="1:4" x14ac:dyDescent="0.25">
      <c r="A18446" s="31"/>
      <c r="D18446" s="30"/>
    </row>
    <row r="18447" spans="1:4" x14ac:dyDescent="0.25">
      <c r="A18447" s="31"/>
      <c r="D18447" s="30"/>
    </row>
    <row r="18448" spans="1:4" x14ac:dyDescent="0.25">
      <c r="A18448" s="31"/>
      <c r="D18448" s="30"/>
    </row>
    <row r="18449" spans="1:4" x14ac:dyDescent="0.25">
      <c r="A18449" s="31"/>
      <c r="D18449" s="30"/>
    </row>
    <row r="18450" spans="1:4" x14ac:dyDescent="0.25">
      <c r="A18450" s="31"/>
      <c r="D18450" s="30"/>
    </row>
    <row r="18451" spans="1:4" x14ac:dyDescent="0.25">
      <c r="A18451" s="31"/>
      <c r="D18451" s="30"/>
    </row>
    <row r="18452" spans="1:4" x14ac:dyDescent="0.25">
      <c r="A18452" s="31"/>
      <c r="D18452" s="30"/>
    </row>
    <row r="18453" spans="1:4" x14ac:dyDescent="0.25">
      <c r="A18453" s="31"/>
      <c r="D18453" s="30"/>
    </row>
    <row r="18454" spans="1:4" x14ac:dyDescent="0.25">
      <c r="A18454" s="31"/>
      <c r="D18454" s="30"/>
    </row>
    <row r="18455" spans="1:4" x14ac:dyDescent="0.25">
      <c r="A18455" s="31"/>
      <c r="D18455" s="30"/>
    </row>
    <row r="18456" spans="1:4" x14ac:dyDescent="0.25">
      <c r="A18456" s="31"/>
      <c r="D18456" s="30"/>
    </row>
    <row r="18457" spans="1:4" x14ac:dyDescent="0.25">
      <c r="A18457" s="31"/>
      <c r="D18457" s="30"/>
    </row>
    <row r="18458" spans="1:4" x14ac:dyDescent="0.25">
      <c r="A18458" s="31"/>
      <c r="D18458" s="30"/>
    </row>
    <row r="18459" spans="1:4" x14ac:dyDescent="0.25">
      <c r="A18459" s="31"/>
      <c r="D18459" s="30"/>
    </row>
    <row r="18460" spans="1:4" x14ac:dyDescent="0.25">
      <c r="A18460" s="31"/>
      <c r="D18460" s="30"/>
    </row>
    <row r="18461" spans="1:4" x14ac:dyDescent="0.25">
      <c r="A18461" s="31"/>
      <c r="D18461" s="30"/>
    </row>
    <row r="18462" spans="1:4" x14ac:dyDescent="0.25">
      <c r="A18462" s="31"/>
      <c r="D18462" s="30"/>
    </row>
    <row r="18463" spans="1:4" x14ac:dyDescent="0.25">
      <c r="A18463" s="31"/>
      <c r="D18463" s="30"/>
    </row>
    <row r="18464" spans="1:4" x14ac:dyDescent="0.25">
      <c r="A18464" s="31"/>
      <c r="D18464" s="30"/>
    </row>
    <row r="18465" spans="1:4" x14ac:dyDescent="0.25">
      <c r="A18465" s="31"/>
      <c r="D18465" s="30"/>
    </row>
    <row r="18466" spans="1:4" x14ac:dyDescent="0.25">
      <c r="A18466" s="31"/>
      <c r="D18466" s="30"/>
    </row>
    <row r="18467" spans="1:4" x14ac:dyDescent="0.25">
      <c r="A18467" s="31"/>
      <c r="D18467" s="30"/>
    </row>
    <row r="18468" spans="1:4" x14ac:dyDescent="0.25">
      <c r="A18468" s="31"/>
      <c r="D18468" s="30"/>
    </row>
    <row r="18469" spans="1:4" x14ac:dyDescent="0.25">
      <c r="A18469" s="31"/>
      <c r="D18469" s="30"/>
    </row>
    <row r="18470" spans="1:4" x14ac:dyDescent="0.25">
      <c r="A18470" s="31"/>
      <c r="D18470" s="30"/>
    </row>
    <row r="18471" spans="1:4" x14ac:dyDescent="0.25">
      <c r="A18471" s="31"/>
      <c r="D18471" s="30"/>
    </row>
    <row r="18472" spans="1:4" x14ac:dyDescent="0.25">
      <c r="A18472" s="31"/>
      <c r="D18472" s="30"/>
    </row>
    <row r="18473" spans="1:4" x14ac:dyDescent="0.25">
      <c r="A18473" s="31"/>
      <c r="D18473" s="30"/>
    </row>
    <row r="18474" spans="1:4" x14ac:dyDescent="0.25">
      <c r="A18474" s="31"/>
      <c r="D18474" s="30"/>
    </row>
    <row r="18475" spans="1:4" x14ac:dyDescent="0.25">
      <c r="A18475" s="31"/>
      <c r="D18475" s="30"/>
    </row>
    <row r="18476" spans="1:4" x14ac:dyDescent="0.25">
      <c r="A18476" s="31"/>
      <c r="D18476" s="30"/>
    </row>
    <row r="18477" spans="1:4" x14ac:dyDescent="0.25">
      <c r="A18477" s="31"/>
      <c r="D18477" s="30"/>
    </row>
    <row r="18478" spans="1:4" x14ac:dyDescent="0.25">
      <c r="A18478" s="31"/>
      <c r="D18478" s="30"/>
    </row>
    <row r="18479" spans="1:4" x14ac:dyDescent="0.25">
      <c r="A18479" s="31"/>
      <c r="D18479" s="30"/>
    </row>
    <row r="18480" spans="1:4" x14ac:dyDescent="0.25">
      <c r="A18480" s="31"/>
      <c r="D18480" s="30"/>
    </row>
    <row r="18481" spans="1:4" x14ac:dyDescent="0.25">
      <c r="A18481" s="31"/>
      <c r="D18481" s="30"/>
    </row>
    <row r="18482" spans="1:4" x14ac:dyDescent="0.25">
      <c r="A18482" s="31"/>
      <c r="D18482" s="30"/>
    </row>
    <row r="18483" spans="1:4" x14ac:dyDescent="0.25">
      <c r="A18483" s="31"/>
      <c r="D18483" s="30"/>
    </row>
    <row r="18484" spans="1:4" x14ac:dyDescent="0.25">
      <c r="A18484" s="31"/>
      <c r="D18484" s="30"/>
    </row>
    <row r="18485" spans="1:4" x14ac:dyDescent="0.25">
      <c r="A18485" s="31"/>
      <c r="D18485" s="30"/>
    </row>
    <row r="18486" spans="1:4" x14ac:dyDescent="0.25">
      <c r="A18486" s="31"/>
      <c r="D18486" s="30"/>
    </row>
    <row r="18487" spans="1:4" x14ac:dyDescent="0.25">
      <c r="A18487" s="31"/>
      <c r="D18487" s="30"/>
    </row>
    <row r="18488" spans="1:4" x14ac:dyDescent="0.25">
      <c r="A18488" s="31"/>
      <c r="D18488" s="30"/>
    </row>
    <row r="18489" spans="1:4" x14ac:dyDescent="0.25">
      <c r="A18489" s="31"/>
      <c r="D18489" s="30"/>
    </row>
    <row r="18490" spans="1:4" x14ac:dyDescent="0.25">
      <c r="A18490" s="31"/>
      <c r="D18490" s="30"/>
    </row>
    <row r="18491" spans="1:4" x14ac:dyDescent="0.25">
      <c r="A18491" s="31"/>
      <c r="D18491" s="30"/>
    </row>
    <row r="18492" spans="1:4" x14ac:dyDescent="0.25">
      <c r="A18492" s="31"/>
      <c r="D18492" s="30"/>
    </row>
    <row r="18493" spans="1:4" x14ac:dyDescent="0.25">
      <c r="A18493" s="31"/>
      <c r="D18493" s="30"/>
    </row>
    <row r="18494" spans="1:4" x14ac:dyDescent="0.25">
      <c r="A18494" s="31"/>
      <c r="D18494" s="30"/>
    </row>
    <row r="18495" spans="1:4" x14ac:dyDescent="0.25">
      <c r="A18495" s="31"/>
      <c r="D18495" s="30"/>
    </row>
    <row r="18496" spans="1:4" x14ac:dyDescent="0.25">
      <c r="A18496" s="31"/>
      <c r="D18496" s="30"/>
    </row>
    <row r="18497" spans="1:4" x14ac:dyDescent="0.25">
      <c r="A18497" s="31"/>
      <c r="D18497" s="30"/>
    </row>
    <row r="18498" spans="1:4" x14ac:dyDescent="0.25">
      <c r="A18498" s="31"/>
      <c r="D18498" s="30"/>
    </row>
    <row r="18499" spans="1:4" x14ac:dyDescent="0.25">
      <c r="A18499" s="31"/>
      <c r="D18499" s="30"/>
    </row>
    <row r="18500" spans="1:4" x14ac:dyDescent="0.25">
      <c r="A18500" s="31"/>
      <c r="D18500" s="30"/>
    </row>
    <row r="18501" spans="1:4" x14ac:dyDescent="0.25">
      <c r="A18501" s="31"/>
      <c r="D18501" s="30"/>
    </row>
    <row r="18502" spans="1:4" x14ac:dyDescent="0.25">
      <c r="A18502" s="31"/>
      <c r="D18502" s="30"/>
    </row>
    <row r="18503" spans="1:4" x14ac:dyDescent="0.25">
      <c r="A18503" s="31"/>
      <c r="D18503" s="30"/>
    </row>
    <row r="18504" spans="1:4" x14ac:dyDescent="0.25">
      <c r="A18504" s="31"/>
      <c r="D18504" s="30"/>
    </row>
    <row r="18505" spans="1:4" x14ac:dyDescent="0.25">
      <c r="A18505" s="31"/>
      <c r="D18505" s="30"/>
    </row>
    <row r="18506" spans="1:4" x14ac:dyDescent="0.25">
      <c r="A18506" s="31"/>
      <c r="D18506" s="30"/>
    </row>
    <row r="18507" spans="1:4" x14ac:dyDescent="0.25">
      <c r="A18507" s="31"/>
      <c r="D18507" s="30"/>
    </row>
    <row r="18508" spans="1:4" x14ac:dyDescent="0.25">
      <c r="A18508" s="31"/>
      <c r="D18508" s="30"/>
    </row>
    <row r="18509" spans="1:4" x14ac:dyDescent="0.25">
      <c r="A18509" s="31"/>
      <c r="D18509" s="30"/>
    </row>
    <row r="18510" spans="1:4" x14ac:dyDescent="0.25">
      <c r="A18510" s="31"/>
      <c r="D18510" s="30"/>
    </row>
    <row r="18511" spans="1:4" x14ac:dyDescent="0.25">
      <c r="A18511" s="31"/>
      <c r="D18511" s="30"/>
    </row>
    <row r="18512" spans="1:4" x14ac:dyDescent="0.25">
      <c r="A18512" s="31"/>
      <c r="D18512" s="30"/>
    </row>
    <row r="18513" spans="1:4" x14ac:dyDescent="0.25">
      <c r="A18513" s="31"/>
      <c r="D18513" s="30"/>
    </row>
    <row r="18514" spans="1:4" x14ac:dyDescent="0.25">
      <c r="A18514" s="31"/>
      <c r="D18514" s="30"/>
    </row>
    <row r="18515" spans="1:4" x14ac:dyDescent="0.25">
      <c r="A18515" s="31"/>
      <c r="D18515" s="30"/>
    </row>
    <row r="18516" spans="1:4" x14ac:dyDescent="0.25">
      <c r="A18516" s="31"/>
      <c r="D18516" s="30"/>
    </row>
    <row r="18517" spans="1:4" x14ac:dyDescent="0.25">
      <c r="A18517" s="31"/>
      <c r="D18517" s="30"/>
    </row>
    <row r="18518" spans="1:4" x14ac:dyDescent="0.25">
      <c r="A18518" s="31"/>
      <c r="D18518" s="30"/>
    </row>
    <row r="18519" spans="1:4" x14ac:dyDescent="0.25">
      <c r="A18519" s="31"/>
      <c r="D18519" s="30"/>
    </row>
    <row r="18520" spans="1:4" x14ac:dyDescent="0.25">
      <c r="A18520" s="31"/>
      <c r="D18520" s="30"/>
    </row>
    <row r="18521" spans="1:4" x14ac:dyDescent="0.25">
      <c r="A18521" s="31"/>
      <c r="D18521" s="30"/>
    </row>
    <row r="18522" spans="1:4" x14ac:dyDescent="0.25">
      <c r="A18522" s="31"/>
      <c r="D18522" s="30"/>
    </row>
    <row r="18523" spans="1:4" x14ac:dyDescent="0.25">
      <c r="A18523" s="31"/>
      <c r="D18523" s="30"/>
    </row>
    <row r="18524" spans="1:4" x14ac:dyDescent="0.25">
      <c r="A18524" s="31"/>
      <c r="D18524" s="30"/>
    </row>
    <row r="18525" spans="1:4" x14ac:dyDescent="0.25">
      <c r="A18525" s="31"/>
      <c r="D18525" s="30"/>
    </row>
    <row r="18526" spans="1:4" x14ac:dyDescent="0.25">
      <c r="A18526" s="31"/>
      <c r="D18526" s="30"/>
    </row>
    <row r="18527" spans="1:4" x14ac:dyDescent="0.25">
      <c r="A18527" s="31"/>
      <c r="D18527" s="30"/>
    </row>
    <row r="18528" spans="1:4" x14ac:dyDescent="0.25">
      <c r="A18528" s="31"/>
      <c r="D18528" s="30"/>
    </row>
    <row r="18529" spans="1:4" x14ac:dyDescent="0.25">
      <c r="A18529" s="31"/>
      <c r="D18529" s="30"/>
    </row>
    <row r="18530" spans="1:4" x14ac:dyDescent="0.25">
      <c r="A18530" s="31"/>
      <c r="D18530" s="30"/>
    </row>
    <row r="18531" spans="1:4" x14ac:dyDescent="0.25">
      <c r="A18531" s="31"/>
      <c r="D18531" s="30"/>
    </row>
    <row r="18532" spans="1:4" x14ac:dyDescent="0.25">
      <c r="A18532" s="31"/>
      <c r="D18532" s="30"/>
    </row>
    <row r="18533" spans="1:4" x14ac:dyDescent="0.25">
      <c r="A18533" s="31"/>
      <c r="D18533" s="30"/>
    </row>
    <row r="18534" spans="1:4" x14ac:dyDescent="0.25">
      <c r="A18534" s="31"/>
      <c r="D18534" s="30"/>
    </row>
    <row r="18535" spans="1:4" x14ac:dyDescent="0.25">
      <c r="A18535" s="31"/>
      <c r="D18535" s="30"/>
    </row>
    <row r="18536" spans="1:4" x14ac:dyDescent="0.25">
      <c r="A18536" s="31"/>
      <c r="D18536" s="30"/>
    </row>
    <row r="18537" spans="1:4" x14ac:dyDescent="0.25">
      <c r="A18537" s="31"/>
      <c r="D18537" s="30"/>
    </row>
    <row r="18538" spans="1:4" x14ac:dyDescent="0.25">
      <c r="A18538" s="31"/>
      <c r="D18538" s="30"/>
    </row>
    <row r="18539" spans="1:4" x14ac:dyDescent="0.25">
      <c r="A18539" s="31"/>
      <c r="D18539" s="30"/>
    </row>
    <row r="18540" spans="1:4" x14ac:dyDescent="0.25">
      <c r="A18540" s="31"/>
      <c r="D18540" s="30"/>
    </row>
    <row r="18541" spans="1:4" x14ac:dyDescent="0.25">
      <c r="A18541" s="31"/>
      <c r="D18541" s="30"/>
    </row>
    <row r="18542" spans="1:4" x14ac:dyDescent="0.25">
      <c r="A18542" s="31"/>
      <c r="D18542" s="30"/>
    </row>
    <row r="18543" spans="1:4" x14ac:dyDescent="0.25">
      <c r="A18543" s="31"/>
      <c r="D18543" s="30"/>
    </row>
    <row r="18544" spans="1:4" x14ac:dyDescent="0.25">
      <c r="A18544" s="31"/>
      <c r="D18544" s="30"/>
    </row>
    <row r="18545" spans="1:4" x14ac:dyDescent="0.25">
      <c r="A18545" s="31"/>
      <c r="D18545" s="30"/>
    </row>
    <row r="18546" spans="1:4" x14ac:dyDescent="0.25">
      <c r="A18546" s="31"/>
      <c r="D18546" s="30"/>
    </row>
    <row r="18547" spans="1:4" x14ac:dyDescent="0.25">
      <c r="A18547" s="31"/>
      <c r="D18547" s="30"/>
    </row>
    <row r="18548" spans="1:4" x14ac:dyDescent="0.25">
      <c r="A18548" s="31"/>
      <c r="D18548" s="30"/>
    </row>
    <row r="18549" spans="1:4" x14ac:dyDescent="0.25">
      <c r="A18549" s="31"/>
      <c r="D18549" s="30"/>
    </row>
    <row r="18550" spans="1:4" x14ac:dyDescent="0.25">
      <c r="A18550" s="31"/>
      <c r="D18550" s="30"/>
    </row>
    <row r="18551" spans="1:4" x14ac:dyDescent="0.25">
      <c r="A18551" s="31"/>
      <c r="D18551" s="30"/>
    </row>
    <row r="18552" spans="1:4" x14ac:dyDescent="0.25">
      <c r="A18552" s="31"/>
      <c r="D18552" s="30"/>
    </row>
    <row r="18553" spans="1:4" x14ac:dyDescent="0.25">
      <c r="A18553" s="31"/>
      <c r="D18553" s="30"/>
    </row>
    <row r="18554" spans="1:4" x14ac:dyDescent="0.25">
      <c r="A18554" s="31"/>
      <c r="D18554" s="30"/>
    </row>
    <row r="18555" spans="1:4" x14ac:dyDescent="0.25">
      <c r="A18555" s="31"/>
      <c r="D18555" s="30"/>
    </row>
    <row r="18556" spans="1:4" x14ac:dyDescent="0.25">
      <c r="A18556" s="31"/>
      <c r="D18556" s="30"/>
    </row>
    <row r="18557" spans="1:4" x14ac:dyDescent="0.25">
      <c r="A18557" s="31"/>
      <c r="D18557" s="30"/>
    </row>
    <row r="18558" spans="1:4" x14ac:dyDescent="0.25">
      <c r="A18558" s="31"/>
      <c r="D18558" s="30"/>
    </row>
    <row r="18559" spans="1:4" x14ac:dyDescent="0.25">
      <c r="A18559" s="31"/>
      <c r="D18559" s="30"/>
    </row>
    <row r="18560" spans="1:4" x14ac:dyDescent="0.25">
      <c r="A18560" s="31"/>
      <c r="D18560" s="30"/>
    </row>
    <row r="18561" spans="1:4" x14ac:dyDescent="0.25">
      <c r="A18561" s="31"/>
      <c r="D18561" s="30"/>
    </row>
    <row r="18562" spans="1:4" x14ac:dyDescent="0.25">
      <c r="A18562" s="31"/>
      <c r="D18562" s="30"/>
    </row>
    <row r="18563" spans="1:4" x14ac:dyDescent="0.25">
      <c r="A18563" s="31"/>
      <c r="D18563" s="30"/>
    </row>
    <row r="18564" spans="1:4" x14ac:dyDescent="0.25">
      <c r="A18564" s="31"/>
      <c r="D18564" s="30"/>
    </row>
    <row r="18565" spans="1:4" x14ac:dyDescent="0.25">
      <c r="A18565" s="31"/>
      <c r="D18565" s="30"/>
    </row>
    <row r="18566" spans="1:4" x14ac:dyDescent="0.25">
      <c r="A18566" s="31"/>
      <c r="D18566" s="30"/>
    </row>
    <row r="18567" spans="1:4" x14ac:dyDescent="0.25">
      <c r="A18567" s="31"/>
      <c r="D18567" s="30"/>
    </row>
    <row r="18568" spans="1:4" x14ac:dyDescent="0.25">
      <c r="A18568" s="31"/>
      <c r="D18568" s="30"/>
    </row>
    <row r="18569" spans="1:4" x14ac:dyDescent="0.25">
      <c r="A18569" s="31"/>
      <c r="D18569" s="30"/>
    </row>
    <row r="18570" spans="1:4" x14ac:dyDescent="0.25">
      <c r="A18570" s="31"/>
      <c r="D18570" s="30"/>
    </row>
    <row r="18571" spans="1:4" x14ac:dyDescent="0.25">
      <c r="A18571" s="31"/>
      <c r="D18571" s="30"/>
    </row>
    <row r="18572" spans="1:4" x14ac:dyDescent="0.25">
      <c r="A18572" s="31"/>
      <c r="D18572" s="30"/>
    </row>
    <row r="18573" spans="1:4" x14ac:dyDescent="0.25">
      <c r="A18573" s="31"/>
      <c r="D18573" s="30"/>
    </row>
    <row r="18574" spans="1:4" x14ac:dyDescent="0.25">
      <c r="A18574" s="31"/>
      <c r="D18574" s="30"/>
    </row>
    <row r="18575" spans="1:4" x14ac:dyDescent="0.25">
      <c r="A18575" s="31"/>
      <c r="D18575" s="30"/>
    </row>
    <row r="18576" spans="1:4" x14ac:dyDescent="0.25">
      <c r="A18576" s="31"/>
      <c r="D18576" s="30"/>
    </row>
    <row r="18577" spans="1:4" x14ac:dyDescent="0.25">
      <c r="A18577" s="31"/>
      <c r="D18577" s="30"/>
    </row>
    <row r="18578" spans="1:4" x14ac:dyDescent="0.25">
      <c r="A18578" s="31"/>
      <c r="D18578" s="30"/>
    </row>
    <row r="18579" spans="1:4" x14ac:dyDescent="0.25">
      <c r="A18579" s="31"/>
      <c r="D18579" s="30"/>
    </row>
    <row r="18580" spans="1:4" x14ac:dyDescent="0.25">
      <c r="A18580" s="31"/>
      <c r="D18580" s="30"/>
    </row>
    <row r="18581" spans="1:4" x14ac:dyDescent="0.25">
      <c r="A18581" s="31"/>
      <c r="D18581" s="30"/>
    </row>
    <row r="18582" spans="1:4" x14ac:dyDescent="0.25">
      <c r="A18582" s="31"/>
      <c r="D18582" s="30"/>
    </row>
    <row r="18583" spans="1:4" x14ac:dyDescent="0.25">
      <c r="A18583" s="31"/>
      <c r="D18583" s="30"/>
    </row>
    <row r="18584" spans="1:4" x14ac:dyDescent="0.25">
      <c r="A18584" s="31"/>
      <c r="D18584" s="30"/>
    </row>
    <row r="18585" spans="1:4" x14ac:dyDescent="0.25">
      <c r="A18585" s="31"/>
      <c r="D18585" s="30"/>
    </row>
    <row r="18586" spans="1:4" x14ac:dyDescent="0.25">
      <c r="A18586" s="31"/>
      <c r="D18586" s="30"/>
    </row>
    <row r="18587" spans="1:4" x14ac:dyDescent="0.25">
      <c r="A18587" s="31"/>
      <c r="D18587" s="30"/>
    </row>
    <row r="18588" spans="1:4" x14ac:dyDescent="0.25">
      <c r="A18588" s="31"/>
      <c r="D18588" s="30"/>
    </row>
    <row r="18589" spans="1:4" x14ac:dyDescent="0.25">
      <c r="A18589" s="31"/>
      <c r="D18589" s="30"/>
    </row>
    <row r="18590" spans="1:4" x14ac:dyDescent="0.25">
      <c r="A18590" s="31"/>
      <c r="D18590" s="30"/>
    </row>
    <row r="18591" spans="1:4" x14ac:dyDescent="0.25">
      <c r="A18591" s="31"/>
      <c r="D18591" s="30"/>
    </row>
    <row r="18592" spans="1:4" x14ac:dyDescent="0.25">
      <c r="A18592" s="31"/>
      <c r="D18592" s="30"/>
    </row>
    <row r="18593" spans="1:4" x14ac:dyDescent="0.25">
      <c r="A18593" s="31"/>
      <c r="D18593" s="30"/>
    </row>
    <row r="18594" spans="1:4" x14ac:dyDescent="0.25">
      <c r="A18594" s="31"/>
      <c r="D18594" s="30"/>
    </row>
    <row r="18595" spans="1:4" x14ac:dyDescent="0.25">
      <c r="A18595" s="31"/>
      <c r="D18595" s="30"/>
    </row>
    <row r="18596" spans="1:4" x14ac:dyDescent="0.25">
      <c r="A18596" s="31"/>
      <c r="D18596" s="30"/>
    </row>
    <row r="18597" spans="1:4" x14ac:dyDescent="0.25">
      <c r="A18597" s="31"/>
      <c r="D18597" s="30"/>
    </row>
    <row r="18598" spans="1:4" x14ac:dyDescent="0.25">
      <c r="A18598" s="31"/>
      <c r="D18598" s="30"/>
    </row>
    <row r="18599" spans="1:4" x14ac:dyDescent="0.25">
      <c r="A18599" s="31"/>
      <c r="D18599" s="30"/>
    </row>
    <row r="18600" spans="1:4" x14ac:dyDescent="0.25">
      <c r="A18600" s="31"/>
      <c r="D18600" s="30"/>
    </row>
    <row r="18601" spans="1:4" x14ac:dyDescent="0.25">
      <c r="A18601" s="31"/>
      <c r="D18601" s="30"/>
    </row>
    <row r="18602" spans="1:4" x14ac:dyDescent="0.25">
      <c r="A18602" s="31"/>
      <c r="D18602" s="30"/>
    </row>
    <row r="18603" spans="1:4" x14ac:dyDescent="0.25">
      <c r="A18603" s="31"/>
      <c r="D18603" s="30"/>
    </row>
    <row r="18604" spans="1:4" x14ac:dyDescent="0.25">
      <c r="A18604" s="31"/>
      <c r="D18604" s="30"/>
    </row>
    <row r="18605" spans="1:4" x14ac:dyDescent="0.25">
      <c r="A18605" s="31"/>
      <c r="D18605" s="30"/>
    </row>
    <row r="18606" spans="1:4" x14ac:dyDescent="0.25">
      <c r="A18606" s="31"/>
      <c r="D18606" s="30"/>
    </row>
    <row r="18607" spans="1:4" x14ac:dyDescent="0.25">
      <c r="A18607" s="31"/>
      <c r="D18607" s="30"/>
    </row>
    <row r="18608" spans="1:4" x14ac:dyDescent="0.25">
      <c r="A18608" s="31"/>
      <c r="D18608" s="30"/>
    </row>
    <row r="18609" spans="1:4" x14ac:dyDescent="0.25">
      <c r="A18609" s="31"/>
      <c r="D18609" s="30"/>
    </row>
    <row r="18610" spans="1:4" x14ac:dyDescent="0.25">
      <c r="A18610" s="31"/>
      <c r="D18610" s="30"/>
    </row>
    <row r="18611" spans="1:4" x14ac:dyDescent="0.25">
      <c r="A18611" s="31"/>
      <c r="D18611" s="30"/>
    </row>
    <row r="18612" spans="1:4" x14ac:dyDescent="0.25">
      <c r="A18612" s="31"/>
      <c r="D18612" s="30"/>
    </row>
    <row r="18613" spans="1:4" x14ac:dyDescent="0.25">
      <c r="A18613" s="31"/>
      <c r="D18613" s="30"/>
    </row>
    <row r="18614" spans="1:4" x14ac:dyDescent="0.25">
      <c r="A18614" s="31"/>
      <c r="D18614" s="30"/>
    </row>
    <row r="18615" spans="1:4" x14ac:dyDescent="0.25">
      <c r="A18615" s="31"/>
      <c r="D18615" s="30"/>
    </row>
    <row r="18616" spans="1:4" x14ac:dyDescent="0.25">
      <c r="A18616" s="31"/>
      <c r="D18616" s="30"/>
    </row>
    <row r="18617" spans="1:4" x14ac:dyDescent="0.25">
      <c r="A18617" s="31"/>
      <c r="D18617" s="30"/>
    </row>
    <row r="18618" spans="1:4" x14ac:dyDescent="0.25">
      <c r="A18618" s="31"/>
      <c r="D18618" s="30"/>
    </row>
    <row r="18619" spans="1:4" x14ac:dyDescent="0.25">
      <c r="A18619" s="31"/>
      <c r="D18619" s="30"/>
    </row>
    <row r="18620" spans="1:4" x14ac:dyDescent="0.25">
      <c r="A18620" s="31"/>
      <c r="D18620" s="30"/>
    </row>
    <row r="18621" spans="1:4" x14ac:dyDescent="0.25">
      <c r="A18621" s="31"/>
      <c r="D18621" s="30"/>
    </row>
    <row r="18622" spans="1:4" x14ac:dyDescent="0.25">
      <c r="A18622" s="31"/>
      <c r="D18622" s="30"/>
    </row>
    <row r="18623" spans="1:4" x14ac:dyDescent="0.25">
      <c r="A18623" s="31"/>
      <c r="D18623" s="30"/>
    </row>
    <row r="18624" spans="1:4" x14ac:dyDescent="0.25">
      <c r="A18624" s="31"/>
      <c r="D18624" s="30"/>
    </row>
    <row r="18625" spans="1:4" x14ac:dyDescent="0.25">
      <c r="A18625" s="31"/>
      <c r="D18625" s="30"/>
    </row>
    <row r="18626" spans="1:4" x14ac:dyDescent="0.25">
      <c r="A18626" s="31"/>
      <c r="D18626" s="30"/>
    </row>
    <row r="18627" spans="1:4" x14ac:dyDescent="0.25">
      <c r="A18627" s="31"/>
      <c r="D18627" s="30"/>
    </row>
    <row r="18628" spans="1:4" x14ac:dyDescent="0.25">
      <c r="A18628" s="31"/>
      <c r="D18628" s="30"/>
    </row>
    <row r="18629" spans="1:4" x14ac:dyDescent="0.25">
      <c r="A18629" s="31"/>
      <c r="D18629" s="30"/>
    </row>
    <row r="18630" spans="1:4" x14ac:dyDescent="0.25">
      <c r="A18630" s="31"/>
      <c r="D18630" s="30"/>
    </row>
    <row r="18631" spans="1:4" x14ac:dyDescent="0.25">
      <c r="A18631" s="31"/>
      <c r="D18631" s="30"/>
    </row>
    <row r="18632" spans="1:4" x14ac:dyDescent="0.25">
      <c r="A18632" s="31"/>
      <c r="D18632" s="30"/>
    </row>
    <row r="18633" spans="1:4" x14ac:dyDescent="0.25">
      <c r="A18633" s="31"/>
      <c r="D18633" s="30"/>
    </row>
    <row r="18634" spans="1:4" x14ac:dyDescent="0.25">
      <c r="A18634" s="31"/>
      <c r="D18634" s="30"/>
    </row>
    <row r="18635" spans="1:4" x14ac:dyDescent="0.25">
      <c r="A18635" s="31"/>
      <c r="D18635" s="30"/>
    </row>
    <row r="18636" spans="1:4" x14ac:dyDescent="0.25">
      <c r="A18636" s="31"/>
      <c r="D18636" s="30"/>
    </row>
    <row r="18637" spans="1:4" x14ac:dyDescent="0.25">
      <c r="A18637" s="31"/>
      <c r="D18637" s="30"/>
    </row>
    <row r="18638" spans="1:4" x14ac:dyDescent="0.25">
      <c r="A18638" s="31"/>
      <c r="D18638" s="30"/>
    </row>
    <row r="18639" spans="1:4" x14ac:dyDescent="0.25">
      <c r="A18639" s="31"/>
      <c r="D18639" s="30"/>
    </row>
    <row r="18640" spans="1:4" x14ac:dyDescent="0.25">
      <c r="A18640" s="31"/>
      <c r="D18640" s="30"/>
    </row>
    <row r="18641" spans="1:4" x14ac:dyDescent="0.25">
      <c r="A18641" s="31"/>
      <c r="D18641" s="30"/>
    </row>
    <row r="18642" spans="1:4" x14ac:dyDescent="0.25">
      <c r="A18642" s="31"/>
      <c r="D18642" s="30"/>
    </row>
    <row r="18643" spans="1:4" x14ac:dyDescent="0.25">
      <c r="A18643" s="31"/>
      <c r="D18643" s="30"/>
    </row>
    <row r="18644" spans="1:4" x14ac:dyDescent="0.25">
      <c r="A18644" s="31"/>
      <c r="D18644" s="30"/>
    </row>
    <row r="18645" spans="1:4" x14ac:dyDescent="0.25">
      <c r="A18645" s="31"/>
      <c r="D18645" s="30"/>
    </row>
    <row r="18646" spans="1:4" x14ac:dyDescent="0.25">
      <c r="A18646" s="31"/>
      <c r="D18646" s="30"/>
    </row>
    <row r="18647" spans="1:4" x14ac:dyDescent="0.25">
      <c r="A18647" s="31"/>
      <c r="D18647" s="30"/>
    </row>
    <row r="18648" spans="1:4" x14ac:dyDescent="0.25">
      <c r="A18648" s="31"/>
      <c r="D18648" s="30"/>
    </row>
    <row r="18649" spans="1:4" x14ac:dyDescent="0.25">
      <c r="A18649" s="31"/>
      <c r="D18649" s="30"/>
    </row>
    <row r="18650" spans="1:4" x14ac:dyDescent="0.25">
      <c r="A18650" s="31"/>
      <c r="D18650" s="30"/>
    </row>
    <row r="18651" spans="1:4" x14ac:dyDescent="0.25">
      <c r="A18651" s="31"/>
      <c r="D18651" s="30"/>
    </row>
    <row r="18652" spans="1:4" x14ac:dyDescent="0.25">
      <c r="A18652" s="31"/>
      <c r="D18652" s="30"/>
    </row>
    <row r="18653" spans="1:4" x14ac:dyDescent="0.25">
      <c r="A18653" s="31"/>
      <c r="D18653" s="30"/>
    </row>
    <row r="18654" spans="1:4" x14ac:dyDescent="0.25">
      <c r="A18654" s="31"/>
      <c r="D18654" s="30"/>
    </row>
    <row r="18655" spans="1:4" x14ac:dyDescent="0.25">
      <c r="A18655" s="31"/>
      <c r="D18655" s="30"/>
    </row>
    <row r="18656" spans="1:4" x14ac:dyDescent="0.25">
      <c r="A18656" s="31"/>
      <c r="D18656" s="30"/>
    </row>
    <row r="18657" spans="1:4" x14ac:dyDescent="0.25">
      <c r="A18657" s="31"/>
      <c r="D18657" s="30"/>
    </row>
    <row r="18658" spans="1:4" x14ac:dyDescent="0.25">
      <c r="A18658" s="31"/>
      <c r="D18658" s="30"/>
    </row>
    <row r="18659" spans="1:4" x14ac:dyDescent="0.25">
      <c r="A18659" s="31"/>
      <c r="D18659" s="30"/>
    </row>
    <row r="18660" spans="1:4" x14ac:dyDescent="0.25">
      <c r="A18660" s="31"/>
      <c r="D18660" s="30"/>
    </row>
    <row r="18661" spans="1:4" x14ac:dyDescent="0.25">
      <c r="A18661" s="31"/>
      <c r="D18661" s="30"/>
    </row>
    <row r="18662" spans="1:4" x14ac:dyDescent="0.25">
      <c r="A18662" s="31"/>
      <c r="D18662" s="30"/>
    </row>
    <row r="18663" spans="1:4" x14ac:dyDescent="0.25">
      <c r="A18663" s="31"/>
      <c r="D18663" s="30"/>
    </row>
    <row r="18664" spans="1:4" x14ac:dyDescent="0.25">
      <c r="A18664" s="31"/>
      <c r="D18664" s="30"/>
    </row>
    <row r="18665" spans="1:4" x14ac:dyDescent="0.25">
      <c r="A18665" s="31"/>
      <c r="D18665" s="30"/>
    </row>
    <row r="18666" spans="1:4" x14ac:dyDescent="0.25">
      <c r="A18666" s="31"/>
      <c r="D18666" s="30"/>
    </row>
    <row r="18667" spans="1:4" x14ac:dyDescent="0.25">
      <c r="A18667" s="31"/>
      <c r="D18667" s="30"/>
    </row>
    <row r="18668" spans="1:4" x14ac:dyDescent="0.25">
      <c r="A18668" s="31"/>
      <c r="D18668" s="30"/>
    </row>
    <row r="18669" spans="1:4" x14ac:dyDescent="0.25">
      <c r="A18669" s="31"/>
      <c r="D18669" s="30"/>
    </row>
    <row r="18670" spans="1:4" x14ac:dyDescent="0.25">
      <c r="A18670" s="31"/>
      <c r="D18670" s="30"/>
    </row>
    <row r="18671" spans="1:4" x14ac:dyDescent="0.25">
      <c r="A18671" s="31"/>
      <c r="D18671" s="30"/>
    </row>
    <row r="18672" spans="1:4" x14ac:dyDescent="0.25">
      <c r="A18672" s="31"/>
      <c r="D18672" s="30"/>
    </row>
    <row r="18673" spans="1:4" x14ac:dyDescent="0.25">
      <c r="A18673" s="31"/>
      <c r="D18673" s="30"/>
    </row>
    <row r="18674" spans="1:4" x14ac:dyDescent="0.25">
      <c r="A18674" s="31"/>
      <c r="D18674" s="30"/>
    </row>
    <row r="18675" spans="1:4" x14ac:dyDescent="0.25">
      <c r="A18675" s="31"/>
      <c r="D18675" s="30"/>
    </row>
    <row r="18676" spans="1:4" x14ac:dyDescent="0.25">
      <c r="A18676" s="31"/>
      <c r="D18676" s="30"/>
    </row>
    <row r="18677" spans="1:4" x14ac:dyDescent="0.25">
      <c r="A18677" s="31"/>
      <c r="D18677" s="30"/>
    </row>
    <row r="18678" spans="1:4" x14ac:dyDescent="0.25">
      <c r="A18678" s="31"/>
      <c r="D18678" s="30"/>
    </row>
    <row r="18679" spans="1:4" x14ac:dyDescent="0.25">
      <c r="A18679" s="31"/>
      <c r="D18679" s="30"/>
    </row>
    <row r="18680" spans="1:4" x14ac:dyDescent="0.25">
      <c r="A18680" s="31"/>
      <c r="D18680" s="30"/>
    </row>
    <row r="18681" spans="1:4" x14ac:dyDescent="0.25">
      <c r="A18681" s="31"/>
      <c r="D18681" s="30"/>
    </row>
    <row r="18682" spans="1:4" x14ac:dyDescent="0.25">
      <c r="A18682" s="31"/>
      <c r="D18682" s="30"/>
    </row>
    <row r="18683" spans="1:4" x14ac:dyDescent="0.25">
      <c r="A18683" s="31"/>
      <c r="D18683" s="30"/>
    </row>
    <row r="18684" spans="1:4" x14ac:dyDescent="0.25">
      <c r="A18684" s="31"/>
      <c r="D18684" s="30"/>
    </row>
    <row r="18685" spans="1:4" x14ac:dyDescent="0.25">
      <c r="A18685" s="31"/>
      <c r="D18685" s="30"/>
    </row>
    <row r="18686" spans="1:4" x14ac:dyDescent="0.25">
      <c r="A18686" s="31"/>
      <c r="D18686" s="30"/>
    </row>
    <row r="18687" spans="1:4" x14ac:dyDescent="0.25">
      <c r="A18687" s="31"/>
      <c r="D18687" s="30"/>
    </row>
    <row r="18688" spans="1:4" x14ac:dyDescent="0.25">
      <c r="A18688" s="31"/>
      <c r="D18688" s="30"/>
    </row>
    <row r="18689" spans="1:4" x14ac:dyDescent="0.25">
      <c r="A18689" s="31"/>
      <c r="D18689" s="30"/>
    </row>
    <row r="18690" spans="1:4" x14ac:dyDescent="0.25">
      <c r="A18690" s="31"/>
      <c r="D18690" s="30"/>
    </row>
    <row r="18691" spans="1:4" x14ac:dyDescent="0.25">
      <c r="A18691" s="31"/>
      <c r="D18691" s="30"/>
    </row>
    <row r="18692" spans="1:4" x14ac:dyDescent="0.25">
      <c r="A18692" s="31"/>
      <c r="D18692" s="30"/>
    </row>
    <row r="18693" spans="1:4" x14ac:dyDescent="0.25">
      <c r="A18693" s="31"/>
      <c r="D18693" s="30"/>
    </row>
    <row r="18694" spans="1:4" x14ac:dyDescent="0.25">
      <c r="A18694" s="31"/>
      <c r="D18694" s="30"/>
    </row>
    <row r="18695" spans="1:4" x14ac:dyDescent="0.25">
      <c r="A18695" s="31"/>
      <c r="D18695" s="30"/>
    </row>
    <row r="18696" spans="1:4" x14ac:dyDescent="0.25">
      <c r="A18696" s="31"/>
      <c r="D18696" s="30"/>
    </row>
    <row r="18697" spans="1:4" x14ac:dyDescent="0.25">
      <c r="A18697" s="31"/>
      <c r="D18697" s="30"/>
    </row>
    <row r="18698" spans="1:4" x14ac:dyDescent="0.25">
      <c r="A18698" s="31"/>
      <c r="D18698" s="30"/>
    </row>
    <row r="18699" spans="1:4" x14ac:dyDescent="0.25">
      <c r="A18699" s="31"/>
      <c r="D18699" s="30"/>
    </row>
    <row r="18700" spans="1:4" x14ac:dyDescent="0.25">
      <c r="A18700" s="31"/>
      <c r="D18700" s="30"/>
    </row>
    <row r="18701" spans="1:4" x14ac:dyDescent="0.25">
      <c r="A18701" s="31"/>
      <c r="D18701" s="30"/>
    </row>
    <row r="18702" spans="1:4" x14ac:dyDescent="0.25">
      <c r="A18702" s="31"/>
      <c r="D18702" s="30"/>
    </row>
    <row r="18703" spans="1:4" x14ac:dyDescent="0.25">
      <c r="A18703" s="31"/>
      <c r="D18703" s="30"/>
    </row>
    <row r="18704" spans="1:4" x14ac:dyDescent="0.25">
      <c r="A18704" s="31"/>
      <c r="D18704" s="30"/>
    </row>
    <row r="18705" spans="1:4" x14ac:dyDescent="0.25">
      <c r="A18705" s="31"/>
      <c r="D18705" s="30"/>
    </row>
    <row r="18706" spans="1:4" x14ac:dyDescent="0.25">
      <c r="A18706" s="31"/>
      <c r="D18706" s="30"/>
    </row>
    <row r="18707" spans="1:4" x14ac:dyDescent="0.25">
      <c r="A18707" s="31"/>
      <c r="D18707" s="30"/>
    </row>
    <row r="18708" spans="1:4" x14ac:dyDescent="0.25">
      <c r="A18708" s="31"/>
      <c r="D18708" s="30"/>
    </row>
    <row r="18709" spans="1:4" x14ac:dyDescent="0.25">
      <c r="A18709" s="31"/>
      <c r="D18709" s="30"/>
    </row>
    <row r="18710" spans="1:4" x14ac:dyDescent="0.25">
      <c r="A18710" s="31"/>
      <c r="D18710" s="30"/>
    </row>
    <row r="18711" spans="1:4" x14ac:dyDescent="0.25">
      <c r="A18711" s="31"/>
      <c r="D18711" s="30"/>
    </row>
    <row r="18712" spans="1:4" x14ac:dyDescent="0.25">
      <c r="A18712" s="31"/>
      <c r="D18712" s="30"/>
    </row>
    <row r="18713" spans="1:4" x14ac:dyDescent="0.25">
      <c r="A18713" s="31"/>
      <c r="D18713" s="30"/>
    </row>
    <row r="18714" spans="1:4" x14ac:dyDescent="0.25">
      <c r="A18714" s="31"/>
      <c r="D18714" s="30"/>
    </row>
    <row r="18715" spans="1:4" x14ac:dyDescent="0.25">
      <c r="A18715" s="31"/>
      <c r="D18715" s="30"/>
    </row>
    <row r="18716" spans="1:4" x14ac:dyDescent="0.25">
      <c r="A18716" s="31"/>
      <c r="D18716" s="30"/>
    </row>
    <row r="18717" spans="1:4" x14ac:dyDescent="0.25">
      <c r="A18717" s="31"/>
      <c r="D18717" s="30"/>
    </row>
    <row r="18718" spans="1:4" x14ac:dyDescent="0.25">
      <c r="A18718" s="31"/>
      <c r="D18718" s="30"/>
    </row>
    <row r="18719" spans="1:4" x14ac:dyDescent="0.25">
      <c r="A18719" s="31"/>
      <c r="D18719" s="30"/>
    </row>
    <row r="18720" spans="1:4" x14ac:dyDescent="0.25">
      <c r="A18720" s="31"/>
      <c r="D18720" s="30"/>
    </row>
    <row r="18721" spans="1:4" x14ac:dyDescent="0.25">
      <c r="A18721" s="31"/>
      <c r="D18721" s="30"/>
    </row>
    <row r="18722" spans="1:4" x14ac:dyDescent="0.25">
      <c r="A18722" s="31"/>
      <c r="D18722" s="30"/>
    </row>
    <row r="18723" spans="1:4" x14ac:dyDescent="0.25">
      <c r="A18723" s="31"/>
      <c r="D18723" s="30"/>
    </row>
    <row r="18724" spans="1:4" x14ac:dyDescent="0.25">
      <c r="A18724" s="31"/>
      <c r="D18724" s="30"/>
    </row>
    <row r="18725" spans="1:4" x14ac:dyDescent="0.25">
      <c r="A18725" s="31"/>
      <c r="D18725" s="30"/>
    </row>
    <row r="18726" spans="1:4" x14ac:dyDescent="0.25">
      <c r="A18726" s="31"/>
      <c r="D18726" s="30"/>
    </row>
    <row r="18727" spans="1:4" x14ac:dyDescent="0.25">
      <c r="A18727" s="31"/>
      <c r="D18727" s="30"/>
    </row>
    <row r="18728" spans="1:4" x14ac:dyDescent="0.25">
      <c r="A18728" s="31"/>
      <c r="D18728" s="30"/>
    </row>
    <row r="18729" spans="1:4" x14ac:dyDescent="0.25">
      <c r="A18729" s="31"/>
      <c r="D18729" s="30"/>
    </row>
    <row r="18730" spans="1:4" x14ac:dyDescent="0.25">
      <c r="A18730" s="31"/>
      <c r="D18730" s="30"/>
    </row>
    <row r="18731" spans="1:4" x14ac:dyDescent="0.25">
      <c r="A18731" s="31"/>
      <c r="D18731" s="30"/>
    </row>
    <row r="18732" spans="1:4" x14ac:dyDescent="0.25">
      <c r="A18732" s="31"/>
      <c r="D18732" s="30"/>
    </row>
    <row r="18733" spans="1:4" x14ac:dyDescent="0.25">
      <c r="A18733" s="31"/>
      <c r="D18733" s="30"/>
    </row>
    <row r="18734" spans="1:4" x14ac:dyDescent="0.25">
      <c r="A18734" s="31"/>
      <c r="D18734" s="30"/>
    </row>
    <row r="18735" spans="1:4" x14ac:dyDescent="0.25">
      <c r="A18735" s="31"/>
      <c r="D18735" s="30"/>
    </row>
    <row r="18736" spans="1:4" x14ac:dyDescent="0.25">
      <c r="A18736" s="31"/>
      <c r="D18736" s="30"/>
    </row>
    <row r="18737" spans="1:4" x14ac:dyDescent="0.25">
      <c r="A18737" s="31"/>
      <c r="D18737" s="30"/>
    </row>
    <row r="18738" spans="1:4" x14ac:dyDescent="0.25">
      <c r="A18738" s="31"/>
      <c r="D18738" s="30"/>
    </row>
    <row r="18739" spans="1:4" x14ac:dyDescent="0.25">
      <c r="A18739" s="31"/>
      <c r="D18739" s="30"/>
    </row>
    <row r="18740" spans="1:4" x14ac:dyDescent="0.25">
      <c r="A18740" s="31"/>
      <c r="D18740" s="30"/>
    </row>
    <row r="18741" spans="1:4" x14ac:dyDescent="0.25">
      <c r="A18741" s="31"/>
      <c r="D18741" s="30"/>
    </row>
    <row r="18742" spans="1:4" x14ac:dyDescent="0.25">
      <c r="A18742" s="31"/>
      <c r="D18742" s="30"/>
    </row>
    <row r="18743" spans="1:4" x14ac:dyDescent="0.25">
      <c r="A18743" s="31"/>
      <c r="D18743" s="30"/>
    </row>
    <row r="18744" spans="1:4" x14ac:dyDescent="0.25">
      <c r="A18744" s="31"/>
      <c r="D18744" s="30"/>
    </row>
    <row r="18745" spans="1:4" x14ac:dyDescent="0.25">
      <c r="A18745" s="31"/>
      <c r="D18745" s="30"/>
    </row>
    <row r="18746" spans="1:4" x14ac:dyDescent="0.25">
      <c r="A18746" s="31"/>
      <c r="D18746" s="30"/>
    </row>
    <row r="18747" spans="1:4" x14ac:dyDescent="0.25">
      <c r="A18747" s="31"/>
      <c r="D18747" s="30"/>
    </row>
    <row r="18748" spans="1:4" x14ac:dyDescent="0.25">
      <c r="A18748" s="31"/>
      <c r="D18748" s="30"/>
    </row>
    <row r="18749" spans="1:4" x14ac:dyDescent="0.25">
      <c r="A18749" s="31"/>
      <c r="D18749" s="30"/>
    </row>
    <row r="18750" spans="1:4" x14ac:dyDescent="0.25">
      <c r="A18750" s="31"/>
      <c r="D18750" s="30"/>
    </row>
    <row r="18751" spans="1:4" x14ac:dyDescent="0.25">
      <c r="A18751" s="31"/>
      <c r="D18751" s="30"/>
    </row>
    <row r="18752" spans="1:4" x14ac:dyDescent="0.25">
      <c r="A18752" s="31"/>
      <c r="D18752" s="30"/>
    </row>
    <row r="18753" spans="1:4" x14ac:dyDescent="0.25">
      <c r="A18753" s="31"/>
      <c r="D18753" s="30"/>
    </row>
    <row r="18754" spans="1:4" x14ac:dyDescent="0.25">
      <c r="A18754" s="31"/>
      <c r="D18754" s="30"/>
    </row>
    <row r="18755" spans="1:4" x14ac:dyDescent="0.25">
      <c r="A18755" s="31"/>
      <c r="D18755" s="30"/>
    </row>
    <row r="18756" spans="1:4" x14ac:dyDescent="0.25">
      <c r="A18756" s="31"/>
      <c r="D18756" s="30"/>
    </row>
    <row r="18757" spans="1:4" x14ac:dyDescent="0.25">
      <c r="A18757" s="31"/>
      <c r="D18757" s="30"/>
    </row>
    <row r="18758" spans="1:4" x14ac:dyDescent="0.25">
      <c r="A18758" s="31"/>
      <c r="D18758" s="30"/>
    </row>
    <row r="18759" spans="1:4" x14ac:dyDescent="0.25">
      <c r="A18759" s="31"/>
      <c r="D18759" s="30"/>
    </row>
    <row r="18760" spans="1:4" x14ac:dyDescent="0.25">
      <c r="A18760" s="31"/>
      <c r="D18760" s="30"/>
    </row>
    <row r="18761" spans="1:4" x14ac:dyDescent="0.25">
      <c r="A18761" s="31"/>
      <c r="D18761" s="30"/>
    </row>
    <row r="18762" spans="1:4" x14ac:dyDescent="0.25">
      <c r="A18762" s="31"/>
      <c r="D18762" s="30"/>
    </row>
    <row r="18763" spans="1:4" x14ac:dyDescent="0.25">
      <c r="A18763" s="31"/>
      <c r="D18763" s="30"/>
    </row>
    <row r="18764" spans="1:4" x14ac:dyDescent="0.25">
      <c r="A18764" s="31"/>
      <c r="D18764" s="30"/>
    </row>
    <row r="18765" spans="1:4" x14ac:dyDescent="0.25">
      <c r="A18765" s="31"/>
      <c r="D18765" s="30"/>
    </row>
    <row r="18766" spans="1:4" x14ac:dyDescent="0.25">
      <c r="A18766" s="31"/>
      <c r="D18766" s="30"/>
    </row>
    <row r="18767" spans="1:4" x14ac:dyDescent="0.25">
      <c r="A18767" s="31"/>
      <c r="D18767" s="30"/>
    </row>
    <row r="18768" spans="1:4" x14ac:dyDescent="0.25">
      <c r="A18768" s="31"/>
      <c r="D18768" s="30"/>
    </row>
    <row r="18769" spans="1:4" x14ac:dyDescent="0.25">
      <c r="A18769" s="31"/>
      <c r="D18769" s="30"/>
    </row>
    <row r="18770" spans="1:4" x14ac:dyDescent="0.25">
      <c r="A18770" s="31"/>
      <c r="D18770" s="30"/>
    </row>
    <row r="18771" spans="1:4" x14ac:dyDescent="0.25">
      <c r="A18771" s="31"/>
      <c r="D18771" s="30"/>
    </row>
    <row r="18772" spans="1:4" x14ac:dyDescent="0.25">
      <c r="A18772" s="31"/>
      <c r="D18772" s="30"/>
    </row>
    <row r="18773" spans="1:4" x14ac:dyDescent="0.25">
      <c r="A18773" s="31"/>
      <c r="D18773" s="30"/>
    </row>
    <row r="18774" spans="1:4" x14ac:dyDescent="0.25">
      <c r="A18774" s="31"/>
      <c r="D18774" s="30"/>
    </row>
    <row r="18775" spans="1:4" x14ac:dyDescent="0.25">
      <c r="A18775" s="31"/>
      <c r="D18775" s="30"/>
    </row>
    <row r="18776" spans="1:4" x14ac:dyDescent="0.25">
      <c r="A18776" s="31"/>
      <c r="D18776" s="30"/>
    </row>
    <row r="18777" spans="1:4" x14ac:dyDescent="0.25">
      <c r="A18777" s="31"/>
      <c r="D18777" s="30"/>
    </row>
    <row r="18778" spans="1:4" x14ac:dyDescent="0.25">
      <c r="A18778" s="31"/>
      <c r="D18778" s="30"/>
    </row>
    <row r="18779" spans="1:4" x14ac:dyDescent="0.25">
      <c r="A18779" s="31"/>
      <c r="D18779" s="30"/>
    </row>
    <row r="18780" spans="1:4" x14ac:dyDescent="0.25">
      <c r="A18780" s="31"/>
      <c r="D18780" s="30"/>
    </row>
    <row r="18781" spans="1:4" x14ac:dyDescent="0.25">
      <c r="A18781" s="31"/>
      <c r="D18781" s="30"/>
    </row>
    <row r="18782" spans="1:4" x14ac:dyDescent="0.25">
      <c r="A18782" s="31"/>
      <c r="D18782" s="30"/>
    </row>
    <row r="18783" spans="1:4" x14ac:dyDescent="0.25">
      <c r="A18783" s="31"/>
      <c r="D18783" s="30"/>
    </row>
    <row r="18784" spans="1:4" x14ac:dyDescent="0.25">
      <c r="A18784" s="31"/>
      <c r="D18784" s="30"/>
    </row>
    <row r="18785" spans="1:4" x14ac:dyDescent="0.25">
      <c r="A18785" s="31"/>
      <c r="D18785" s="30"/>
    </row>
    <row r="18786" spans="1:4" x14ac:dyDescent="0.25">
      <c r="A18786" s="31"/>
      <c r="D18786" s="30"/>
    </row>
    <row r="18787" spans="1:4" x14ac:dyDescent="0.25">
      <c r="A18787" s="31"/>
      <c r="D18787" s="30"/>
    </row>
    <row r="18788" spans="1:4" x14ac:dyDescent="0.25">
      <c r="A18788" s="31"/>
      <c r="D18788" s="30"/>
    </row>
    <row r="18789" spans="1:4" x14ac:dyDescent="0.25">
      <c r="A18789" s="31"/>
      <c r="D18789" s="30"/>
    </row>
    <row r="18790" spans="1:4" x14ac:dyDescent="0.25">
      <c r="A18790" s="31"/>
      <c r="D18790" s="30"/>
    </row>
    <row r="18791" spans="1:4" x14ac:dyDescent="0.25">
      <c r="A18791" s="31"/>
      <c r="D18791" s="30"/>
    </row>
    <row r="18792" spans="1:4" x14ac:dyDescent="0.25">
      <c r="A18792" s="31"/>
      <c r="D18792" s="30"/>
    </row>
    <row r="18793" spans="1:4" x14ac:dyDescent="0.25">
      <c r="A18793" s="31"/>
      <c r="D18793" s="30"/>
    </row>
    <row r="18794" spans="1:4" x14ac:dyDescent="0.25">
      <c r="A18794" s="31"/>
      <c r="D18794" s="30"/>
    </row>
    <row r="18795" spans="1:4" x14ac:dyDescent="0.25">
      <c r="A18795" s="31"/>
      <c r="D18795" s="30"/>
    </row>
    <row r="18796" spans="1:4" x14ac:dyDescent="0.25">
      <c r="A18796" s="31"/>
      <c r="D18796" s="30"/>
    </row>
    <row r="18797" spans="1:4" x14ac:dyDescent="0.25">
      <c r="A18797" s="31"/>
      <c r="D18797" s="30"/>
    </row>
    <row r="18798" spans="1:4" x14ac:dyDescent="0.25">
      <c r="A18798" s="31"/>
      <c r="D18798" s="30"/>
    </row>
    <row r="18799" spans="1:4" x14ac:dyDescent="0.25">
      <c r="A18799" s="31"/>
      <c r="D18799" s="30"/>
    </row>
    <row r="18800" spans="1:4" x14ac:dyDescent="0.25">
      <c r="A18800" s="31"/>
      <c r="D18800" s="30"/>
    </row>
    <row r="18801" spans="1:4" x14ac:dyDescent="0.25">
      <c r="A18801" s="31"/>
      <c r="D18801" s="30"/>
    </row>
    <row r="18802" spans="1:4" x14ac:dyDescent="0.25">
      <c r="A18802" s="31"/>
      <c r="D18802" s="30"/>
    </row>
    <row r="18803" spans="1:4" x14ac:dyDescent="0.25">
      <c r="A18803" s="31"/>
      <c r="D18803" s="30"/>
    </row>
    <row r="18804" spans="1:4" x14ac:dyDescent="0.25">
      <c r="A18804" s="31"/>
      <c r="D18804" s="30"/>
    </row>
    <row r="18805" spans="1:4" x14ac:dyDescent="0.25">
      <c r="A18805" s="31"/>
      <c r="D18805" s="30"/>
    </row>
    <row r="18806" spans="1:4" x14ac:dyDescent="0.25">
      <c r="A18806" s="31"/>
      <c r="D18806" s="30"/>
    </row>
    <row r="18807" spans="1:4" x14ac:dyDescent="0.25">
      <c r="A18807" s="31"/>
      <c r="D18807" s="30"/>
    </row>
    <row r="18808" spans="1:4" x14ac:dyDescent="0.25">
      <c r="A18808" s="31"/>
      <c r="D18808" s="30"/>
    </row>
    <row r="18809" spans="1:4" x14ac:dyDescent="0.25">
      <c r="A18809" s="31"/>
      <c r="D18809" s="30"/>
    </row>
    <row r="18810" spans="1:4" x14ac:dyDescent="0.25">
      <c r="A18810" s="31"/>
      <c r="D18810" s="30"/>
    </row>
    <row r="18811" spans="1:4" x14ac:dyDescent="0.25">
      <c r="A18811" s="31"/>
      <c r="D18811" s="30"/>
    </row>
    <row r="18812" spans="1:4" x14ac:dyDescent="0.25">
      <c r="A18812" s="31"/>
      <c r="D18812" s="30"/>
    </row>
    <row r="18813" spans="1:4" x14ac:dyDescent="0.25">
      <c r="A18813" s="31"/>
      <c r="D18813" s="30"/>
    </row>
    <row r="18814" spans="1:4" x14ac:dyDescent="0.25">
      <c r="A18814" s="31"/>
      <c r="D18814" s="30"/>
    </row>
    <row r="18815" spans="1:4" x14ac:dyDescent="0.25">
      <c r="A18815" s="31"/>
      <c r="D18815" s="30"/>
    </row>
    <row r="18816" spans="1:4" x14ac:dyDescent="0.25">
      <c r="A18816" s="31"/>
      <c r="D18816" s="30"/>
    </row>
    <row r="18817" spans="1:4" x14ac:dyDescent="0.25">
      <c r="A18817" s="31"/>
      <c r="D18817" s="30"/>
    </row>
    <row r="18818" spans="1:4" x14ac:dyDescent="0.25">
      <c r="A18818" s="31"/>
      <c r="D18818" s="30"/>
    </row>
    <row r="18819" spans="1:4" x14ac:dyDescent="0.25">
      <c r="A18819" s="31"/>
      <c r="D18819" s="30"/>
    </row>
    <row r="18820" spans="1:4" x14ac:dyDescent="0.25">
      <c r="A18820" s="31"/>
      <c r="D18820" s="30"/>
    </row>
    <row r="18821" spans="1:4" x14ac:dyDescent="0.25">
      <c r="A18821" s="31"/>
      <c r="D18821" s="30"/>
    </row>
    <row r="18822" spans="1:4" x14ac:dyDescent="0.25">
      <c r="A18822" s="31"/>
      <c r="D18822" s="30"/>
    </row>
    <row r="18823" spans="1:4" x14ac:dyDescent="0.25">
      <c r="A18823" s="31"/>
      <c r="D18823" s="30"/>
    </row>
    <row r="18824" spans="1:4" x14ac:dyDescent="0.25">
      <c r="A18824" s="31"/>
      <c r="D18824" s="30"/>
    </row>
    <row r="18825" spans="1:4" x14ac:dyDescent="0.25">
      <c r="A18825" s="31"/>
      <c r="D18825" s="30"/>
    </row>
    <row r="18826" spans="1:4" x14ac:dyDescent="0.25">
      <c r="A18826" s="31"/>
      <c r="D18826" s="30"/>
    </row>
    <row r="18827" spans="1:4" x14ac:dyDescent="0.25">
      <c r="A18827" s="31"/>
      <c r="D18827" s="30"/>
    </row>
    <row r="18828" spans="1:4" x14ac:dyDescent="0.25">
      <c r="A18828" s="31"/>
      <c r="D18828" s="30"/>
    </row>
    <row r="18829" spans="1:4" x14ac:dyDescent="0.25">
      <c r="A18829" s="31"/>
      <c r="D18829" s="30"/>
    </row>
    <row r="18830" spans="1:4" x14ac:dyDescent="0.25">
      <c r="A18830" s="31"/>
      <c r="D18830" s="30"/>
    </row>
    <row r="18831" spans="1:4" x14ac:dyDescent="0.25">
      <c r="A18831" s="31"/>
      <c r="D18831" s="30"/>
    </row>
    <row r="18832" spans="1:4" x14ac:dyDescent="0.25">
      <c r="A18832" s="31"/>
      <c r="D18832" s="30"/>
    </row>
    <row r="18833" spans="1:4" x14ac:dyDescent="0.25">
      <c r="A18833" s="31"/>
      <c r="D18833" s="30"/>
    </row>
    <row r="18834" spans="1:4" x14ac:dyDescent="0.25">
      <c r="A18834" s="31"/>
      <c r="D18834" s="30"/>
    </row>
    <row r="18835" spans="1:4" x14ac:dyDescent="0.25">
      <c r="A18835" s="31"/>
      <c r="D18835" s="30"/>
    </row>
    <row r="18836" spans="1:4" x14ac:dyDescent="0.25">
      <c r="A18836" s="31"/>
      <c r="D18836" s="30"/>
    </row>
    <row r="18837" spans="1:4" x14ac:dyDescent="0.25">
      <c r="A18837" s="31"/>
      <c r="D18837" s="30"/>
    </row>
    <row r="18838" spans="1:4" x14ac:dyDescent="0.25">
      <c r="A18838" s="31"/>
      <c r="D18838" s="30"/>
    </row>
    <row r="18839" spans="1:4" x14ac:dyDescent="0.25">
      <c r="A18839" s="31"/>
      <c r="D18839" s="30"/>
    </row>
    <row r="18840" spans="1:4" x14ac:dyDescent="0.25">
      <c r="A18840" s="31"/>
      <c r="D18840" s="30"/>
    </row>
    <row r="18841" spans="1:4" x14ac:dyDescent="0.25">
      <c r="A18841" s="31"/>
      <c r="D18841" s="30"/>
    </row>
    <row r="18842" spans="1:4" x14ac:dyDescent="0.25">
      <c r="A18842" s="31"/>
      <c r="D18842" s="30"/>
    </row>
    <row r="18843" spans="1:4" x14ac:dyDescent="0.25">
      <c r="A18843" s="31"/>
      <c r="D18843" s="30"/>
    </row>
    <row r="18844" spans="1:4" x14ac:dyDescent="0.25">
      <c r="A18844" s="31"/>
      <c r="D18844" s="30"/>
    </row>
    <row r="18845" spans="1:4" x14ac:dyDescent="0.25">
      <c r="A18845" s="31"/>
      <c r="D18845" s="30"/>
    </row>
    <row r="18846" spans="1:4" x14ac:dyDescent="0.25">
      <c r="A18846" s="31"/>
      <c r="D18846" s="30"/>
    </row>
    <row r="18847" spans="1:4" x14ac:dyDescent="0.25">
      <c r="A18847" s="31"/>
      <c r="D18847" s="30"/>
    </row>
    <row r="18848" spans="1:4" x14ac:dyDescent="0.25">
      <c r="A18848" s="31"/>
      <c r="D18848" s="30"/>
    </row>
    <row r="18849" spans="1:4" x14ac:dyDescent="0.25">
      <c r="A18849" s="31"/>
      <c r="D18849" s="30"/>
    </row>
    <row r="18850" spans="1:4" x14ac:dyDescent="0.25">
      <c r="A18850" s="31"/>
      <c r="D18850" s="30"/>
    </row>
    <row r="18851" spans="1:4" x14ac:dyDescent="0.25">
      <c r="A18851" s="31"/>
      <c r="D18851" s="30"/>
    </row>
    <row r="18852" spans="1:4" x14ac:dyDescent="0.25">
      <c r="A18852" s="31"/>
      <c r="D18852" s="30"/>
    </row>
    <row r="18853" spans="1:4" x14ac:dyDescent="0.25">
      <c r="A18853" s="31"/>
      <c r="D18853" s="30"/>
    </row>
    <row r="18854" spans="1:4" x14ac:dyDescent="0.25">
      <c r="A18854" s="31"/>
      <c r="D18854" s="30"/>
    </row>
    <row r="18855" spans="1:4" x14ac:dyDescent="0.25">
      <c r="A18855" s="31"/>
      <c r="D18855" s="30"/>
    </row>
    <row r="18856" spans="1:4" x14ac:dyDescent="0.25">
      <c r="A18856" s="31"/>
      <c r="D18856" s="30"/>
    </row>
    <row r="18857" spans="1:4" x14ac:dyDescent="0.25">
      <c r="A18857" s="31"/>
      <c r="D18857" s="30"/>
    </row>
    <row r="18858" spans="1:4" x14ac:dyDescent="0.25">
      <c r="A18858" s="31"/>
      <c r="D18858" s="30"/>
    </row>
    <row r="18859" spans="1:4" x14ac:dyDescent="0.25">
      <c r="A18859" s="31"/>
      <c r="D18859" s="30"/>
    </row>
    <row r="18860" spans="1:4" x14ac:dyDescent="0.25">
      <c r="A18860" s="31"/>
      <c r="D18860" s="30"/>
    </row>
    <row r="18861" spans="1:4" x14ac:dyDescent="0.25">
      <c r="A18861" s="31"/>
      <c r="D18861" s="30"/>
    </row>
    <row r="18862" spans="1:4" x14ac:dyDescent="0.25">
      <c r="A18862" s="31"/>
      <c r="D18862" s="30"/>
    </row>
    <row r="18863" spans="1:4" x14ac:dyDescent="0.25">
      <c r="A18863" s="31"/>
      <c r="D18863" s="30"/>
    </row>
    <row r="18864" spans="1:4" x14ac:dyDescent="0.25">
      <c r="A18864" s="31"/>
      <c r="D18864" s="30"/>
    </row>
    <row r="18865" spans="1:4" x14ac:dyDescent="0.25">
      <c r="A18865" s="31"/>
      <c r="D18865" s="30"/>
    </row>
    <row r="18866" spans="1:4" x14ac:dyDescent="0.25">
      <c r="A18866" s="31"/>
      <c r="D18866" s="30"/>
    </row>
    <row r="18867" spans="1:4" x14ac:dyDescent="0.25">
      <c r="A18867" s="31"/>
      <c r="D18867" s="30"/>
    </row>
    <row r="18868" spans="1:4" x14ac:dyDescent="0.25">
      <c r="A18868" s="31"/>
      <c r="D18868" s="30"/>
    </row>
    <row r="18869" spans="1:4" x14ac:dyDescent="0.25">
      <c r="A18869" s="31"/>
      <c r="D18869" s="30"/>
    </row>
    <row r="18870" spans="1:4" x14ac:dyDescent="0.25">
      <c r="A18870" s="31"/>
      <c r="D18870" s="30"/>
    </row>
    <row r="18871" spans="1:4" x14ac:dyDescent="0.25">
      <c r="A18871" s="31"/>
      <c r="D18871" s="30"/>
    </row>
    <row r="18872" spans="1:4" x14ac:dyDescent="0.25">
      <c r="A18872" s="31"/>
      <c r="D18872" s="30"/>
    </row>
    <row r="18873" spans="1:4" x14ac:dyDescent="0.25">
      <c r="A18873" s="31"/>
      <c r="D18873" s="30"/>
    </row>
    <row r="18874" spans="1:4" x14ac:dyDescent="0.25">
      <c r="A18874" s="31"/>
      <c r="D18874" s="30"/>
    </row>
    <row r="18875" spans="1:4" x14ac:dyDescent="0.25">
      <c r="A18875" s="31"/>
      <c r="D18875" s="30"/>
    </row>
    <row r="18876" spans="1:4" x14ac:dyDescent="0.25">
      <c r="A18876" s="31"/>
      <c r="D18876" s="30"/>
    </row>
    <row r="18877" spans="1:4" x14ac:dyDescent="0.25">
      <c r="A18877" s="31"/>
      <c r="D18877" s="30"/>
    </row>
    <row r="18878" spans="1:4" x14ac:dyDescent="0.25">
      <c r="A18878" s="31"/>
      <c r="D18878" s="30"/>
    </row>
    <row r="18879" spans="1:4" x14ac:dyDescent="0.25">
      <c r="A18879" s="31"/>
      <c r="D18879" s="30"/>
    </row>
    <row r="18880" spans="1:4" x14ac:dyDescent="0.25">
      <c r="A18880" s="31"/>
      <c r="D18880" s="30"/>
    </row>
    <row r="18881" spans="1:4" x14ac:dyDescent="0.25">
      <c r="A18881" s="31"/>
      <c r="D18881" s="30"/>
    </row>
    <row r="18882" spans="1:4" x14ac:dyDescent="0.25">
      <c r="A18882" s="31"/>
      <c r="D18882" s="30"/>
    </row>
    <row r="18883" spans="1:4" x14ac:dyDescent="0.25">
      <c r="A18883" s="31"/>
      <c r="D18883" s="30"/>
    </row>
    <row r="18884" spans="1:4" x14ac:dyDescent="0.25">
      <c r="A18884" s="31"/>
      <c r="D18884" s="30"/>
    </row>
    <row r="18885" spans="1:4" x14ac:dyDescent="0.25">
      <c r="A18885" s="31"/>
      <c r="D18885" s="30"/>
    </row>
    <row r="18886" spans="1:4" x14ac:dyDescent="0.25">
      <c r="A18886" s="31"/>
      <c r="D18886" s="30"/>
    </row>
    <row r="18887" spans="1:4" x14ac:dyDescent="0.25">
      <c r="A18887" s="31"/>
      <c r="D18887" s="30"/>
    </row>
    <row r="18888" spans="1:4" x14ac:dyDescent="0.25">
      <c r="A18888" s="31"/>
      <c r="D18888" s="30"/>
    </row>
    <row r="18889" spans="1:4" x14ac:dyDescent="0.25">
      <c r="A18889" s="31"/>
      <c r="D18889" s="30"/>
    </row>
    <row r="18890" spans="1:4" x14ac:dyDescent="0.25">
      <c r="A18890" s="31"/>
      <c r="D18890" s="30"/>
    </row>
    <row r="18891" spans="1:4" x14ac:dyDescent="0.25">
      <c r="A18891" s="31"/>
      <c r="D18891" s="30"/>
    </row>
    <row r="18892" spans="1:4" x14ac:dyDescent="0.25">
      <c r="A18892" s="31"/>
      <c r="D18892" s="30"/>
    </row>
    <row r="18893" spans="1:4" x14ac:dyDescent="0.25">
      <c r="A18893" s="31"/>
      <c r="D18893" s="30"/>
    </row>
    <row r="18894" spans="1:4" x14ac:dyDescent="0.25">
      <c r="A18894" s="31"/>
      <c r="D18894" s="30"/>
    </row>
    <row r="18895" spans="1:4" x14ac:dyDescent="0.25">
      <c r="A18895" s="31"/>
      <c r="D18895" s="30"/>
    </row>
    <row r="18896" spans="1:4" x14ac:dyDescent="0.25">
      <c r="A18896" s="31"/>
      <c r="D18896" s="30"/>
    </row>
    <row r="18897" spans="1:4" x14ac:dyDescent="0.25">
      <c r="A18897" s="31"/>
      <c r="D18897" s="30"/>
    </row>
    <row r="18898" spans="1:4" x14ac:dyDescent="0.25">
      <c r="A18898" s="31"/>
      <c r="D18898" s="30"/>
    </row>
    <row r="18899" spans="1:4" x14ac:dyDescent="0.25">
      <c r="A18899" s="31"/>
      <c r="D18899" s="30"/>
    </row>
    <row r="18900" spans="1:4" x14ac:dyDescent="0.25">
      <c r="A18900" s="31"/>
      <c r="D18900" s="30"/>
    </row>
    <row r="18901" spans="1:4" x14ac:dyDescent="0.25">
      <c r="A18901" s="31"/>
      <c r="D18901" s="30"/>
    </row>
    <row r="18902" spans="1:4" x14ac:dyDescent="0.25">
      <c r="A18902" s="31"/>
      <c r="D18902" s="30"/>
    </row>
    <row r="18903" spans="1:4" x14ac:dyDescent="0.25">
      <c r="A18903" s="31"/>
      <c r="D18903" s="30"/>
    </row>
    <row r="18904" spans="1:4" x14ac:dyDescent="0.25">
      <c r="A18904" s="31"/>
      <c r="D18904" s="30"/>
    </row>
    <row r="18905" spans="1:4" x14ac:dyDescent="0.25">
      <c r="A18905" s="31"/>
      <c r="D18905" s="30"/>
    </row>
    <row r="18906" spans="1:4" x14ac:dyDescent="0.25">
      <c r="A18906" s="31"/>
      <c r="D18906" s="30"/>
    </row>
    <row r="18907" spans="1:4" x14ac:dyDescent="0.25">
      <c r="A18907" s="31"/>
      <c r="D18907" s="30"/>
    </row>
    <row r="18908" spans="1:4" x14ac:dyDescent="0.25">
      <c r="A18908" s="31"/>
      <c r="D18908" s="30"/>
    </row>
    <row r="18909" spans="1:4" x14ac:dyDescent="0.25">
      <c r="A18909" s="31"/>
      <c r="D18909" s="30"/>
    </row>
    <row r="18910" spans="1:4" x14ac:dyDescent="0.25">
      <c r="A18910" s="31"/>
      <c r="D18910" s="30"/>
    </row>
    <row r="18911" spans="1:4" x14ac:dyDescent="0.25">
      <c r="A18911" s="31"/>
      <c r="D18911" s="30"/>
    </row>
    <row r="18912" spans="1:4" x14ac:dyDescent="0.25">
      <c r="A18912" s="31"/>
      <c r="D18912" s="30"/>
    </row>
    <row r="18913" spans="1:4" x14ac:dyDescent="0.25">
      <c r="A18913" s="31"/>
      <c r="D18913" s="30"/>
    </row>
    <row r="18914" spans="1:4" x14ac:dyDescent="0.25">
      <c r="A18914" s="31"/>
      <c r="D18914" s="30"/>
    </row>
    <row r="18915" spans="1:4" x14ac:dyDescent="0.25">
      <c r="A18915" s="31"/>
      <c r="D18915" s="30"/>
    </row>
    <row r="18916" spans="1:4" x14ac:dyDescent="0.25">
      <c r="A18916" s="31"/>
      <c r="D18916" s="30"/>
    </row>
    <row r="18917" spans="1:4" x14ac:dyDescent="0.25">
      <c r="A18917" s="31"/>
      <c r="D18917" s="30"/>
    </row>
    <row r="18918" spans="1:4" x14ac:dyDescent="0.25">
      <c r="A18918" s="31"/>
      <c r="D18918" s="30"/>
    </row>
    <row r="18919" spans="1:4" x14ac:dyDescent="0.25">
      <c r="A18919" s="31"/>
      <c r="D18919" s="30"/>
    </row>
    <row r="18920" spans="1:4" x14ac:dyDescent="0.25">
      <c r="A18920" s="31"/>
      <c r="D18920" s="30"/>
    </row>
    <row r="18921" spans="1:4" x14ac:dyDescent="0.25">
      <c r="A18921" s="31"/>
      <c r="D18921" s="30"/>
    </row>
    <row r="18922" spans="1:4" x14ac:dyDescent="0.25">
      <c r="A18922" s="31"/>
      <c r="D18922" s="30"/>
    </row>
    <row r="18923" spans="1:4" x14ac:dyDescent="0.25">
      <c r="A18923" s="31"/>
      <c r="D18923" s="30"/>
    </row>
    <row r="18924" spans="1:4" x14ac:dyDescent="0.25">
      <c r="A18924" s="31"/>
      <c r="D18924" s="30"/>
    </row>
    <row r="18925" spans="1:4" x14ac:dyDescent="0.25">
      <c r="A18925" s="31"/>
      <c r="D18925" s="30"/>
    </row>
    <row r="18926" spans="1:4" x14ac:dyDescent="0.25">
      <c r="A18926" s="31"/>
      <c r="D18926" s="30"/>
    </row>
    <row r="18927" spans="1:4" x14ac:dyDescent="0.25">
      <c r="A18927" s="31"/>
      <c r="D18927" s="30"/>
    </row>
    <row r="18928" spans="1:4" x14ac:dyDescent="0.25">
      <c r="A18928" s="31"/>
      <c r="D18928" s="30"/>
    </row>
    <row r="18929" spans="1:4" x14ac:dyDescent="0.25">
      <c r="A18929" s="31"/>
      <c r="D18929" s="30"/>
    </row>
    <row r="18930" spans="1:4" x14ac:dyDescent="0.25">
      <c r="A18930" s="31"/>
      <c r="D18930" s="30"/>
    </row>
    <row r="18931" spans="1:4" x14ac:dyDescent="0.25">
      <c r="A18931" s="31"/>
      <c r="D18931" s="30"/>
    </row>
    <row r="18932" spans="1:4" x14ac:dyDescent="0.25">
      <c r="A18932" s="31"/>
      <c r="D18932" s="30"/>
    </row>
    <row r="18933" spans="1:4" x14ac:dyDescent="0.25">
      <c r="A18933" s="31"/>
      <c r="D18933" s="30"/>
    </row>
    <row r="18934" spans="1:4" x14ac:dyDescent="0.25">
      <c r="A18934" s="31"/>
      <c r="D18934" s="30"/>
    </row>
    <row r="18935" spans="1:4" x14ac:dyDescent="0.25">
      <c r="A18935" s="31"/>
      <c r="D18935" s="30"/>
    </row>
    <row r="18936" spans="1:4" x14ac:dyDescent="0.25">
      <c r="A18936" s="31"/>
      <c r="D18936" s="30"/>
    </row>
    <row r="18937" spans="1:4" x14ac:dyDescent="0.25">
      <c r="A18937" s="31"/>
      <c r="D18937" s="30"/>
    </row>
    <row r="18938" spans="1:4" x14ac:dyDescent="0.25">
      <c r="A18938" s="31"/>
      <c r="D18938" s="30"/>
    </row>
    <row r="18939" spans="1:4" x14ac:dyDescent="0.25">
      <c r="A18939" s="31"/>
      <c r="D18939" s="30"/>
    </row>
    <row r="18940" spans="1:4" x14ac:dyDescent="0.25">
      <c r="A18940" s="31"/>
      <c r="D18940" s="30"/>
    </row>
    <row r="18941" spans="1:4" x14ac:dyDescent="0.25">
      <c r="A18941" s="31"/>
      <c r="D18941" s="30"/>
    </row>
    <row r="18942" spans="1:4" x14ac:dyDescent="0.25">
      <c r="A18942" s="31"/>
      <c r="D18942" s="30"/>
    </row>
    <row r="18943" spans="1:4" x14ac:dyDescent="0.25">
      <c r="A18943" s="31"/>
      <c r="D18943" s="30"/>
    </row>
    <row r="18944" spans="1:4" x14ac:dyDescent="0.25">
      <c r="A18944" s="31"/>
      <c r="D18944" s="30"/>
    </row>
    <row r="18945" spans="1:4" x14ac:dyDescent="0.25">
      <c r="A18945" s="31"/>
      <c r="D18945" s="30"/>
    </row>
    <row r="18946" spans="1:4" x14ac:dyDescent="0.25">
      <c r="A18946" s="31"/>
      <c r="D18946" s="30"/>
    </row>
    <row r="18947" spans="1:4" x14ac:dyDescent="0.25">
      <c r="A18947" s="31"/>
      <c r="D18947" s="30"/>
    </row>
    <row r="18948" spans="1:4" x14ac:dyDescent="0.25">
      <c r="A18948" s="31"/>
      <c r="D18948" s="30"/>
    </row>
    <row r="18949" spans="1:4" x14ac:dyDescent="0.25">
      <c r="A18949" s="31"/>
      <c r="D18949" s="30"/>
    </row>
    <row r="18950" spans="1:4" x14ac:dyDescent="0.25">
      <c r="A18950" s="31"/>
      <c r="D18950" s="30"/>
    </row>
    <row r="18951" spans="1:4" x14ac:dyDescent="0.25">
      <c r="A18951" s="31"/>
      <c r="D18951" s="30"/>
    </row>
    <row r="18952" spans="1:4" x14ac:dyDescent="0.25">
      <c r="A18952" s="31"/>
      <c r="D18952" s="30"/>
    </row>
    <row r="18953" spans="1:4" x14ac:dyDescent="0.25">
      <c r="A18953" s="31"/>
      <c r="D18953" s="30"/>
    </row>
    <row r="18954" spans="1:4" x14ac:dyDescent="0.25">
      <c r="A18954" s="31"/>
      <c r="D18954" s="30"/>
    </row>
    <row r="18955" spans="1:4" x14ac:dyDescent="0.25">
      <c r="A18955" s="31"/>
      <c r="D18955" s="30"/>
    </row>
    <row r="18956" spans="1:4" x14ac:dyDescent="0.25">
      <c r="A18956" s="31"/>
      <c r="D18956" s="30"/>
    </row>
    <row r="18957" spans="1:4" x14ac:dyDescent="0.25">
      <c r="A18957" s="31"/>
      <c r="D18957" s="30"/>
    </row>
    <row r="18958" spans="1:4" x14ac:dyDescent="0.25">
      <c r="A18958" s="31"/>
      <c r="D18958" s="30"/>
    </row>
    <row r="18959" spans="1:4" x14ac:dyDescent="0.25">
      <c r="A18959" s="31"/>
      <c r="D18959" s="30"/>
    </row>
    <row r="18960" spans="1:4" x14ac:dyDescent="0.25">
      <c r="A18960" s="31"/>
      <c r="D18960" s="30"/>
    </row>
    <row r="18961" spans="1:4" x14ac:dyDescent="0.25">
      <c r="A18961" s="31"/>
      <c r="D18961" s="30"/>
    </row>
    <row r="18962" spans="1:4" x14ac:dyDescent="0.25">
      <c r="A18962" s="31"/>
      <c r="D18962" s="30"/>
    </row>
    <row r="18963" spans="1:4" x14ac:dyDescent="0.25">
      <c r="A18963" s="31"/>
      <c r="D18963" s="30"/>
    </row>
    <row r="18964" spans="1:4" x14ac:dyDescent="0.25">
      <c r="A18964" s="31"/>
      <c r="D18964" s="30"/>
    </row>
    <row r="18965" spans="1:4" x14ac:dyDescent="0.25">
      <c r="A18965" s="31"/>
      <c r="D18965" s="30"/>
    </row>
    <row r="18966" spans="1:4" x14ac:dyDescent="0.25">
      <c r="A18966" s="31"/>
      <c r="D18966" s="30"/>
    </row>
    <row r="18967" spans="1:4" x14ac:dyDescent="0.25">
      <c r="A18967" s="31"/>
      <c r="D18967" s="30"/>
    </row>
    <row r="18968" spans="1:4" x14ac:dyDescent="0.25">
      <c r="A18968" s="31"/>
      <c r="D18968" s="30"/>
    </row>
    <row r="18969" spans="1:4" x14ac:dyDescent="0.25">
      <c r="A18969" s="31"/>
      <c r="D18969" s="30"/>
    </row>
    <row r="18970" spans="1:4" x14ac:dyDescent="0.25">
      <c r="A18970" s="31"/>
      <c r="D18970" s="30"/>
    </row>
    <row r="18971" spans="1:4" x14ac:dyDescent="0.25">
      <c r="A18971" s="31"/>
      <c r="D18971" s="30"/>
    </row>
    <row r="18972" spans="1:4" x14ac:dyDescent="0.25">
      <c r="A18972" s="31"/>
      <c r="D18972" s="30"/>
    </row>
    <row r="18973" spans="1:4" x14ac:dyDescent="0.25">
      <c r="A18973" s="31"/>
      <c r="D18973" s="30"/>
    </row>
    <row r="18974" spans="1:4" x14ac:dyDescent="0.25">
      <c r="A18974" s="31"/>
      <c r="D18974" s="30"/>
    </row>
    <row r="18975" spans="1:4" x14ac:dyDescent="0.25">
      <c r="A18975" s="31"/>
      <c r="D18975" s="30"/>
    </row>
    <row r="18976" spans="1:4" x14ac:dyDescent="0.25">
      <c r="A18976" s="31"/>
      <c r="D18976" s="30"/>
    </row>
    <row r="18977" spans="1:4" x14ac:dyDescent="0.25">
      <c r="A18977" s="31"/>
      <c r="D18977" s="30"/>
    </row>
    <row r="18978" spans="1:4" x14ac:dyDescent="0.25">
      <c r="A18978" s="31"/>
      <c r="D18978" s="30"/>
    </row>
    <row r="18979" spans="1:4" x14ac:dyDescent="0.25">
      <c r="A18979" s="31"/>
      <c r="D18979" s="30"/>
    </row>
    <row r="18980" spans="1:4" x14ac:dyDescent="0.25">
      <c r="A18980" s="31"/>
      <c r="D18980" s="30"/>
    </row>
    <row r="18981" spans="1:4" x14ac:dyDescent="0.25">
      <c r="A18981" s="31"/>
      <c r="D18981" s="30"/>
    </row>
    <row r="18982" spans="1:4" x14ac:dyDescent="0.25">
      <c r="A18982" s="31"/>
      <c r="D18982" s="30"/>
    </row>
    <row r="18983" spans="1:4" x14ac:dyDescent="0.25">
      <c r="A18983" s="31"/>
      <c r="D18983" s="30"/>
    </row>
    <row r="18984" spans="1:4" x14ac:dyDescent="0.25">
      <c r="A18984" s="31"/>
      <c r="D18984" s="30"/>
    </row>
    <row r="18985" spans="1:4" x14ac:dyDescent="0.25">
      <c r="A18985" s="31"/>
      <c r="D18985" s="30"/>
    </row>
    <row r="18986" spans="1:4" x14ac:dyDescent="0.25">
      <c r="A18986" s="31"/>
      <c r="D18986" s="30"/>
    </row>
    <row r="18987" spans="1:4" x14ac:dyDescent="0.25">
      <c r="A18987" s="31"/>
      <c r="D18987" s="30"/>
    </row>
    <row r="18988" spans="1:4" x14ac:dyDescent="0.25">
      <c r="A18988" s="31"/>
      <c r="D18988" s="30"/>
    </row>
    <row r="18989" spans="1:4" x14ac:dyDescent="0.25">
      <c r="A18989" s="31"/>
      <c r="D18989" s="30"/>
    </row>
    <row r="18990" spans="1:4" x14ac:dyDescent="0.25">
      <c r="A18990" s="31"/>
      <c r="D18990" s="30"/>
    </row>
    <row r="18991" spans="1:4" x14ac:dyDescent="0.25">
      <c r="A18991" s="31"/>
      <c r="D18991" s="30"/>
    </row>
    <row r="18992" spans="1:4" x14ac:dyDescent="0.25">
      <c r="A18992" s="31"/>
      <c r="D18992" s="30"/>
    </row>
    <row r="18993" spans="1:4" x14ac:dyDescent="0.25">
      <c r="A18993" s="31"/>
      <c r="D18993" s="30"/>
    </row>
    <row r="18994" spans="1:4" x14ac:dyDescent="0.25">
      <c r="A18994" s="31"/>
      <c r="D18994" s="30"/>
    </row>
    <row r="18995" spans="1:4" x14ac:dyDescent="0.25">
      <c r="A18995" s="31"/>
      <c r="D18995" s="30"/>
    </row>
    <row r="18996" spans="1:4" x14ac:dyDescent="0.25">
      <c r="A18996" s="31"/>
      <c r="D18996" s="30"/>
    </row>
    <row r="18997" spans="1:4" x14ac:dyDescent="0.25">
      <c r="A18997" s="31"/>
      <c r="D18997" s="30"/>
    </row>
    <row r="18998" spans="1:4" x14ac:dyDescent="0.25">
      <c r="A18998" s="31"/>
      <c r="D18998" s="30"/>
    </row>
    <row r="18999" spans="1:4" x14ac:dyDescent="0.25">
      <c r="A18999" s="31"/>
      <c r="D18999" s="30"/>
    </row>
    <row r="19000" spans="1:4" x14ac:dyDescent="0.25">
      <c r="A19000" s="31"/>
      <c r="D19000" s="30"/>
    </row>
    <row r="19001" spans="1:4" x14ac:dyDescent="0.25">
      <c r="A19001" s="31"/>
      <c r="D19001" s="30"/>
    </row>
    <row r="19002" spans="1:4" x14ac:dyDescent="0.25">
      <c r="A19002" s="31"/>
      <c r="D19002" s="30"/>
    </row>
    <row r="19003" spans="1:4" x14ac:dyDescent="0.25">
      <c r="A19003" s="31"/>
      <c r="D19003" s="30"/>
    </row>
    <row r="19004" spans="1:4" x14ac:dyDescent="0.25">
      <c r="A19004" s="31"/>
      <c r="D19004" s="30"/>
    </row>
    <row r="19005" spans="1:4" x14ac:dyDescent="0.25">
      <c r="A19005" s="31"/>
      <c r="D19005" s="30"/>
    </row>
    <row r="19006" spans="1:4" x14ac:dyDescent="0.25">
      <c r="A19006" s="31"/>
      <c r="D19006" s="30"/>
    </row>
    <row r="19007" spans="1:4" x14ac:dyDescent="0.25">
      <c r="A19007" s="31"/>
      <c r="D19007" s="30"/>
    </row>
    <row r="19008" spans="1:4" x14ac:dyDescent="0.25">
      <c r="A19008" s="31"/>
      <c r="D19008" s="30"/>
    </row>
    <row r="19009" spans="1:4" x14ac:dyDescent="0.25">
      <c r="A19009" s="31"/>
      <c r="D19009" s="30"/>
    </row>
    <row r="19010" spans="1:4" x14ac:dyDescent="0.25">
      <c r="A19010" s="31"/>
      <c r="D19010" s="30"/>
    </row>
    <row r="19011" spans="1:4" x14ac:dyDescent="0.25">
      <c r="A19011" s="31"/>
      <c r="D19011" s="30"/>
    </row>
    <row r="19012" spans="1:4" x14ac:dyDescent="0.25">
      <c r="A19012" s="31"/>
      <c r="D19012" s="30"/>
    </row>
    <row r="19013" spans="1:4" x14ac:dyDescent="0.25">
      <c r="A19013" s="31"/>
      <c r="D19013" s="30"/>
    </row>
    <row r="19014" spans="1:4" x14ac:dyDescent="0.25">
      <c r="A19014" s="31"/>
      <c r="D19014" s="30"/>
    </row>
    <row r="19015" spans="1:4" x14ac:dyDescent="0.25">
      <c r="A19015" s="31"/>
      <c r="D19015" s="30"/>
    </row>
    <row r="19016" spans="1:4" x14ac:dyDescent="0.25">
      <c r="A19016" s="31"/>
      <c r="D19016" s="30"/>
    </row>
    <row r="19017" spans="1:4" x14ac:dyDescent="0.25">
      <c r="A19017" s="31"/>
      <c r="D19017" s="30"/>
    </row>
    <row r="19018" spans="1:4" x14ac:dyDescent="0.25">
      <c r="A19018" s="31"/>
      <c r="D19018" s="30"/>
    </row>
    <row r="19019" spans="1:4" x14ac:dyDescent="0.25">
      <c r="A19019" s="31"/>
      <c r="D19019" s="30"/>
    </row>
    <row r="19020" spans="1:4" x14ac:dyDescent="0.25">
      <c r="A19020" s="31"/>
      <c r="D19020" s="30"/>
    </row>
    <row r="19021" spans="1:4" x14ac:dyDescent="0.25">
      <c r="A19021" s="31"/>
      <c r="D19021" s="30"/>
    </row>
    <row r="19022" spans="1:4" x14ac:dyDescent="0.25">
      <c r="A19022" s="31"/>
      <c r="D19022" s="30"/>
    </row>
    <row r="19023" spans="1:4" x14ac:dyDescent="0.25">
      <c r="A19023" s="31"/>
      <c r="D19023" s="30"/>
    </row>
    <row r="19024" spans="1:4" x14ac:dyDescent="0.25">
      <c r="A19024" s="31"/>
      <c r="D19024" s="30"/>
    </row>
    <row r="19025" spans="1:4" x14ac:dyDescent="0.25">
      <c r="A19025" s="31"/>
      <c r="D19025" s="30"/>
    </row>
    <row r="19026" spans="1:4" x14ac:dyDescent="0.25">
      <c r="A19026" s="31"/>
      <c r="D19026" s="30"/>
    </row>
    <row r="19027" spans="1:4" x14ac:dyDescent="0.25">
      <c r="A19027" s="31"/>
      <c r="D19027" s="30"/>
    </row>
    <row r="19028" spans="1:4" x14ac:dyDescent="0.25">
      <c r="A19028" s="31"/>
      <c r="D19028" s="30"/>
    </row>
    <row r="19029" spans="1:4" x14ac:dyDescent="0.25">
      <c r="A19029" s="31"/>
      <c r="D19029" s="30"/>
    </row>
    <row r="19030" spans="1:4" x14ac:dyDescent="0.25">
      <c r="A19030" s="31"/>
      <c r="D19030" s="30"/>
    </row>
    <row r="19031" spans="1:4" x14ac:dyDescent="0.25">
      <c r="A19031" s="31"/>
      <c r="D19031" s="30"/>
    </row>
    <row r="19032" spans="1:4" x14ac:dyDescent="0.25">
      <c r="A19032" s="31"/>
      <c r="D19032" s="30"/>
    </row>
    <row r="19033" spans="1:4" x14ac:dyDescent="0.25">
      <c r="A19033" s="31"/>
      <c r="D19033" s="30"/>
    </row>
    <row r="19034" spans="1:4" x14ac:dyDescent="0.25">
      <c r="A19034" s="31"/>
      <c r="D19034" s="30"/>
    </row>
    <row r="19035" spans="1:4" x14ac:dyDescent="0.25">
      <c r="A19035" s="31"/>
      <c r="D19035" s="30"/>
    </row>
    <row r="19036" spans="1:4" x14ac:dyDescent="0.25">
      <c r="A19036" s="31"/>
      <c r="D19036" s="30"/>
    </row>
    <row r="19037" spans="1:4" x14ac:dyDescent="0.25">
      <c r="A19037" s="31"/>
      <c r="D19037" s="30"/>
    </row>
    <row r="19038" spans="1:4" x14ac:dyDescent="0.25">
      <c r="A19038" s="31"/>
      <c r="D19038" s="30"/>
    </row>
    <row r="19039" spans="1:4" x14ac:dyDescent="0.25">
      <c r="A19039" s="31"/>
      <c r="D19039" s="30"/>
    </row>
    <row r="19040" spans="1:4" x14ac:dyDescent="0.25">
      <c r="A19040" s="31"/>
      <c r="D19040" s="30"/>
    </row>
    <row r="19041" spans="1:4" x14ac:dyDescent="0.25">
      <c r="A19041" s="31"/>
      <c r="D19041" s="30"/>
    </row>
    <row r="19042" spans="1:4" x14ac:dyDescent="0.25">
      <c r="A19042" s="31"/>
      <c r="D19042" s="30"/>
    </row>
    <row r="19043" spans="1:4" x14ac:dyDescent="0.25">
      <c r="A19043" s="31"/>
      <c r="D19043" s="30"/>
    </row>
    <row r="19044" spans="1:4" x14ac:dyDescent="0.25">
      <c r="A19044" s="31"/>
      <c r="D19044" s="30"/>
    </row>
    <row r="19045" spans="1:4" x14ac:dyDescent="0.25">
      <c r="A19045" s="31"/>
      <c r="D19045" s="30"/>
    </row>
    <row r="19046" spans="1:4" x14ac:dyDescent="0.25">
      <c r="A19046" s="31"/>
      <c r="D19046" s="30"/>
    </row>
    <row r="19047" spans="1:4" x14ac:dyDescent="0.25">
      <c r="A19047" s="31"/>
      <c r="D19047" s="30"/>
    </row>
    <row r="19048" spans="1:4" x14ac:dyDescent="0.25">
      <c r="A19048" s="31"/>
      <c r="D19048" s="30"/>
    </row>
    <row r="19049" spans="1:4" x14ac:dyDescent="0.25">
      <c r="A19049" s="31"/>
      <c r="D19049" s="30"/>
    </row>
    <row r="19050" spans="1:4" x14ac:dyDescent="0.25">
      <c r="A19050" s="31"/>
      <c r="D19050" s="30"/>
    </row>
    <row r="19051" spans="1:4" x14ac:dyDescent="0.25">
      <c r="A19051" s="31"/>
      <c r="D19051" s="30"/>
    </row>
    <row r="19052" spans="1:4" x14ac:dyDescent="0.25">
      <c r="A19052" s="31"/>
      <c r="D19052" s="30"/>
    </row>
    <row r="19053" spans="1:4" x14ac:dyDescent="0.25">
      <c r="A19053" s="31"/>
      <c r="D19053" s="30"/>
    </row>
    <row r="19054" spans="1:4" x14ac:dyDescent="0.25">
      <c r="A19054" s="31"/>
      <c r="D19054" s="30"/>
    </row>
    <row r="19055" spans="1:4" x14ac:dyDescent="0.25">
      <c r="A19055" s="31"/>
      <c r="D19055" s="30"/>
    </row>
    <row r="19056" spans="1:4" x14ac:dyDescent="0.25">
      <c r="A19056" s="31"/>
      <c r="D19056" s="30"/>
    </row>
    <row r="19057" spans="1:4" x14ac:dyDescent="0.25">
      <c r="A19057" s="31"/>
      <c r="D19057" s="30"/>
    </row>
    <row r="19058" spans="1:4" x14ac:dyDescent="0.25">
      <c r="A19058" s="31"/>
      <c r="D19058" s="30"/>
    </row>
    <row r="19059" spans="1:4" x14ac:dyDescent="0.25">
      <c r="A19059" s="31"/>
      <c r="D19059" s="30"/>
    </row>
    <row r="19060" spans="1:4" x14ac:dyDescent="0.25">
      <c r="A19060" s="31"/>
      <c r="D19060" s="30"/>
    </row>
    <row r="19061" spans="1:4" x14ac:dyDescent="0.25">
      <c r="A19061" s="31"/>
      <c r="D19061" s="30"/>
    </row>
    <row r="19062" spans="1:4" x14ac:dyDescent="0.25">
      <c r="A19062" s="31"/>
      <c r="D19062" s="30"/>
    </row>
    <row r="19063" spans="1:4" x14ac:dyDescent="0.25">
      <c r="A19063" s="31"/>
      <c r="D19063" s="30"/>
    </row>
    <row r="19064" spans="1:4" x14ac:dyDescent="0.25">
      <c r="A19064" s="31"/>
      <c r="D19064" s="30"/>
    </row>
    <row r="19065" spans="1:4" x14ac:dyDescent="0.25">
      <c r="A19065" s="31"/>
      <c r="D19065" s="30"/>
    </row>
    <row r="19066" spans="1:4" x14ac:dyDescent="0.25">
      <c r="A19066" s="31"/>
      <c r="D19066" s="30"/>
    </row>
    <row r="19067" spans="1:4" x14ac:dyDescent="0.25">
      <c r="A19067" s="31"/>
      <c r="D19067" s="30"/>
    </row>
    <row r="19068" spans="1:4" x14ac:dyDescent="0.25">
      <c r="A19068" s="31"/>
      <c r="D19068" s="30"/>
    </row>
    <row r="19069" spans="1:4" x14ac:dyDescent="0.25">
      <c r="A19069" s="31"/>
      <c r="D19069" s="30"/>
    </row>
    <row r="19070" spans="1:4" x14ac:dyDescent="0.25">
      <c r="A19070" s="31"/>
      <c r="D19070" s="30"/>
    </row>
    <row r="19071" spans="1:4" x14ac:dyDescent="0.25">
      <c r="A19071" s="31"/>
      <c r="D19071" s="30"/>
    </row>
    <row r="19072" spans="1:4" x14ac:dyDescent="0.25">
      <c r="A19072" s="31"/>
      <c r="D19072" s="30"/>
    </row>
    <row r="19073" spans="1:4" x14ac:dyDescent="0.25">
      <c r="A19073" s="31"/>
      <c r="D19073" s="30"/>
    </row>
    <row r="19074" spans="1:4" x14ac:dyDescent="0.25">
      <c r="A19074" s="31"/>
      <c r="D19074" s="30"/>
    </row>
    <row r="19075" spans="1:4" x14ac:dyDescent="0.25">
      <c r="A19075" s="31"/>
      <c r="D19075" s="30"/>
    </row>
    <row r="19076" spans="1:4" x14ac:dyDescent="0.25">
      <c r="A19076" s="31"/>
      <c r="D19076" s="30"/>
    </row>
    <row r="19077" spans="1:4" x14ac:dyDescent="0.25">
      <c r="A19077" s="31"/>
      <c r="D19077" s="30"/>
    </row>
    <row r="19078" spans="1:4" x14ac:dyDescent="0.25">
      <c r="A19078" s="31"/>
      <c r="D19078" s="30"/>
    </row>
    <row r="19079" spans="1:4" x14ac:dyDescent="0.25">
      <c r="A19079" s="31"/>
      <c r="D19079" s="30"/>
    </row>
    <row r="19080" spans="1:4" x14ac:dyDescent="0.25">
      <c r="A19080" s="31"/>
      <c r="D19080" s="30"/>
    </row>
    <row r="19081" spans="1:4" x14ac:dyDescent="0.25">
      <c r="A19081" s="31"/>
      <c r="D19081" s="30"/>
    </row>
    <row r="19082" spans="1:4" x14ac:dyDescent="0.25">
      <c r="A19082" s="31"/>
      <c r="D19082" s="30"/>
    </row>
    <row r="19083" spans="1:4" x14ac:dyDescent="0.25">
      <c r="A19083" s="31"/>
      <c r="D19083" s="30"/>
    </row>
    <row r="19084" spans="1:4" x14ac:dyDescent="0.25">
      <c r="A19084" s="31"/>
      <c r="D19084" s="30"/>
    </row>
    <row r="19085" spans="1:4" x14ac:dyDescent="0.25">
      <c r="A19085" s="31"/>
      <c r="D19085" s="30"/>
    </row>
    <row r="19086" spans="1:4" x14ac:dyDescent="0.25">
      <c r="A19086" s="31"/>
      <c r="D19086" s="30"/>
    </row>
    <row r="19087" spans="1:4" x14ac:dyDescent="0.25">
      <c r="A19087" s="31"/>
      <c r="D19087" s="30"/>
    </row>
    <row r="19088" spans="1:4" x14ac:dyDescent="0.25">
      <c r="A19088" s="31"/>
      <c r="D19088" s="30"/>
    </row>
    <row r="19089" spans="1:4" x14ac:dyDescent="0.25">
      <c r="A19089" s="31"/>
      <c r="D19089" s="30"/>
    </row>
    <row r="19090" spans="1:4" x14ac:dyDescent="0.25">
      <c r="A19090" s="31"/>
      <c r="D19090" s="30"/>
    </row>
    <row r="19091" spans="1:4" x14ac:dyDescent="0.25">
      <c r="A19091" s="31"/>
      <c r="D19091" s="30"/>
    </row>
    <row r="19092" spans="1:4" x14ac:dyDescent="0.25">
      <c r="A19092" s="31"/>
      <c r="D19092" s="30"/>
    </row>
    <row r="19093" spans="1:4" x14ac:dyDescent="0.25">
      <c r="A19093" s="31"/>
      <c r="D19093" s="30"/>
    </row>
    <row r="19094" spans="1:4" x14ac:dyDescent="0.25">
      <c r="A19094" s="31"/>
      <c r="D19094" s="30"/>
    </row>
    <row r="19095" spans="1:4" x14ac:dyDescent="0.25">
      <c r="A19095" s="31"/>
      <c r="D19095" s="30"/>
    </row>
    <row r="19096" spans="1:4" x14ac:dyDescent="0.25">
      <c r="A19096" s="31"/>
      <c r="D19096" s="30"/>
    </row>
    <row r="19097" spans="1:4" x14ac:dyDescent="0.25">
      <c r="A19097" s="31"/>
      <c r="D19097" s="30"/>
    </row>
    <row r="19098" spans="1:4" x14ac:dyDescent="0.25">
      <c r="A19098" s="31"/>
      <c r="D19098" s="30"/>
    </row>
    <row r="19099" spans="1:4" x14ac:dyDescent="0.25">
      <c r="A19099" s="31"/>
      <c r="D19099" s="30"/>
    </row>
    <row r="19100" spans="1:4" x14ac:dyDescent="0.25">
      <c r="A19100" s="31"/>
      <c r="D19100" s="30"/>
    </row>
    <row r="19101" spans="1:4" x14ac:dyDescent="0.25">
      <c r="A19101" s="31"/>
      <c r="D19101" s="30"/>
    </row>
    <row r="19102" spans="1:4" x14ac:dyDescent="0.25">
      <c r="A19102" s="31"/>
      <c r="D19102" s="30"/>
    </row>
    <row r="19103" spans="1:4" x14ac:dyDescent="0.25">
      <c r="A19103" s="31"/>
      <c r="D19103" s="30"/>
    </row>
    <row r="19104" spans="1:4" x14ac:dyDescent="0.25">
      <c r="A19104" s="31"/>
      <c r="D19104" s="30"/>
    </row>
    <row r="19105" spans="1:4" x14ac:dyDescent="0.25">
      <c r="A19105" s="31"/>
      <c r="D19105" s="30"/>
    </row>
    <row r="19106" spans="1:4" x14ac:dyDescent="0.25">
      <c r="A19106" s="31"/>
      <c r="D19106" s="30"/>
    </row>
    <row r="19107" spans="1:4" x14ac:dyDescent="0.25">
      <c r="A19107" s="31"/>
      <c r="D19107" s="30"/>
    </row>
    <row r="19108" spans="1:4" x14ac:dyDescent="0.25">
      <c r="A19108" s="31"/>
      <c r="D19108" s="30"/>
    </row>
    <row r="19109" spans="1:4" x14ac:dyDescent="0.25">
      <c r="A19109" s="31"/>
      <c r="D19109" s="30"/>
    </row>
    <row r="19110" spans="1:4" x14ac:dyDescent="0.25">
      <c r="A19110" s="31"/>
      <c r="D19110" s="30"/>
    </row>
    <row r="19111" spans="1:4" x14ac:dyDescent="0.25">
      <c r="A19111" s="31"/>
      <c r="D19111" s="30"/>
    </row>
    <row r="19112" spans="1:4" x14ac:dyDescent="0.25">
      <c r="A19112" s="31"/>
      <c r="D19112" s="30"/>
    </row>
    <row r="19113" spans="1:4" x14ac:dyDescent="0.25">
      <c r="A19113" s="31"/>
      <c r="D19113" s="30"/>
    </row>
    <row r="19114" spans="1:4" x14ac:dyDescent="0.25">
      <c r="A19114" s="31"/>
      <c r="D19114" s="30"/>
    </row>
    <row r="19115" spans="1:4" x14ac:dyDescent="0.25">
      <c r="A19115" s="31"/>
      <c r="D19115" s="30"/>
    </row>
    <row r="19116" spans="1:4" x14ac:dyDescent="0.25">
      <c r="A19116" s="31"/>
      <c r="D19116" s="30"/>
    </row>
    <row r="19117" spans="1:4" x14ac:dyDescent="0.25">
      <c r="A19117" s="31"/>
      <c r="D19117" s="30"/>
    </row>
    <row r="19118" spans="1:4" x14ac:dyDescent="0.25">
      <c r="A19118" s="31"/>
      <c r="D19118" s="30"/>
    </row>
    <row r="19119" spans="1:4" x14ac:dyDescent="0.25">
      <c r="A19119" s="31"/>
      <c r="D19119" s="30"/>
    </row>
    <row r="19120" spans="1:4" x14ac:dyDescent="0.25">
      <c r="A19120" s="31"/>
      <c r="D19120" s="30"/>
    </row>
    <row r="19121" spans="1:4" x14ac:dyDescent="0.25">
      <c r="A19121" s="31"/>
      <c r="D19121" s="30"/>
    </row>
    <row r="19122" spans="1:4" x14ac:dyDescent="0.25">
      <c r="A19122" s="31"/>
      <c r="D19122" s="30"/>
    </row>
    <row r="19123" spans="1:4" x14ac:dyDescent="0.25">
      <c r="A19123" s="31"/>
      <c r="D19123" s="30"/>
    </row>
    <row r="19124" spans="1:4" x14ac:dyDescent="0.25">
      <c r="A19124" s="31"/>
      <c r="D19124" s="30"/>
    </row>
    <row r="19125" spans="1:4" x14ac:dyDescent="0.25">
      <c r="A19125" s="31"/>
      <c r="D19125" s="30"/>
    </row>
    <row r="19126" spans="1:4" x14ac:dyDescent="0.25">
      <c r="A19126" s="31"/>
      <c r="D19126" s="30"/>
    </row>
    <row r="19127" spans="1:4" x14ac:dyDescent="0.25">
      <c r="A19127" s="31"/>
      <c r="D19127" s="30"/>
    </row>
    <row r="19128" spans="1:4" x14ac:dyDescent="0.25">
      <c r="A19128" s="31"/>
      <c r="D19128" s="30"/>
    </row>
    <row r="19129" spans="1:4" x14ac:dyDescent="0.25">
      <c r="A19129" s="31"/>
      <c r="D19129" s="30"/>
    </row>
    <row r="19130" spans="1:4" x14ac:dyDescent="0.25">
      <c r="A19130" s="31"/>
      <c r="D19130" s="30"/>
    </row>
    <row r="19131" spans="1:4" x14ac:dyDescent="0.25">
      <c r="A19131" s="31"/>
      <c r="D19131" s="30"/>
    </row>
    <row r="19132" spans="1:4" x14ac:dyDescent="0.25">
      <c r="A19132" s="31"/>
      <c r="D19132" s="30"/>
    </row>
    <row r="19133" spans="1:4" x14ac:dyDescent="0.25">
      <c r="A19133" s="31"/>
      <c r="D19133" s="30"/>
    </row>
    <row r="19134" spans="1:4" x14ac:dyDescent="0.25">
      <c r="A19134" s="31"/>
      <c r="D19134" s="30"/>
    </row>
    <row r="19135" spans="1:4" x14ac:dyDescent="0.25">
      <c r="A19135" s="31"/>
      <c r="D19135" s="30"/>
    </row>
    <row r="19136" spans="1:4" x14ac:dyDescent="0.25">
      <c r="A19136" s="31"/>
      <c r="D19136" s="30"/>
    </row>
    <row r="19137" spans="1:4" x14ac:dyDescent="0.25">
      <c r="A19137" s="31"/>
      <c r="D19137" s="30"/>
    </row>
    <row r="19138" spans="1:4" x14ac:dyDescent="0.25">
      <c r="A19138" s="31"/>
      <c r="D19138" s="30"/>
    </row>
    <row r="19139" spans="1:4" x14ac:dyDescent="0.25">
      <c r="A19139" s="31"/>
      <c r="D19139" s="30"/>
    </row>
    <row r="19140" spans="1:4" x14ac:dyDescent="0.25">
      <c r="A19140" s="31"/>
      <c r="D19140" s="30"/>
    </row>
    <row r="19141" spans="1:4" x14ac:dyDescent="0.25">
      <c r="A19141" s="31"/>
      <c r="D19141" s="30"/>
    </row>
    <row r="19142" spans="1:4" x14ac:dyDescent="0.25">
      <c r="A19142" s="31"/>
      <c r="D19142" s="30"/>
    </row>
    <row r="19143" spans="1:4" x14ac:dyDescent="0.25">
      <c r="A19143" s="31"/>
      <c r="D19143" s="30"/>
    </row>
    <row r="19144" spans="1:4" x14ac:dyDescent="0.25">
      <c r="A19144" s="31"/>
      <c r="D19144" s="30"/>
    </row>
    <row r="19145" spans="1:4" x14ac:dyDescent="0.25">
      <c r="A19145" s="31"/>
      <c r="D19145" s="30"/>
    </row>
    <row r="19146" spans="1:4" x14ac:dyDescent="0.25">
      <c r="A19146" s="31"/>
      <c r="D19146" s="30"/>
    </row>
    <row r="19147" spans="1:4" x14ac:dyDescent="0.25">
      <c r="A19147" s="31"/>
      <c r="D19147" s="30"/>
    </row>
    <row r="19148" spans="1:4" x14ac:dyDescent="0.25">
      <c r="A19148" s="31"/>
      <c r="D19148" s="30"/>
    </row>
    <row r="19149" spans="1:4" x14ac:dyDescent="0.25">
      <c r="A19149" s="31"/>
      <c r="D19149" s="30"/>
    </row>
    <row r="19150" spans="1:4" x14ac:dyDescent="0.25">
      <c r="A19150" s="31"/>
      <c r="D19150" s="30"/>
    </row>
    <row r="19151" spans="1:4" x14ac:dyDescent="0.25">
      <c r="A19151" s="31"/>
      <c r="D19151" s="30"/>
    </row>
    <row r="19152" spans="1:4" x14ac:dyDescent="0.25">
      <c r="A19152" s="31"/>
      <c r="D19152" s="30"/>
    </row>
    <row r="19153" spans="1:4" x14ac:dyDescent="0.25">
      <c r="A19153" s="31"/>
      <c r="D19153" s="30"/>
    </row>
    <row r="19154" spans="1:4" x14ac:dyDescent="0.25">
      <c r="A19154" s="31"/>
      <c r="D19154" s="30"/>
    </row>
    <row r="19155" spans="1:4" x14ac:dyDescent="0.25">
      <c r="A19155" s="31"/>
      <c r="D19155" s="30"/>
    </row>
    <row r="19156" spans="1:4" x14ac:dyDescent="0.25">
      <c r="A19156" s="31"/>
      <c r="D19156" s="30"/>
    </row>
    <row r="19157" spans="1:4" x14ac:dyDescent="0.25">
      <c r="A19157" s="31"/>
      <c r="D19157" s="30"/>
    </row>
    <row r="19158" spans="1:4" x14ac:dyDescent="0.25">
      <c r="A19158" s="31"/>
      <c r="D19158" s="30"/>
    </row>
    <row r="19159" spans="1:4" x14ac:dyDescent="0.25">
      <c r="A19159" s="31"/>
      <c r="D19159" s="30"/>
    </row>
    <row r="19160" spans="1:4" x14ac:dyDescent="0.25">
      <c r="A19160" s="31"/>
      <c r="D19160" s="30"/>
    </row>
    <row r="19161" spans="1:4" x14ac:dyDescent="0.25">
      <c r="A19161" s="31"/>
      <c r="D19161" s="30"/>
    </row>
    <row r="19162" spans="1:4" x14ac:dyDescent="0.25">
      <c r="A19162" s="31"/>
      <c r="D19162" s="30"/>
    </row>
    <row r="19163" spans="1:4" x14ac:dyDescent="0.25">
      <c r="A19163" s="31"/>
      <c r="D19163" s="30"/>
    </row>
    <row r="19164" spans="1:4" x14ac:dyDescent="0.25">
      <c r="A19164" s="31"/>
      <c r="D19164" s="30"/>
    </row>
    <row r="19165" spans="1:4" x14ac:dyDescent="0.25">
      <c r="A19165" s="31"/>
      <c r="D19165" s="30"/>
    </row>
    <row r="19166" spans="1:4" x14ac:dyDescent="0.25">
      <c r="A19166" s="31"/>
      <c r="D19166" s="30"/>
    </row>
    <row r="19167" spans="1:4" x14ac:dyDescent="0.25">
      <c r="A19167" s="31"/>
      <c r="D19167" s="30"/>
    </row>
    <row r="19168" spans="1:4" x14ac:dyDescent="0.25">
      <c r="A19168" s="31"/>
      <c r="D19168" s="30"/>
    </row>
    <row r="19169" spans="1:4" x14ac:dyDescent="0.25">
      <c r="A19169" s="31"/>
      <c r="D19169" s="30"/>
    </row>
    <row r="19170" spans="1:4" x14ac:dyDescent="0.25">
      <c r="A19170" s="31"/>
      <c r="D19170" s="30"/>
    </row>
    <row r="19171" spans="1:4" x14ac:dyDescent="0.25">
      <c r="A19171" s="31"/>
      <c r="D19171" s="30"/>
    </row>
    <row r="19172" spans="1:4" x14ac:dyDescent="0.25">
      <c r="A19172" s="31"/>
      <c r="D19172" s="30"/>
    </row>
    <row r="19173" spans="1:4" x14ac:dyDescent="0.25">
      <c r="A19173" s="31"/>
      <c r="D19173" s="30"/>
    </row>
    <row r="19174" spans="1:4" x14ac:dyDescent="0.25">
      <c r="A19174" s="31"/>
      <c r="D19174" s="30"/>
    </row>
    <row r="19175" spans="1:4" x14ac:dyDescent="0.25">
      <c r="A19175" s="31"/>
      <c r="D19175" s="30"/>
    </row>
    <row r="19176" spans="1:4" x14ac:dyDescent="0.25">
      <c r="A19176" s="31"/>
      <c r="D19176" s="30"/>
    </row>
    <row r="19177" spans="1:4" x14ac:dyDescent="0.25">
      <c r="A19177" s="31"/>
      <c r="D19177" s="30"/>
    </row>
    <row r="19178" spans="1:4" x14ac:dyDescent="0.25">
      <c r="A19178" s="31"/>
      <c r="D19178" s="30"/>
    </row>
    <row r="19179" spans="1:4" x14ac:dyDescent="0.25">
      <c r="A19179" s="31"/>
      <c r="D19179" s="30"/>
    </row>
    <row r="19180" spans="1:4" x14ac:dyDescent="0.25">
      <c r="A19180" s="31"/>
      <c r="D19180" s="30"/>
    </row>
    <row r="19181" spans="1:4" x14ac:dyDescent="0.25">
      <c r="A19181" s="31"/>
      <c r="D19181" s="30"/>
    </row>
    <row r="19182" spans="1:4" x14ac:dyDescent="0.25">
      <c r="A19182" s="31"/>
      <c r="D19182" s="30"/>
    </row>
    <row r="19183" spans="1:4" x14ac:dyDescent="0.25">
      <c r="A19183" s="31"/>
      <c r="D19183" s="30"/>
    </row>
    <row r="19184" spans="1:4" x14ac:dyDescent="0.25">
      <c r="A19184" s="31"/>
      <c r="D19184" s="30"/>
    </row>
    <row r="19185" spans="1:4" x14ac:dyDescent="0.25">
      <c r="A19185" s="31"/>
      <c r="D19185" s="30"/>
    </row>
    <row r="19186" spans="1:4" x14ac:dyDescent="0.25">
      <c r="A19186" s="31"/>
      <c r="D19186" s="30"/>
    </row>
    <row r="19187" spans="1:4" x14ac:dyDescent="0.25">
      <c r="A19187" s="31"/>
      <c r="D19187" s="30"/>
    </row>
    <row r="19188" spans="1:4" x14ac:dyDescent="0.25">
      <c r="A19188" s="31"/>
      <c r="D19188" s="30"/>
    </row>
    <row r="19189" spans="1:4" x14ac:dyDescent="0.25">
      <c r="A19189" s="31"/>
      <c r="D19189" s="30"/>
    </row>
    <row r="19190" spans="1:4" x14ac:dyDescent="0.25">
      <c r="A19190" s="31"/>
      <c r="D19190" s="30"/>
    </row>
    <row r="19191" spans="1:4" x14ac:dyDescent="0.25">
      <c r="A19191" s="31"/>
      <c r="D19191" s="30"/>
    </row>
    <row r="19192" spans="1:4" x14ac:dyDescent="0.25">
      <c r="A19192" s="31"/>
      <c r="D19192" s="30"/>
    </row>
    <row r="19193" spans="1:4" x14ac:dyDescent="0.25">
      <c r="A19193" s="31"/>
      <c r="D19193" s="30"/>
    </row>
    <row r="19194" spans="1:4" x14ac:dyDescent="0.25">
      <c r="A19194" s="31"/>
      <c r="D19194" s="30"/>
    </row>
    <row r="19195" spans="1:4" x14ac:dyDescent="0.25">
      <c r="A19195" s="31"/>
      <c r="D19195" s="30"/>
    </row>
    <row r="19196" spans="1:4" x14ac:dyDescent="0.25">
      <c r="A19196" s="31"/>
      <c r="D19196" s="30"/>
    </row>
    <row r="19197" spans="1:4" x14ac:dyDescent="0.25">
      <c r="A19197" s="31"/>
      <c r="D19197" s="30"/>
    </row>
    <row r="19198" spans="1:4" x14ac:dyDescent="0.25">
      <c r="A19198" s="31"/>
      <c r="D19198" s="30"/>
    </row>
    <row r="19199" spans="1:4" x14ac:dyDescent="0.25">
      <c r="A19199" s="31"/>
      <c r="D19199" s="30"/>
    </row>
    <row r="19200" spans="1:4" x14ac:dyDescent="0.25">
      <c r="A19200" s="31"/>
      <c r="D19200" s="30"/>
    </row>
    <row r="19201" spans="1:4" x14ac:dyDescent="0.25">
      <c r="A19201" s="31"/>
      <c r="D19201" s="30"/>
    </row>
    <row r="19202" spans="1:4" x14ac:dyDescent="0.25">
      <c r="A19202" s="31"/>
      <c r="D19202" s="30"/>
    </row>
    <row r="19203" spans="1:4" x14ac:dyDescent="0.25">
      <c r="A19203" s="31"/>
      <c r="D19203" s="30"/>
    </row>
    <row r="19204" spans="1:4" x14ac:dyDescent="0.25">
      <c r="A19204" s="31"/>
      <c r="D19204" s="30"/>
    </row>
    <row r="19205" spans="1:4" x14ac:dyDescent="0.25">
      <c r="A19205" s="31"/>
      <c r="D19205" s="30"/>
    </row>
    <row r="19206" spans="1:4" x14ac:dyDescent="0.25">
      <c r="A19206" s="31"/>
      <c r="D19206" s="30"/>
    </row>
    <row r="19207" spans="1:4" x14ac:dyDescent="0.25">
      <c r="A19207" s="31"/>
      <c r="D19207" s="30"/>
    </row>
    <row r="19208" spans="1:4" x14ac:dyDescent="0.25">
      <c r="A19208" s="31"/>
      <c r="D19208" s="30"/>
    </row>
    <row r="19209" spans="1:4" x14ac:dyDescent="0.25">
      <c r="A19209" s="31"/>
      <c r="D19209" s="30"/>
    </row>
    <row r="19210" spans="1:4" x14ac:dyDescent="0.25">
      <c r="A19210" s="31"/>
      <c r="D19210" s="30"/>
    </row>
    <row r="19211" spans="1:4" x14ac:dyDescent="0.25">
      <c r="A19211" s="31"/>
      <c r="D19211" s="30"/>
    </row>
    <row r="19212" spans="1:4" x14ac:dyDescent="0.25">
      <c r="A19212" s="31"/>
      <c r="D19212" s="30"/>
    </row>
    <row r="19213" spans="1:4" x14ac:dyDescent="0.25">
      <c r="A19213" s="31"/>
      <c r="D19213" s="30"/>
    </row>
    <row r="19214" spans="1:4" x14ac:dyDescent="0.25">
      <c r="A19214" s="31"/>
      <c r="D19214" s="30"/>
    </row>
    <row r="19215" spans="1:4" x14ac:dyDescent="0.25">
      <c r="A19215" s="31"/>
      <c r="D19215" s="30"/>
    </row>
    <row r="19216" spans="1:4" x14ac:dyDescent="0.25">
      <c r="A19216" s="31"/>
      <c r="D19216" s="30"/>
    </row>
    <row r="19217" spans="1:4" x14ac:dyDescent="0.25">
      <c r="A19217" s="31"/>
      <c r="D19217" s="30"/>
    </row>
    <row r="19218" spans="1:4" x14ac:dyDescent="0.25">
      <c r="A19218" s="31"/>
      <c r="D19218" s="30"/>
    </row>
    <row r="19219" spans="1:4" x14ac:dyDescent="0.25">
      <c r="A19219" s="31"/>
      <c r="D19219" s="30"/>
    </row>
    <row r="19220" spans="1:4" x14ac:dyDescent="0.25">
      <c r="A19220" s="31"/>
      <c r="D19220" s="30"/>
    </row>
    <row r="19221" spans="1:4" x14ac:dyDescent="0.25">
      <c r="A19221" s="31"/>
      <c r="D19221" s="30"/>
    </row>
    <row r="19222" spans="1:4" x14ac:dyDescent="0.25">
      <c r="A19222" s="31"/>
      <c r="D19222" s="30"/>
    </row>
    <row r="19223" spans="1:4" x14ac:dyDescent="0.25">
      <c r="A19223" s="31"/>
      <c r="D19223" s="30"/>
    </row>
    <row r="19224" spans="1:4" x14ac:dyDescent="0.25">
      <c r="A19224" s="31"/>
      <c r="D19224" s="30"/>
    </row>
    <row r="19225" spans="1:4" x14ac:dyDescent="0.25">
      <c r="A19225" s="31"/>
      <c r="D19225" s="30"/>
    </row>
    <row r="19226" spans="1:4" x14ac:dyDescent="0.25">
      <c r="A19226" s="31"/>
      <c r="D19226" s="30"/>
    </row>
    <row r="19227" spans="1:4" x14ac:dyDescent="0.25">
      <c r="A19227" s="31"/>
      <c r="D19227" s="30"/>
    </row>
    <row r="19228" spans="1:4" x14ac:dyDescent="0.25">
      <c r="A19228" s="31"/>
      <c r="D19228" s="30"/>
    </row>
    <row r="19229" spans="1:4" x14ac:dyDescent="0.25">
      <c r="A19229" s="31"/>
      <c r="D19229" s="30"/>
    </row>
    <row r="19230" spans="1:4" x14ac:dyDescent="0.25">
      <c r="A19230" s="31"/>
      <c r="D19230" s="30"/>
    </row>
    <row r="19231" spans="1:4" x14ac:dyDescent="0.25">
      <c r="A19231" s="31"/>
      <c r="D19231" s="30"/>
    </row>
    <row r="19232" spans="1:4" x14ac:dyDescent="0.25">
      <c r="A19232" s="31"/>
      <c r="D19232" s="30"/>
    </row>
    <row r="19233" spans="1:4" x14ac:dyDescent="0.25">
      <c r="A19233" s="31"/>
      <c r="D19233" s="30"/>
    </row>
    <row r="19234" spans="1:4" x14ac:dyDescent="0.25">
      <c r="A19234" s="31"/>
      <c r="D19234" s="30"/>
    </row>
    <row r="19235" spans="1:4" x14ac:dyDescent="0.25">
      <c r="A19235" s="31"/>
      <c r="D19235" s="30"/>
    </row>
    <row r="19236" spans="1:4" x14ac:dyDescent="0.25">
      <c r="A19236" s="31"/>
      <c r="D19236" s="30"/>
    </row>
    <row r="19237" spans="1:4" x14ac:dyDescent="0.25">
      <c r="A19237" s="31"/>
      <c r="D19237" s="30"/>
    </row>
    <row r="19238" spans="1:4" x14ac:dyDescent="0.25">
      <c r="A19238" s="31"/>
      <c r="D19238" s="30"/>
    </row>
    <row r="19239" spans="1:4" x14ac:dyDescent="0.25">
      <c r="A19239" s="31"/>
      <c r="D19239" s="30"/>
    </row>
    <row r="19240" spans="1:4" x14ac:dyDescent="0.25">
      <c r="A19240" s="31"/>
      <c r="D19240" s="30"/>
    </row>
    <row r="19241" spans="1:4" x14ac:dyDescent="0.25">
      <c r="A19241" s="31"/>
      <c r="D19241" s="30"/>
    </row>
    <row r="19242" spans="1:4" x14ac:dyDescent="0.25">
      <c r="A19242" s="31"/>
      <c r="D19242" s="30"/>
    </row>
    <row r="19243" spans="1:4" x14ac:dyDescent="0.25">
      <c r="A19243" s="31"/>
      <c r="D19243" s="30"/>
    </row>
    <row r="19244" spans="1:4" x14ac:dyDescent="0.25">
      <c r="A19244" s="31"/>
      <c r="D19244" s="30"/>
    </row>
    <row r="19245" spans="1:4" x14ac:dyDescent="0.25">
      <c r="A19245" s="31"/>
      <c r="D19245" s="30"/>
    </row>
    <row r="19246" spans="1:4" x14ac:dyDescent="0.25">
      <c r="A19246" s="31"/>
      <c r="D19246" s="30"/>
    </row>
    <row r="19247" spans="1:4" x14ac:dyDescent="0.25">
      <c r="A19247" s="31"/>
      <c r="D19247" s="30"/>
    </row>
    <row r="19248" spans="1:4" x14ac:dyDescent="0.25">
      <c r="A19248" s="31"/>
      <c r="D19248" s="30"/>
    </row>
    <row r="19249" spans="1:4" x14ac:dyDescent="0.25">
      <c r="A19249" s="31"/>
      <c r="D19249" s="30"/>
    </row>
    <row r="19250" spans="1:4" x14ac:dyDescent="0.25">
      <c r="A19250" s="31"/>
      <c r="D19250" s="30"/>
    </row>
    <row r="19251" spans="1:4" x14ac:dyDescent="0.25">
      <c r="A19251" s="31"/>
      <c r="D19251" s="30"/>
    </row>
    <row r="19252" spans="1:4" x14ac:dyDescent="0.25">
      <c r="A19252" s="31"/>
      <c r="D19252" s="30"/>
    </row>
    <row r="19253" spans="1:4" x14ac:dyDescent="0.25">
      <c r="A19253" s="31"/>
      <c r="D19253" s="30"/>
    </row>
    <row r="19254" spans="1:4" x14ac:dyDescent="0.25">
      <c r="A19254" s="31"/>
      <c r="D19254" s="30"/>
    </row>
    <row r="19255" spans="1:4" x14ac:dyDescent="0.25">
      <c r="A19255" s="31"/>
      <c r="D19255" s="30"/>
    </row>
    <row r="19256" spans="1:4" x14ac:dyDescent="0.25">
      <c r="A19256" s="31"/>
      <c r="D19256" s="30"/>
    </row>
    <row r="19257" spans="1:4" x14ac:dyDescent="0.25">
      <c r="A19257" s="31"/>
      <c r="D19257" s="30"/>
    </row>
    <row r="19258" spans="1:4" x14ac:dyDescent="0.25">
      <c r="A19258" s="31"/>
      <c r="D19258" s="30"/>
    </row>
    <row r="19259" spans="1:4" x14ac:dyDescent="0.25">
      <c r="A19259" s="31"/>
      <c r="D19259" s="30"/>
    </row>
    <row r="19260" spans="1:4" x14ac:dyDescent="0.25">
      <c r="A19260" s="31"/>
      <c r="D19260" s="30"/>
    </row>
    <row r="19261" spans="1:4" x14ac:dyDescent="0.25">
      <c r="A19261" s="31"/>
      <c r="D19261" s="30"/>
    </row>
    <row r="19262" spans="1:4" x14ac:dyDescent="0.25">
      <c r="A19262" s="31"/>
      <c r="D19262" s="30"/>
    </row>
    <row r="19263" spans="1:4" x14ac:dyDescent="0.25">
      <c r="A19263" s="31"/>
      <c r="D19263" s="30"/>
    </row>
    <row r="19264" spans="1:4" x14ac:dyDescent="0.25">
      <c r="A19264" s="31"/>
      <c r="D19264" s="30"/>
    </row>
    <row r="19265" spans="1:4" x14ac:dyDescent="0.25">
      <c r="A19265" s="31"/>
      <c r="D19265" s="30"/>
    </row>
    <row r="19266" spans="1:4" x14ac:dyDescent="0.25">
      <c r="A19266" s="31"/>
      <c r="D19266" s="30"/>
    </row>
    <row r="19267" spans="1:4" x14ac:dyDescent="0.25">
      <c r="A19267" s="31"/>
      <c r="D19267" s="30"/>
    </row>
    <row r="19268" spans="1:4" x14ac:dyDescent="0.25">
      <c r="A19268" s="31"/>
      <c r="D19268" s="30"/>
    </row>
    <row r="19269" spans="1:4" x14ac:dyDescent="0.25">
      <c r="A19269" s="31"/>
      <c r="D19269" s="30"/>
    </row>
    <row r="19270" spans="1:4" x14ac:dyDescent="0.25">
      <c r="A19270" s="31"/>
      <c r="D19270" s="30"/>
    </row>
    <row r="19271" spans="1:4" x14ac:dyDescent="0.25">
      <c r="A19271" s="31"/>
      <c r="D19271" s="30"/>
    </row>
    <row r="19272" spans="1:4" x14ac:dyDescent="0.25">
      <c r="A19272" s="31"/>
      <c r="D19272" s="30"/>
    </row>
    <row r="19273" spans="1:4" x14ac:dyDescent="0.25">
      <c r="A19273" s="31"/>
      <c r="D19273" s="30"/>
    </row>
    <row r="19274" spans="1:4" x14ac:dyDescent="0.25">
      <c r="A19274" s="31"/>
      <c r="D19274" s="30"/>
    </row>
    <row r="19275" spans="1:4" x14ac:dyDescent="0.25">
      <c r="A19275" s="31"/>
      <c r="D19275" s="30"/>
    </row>
    <row r="19276" spans="1:4" x14ac:dyDescent="0.25">
      <c r="A19276" s="31"/>
      <c r="D19276" s="30"/>
    </row>
    <row r="19277" spans="1:4" x14ac:dyDescent="0.25">
      <c r="A19277" s="31"/>
      <c r="D19277" s="30"/>
    </row>
    <row r="19278" spans="1:4" x14ac:dyDescent="0.25">
      <c r="A19278" s="31"/>
      <c r="D19278" s="30"/>
    </row>
    <row r="19279" spans="1:4" x14ac:dyDescent="0.25">
      <c r="A19279" s="31"/>
      <c r="D19279" s="30"/>
    </row>
    <row r="19280" spans="1:4" x14ac:dyDescent="0.25">
      <c r="A19280" s="31"/>
      <c r="D19280" s="30"/>
    </row>
    <row r="19281" spans="1:4" x14ac:dyDescent="0.25">
      <c r="A19281" s="31"/>
      <c r="D19281" s="30"/>
    </row>
    <row r="19282" spans="1:4" x14ac:dyDescent="0.25">
      <c r="A19282" s="31"/>
      <c r="D19282" s="30"/>
    </row>
    <row r="19283" spans="1:4" x14ac:dyDescent="0.25">
      <c r="A19283" s="31"/>
      <c r="D19283" s="30"/>
    </row>
    <row r="19284" spans="1:4" x14ac:dyDescent="0.25">
      <c r="A19284" s="31"/>
      <c r="D19284" s="30"/>
    </row>
    <row r="19285" spans="1:4" x14ac:dyDescent="0.25">
      <c r="A19285" s="31"/>
      <c r="D19285" s="30"/>
    </row>
    <row r="19286" spans="1:4" x14ac:dyDescent="0.25">
      <c r="A19286" s="31"/>
      <c r="D19286" s="30"/>
    </row>
    <row r="19287" spans="1:4" x14ac:dyDescent="0.25">
      <c r="A19287" s="31"/>
      <c r="D19287" s="30"/>
    </row>
    <row r="19288" spans="1:4" x14ac:dyDescent="0.25">
      <c r="A19288" s="31"/>
      <c r="D19288" s="30"/>
    </row>
    <row r="19289" spans="1:4" x14ac:dyDescent="0.25">
      <c r="A19289" s="31"/>
      <c r="D19289" s="30"/>
    </row>
    <row r="19290" spans="1:4" x14ac:dyDescent="0.25">
      <c r="A19290" s="31"/>
      <c r="D19290" s="30"/>
    </row>
    <row r="19291" spans="1:4" x14ac:dyDescent="0.25">
      <c r="A19291" s="31"/>
      <c r="D19291" s="30"/>
    </row>
    <row r="19292" spans="1:4" x14ac:dyDescent="0.25">
      <c r="A19292" s="31"/>
      <c r="D19292" s="30"/>
    </row>
    <row r="19293" spans="1:4" x14ac:dyDescent="0.25">
      <c r="A19293" s="31"/>
      <c r="D19293" s="30"/>
    </row>
    <row r="19294" spans="1:4" x14ac:dyDescent="0.25">
      <c r="A19294" s="31"/>
      <c r="D19294" s="30"/>
    </row>
    <row r="19295" spans="1:4" x14ac:dyDescent="0.25">
      <c r="A19295" s="31"/>
      <c r="D19295" s="30"/>
    </row>
    <row r="19296" spans="1:4" x14ac:dyDescent="0.25">
      <c r="A19296" s="31"/>
      <c r="D19296" s="30"/>
    </row>
    <row r="19297" spans="1:4" x14ac:dyDescent="0.25">
      <c r="A19297" s="31"/>
      <c r="D19297" s="30"/>
    </row>
    <row r="19298" spans="1:4" x14ac:dyDescent="0.25">
      <c r="A19298" s="31"/>
      <c r="D19298" s="30"/>
    </row>
    <row r="19299" spans="1:4" x14ac:dyDescent="0.25">
      <c r="A19299" s="31"/>
      <c r="D19299" s="30"/>
    </row>
    <row r="19300" spans="1:4" x14ac:dyDescent="0.25">
      <c r="A19300" s="31"/>
      <c r="D19300" s="30"/>
    </row>
    <row r="19301" spans="1:4" x14ac:dyDescent="0.25">
      <c r="A19301" s="31"/>
      <c r="D19301" s="30"/>
    </row>
    <row r="19302" spans="1:4" x14ac:dyDescent="0.25">
      <c r="A19302" s="31"/>
      <c r="D19302" s="30"/>
    </row>
    <row r="19303" spans="1:4" x14ac:dyDescent="0.25">
      <c r="A19303" s="31"/>
      <c r="D19303" s="30"/>
    </row>
    <row r="19304" spans="1:4" x14ac:dyDescent="0.25">
      <c r="A19304" s="31"/>
      <c r="D19304" s="30"/>
    </row>
    <row r="19305" spans="1:4" x14ac:dyDescent="0.25">
      <c r="A19305" s="31"/>
      <c r="D19305" s="30"/>
    </row>
    <row r="19306" spans="1:4" x14ac:dyDescent="0.25">
      <c r="A19306" s="31"/>
      <c r="D19306" s="30"/>
    </row>
    <row r="19307" spans="1:4" x14ac:dyDescent="0.25">
      <c r="A19307" s="31"/>
      <c r="D19307" s="30"/>
    </row>
    <row r="19308" spans="1:4" x14ac:dyDescent="0.25">
      <c r="A19308" s="31"/>
      <c r="D19308" s="30"/>
    </row>
    <row r="19309" spans="1:4" x14ac:dyDescent="0.25">
      <c r="A19309" s="31"/>
      <c r="D19309" s="30"/>
    </row>
    <row r="19310" spans="1:4" x14ac:dyDescent="0.25">
      <c r="A19310" s="31"/>
      <c r="D19310" s="30"/>
    </row>
    <row r="19311" spans="1:4" x14ac:dyDescent="0.25">
      <c r="A19311" s="31"/>
      <c r="D19311" s="30"/>
    </row>
    <row r="19312" spans="1:4" x14ac:dyDescent="0.25">
      <c r="A19312" s="31"/>
      <c r="D19312" s="30"/>
    </row>
    <row r="19313" spans="1:4" x14ac:dyDescent="0.25">
      <c r="A19313" s="31"/>
      <c r="D19313" s="30"/>
    </row>
    <row r="19314" spans="1:4" x14ac:dyDescent="0.25">
      <c r="A19314" s="31"/>
      <c r="D19314" s="30"/>
    </row>
    <row r="19315" spans="1:4" x14ac:dyDescent="0.25">
      <c r="A19315" s="31"/>
      <c r="D19315" s="30"/>
    </row>
    <row r="19316" spans="1:4" x14ac:dyDescent="0.25">
      <c r="A19316" s="31"/>
      <c r="D19316" s="30"/>
    </row>
    <row r="19317" spans="1:4" x14ac:dyDescent="0.25">
      <c r="A19317" s="31"/>
      <c r="D19317" s="30"/>
    </row>
    <row r="19318" spans="1:4" x14ac:dyDescent="0.25">
      <c r="A19318" s="31"/>
      <c r="D19318" s="30"/>
    </row>
    <row r="19319" spans="1:4" x14ac:dyDescent="0.25">
      <c r="A19319" s="31"/>
      <c r="D19319" s="30"/>
    </row>
    <row r="19320" spans="1:4" x14ac:dyDescent="0.25">
      <c r="A19320" s="31"/>
      <c r="D19320" s="30"/>
    </row>
    <row r="19321" spans="1:4" x14ac:dyDescent="0.25">
      <c r="A19321" s="31"/>
      <c r="D19321" s="30"/>
    </row>
    <row r="19322" spans="1:4" x14ac:dyDescent="0.25">
      <c r="A19322" s="31"/>
      <c r="D19322" s="30"/>
    </row>
    <row r="19323" spans="1:4" x14ac:dyDescent="0.25">
      <c r="A19323" s="31"/>
      <c r="D19323" s="30"/>
    </row>
    <row r="19324" spans="1:4" x14ac:dyDescent="0.25">
      <c r="A19324" s="31"/>
      <c r="D19324" s="30"/>
    </row>
    <row r="19325" spans="1:4" x14ac:dyDescent="0.25">
      <c r="A19325" s="31"/>
      <c r="D19325" s="30"/>
    </row>
    <row r="19326" spans="1:4" x14ac:dyDescent="0.25">
      <c r="A19326" s="31"/>
      <c r="D19326" s="30"/>
    </row>
    <row r="19327" spans="1:4" x14ac:dyDescent="0.25">
      <c r="A19327" s="31"/>
      <c r="D19327" s="30"/>
    </row>
    <row r="19328" spans="1:4" x14ac:dyDescent="0.25">
      <c r="A19328" s="31"/>
      <c r="D19328" s="30"/>
    </row>
    <row r="19329" spans="1:4" x14ac:dyDescent="0.25">
      <c r="A19329" s="31"/>
      <c r="D19329" s="30"/>
    </row>
    <row r="19330" spans="1:4" x14ac:dyDescent="0.25">
      <c r="A19330" s="31"/>
      <c r="D19330" s="30"/>
    </row>
    <row r="19331" spans="1:4" x14ac:dyDescent="0.25">
      <c r="A19331" s="31"/>
      <c r="D19331" s="30"/>
    </row>
    <row r="19332" spans="1:4" x14ac:dyDescent="0.25">
      <c r="A19332" s="31"/>
      <c r="D19332" s="30"/>
    </row>
    <row r="19333" spans="1:4" x14ac:dyDescent="0.25">
      <c r="A19333" s="31"/>
      <c r="D19333" s="30"/>
    </row>
    <row r="19334" spans="1:4" x14ac:dyDescent="0.25">
      <c r="A19334" s="31"/>
      <c r="D19334" s="30"/>
    </row>
    <row r="19335" spans="1:4" x14ac:dyDescent="0.25">
      <c r="A19335" s="31"/>
      <c r="D19335" s="30"/>
    </row>
    <row r="19336" spans="1:4" x14ac:dyDescent="0.25">
      <c r="A19336" s="31"/>
      <c r="D19336" s="30"/>
    </row>
    <row r="19337" spans="1:4" x14ac:dyDescent="0.25">
      <c r="A19337" s="31"/>
      <c r="D19337" s="30"/>
    </row>
    <row r="19338" spans="1:4" x14ac:dyDescent="0.25">
      <c r="A19338" s="31"/>
      <c r="D19338" s="30"/>
    </row>
    <row r="19339" spans="1:4" x14ac:dyDescent="0.25">
      <c r="A19339" s="31"/>
      <c r="D19339" s="30"/>
    </row>
    <row r="19340" spans="1:4" x14ac:dyDescent="0.25">
      <c r="A19340" s="31"/>
      <c r="D19340" s="30"/>
    </row>
    <row r="19341" spans="1:4" x14ac:dyDescent="0.25">
      <c r="A19341" s="31"/>
      <c r="D19341" s="30"/>
    </row>
    <row r="19342" spans="1:4" x14ac:dyDescent="0.25">
      <c r="A19342" s="31"/>
      <c r="D19342" s="30"/>
    </row>
    <row r="19343" spans="1:4" x14ac:dyDescent="0.25">
      <c r="A19343" s="31"/>
      <c r="D19343" s="30"/>
    </row>
    <row r="19344" spans="1:4" x14ac:dyDescent="0.25">
      <c r="A19344" s="31"/>
      <c r="D19344" s="30"/>
    </row>
    <row r="19345" spans="1:4" x14ac:dyDescent="0.25">
      <c r="A19345" s="31"/>
      <c r="D19345" s="30"/>
    </row>
    <row r="19346" spans="1:4" x14ac:dyDescent="0.25">
      <c r="A19346" s="31"/>
      <c r="D19346" s="30"/>
    </row>
    <row r="19347" spans="1:4" x14ac:dyDescent="0.25">
      <c r="A19347" s="31"/>
      <c r="D19347" s="30"/>
    </row>
    <row r="19348" spans="1:4" x14ac:dyDescent="0.25">
      <c r="A19348" s="31"/>
      <c r="D19348" s="30"/>
    </row>
    <row r="19349" spans="1:4" x14ac:dyDescent="0.25">
      <c r="A19349" s="31"/>
      <c r="D19349" s="30"/>
    </row>
    <row r="19350" spans="1:4" x14ac:dyDescent="0.25">
      <c r="A19350" s="31"/>
      <c r="D19350" s="30"/>
    </row>
    <row r="19351" spans="1:4" x14ac:dyDescent="0.25">
      <c r="A19351" s="31"/>
      <c r="D19351" s="30"/>
    </row>
    <row r="19352" spans="1:4" x14ac:dyDescent="0.25">
      <c r="A19352" s="31"/>
      <c r="D19352" s="30"/>
    </row>
    <row r="19353" spans="1:4" x14ac:dyDescent="0.25">
      <c r="A19353" s="31"/>
      <c r="D19353" s="30"/>
    </row>
    <row r="19354" spans="1:4" x14ac:dyDescent="0.25">
      <c r="A19354" s="31"/>
      <c r="D19354" s="30"/>
    </row>
    <row r="19355" spans="1:4" x14ac:dyDescent="0.25">
      <c r="A19355" s="31"/>
      <c r="D19355" s="30"/>
    </row>
    <row r="19356" spans="1:4" x14ac:dyDescent="0.25">
      <c r="A19356" s="31"/>
      <c r="D19356" s="30"/>
    </row>
    <row r="19357" spans="1:4" x14ac:dyDescent="0.25">
      <c r="A19357" s="31"/>
      <c r="D19357" s="30"/>
    </row>
    <row r="19358" spans="1:4" x14ac:dyDescent="0.25">
      <c r="A19358" s="31"/>
      <c r="D19358" s="30"/>
    </row>
    <row r="19359" spans="1:4" x14ac:dyDescent="0.25">
      <c r="A19359" s="31"/>
      <c r="D19359" s="30"/>
    </row>
    <row r="19360" spans="1:4" x14ac:dyDescent="0.25">
      <c r="A19360" s="31"/>
      <c r="D19360" s="30"/>
    </row>
    <row r="19361" spans="1:4" x14ac:dyDescent="0.25">
      <c r="A19361" s="31"/>
      <c r="D19361" s="30"/>
    </row>
    <row r="19362" spans="1:4" x14ac:dyDescent="0.25">
      <c r="A19362" s="31"/>
      <c r="D19362" s="30"/>
    </row>
    <row r="19363" spans="1:4" x14ac:dyDescent="0.25">
      <c r="A19363" s="31"/>
      <c r="D19363" s="30"/>
    </row>
    <row r="19364" spans="1:4" x14ac:dyDescent="0.25">
      <c r="A19364" s="31"/>
      <c r="D19364" s="30"/>
    </row>
    <row r="19365" spans="1:4" x14ac:dyDescent="0.25">
      <c r="A19365" s="31"/>
      <c r="D19365" s="30"/>
    </row>
    <row r="19366" spans="1:4" x14ac:dyDescent="0.25">
      <c r="A19366" s="31"/>
      <c r="D19366" s="30"/>
    </row>
    <row r="19367" spans="1:4" x14ac:dyDescent="0.25">
      <c r="A19367" s="31"/>
      <c r="D19367" s="30"/>
    </row>
    <row r="19368" spans="1:4" x14ac:dyDescent="0.25">
      <c r="A19368" s="31"/>
      <c r="D19368" s="30"/>
    </row>
    <row r="19369" spans="1:4" x14ac:dyDescent="0.25">
      <c r="A19369" s="31"/>
      <c r="D19369" s="30"/>
    </row>
    <row r="19370" spans="1:4" x14ac:dyDescent="0.25">
      <c r="A19370" s="31"/>
      <c r="D19370" s="30"/>
    </row>
    <row r="19371" spans="1:4" x14ac:dyDescent="0.25">
      <c r="A19371" s="31"/>
      <c r="D19371" s="30"/>
    </row>
    <row r="19372" spans="1:4" x14ac:dyDescent="0.25">
      <c r="A19372" s="31"/>
      <c r="D19372" s="30"/>
    </row>
    <row r="19373" spans="1:4" x14ac:dyDescent="0.25">
      <c r="A19373" s="31"/>
      <c r="D19373" s="30"/>
    </row>
    <row r="19374" spans="1:4" x14ac:dyDescent="0.25">
      <c r="A19374" s="31"/>
      <c r="D19374" s="30"/>
    </row>
    <row r="19375" spans="1:4" x14ac:dyDescent="0.25">
      <c r="A19375" s="31"/>
      <c r="D19375" s="30"/>
    </row>
    <row r="19376" spans="1:4" x14ac:dyDescent="0.25">
      <c r="A19376" s="31"/>
      <c r="D19376" s="30"/>
    </row>
    <row r="19377" spans="1:4" x14ac:dyDescent="0.25">
      <c r="A19377" s="31"/>
      <c r="D19377" s="30"/>
    </row>
    <row r="19378" spans="1:4" x14ac:dyDescent="0.25">
      <c r="A19378" s="31"/>
      <c r="D19378" s="30"/>
    </row>
    <row r="19379" spans="1:4" x14ac:dyDescent="0.25">
      <c r="A19379" s="31"/>
      <c r="D19379" s="30"/>
    </row>
    <row r="19380" spans="1:4" x14ac:dyDescent="0.25">
      <c r="A19380" s="31"/>
      <c r="D19380" s="30"/>
    </row>
    <row r="19381" spans="1:4" x14ac:dyDescent="0.25">
      <c r="A19381" s="31"/>
      <c r="D19381" s="30"/>
    </row>
    <row r="19382" spans="1:4" x14ac:dyDescent="0.25">
      <c r="A19382" s="31"/>
      <c r="D19382" s="30"/>
    </row>
    <row r="19383" spans="1:4" x14ac:dyDescent="0.25">
      <c r="A19383" s="31"/>
      <c r="D19383" s="30"/>
    </row>
    <row r="19384" spans="1:4" x14ac:dyDescent="0.25">
      <c r="A19384" s="31"/>
      <c r="D19384" s="30"/>
    </row>
    <row r="19385" spans="1:4" x14ac:dyDescent="0.25">
      <c r="A19385" s="31"/>
      <c r="D19385" s="30"/>
    </row>
    <row r="19386" spans="1:4" x14ac:dyDescent="0.25">
      <c r="A19386" s="31"/>
      <c r="D19386" s="30"/>
    </row>
    <row r="19387" spans="1:4" x14ac:dyDescent="0.25">
      <c r="A19387" s="31"/>
      <c r="D19387" s="30"/>
    </row>
    <row r="19388" spans="1:4" x14ac:dyDescent="0.25">
      <c r="A19388" s="31"/>
      <c r="D19388" s="30"/>
    </row>
    <row r="19389" spans="1:4" x14ac:dyDescent="0.25">
      <c r="A19389" s="31"/>
      <c r="D19389" s="30"/>
    </row>
    <row r="19390" spans="1:4" x14ac:dyDescent="0.25">
      <c r="A19390" s="31"/>
      <c r="D19390" s="30"/>
    </row>
    <row r="19391" spans="1:4" x14ac:dyDescent="0.25">
      <c r="A19391" s="31"/>
      <c r="D19391" s="30"/>
    </row>
    <row r="19392" spans="1:4" x14ac:dyDescent="0.25">
      <c r="A19392" s="31"/>
      <c r="D19392" s="30"/>
    </row>
    <row r="19393" spans="1:4" x14ac:dyDescent="0.25">
      <c r="A19393" s="31"/>
      <c r="D19393" s="30"/>
    </row>
    <row r="19394" spans="1:4" x14ac:dyDescent="0.25">
      <c r="A19394" s="31"/>
      <c r="D19394" s="30"/>
    </row>
    <row r="19395" spans="1:4" x14ac:dyDescent="0.25">
      <c r="A19395" s="31"/>
      <c r="D19395" s="30"/>
    </row>
    <row r="19396" spans="1:4" x14ac:dyDescent="0.25">
      <c r="A19396" s="31"/>
      <c r="D19396" s="30"/>
    </row>
    <row r="19397" spans="1:4" x14ac:dyDescent="0.25">
      <c r="A19397" s="31"/>
      <c r="D19397" s="30"/>
    </row>
    <row r="19398" spans="1:4" x14ac:dyDescent="0.25">
      <c r="A19398" s="31"/>
      <c r="D19398" s="30"/>
    </row>
    <row r="19399" spans="1:4" x14ac:dyDescent="0.25">
      <c r="A19399" s="31"/>
      <c r="D19399" s="30"/>
    </row>
    <row r="19400" spans="1:4" x14ac:dyDescent="0.25">
      <c r="A19400" s="31"/>
      <c r="D19400" s="30"/>
    </row>
    <row r="19401" spans="1:4" x14ac:dyDescent="0.25">
      <c r="A19401" s="31"/>
      <c r="D19401" s="30"/>
    </row>
    <row r="19402" spans="1:4" x14ac:dyDescent="0.25">
      <c r="A19402" s="31"/>
      <c r="D19402" s="30"/>
    </row>
    <row r="19403" spans="1:4" x14ac:dyDescent="0.25">
      <c r="A19403" s="31"/>
      <c r="D19403" s="30"/>
    </row>
    <row r="19404" spans="1:4" x14ac:dyDescent="0.25">
      <c r="A19404" s="31"/>
      <c r="D19404" s="30"/>
    </row>
    <row r="19405" spans="1:4" x14ac:dyDescent="0.25">
      <c r="A19405" s="31"/>
      <c r="D19405" s="30"/>
    </row>
    <row r="19406" spans="1:4" x14ac:dyDescent="0.25">
      <c r="A19406" s="31"/>
      <c r="D19406" s="30"/>
    </row>
    <row r="19407" spans="1:4" x14ac:dyDescent="0.25">
      <c r="A19407" s="31"/>
      <c r="D19407" s="30"/>
    </row>
    <row r="19408" spans="1:4" x14ac:dyDescent="0.25">
      <c r="A19408" s="31"/>
      <c r="D19408" s="30"/>
    </row>
    <row r="19409" spans="1:4" x14ac:dyDescent="0.25">
      <c r="A19409" s="31"/>
      <c r="D19409" s="30"/>
    </row>
    <row r="19410" spans="1:4" x14ac:dyDescent="0.25">
      <c r="A19410" s="31"/>
      <c r="D19410" s="30"/>
    </row>
    <row r="19411" spans="1:4" x14ac:dyDescent="0.25">
      <c r="A19411" s="31"/>
      <c r="D19411" s="30"/>
    </row>
    <row r="19412" spans="1:4" x14ac:dyDescent="0.25">
      <c r="A19412" s="31"/>
      <c r="D19412" s="30"/>
    </row>
    <row r="19413" spans="1:4" x14ac:dyDescent="0.25">
      <c r="A19413" s="31"/>
      <c r="D19413" s="30"/>
    </row>
    <row r="19414" spans="1:4" x14ac:dyDescent="0.25">
      <c r="A19414" s="31"/>
      <c r="D19414" s="30"/>
    </row>
    <row r="19415" spans="1:4" x14ac:dyDescent="0.25">
      <c r="A19415" s="31"/>
      <c r="D19415" s="30"/>
    </row>
    <row r="19416" spans="1:4" x14ac:dyDescent="0.25">
      <c r="A19416" s="31"/>
      <c r="D19416" s="30"/>
    </row>
    <row r="19417" spans="1:4" x14ac:dyDescent="0.25">
      <c r="A19417" s="31"/>
      <c r="D19417" s="30"/>
    </row>
    <row r="19418" spans="1:4" x14ac:dyDescent="0.25">
      <c r="A19418" s="31"/>
      <c r="D19418" s="30"/>
    </row>
    <row r="19419" spans="1:4" x14ac:dyDescent="0.25">
      <c r="A19419" s="31"/>
      <c r="D19419" s="30"/>
    </row>
    <row r="19420" spans="1:4" x14ac:dyDescent="0.25">
      <c r="A19420" s="31"/>
      <c r="D19420" s="30"/>
    </row>
    <row r="19421" spans="1:4" x14ac:dyDescent="0.25">
      <c r="A19421" s="31"/>
      <c r="D19421" s="30"/>
    </row>
    <row r="19422" spans="1:4" x14ac:dyDescent="0.25">
      <c r="A19422" s="31"/>
      <c r="D19422" s="30"/>
    </row>
    <row r="19423" spans="1:4" x14ac:dyDescent="0.25">
      <c r="A19423" s="31"/>
      <c r="D19423" s="30"/>
    </row>
    <row r="19424" spans="1:4" x14ac:dyDescent="0.25">
      <c r="A19424" s="31"/>
      <c r="D19424" s="30"/>
    </row>
    <row r="19425" spans="1:4" x14ac:dyDescent="0.25">
      <c r="A19425" s="31"/>
      <c r="D19425" s="30"/>
    </row>
    <row r="19426" spans="1:4" x14ac:dyDescent="0.25">
      <c r="A19426" s="31"/>
      <c r="D19426" s="30"/>
    </row>
    <row r="19427" spans="1:4" x14ac:dyDescent="0.25">
      <c r="A19427" s="31"/>
      <c r="D19427" s="30"/>
    </row>
    <row r="19428" spans="1:4" x14ac:dyDescent="0.25">
      <c r="A19428" s="31"/>
      <c r="D19428" s="30"/>
    </row>
    <row r="19429" spans="1:4" x14ac:dyDescent="0.25">
      <c r="A19429" s="31"/>
      <c r="D19429" s="30"/>
    </row>
    <row r="19430" spans="1:4" x14ac:dyDescent="0.25">
      <c r="A19430" s="31"/>
      <c r="D19430" s="30"/>
    </row>
    <row r="19431" spans="1:4" x14ac:dyDescent="0.25">
      <c r="A19431" s="31"/>
      <c r="D19431" s="30"/>
    </row>
    <row r="19432" spans="1:4" x14ac:dyDescent="0.25">
      <c r="A19432" s="31"/>
      <c r="D19432" s="30"/>
    </row>
    <row r="19433" spans="1:4" x14ac:dyDescent="0.25">
      <c r="A19433" s="31"/>
      <c r="D19433" s="30"/>
    </row>
    <row r="19434" spans="1:4" x14ac:dyDescent="0.25">
      <c r="A19434" s="31"/>
      <c r="D19434" s="30"/>
    </row>
    <row r="19435" spans="1:4" x14ac:dyDescent="0.25">
      <c r="A19435" s="31"/>
      <c r="D19435" s="30"/>
    </row>
    <row r="19436" spans="1:4" x14ac:dyDescent="0.25">
      <c r="A19436" s="31"/>
      <c r="D19436" s="30"/>
    </row>
    <row r="19437" spans="1:4" x14ac:dyDescent="0.25">
      <c r="A19437" s="31"/>
      <c r="D19437" s="30"/>
    </row>
    <row r="19438" spans="1:4" x14ac:dyDescent="0.25">
      <c r="A19438" s="31"/>
      <c r="D19438" s="30"/>
    </row>
    <row r="19439" spans="1:4" x14ac:dyDescent="0.25">
      <c r="A19439" s="31"/>
      <c r="D19439" s="30"/>
    </row>
    <row r="19440" spans="1:4" x14ac:dyDescent="0.25">
      <c r="A19440" s="31"/>
      <c r="D19440" s="30"/>
    </row>
    <row r="19441" spans="1:4" x14ac:dyDescent="0.25">
      <c r="A19441" s="31"/>
      <c r="D19441" s="30"/>
    </row>
    <row r="19442" spans="1:4" x14ac:dyDescent="0.25">
      <c r="A19442" s="31"/>
      <c r="D19442" s="30"/>
    </row>
    <row r="19443" spans="1:4" x14ac:dyDescent="0.25">
      <c r="A19443" s="31"/>
      <c r="D19443" s="30"/>
    </row>
    <row r="19444" spans="1:4" x14ac:dyDescent="0.25">
      <c r="A19444" s="31"/>
      <c r="D19444" s="30"/>
    </row>
    <row r="19445" spans="1:4" x14ac:dyDescent="0.25">
      <c r="A19445" s="31"/>
      <c r="D19445" s="30"/>
    </row>
    <row r="19446" spans="1:4" x14ac:dyDescent="0.25">
      <c r="A19446" s="31"/>
      <c r="D19446" s="30"/>
    </row>
    <row r="19447" spans="1:4" x14ac:dyDescent="0.25">
      <c r="A19447" s="31"/>
      <c r="D19447" s="30"/>
    </row>
    <row r="19448" spans="1:4" x14ac:dyDescent="0.25">
      <c r="A19448" s="31"/>
      <c r="D19448" s="30"/>
    </row>
    <row r="19449" spans="1:4" x14ac:dyDescent="0.25">
      <c r="A19449" s="31"/>
      <c r="D19449" s="30"/>
    </row>
    <row r="19450" spans="1:4" x14ac:dyDescent="0.25">
      <c r="A19450" s="31"/>
      <c r="D19450" s="30"/>
    </row>
    <row r="19451" spans="1:4" x14ac:dyDescent="0.25">
      <c r="A19451" s="31"/>
      <c r="D19451" s="30"/>
    </row>
    <row r="19452" spans="1:4" x14ac:dyDescent="0.25">
      <c r="A19452" s="31"/>
      <c r="D19452" s="30"/>
    </row>
    <row r="19453" spans="1:4" x14ac:dyDescent="0.25">
      <c r="A19453" s="31"/>
      <c r="D19453" s="30"/>
    </row>
    <row r="19454" spans="1:4" x14ac:dyDescent="0.25">
      <c r="A19454" s="31"/>
      <c r="D19454" s="30"/>
    </row>
    <row r="19455" spans="1:4" x14ac:dyDescent="0.25">
      <c r="A19455" s="31"/>
      <c r="D19455" s="30"/>
    </row>
    <row r="19456" spans="1:4" x14ac:dyDescent="0.25">
      <c r="A19456" s="31"/>
      <c r="D19456" s="30"/>
    </row>
    <row r="19457" spans="1:4" x14ac:dyDescent="0.25">
      <c r="A19457" s="31"/>
      <c r="D19457" s="30"/>
    </row>
    <row r="19458" spans="1:4" x14ac:dyDescent="0.25">
      <c r="A19458" s="31"/>
      <c r="D19458" s="30"/>
    </row>
    <row r="19459" spans="1:4" x14ac:dyDescent="0.25">
      <c r="A19459" s="31"/>
      <c r="D19459" s="30"/>
    </row>
    <row r="19460" spans="1:4" x14ac:dyDescent="0.25">
      <c r="A19460" s="31"/>
      <c r="D19460" s="30"/>
    </row>
    <row r="19461" spans="1:4" x14ac:dyDescent="0.25">
      <c r="A19461" s="31"/>
      <c r="D19461" s="30"/>
    </row>
    <row r="19462" spans="1:4" x14ac:dyDescent="0.25">
      <c r="A19462" s="31"/>
      <c r="D19462" s="30"/>
    </row>
    <row r="19463" spans="1:4" x14ac:dyDescent="0.25">
      <c r="A19463" s="31"/>
      <c r="D19463" s="30"/>
    </row>
    <row r="19464" spans="1:4" x14ac:dyDescent="0.25">
      <c r="A19464" s="31"/>
      <c r="D19464" s="30"/>
    </row>
    <row r="19465" spans="1:4" x14ac:dyDescent="0.25">
      <c r="A19465" s="31"/>
      <c r="D19465" s="30"/>
    </row>
    <row r="19466" spans="1:4" x14ac:dyDescent="0.25">
      <c r="A19466" s="31"/>
      <c r="D19466" s="30"/>
    </row>
    <row r="19467" spans="1:4" x14ac:dyDescent="0.25">
      <c r="A19467" s="31"/>
      <c r="D19467" s="30"/>
    </row>
    <row r="19468" spans="1:4" x14ac:dyDescent="0.25">
      <c r="A19468" s="31"/>
      <c r="D19468" s="30"/>
    </row>
    <row r="19469" spans="1:4" x14ac:dyDescent="0.25">
      <c r="A19469" s="31"/>
      <c r="D19469" s="30"/>
    </row>
    <row r="19470" spans="1:4" x14ac:dyDescent="0.25">
      <c r="A19470" s="31"/>
      <c r="D19470" s="30"/>
    </row>
    <row r="19471" spans="1:4" x14ac:dyDescent="0.25">
      <c r="A19471" s="31"/>
      <c r="D19471" s="30"/>
    </row>
    <row r="19472" spans="1:4" x14ac:dyDescent="0.25">
      <c r="A19472" s="31"/>
      <c r="D19472" s="30"/>
    </row>
    <row r="19473" spans="1:4" x14ac:dyDescent="0.25">
      <c r="A19473" s="31"/>
      <c r="D19473" s="30"/>
    </row>
    <row r="19474" spans="1:4" x14ac:dyDescent="0.25">
      <c r="A19474" s="31"/>
      <c r="D19474" s="30"/>
    </row>
    <row r="19475" spans="1:4" x14ac:dyDescent="0.25">
      <c r="A19475" s="31"/>
      <c r="D19475" s="30"/>
    </row>
    <row r="19476" spans="1:4" x14ac:dyDescent="0.25">
      <c r="A19476" s="31"/>
      <c r="D19476" s="30"/>
    </row>
    <row r="19477" spans="1:4" x14ac:dyDescent="0.25">
      <c r="A19477" s="31"/>
      <c r="D19477" s="30"/>
    </row>
    <row r="19478" spans="1:4" x14ac:dyDescent="0.25">
      <c r="A19478" s="31"/>
      <c r="D19478" s="30"/>
    </row>
    <row r="19479" spans="1:4" x14ac:dyDescent="0.25">
      <c r="A19479" s="31"/>
      <c r="D19479" s="30"/>
    </row>
    <row r="19480" spans="1:4" x14ac:dyDescent="0.25">
      <c r="A19480" s="31"/>
      <c r="D19480" s="30"/>
    </row>
    <row r="19481" spans="1:4" x14ac:dyDescent="0.25">
      <c r="A19481" s="31"/>
      <c r="D19481" s="30"/>
    </row>
    <row r="19482" spans="1:4" x14ac:dyDescent="0.25">
      <c r="A19482" s="31"/>
      <c r="D19482" s="30"/>
    </row>
    <row r="19483" spans="1:4" x14ac:dyDescent="0.25">
      <c r="A19483" s="31"/>
      <c r="D19483" s="30"/>
    </row>
    <row r="19484" spans="1:4" x14ac:dyDescent="0.25">
      <c r="A19484" s="31"/>
      <c r="D19484" s="30"/>
    </row>
    <row r="19485" spans="1:4" x14ac:dyDescent="0.25">
      <c r="A19485" s="31"/>
      <c r="D19485" s="30"/>
    </row>
    <row r="19486" spans="1:4" x14ac:dyDescent="0.25">
      <c r="A19486" s="31"/>
      <c r="D19486" s="30"/>
    </row>
    <row r="19487" spans="1:4" x14ac:dyDescent="0.25">
      <c r="A19487" s="31"/>
      <c r="D19487" s="30"/>
    </row>
    <row r="19488" spans="1:4" x14ac:dyDescent="0.25">
      <c r="A19488" s="31"/>
      <c r="D19488" s="30"/>
    </row>
    <row r="19489" spans="1:4" x14ac:dyDescent="0.25">
      <c r="A19489" s="31"/>
      <c r="D19489" s="30"/>
    </row>
    <row r="19490" spans="1:4" x14ac:dyDescent="0.25">
      <c r="A19490" s="31"/>
      <c r="D19490" s="30"/>
    </row>
    <row r="19491" spans="1:4" x14ac:dyDescent="0.25">
      <c r="A19491" s="31"/>
      <c r="D19491" s="30"/>
    </row>
    <row r="19492" spans="1:4" x14ac:dyDescent="0.25">
      <c r="A19492" s="31"/>
      <c r="D19492" s="30"/>
    </row>
    <row r="19493" spans="1:4" x14ac:dyDescent="0.25">
      <c r="A19493" s="31"/>
      <c r="D19493" s="30"/>
    </row>
    <row r="19494" spans="1:4" x14ac:dyDescent="0.25">
      <c r="A19494" s="31"/>
      <c r="D19494" s="30"/>
    </row>
    <row r="19495" spans="1:4" x14ac:dyDescent="0.25">
      <c r="A19495" s="31"/>
      <c r="D19495" s="30"/>
    </row>
    <row r="19496" spans="1:4" x14ac:dyDescent="0.25">
      <c r="A19496" s="31"/>
      <c r="D19496" s="30"/>
    </row>
    <row r="19497" spans="1:4" x14ac:dyDescent="0.25">
      <c r="A19497" s="31"/>
      <c r="D19497" s="30"/>
    </row>
    <row r="19498" spans="1:4" x14ac:dyDescent="0.25">
      <c r="A19498" s="31"/>
      <c r="D19498" s="30"/>
    </row>
    <row r="19499" spans="1:4" x14ac:dyDescent="0.25">
      <c r="A19499" s="31"/>
      <c r="D19499" s="30"/>
    </row>
    <row r="19500" spans="1:4" x14ac:dyDescent="0.25">
      <c r="A19500" s="31"/>
      <c r="D19500" s="30"/>
    </row>
    <row r="19501" spans="1:4" x14ac:dyDescent="0.25">
      <c r="A19501" s="31"/>
      <c r="D19501" s="30"/>
    </row>
    <row r="19502" spans="1:4" x14ac:dyDescent="0.25">
      <c r="A19502" s="31"/>
      <c r="D19502" s="30"/>
    </row>
    <row r="19503" spans="1:4" x14ac:dyDescent="0.25">
      <c r="A19503" s="31"/>
      <c r="D19503" s="30"/>
    </row>
    <row r="19504" spans="1:4" x14ac:dyDescent="0.25">
      <c r="A19504" s="31"/>
      <c r="D19504" s="30"/>
    </row>
    <row r="19505" spans="1:4" x14ac:dyDescent="0.25">
      <c r="A19505" s="31"/>
      <c r="D19505" s="30"/>
    </row>
    <row r="19506" spans="1:4" x14ac:dyDescent="0.25">
      <c r="A19506" s="31"/>
      <c r="D19506" s="30"/>
    </row>
    <row r="19507" spans="1:4" x14ac:dyDescent="0.25">
      <c r="A19507" s="31"/>
      <c r="D19507" s="30"/>
    </row>
    <row r="19508" spans="1:4" x14ac:dyDescent="0.25">
      <c r="A19508" s="31"/>
      <c r="D19508" s="30"/>
    </row>
    <row r="19509" spans="1:4" x14ac:dyDescent="0.25">
      <c r="A19509" s="31"/>
      <c r="D19509" s="30"/>
    </row>
    <row r="19510" spans="1:4" x14ac:dyDescent="0.25">
      <c r="A19510" s="31"/>
      <c r="D19510" s="30"/>
    </row>
    <row r="19511" spans="1:4" x14ac:dyDescent="0.25">
      <c r="A19511" s="31"/>
      <c r="D19511" s="30"/>
    </row>
    <row r="19512" spans="1:4" x14ac:dyDescent="0.25">
      <c r="A19512" s="31"/>
      <c r="D19512" s="30"/>
    </row>
    <row r="19513" spans="1:4" x14ac:dyDescent="0.25">
      <c r="A19513" s="31"/>
      <c r="D19513" s="30"/>
    </row>
    <row r="19514" spans="1:4" x14ac:dyDescent="0.25">
      <c r="A19514" s="31"/>
      <c r="D19514" s="30"/>
    </row>
    <row r="19515" spans="1:4" x14ac:dyDescent="0.25">
      <c r="A19515" s="31"/>
      <c r="D19515" s="30"/>
    </row>
    <row r="19516" spans="1:4" x14ac:dyDescent="0.25">
      <c r="A19516" s="31"/>
      <c r="D19516" s="30"/>
    </row>
    <row r="19517" spans="1:4" x14ac:dyDescent="0.25">
      <c r="A19517" s="31"/>
      <c r="D19517" s="30"/>
    </row>
    <row r="19518" spans="1:4" x14ac:dyDescent="0.25">
      <c r="A19518" s="31"/>
      <c r="D19518" s="30"/>
    </row>
    <row r="19519" spans="1:4" x14ac:dyDescent="0.25">
      <c r="A19519" s="31"/>
      <c r="D19519" s="30"/>
    </row>
    <row r="19520" spans="1:4" x14ac:dyDescent="0.25">
      <c r="A19520" s="31"/>
      <c r="D19520" s="30"/>
    </row>
    <row r="19521" spans="1:4" x14ac:dyDescent="0.25">
      <c r="A19521" s="31"/>
      <c r="D19521" s="30"/>
    </row>
    <row r="19522" spans="1:4" x14ac:dyDescent="0.25">
      <c r="A19522" s="31"/>
      <c r="D19522" s="30"/>
    </row>
    <row r="19523" spans="1:4" x14ac:dyDescent="0.25">
      <c r="A19523" s="31"/>
      <c r="D19523" s="30"/>
    </row>
    <row r="19524" spans="1:4" x14ac:dyDescent="0.25">
      <c r="A19524" s="31"/>
      <c r="D19524" s="30"/>
    </row>
    <row r="19525" spans="1:4" x14ac:dyDescent="0.25">
      <c r="A19525" s="31"/>
      <c r="D19525" s="30"/>
    </row>
    <row r="19526" spans="1:4" x14ac:dyDescent="0.25">
      <c r="A19526" s="31"/>
      <c r="D19526" s="30"/>
    </row>
    <row r="19527" spans="1:4" x14ac:dyDescent="0.25">
      <c r="A19527" s="31"/>
      <c r="D19527" s="30"/>
    </row>
    <row r="19528" spans="1:4" x14ac:dyDescent="0.25">
      <c r="A19528" s="31"/>
      <c r="D19528" s="30"/>
    </row>
    <row r="19529" spans="1:4" x14ac:dyDescent="0.25">
      <c r="A19529" s="31"/>
      <c r="D19529" s="30"/>
    </row>
    <row r="19530" spans="1:4" x14ac:dyDescent="0.25">
      <c r="A19530" s="31"/>
      <c r="D19530" s="30"/>
    </row>
    <row r="19531" spans="1:4" x14ac:dyDescent="0.25">
      <c r="A19531" s="31"/>
      <c r="D19531" s="30"/>
    </row>
    <row r="19532" spans="1:4" x14ac:dyDescent="0.25">
      <c r="A19532" s="31"/>
      <c r="D19532" s="30"/>
    </row>
    <row r="19533" spans="1:4" x14ac:dyDescent="0.25">
      <c r="A19533" s="31"/>
      <c r="D19533" s="30"/>
    </row>
    <row r="19534" spans="1:4" x14ac:dyDescent="0.25">
      <c r="A19534" s="31"/>
      <c r="D19534" s="30"/>
    </row>
    <row r="19535" spans="1:4" x14ac:dyDescent="0.25">
      <c r="A19535" s="31"/>
      <c r="D19535" s="30"/>
    </row>
    <row r="19536" spans="1:4" x14ac:dyDescent="0.25">
      <c r="A19536" s="31"/>
      <c r="D19536" s="30"/>
    </row>
    <row r="19537" spans="1:4" x14ac:dyDescent="0.25">
      <c r="A19537" s="31"/>
      <c r="D19537" s="30"/>
    </row>
    <row r="19538" spans="1:4" x14ac:dyDescent="0.25">
      <c r="A19538" s="31"/>
      <c r="D19538" s="30"/>
    </row>
    <row r="19539" spans="1:4" x14ac:dyDescent="0.25">
      <c r="A19539" s="31"/>
      <c r="D19539" s="30"/>
    </row>
    <row r="19540" spans="1:4" x14ac:dyDescent="0.25">
      <c r="A19540" s="31"/>
      <c r="D19540" s="30"/>
    </row>
    <row r="19541" spans="1:4" x14ac:dyDescent="0.25">
      <c r="A19541" s="31"/>
      <c r="D19541" s="30"/>
    </row>
    <row r="19542" spans="1:4" x14ac:dyDescent="0.25">
      <c r="A19542" s="31"/>
      <c r="D19542" s="30"/>
    </row>
    <row r="19543" spans="1:4" x14ac:dyDescent="0.25">
      <c r="A19543" s="31"/>
      <c r="D19543" s="30"/>
    </row>
    <row r="19544" spans="1:4" x14ac:dyDescent="0.25">
      <c r="A19544" s="31"/>
      <c r="D19544" s="30"/>
    </row>
    <row r="19545" spans="1:4" x14ac:dyDescent="0.25">
      <c r="A19545" s="31"/>
      <c r="D19545" s="30"/>
    </row>
    <row r="19546" spans="1:4" x14ac:dyDescent="0.25">
      <c r="A19546" s="31"/>
      <c r="D19546" s="30"/>
    </row>
    <row r="19547" spans="1:4" x14ac:dyDescent="0.25">
      <c r="A19547" s="31"/>
      <c r="D19547" s="30"/>
    </row>
    <row r="19548" spans="1:4" x14ac:dyDescent="0.25">
      <c r="A19548" s="31"/>
      <c r="D19548" s="30"/>
    </row>
    <row r="19549" spans="1:4" x14ac:dyDescent="0.25">
      <c r="A19549" s="31"/>
      <c r="D19549" s="30"/>
    </row>
    <row r="19550" spans="1:4" x14ac:dyDescent="0.25">
      <c r="A19550" s="31"/>
      <c r="D19550" s="30"/>
    </row>
    <row r="19551" spans="1:4" x14ac:dyDescent="0.25">
      <c r="A19551" s="31"/>
      <c r="D19551" s="30"/>
    </row>
    <row r="19552" spans="1:4" x14ac:dyDescent="0.25">
      <c r="A19552" s="31"/>
      <c r="D19552" s="30"/>
    </row>
    <row r="19553" spans="1:4" x14ac:dyDescent="0.25">
      <c r="A19553" s="31"/>
      <c r="D19553" s="30"/>
    </row>
    <row r="19554" spans="1:4" x14ac:dyDescent="0.25">
      <c r="A19554" s="31"/>
      <c r="D19554" s="30"/>
    </row>
    <row r="19555" spans="1:4" x14ac:dyDescent="0.25">
      <c r="A19555" s="31"/>
      <c r="D19555" s="30"/>
    </row>
    <row r="19556" spans="1:4" x14ac:dyDescent="0.25">
      <c r="A19556" s="31"/>
      <c r="D19556" s="30"/>
    </row>
    <row r="19557" spans="1:4" x14ac:dyDescent="0.25">
      <c r="A19557" s="31"/>
      <c r="D19557" s="30"/>
    </row>
    <row r="19558" spans="1:4" x14ac:dyDescent="0.25">
      <c r="A19558" s="31"/>
      <c r="D19558" s="30"/>
    </row>
    <row r="19559" spans="1:4" x14ac:dyDescent="0.25">
      <c r="A19559" s="31"/>
      <c r="D19559" s="30"/>
    </row>
    <row r="19560" spans="1:4" x14ac:dyDescent="0.25">
      <c r="A19560" s="31"/>
      <c r="D19560" s="30"/>
    </row>
    <row r="19561" spans="1:4" x14ac:dyDescent="0.25">
      <c r="A19561" s="31"/>
      <c r="D19561" s="30"/>
    </row>
    <row r="19562" spans="1:4" x14ac:dyDescent="0.25">
      <c r="A19562" s="31"/>
      <c r="D19562" s="30"/>
    </row>
    <row r="19563" spans="1:4" x14ac:dyDescent="0.25">
      <c r="A19563" s="31"/>
      <c r="D19563" s="30"/>
    </row>
    <row r="19564" spans="1:4" x14ac:dyDescent="0.25">
      <c r="A19564" s="31"/>
      <c r="D19564" s="30"/>
    </row>
    <row r="19565" spans="1:4" x14ac:dyDescent="0.25">
      <c r="A19565" s="31"/>
      <c r="D19565" s="30"/>
    </row>
    <row r="19566" spans="1:4" x14ac:dyDescent="0.25">
      <c r="A19566" s="31"/>
      <c r="D19566" s="30"/>
    </row>
    <row r="19567" spans="1:4" x14ac:dyDescent="0.25">
      <c r="A19567" s="31"/>
      <c r="D19567" s="30"/>
    </row>
    <row r="19568" spans="1:4" x14ac:dyDescent="0.25">
      <c r="A19568" s="31"/>
      <c r="D19568" s="30"/>
    </row>
    <row r="19569" spans="1:4" x14ac:dyDescent="0.25">
      <c r="A19569" s="31"/>
      <c r="D19569" s="30"/>
    </row>
    <row r="19570" spans="1:4" x14ac:dyDescent="0.25">
      <c r="A19570" s="31"/>
      <c r="D19570" s="30"/>
    </row>
    <row r="19571" spans="1:4" x14ac:dyDescent="0.25">
      <c r="A19571" s="31"/>
      <c r="D19571" s="30"/>
    </row>
    <row r="19572" spans="1:4" x14ac:dyDescent="0.25">
      <c r="A19572" s="31"/>
      <c r="D19572" s="30"/>
    </row>
    <row r="19573" spans="1:4" x14ac:dyDescent="0.25">
      <c r="A19573" s="31"/>
      <c r="D19573" s="30"/>
    </row>
    <row r="19574" spans="1:4" x14ac:dyDescent="0.25">
      <c r="A19574" s="31"/>
      <c r="D19574" s="30"/>
    </row>
    <row r="19575" spans="1:4" x14ac:dyDescent="0.25">
      <c r="A19575" s="31"/>
      <c r="D19575" s="30"/>
    </row>
    <row r="19576" spans="1:4" x14ac:dyDescent="0.25">
      <c r="A19576" s="31"/>
      <c r="D19576" s="30"/>
    </row>
    <row r="19577" spans="1:4" x14ac:dyDescent="0.25">
      <c r="A19577" s="31"/>
      <c r="D19577" s="30"/>
    </row>
    <row r="19578" spans="1:4" x14ac:dyDescent="0.25">
      <c r="A19578" s="31"/>
      <c r="D19578" s="30"/>
    </row>
    <row r="19579" spans="1:4" x14ac:dyDescent="0.25">
      <c r="A19579" s="31"/>
      <c r="D19579" s="30"/>
    </row>
    <row r="19580" spans="1:4" x14ac:dyDescent="0.25">
      <c r="A19580" s="31"/>
      <c r="D19580" s="30"/>
    </row>
    <row r="19581" spans="1:4" x14ac:dyDescent="0.25">
      <c r="A19581" s="31"/>
      <c r="D19581" s="30"/>
    </row>
    <row r="19582" spans="1:4" x14ac:dyDescent="0.25">
      <c r="A19582" s="31"/>
      <c r="D19582" s="30"/>
    </row>
    <row r="19583" spans="1:4" x14ac:dyDescent="0.25">
      <c r="A19583" s="31"/>
      <c r="D19583" s="30"/>
    </row>
    <row r="19584" spans="1:4" x14ac:dyDescent="0.25">
      <c r="A19584" s="31"/>
      <c r="D19584" s="30"/>
    </row>
    <row r="19585" spans="1:4" x14ac:dyDescent="0.25">
      <c r="A19585" s="31"/>
      <c r="D19585" s="30"/>
    </row>
    <row r="19586" spans="1:4" x14ac:dyDescent="0.25">
      <c r="A19586" s="31"/>
      <c r="D19586" s="30"/>
    </row>
    <row r="19587" spans="1:4" x14ac:dyDescent="0.25">
      <c r="A19587" s="31"/>
      <c r="D19587" s="30"/>
    </row>
    <row r="19588" spans="1:4" x14ac:dyDescent="0.25">
      <c r="A19588" s="31"/>
      <c r="D19588" s="30"/>
    </row>
    <row r="19589" spans="1:4" x14ac:dyDescent="0.25">
      <c r="A19589" s="31"/>
      <c r="D19589" s="30"/>
    </row>
    <row r="19590" spans="1:4" x14ac:dyDescent="0.25">
      <c r="A19590" s="31"/>
      <c r="D19590" s="30"/>
    </row>
    <row r="19591" spans="1:4" x14ac:dyDescent="0.25">
      <c r="A19591" s="31"/>
      <c r="D19591" s="30"/>
    </row>
    <row r="19592" spans="1:4" x14ac:dyDescent="0.25">
      <c r="A19592" s="31"/>
      <c r="D19592" s="30"/>
    </row>
    <row r="19593" spans="1:4" x14ac:dyDescent="0.25">
      <c r="A19593" s="31"/>
      <c r="D19593" s="30"/>
    </row>
    <row r="19594" spans="1:4" x14ac:dyDescent="0.25">
      <c r="A19594" s="31"/>
      <c r="D19594" s="30"/>
    </row>
    <row r="19595" spans="1:4" x14ac:dyDescent="0.25">
      <c r="A19595" s="31"/>
      <c r="D19595" s="30"/>
    </row>
    <row r="19596" spans="1:4" x14ac:dyDescent="0.25">
      <c r="A19596" s="31"/>
      <c r="D19596" s="30"/>
    </row>
    <row r="19597" spans="1:4" x14ac:dyDescent="0.25">
      <c r="A19597" s="31"/>
      <c r="D19597" s="30"/>
    </row>
    <row r="19598" spans="1:4" x14ac:dyDescent="0.25">
      <c r="A19598" s="31"/>
      <c r="D19598" s="30"/>
    </row>
    <row r="19599" spans="1:4" x14ac:dyDescent="0.25">
      <c r="A19599" s="31"/>
      <c r="D19599" s="30"/>
    </row>
    <row r="19600" spans="1:4" x14ac:dyDescent="0.25">
      <c r="A19600" s="31"/>
      <c r="D19600" s="30"/>
    </row>
    <row r="19601" spans="1:4" x14ac:dyDescent="0.25">
      <c r="A19601" s="31"/>
      <c r="D19601" s="30"/>
    </row>
    <row r="19602" spans="1:4" x14ac:dyDescent="0.25">
      <c r="A19602" s="31"/>
      <c r="D19602" s="30"/>
    </row>
    <row r="19603" spans="1:4" x14ac:dyDescent="0.25">
      <c r="A19603" s="31"/>
      <c r="D19603" s="30"/>
    </row>
    <row r="19604" spans="1:4" x14ac:dyDescent="0.25">
      <c r="A19604" s="31"/>
      <c r="D19604" s="30"/>
    </row>
    <row r="19605" spans="1:4" x14ac:dyDescent="0.25">
      <c r="A19605" s="31"/>
      <c r="D19605" s="30"/>
    </row>
    <row r="19606" spans="1:4" x14ac:dyDescent="0.25">
      <c r="A19606" s="31"/>
      <c r="D19606" s="30"/>
    </row>
    <row r="19607" spans="1:4" x14ac:dyDescent="0.25">
      <c r="A19607" s="31"/>
      <c r="D19607" s="30"/>
    </row>
    <row r="19608" spans="1:4" x14ac:dyDescent="0.25">
      <c r="A19608" s="31"/>
      <c r="D19608" s="30"/>
    </row>
    <row r="19609" spans="1:4" x14ac:dyDescent="0.25">
      <c r="A19609" s="31"/>
      <c r="D19609" s="30"/>
    </row>
    <row r="19610" spans="1:4" x14ac:dyDescent="0.25">
      <c r="A19610" s="31"/>
      <c r="D19610" s="30"/>
    </row>
    <row r="19611" spans="1:4" x14ac:dyDescent="0.25">
      <c r="A19611" s="31"/>
      <c r="D19611" s="30"/>
    </row>
    <row r="19612" spans="1:4" x14ac:dyDescent="0.25">
      <c r="A19612" s="31"/>
      <c r="D19612" s="30"/>
    </row>
    <row r="19613" spans="1:4" x14ac:dyDescent="0.25">
      <c r="A19613" s="31"/>
      <c r="D19613" s="30"/>
    </row>
    <row r="19614" spans="1:4" x14ac:dyDescent="0.25">
      <c r="A19614" s="31"/>
      <c r="D19614" s="30"/>
    </row>
    <row r="19615" spans="1:4" x14ac:dyDescent="0.25">
      <c r="A19615" s="31"/>
      <c r="D19615" s="30"/>
    </row>
    <row r="19616" spans="1:4" x14ac:dyDescent="0.25">
      <c r="A19616" s="31"/>
      <c r="D19616" s="30"/>
    </row>
    <row r="19617" spans="1:4" x14ac:dyDescent="0.25">
      <c r="A19617" s="31"/>
      <c r="D19617" s="30"/>
    </row>
    <row r="19618" spans="1:4" x14ac:dyDescent="0.25">
      <c r="A19618" s="31"/>
      <c r="D19618" s="30"/>
    </row>
    <row r="19619" spans="1:4" x14ac:dyDescent="0.25">
      <c r="A19619" s="31"/>
      <c r="D19619" s="30"/>
    </row>
    <row r="19620" spans="1:4" x14ac:dyDescent="0.25">
      <c r="A19620" s="31"/>
      <c r="D19620" s="30"/>
    </row>
    <row r="19621" spans="1:4" x14ac:dyDescent="0.25">
      <c r="A19621" s="31"/>
      <c r="D19621" s="30"/>
    </row>
    <row r="19622" spans="1:4" x14ac:dyDescent="0.25">
      <c r="A19622" s="31"/>
      <c r="D19622" s="30"/>
    </row>
    <row r="19623" spans="1:4" x14ac:dyDescent="0.25">
      <c r="A19623" s="31"/>
      <c r="D19623" s="30"/>
    </row>
    <row r="19624" spans="1:4" x14ac:dyDescent="0.25">
      <c r="A19624" s="31"/>
      <c r="D19624" s="30"/>
    </row>
    <row r="19625" spans="1:4" x14ac:dyDescent="0.25">
      <c r="A19625" s="31"/>
      <c r="D19625" s="30"/>
    </row>
    <row r="19626" spans="1:4" x14ac:dyDescent="0.25">
      <c r="A19626" s="31"/>
      <c r="D19626" s="30"/>
    </row>
    <row r="19627" spans="1:4" x14ac:dyDescent="0.25">
      <c r="A19627" s="31"/>
      <c r="D19627" s="30"/>
    </row>
    <row r="19628" spans="1:4" x14ac:dyDescent="0.25">
      <c r="A19628" s="31"/>
      <c r="D19628" s="30"/>
    </row>
    <row r="19629" spans="1:4" x14ac:dyDescent="0.25">
      <c r="A19629" s="31"/>
      <c r="D19629" s="30"/>
    </row>
    <row r="19630" spans="1:4" x14ac:dyDescent="0.25">
      <c r="A19630" s="31"/>
      <c r="D19630" s="30"/>
    </row>
    <row r="19631" spans="1:4" x14ac:dyDescent="0.25">
      <c r="A19631" s="31"/>
      <c r="D19631" s="30"/>
    </row>
    <row r="19632" spans="1:4" x14ac:dyDescent="0.25">
      <c r="A19632" s="31"/>
      <c r="D19632" s="30"/>
    </row>
    <row r="19633" spans="1:4" x14ac:dyDescent="0.25">
      <c r="A19633" s="31"/>
      <c r="D19633" s="30"/>
    </row>
    <row r="19634" spans="1:4" x14ac:dyDescent="0.25">
      <c r="A19634" s="31"/>
      <c r="D19634" s="30"/>
    </row>
    <row r="19635" spans="1:4" x14ac:dyDescent="0.25">
      <c r="A19635" s="31"/>
      <c r="D19635" s="30"/>
    </row>
    <row r="19636" spans="1:4" x14ac:dyDescent="0.25">
      <c r="A19636" s="31"/>
      <c r="D19636" s="30"/>
    </row>
    <row r="19637" spans="1:4" x14ac:dyDescent="0.25">
      <c r="A19637" s="31"/>
      <c r="D19637" s="30"/>
    </row>
    <row r="19638" spans="1:4" x14ac:dyDescent="0.25">
      <c r="A19638" s="31"/>
      <c r="D19638" s="30"/>
    </row>
    <row r="19639" spans="1:4" x14ac:dyDescent="0.25">
      <c r="A19639" s="31"/>
      <c r="D19639" s="30"/>
    </row>
    <row r="19640" spans="1:4" x14ac:dyDescent="0.25">
      <c r="A19640" s="31"/>
      <c r="D19640" s="30"/>
    </row>
    <row r="19641" spans="1:4" x14ac:dyDescent="0.25">
      <c r="A19641" s="31"/>
      <c r="D19641" s="30"/>
    </row>
    <row r="19642" spans="1:4" x14ac:dyDescent="0.25">
      <c r="A19642" s="31"/>
      <c r="D19642" s="30"/>
    </row>
    <row r="19643" spans="1:4" x14ac:dyDescent="0.25">
      <c r="A19643" s="31"/>
      <c r="D19643" s="30"/>
    </row>
    <row r="19644" spans="1:4" x14ac:dyDescent="0.25">
      <c r="A19644" s="31"/>
      <c r="D19644" s="30"/>
    </row>
    <row r="19645" spans="1:4" x14ac:dyDescent="0.25">
      <c r="A19645" s="31"/>
      <c r="D19645" s="30"/>
    </row>
    <row r="19646" spans="1:4" x14ac:dyDescent="0.25">
      <c r="A19646" s="31"/>
      <c r="D19646" s="30"/>
    </row>
    <row r="19647" spans="1:4" x14ac:dyDescent="0.25">
      <c r="A19647" s="31"/>
      <c r="D19647" s="30"/>
    </row>
    <row r="19648" spans="1:4" x14ac:dyDescent="0.25">
      <c r="A19648" s="31"/>
      <c r="D19648" s="30"/>
    </row>
    <row r="19649" spans="1:4" x14ac:dyDescent="0.25">
      <c r="A19649" s="31"/>
      <c r="D19649" s="30"/>
    </row>
    <row r="19650" spans="1:4" x14ac:dyDescent="0.25">
      <c r="A19650" s="31"/>
      <c r="D19650" s="30"/>
    </row>
    <row r="19651" spans="1:4" x14ac:dyDescent="0.25">
      <c r="A19651" s="31"/>
      <c r="D19651" s="30"/>
    </row>
    <row r="19652" spans="1:4" x14ac:dyDescent="0.25">
      <c r="A19652" s="31"/>
      <c r="D19652" s="30"/>
    </row>
    <row r="19653" spans="1:4" x14ac:dyDescent="0.25">
      <c r="A19653" s="31"/>
      <c r="D19653" s="30"/>
    </row>
    <row r="19654" spans="1:4" x14ac:dyDescent="0.25">
      <c r="A19654" s="31"/>
      <c r="D19654" s="30"/>
    </row>
    <row r="19655" spans="1:4" x14ac:dyDescent="0.25">
      <c r="A19655" s="31"/>
      <c r="D19655" s="30"/>
    </row>
    <row r="19656" spans="1:4" x14ac:dyDescent="0.25">
      <c r="A19656" s="31"/>
      <c r="D19656" s="30"/>
    </row>
    <row r="19657" spans="1:4" x14ac:dyDescent="0.25">
      <c r="A19657" s="31"/>
      <c r="D19657" s="30"/>
    </row>
    <row r="19658" spans="1:4" x14ac:dyDescent="0.25">
      <c r="A19658" s="31"/>
      <c r="D19658" s="30"/>
    </row>
    <row r="19659" spans="1:4" x14ac:dyDescent="0.25">
      <c r="A19659" s="31"/>
      <c r="D19659" s="30"/>
    </row>
    <row r="19660" spans="1:4" x14ac:dyDescent="0.25">
      <c r="A19660" s="31"/>
      <c r="D19660" s="30"/>
    </row>
    <row r="19661" spans="1:4" x14ac:dyDescent="0.25">
      <c r="A19661" s="31"/>
      <c r="D19661" s="30"/>
    </row>
    <row r="19662" spans="1:4" x14ac:dyDescent="0.25">
      <c r="A19662" s="31"/>
      <c r="D19662" s="30"/>
    </row>
    <row r="19663" spans="1:4" x14ac:dyDescent="0.25">
      <c r="A19663" s="31"/>
      <c r="D19663" s="30"/>
    </row>
    <row r="19664" spans="1:4" x14ac:dyDescent="0.25">
      <c r="A19664" s="31"/>
      <c r="D19664" s="30"/>
    </row>
    <row r="19665" spans="1:4" x14ac:dyDescent="0.25">
      <c r="A19665" s="31"/>
      <c r="D19665" s="30"/>
    </row>
    <row r="19666" spans="1:4" x14ac:dyDescent="0.25">
      <c r="A19666" s="31"/>
      <c r="D19666" s="30"/>
    </row>
    <row r="19667" spans="1:4" x14ac:dyDescent="0.25">
      <c r="A19667" s="31"/>
      <c r="D19667" s="30"/>
    </row>
    <row r="19668" spans="1:4" x14ac:dyDescent="0.25">
      <c r="A19668" s="31"/>
      <c r="D19668" s="30"/>
    </row>
    <row r="19669" spans="1:4" x14ac:dyDescent="0.25">
      <c r="A19669" s="31"/>
      <c r="D19669" s="30"/>
    </row>
    <row r="19670" spans="1:4" x14ac:dyDescent="0.25">
      <c r="A19670" s="31"/>
      <c r="D19670" s="30"/>
    </row>
    <row r="19671" spans="1:4" x14ac:dyDescent="0.25">
      <c r="A19671" s="31"/>
      <c r="D19671" s="30"/>
    </row>
    <row r="19672" spans="1:4" x14ac:dyDescent="0.25">
      <c r="A19672" s="31"/>
      <c r="D19672" s="30"/>
    </row>
    <row r="19673" spans="1:4" x14ac:dyDescent="0.25">
      <c r="A19673" s="31"/>
      <c r="D19673" s="30"/>
    </row>
    <row r="19674" spans="1:4" x14ac:dyDescent="0.25">
      <c r="A19674" s="31"/>
      <c r="D19674" s="30"/>
    </row>
    <row r="19675" spans="1:4" x14ac:dyDescent="0.25">
      <c r="A19675" s="31"/>
      <c r="D19675" s="30"/>
    </row>
    <row r="19676" spans="1:4" x14ac:dyDescent="0.25">
      <c r="A19676" s="31"/>
      <c r="D19676" s="30"/>
    </row>
    <row r="19677" spans="1:4" x14ac:dyDescent="0.25">
      <c r="A19677" s="31"/>
      <c r="D19677" s="30"/>
    </row>
    <row r="19678" spans="1:4" x14ac:dyDescent="0.25">
      <c r="A19678" s="31"/>
      <c r="D19678" s="30"/>
    </row>
    <row r="19679" spans="1:4" x14ac:dyDescent="0.25">
      <c r="A19679" s="31"/>
      <c r="D19679" s="30"/>
    </row>
    <row r="19680" spans="1:4" x14ac:dyDescent="0.25">
      <c r="A19680" s="31"/>
      <c r="D19680" s="30"/>
    </row>
    <row r="19681" spans="1:4" x14ac:dyDescent="0.25">
      <c r="A19681" s="31"/>
      <c r="D19681" s="30"/>
    </row>
    <row r="19682" spans="1:4" x14ac:dyDescent="0.25">
      <c r="A19682" s="31"/>
      <c r="D19682" s="30"/>
    </row>
    <row r="19683" spans="1:4" x14ac:dyDescent="0.25">
      <c r="A19683" s="31"/>
      <c r="D19683" s="30"/>
    </row>
    <row r="19684" spans="1:4" x14ac:dyDescent="0.25">
      <c r="A19684" s="31"/>
      <c r="D19684" s="30"/>
    </row>
    <row r="19685" spans="1:4" x14ac:dyDescent="0.25">
      <c r="A19685" s="31"/>
      <c r="D19685" s="30"/>
    </row>
    <row r="19686" spans="1:4" x14ac:dyDescent="0.25">
      <c r="A19686" s="31"/>
      <c r="D19686" s="30"/>
    </row>
    <row r="19687" spans="1:4" x14ac:dyDescent="0.25">
      <c r="A19687" s="31"/>
      <c r="D19687" s="30"/>
    </row>
    <row r="19688" spans="1:4" x14ac:dyDescent="0.25">
      <c r="A19688" s="31"/>
      <c r="D19688" s="30"/>
    </row>
    <row r="19689" spans="1:4" x14ac:dyDescent="0.25">
      <c r="A19689" s="31"/>
      <c r="D19689" s="30"/>
    </row>
    <row r="19690" spans="1:4" x14ac:dyDescent="0.25">
      <c r="A19690" s="31"/>
      <c r="D19690" s="30"/>
    </row>
    <row r="19691" spans="1:4" x14ac:dyDescent="0.25">
      <c r="A19691" s="31"/>
      <c r="D19691" s="30"/>
    </row>
    <row r="19692" spans="1:4" x14ac:dyDescent="0.25">
      <c r="A19692" s="31"/>
      <c r="D19692" s="30"/>
    </row>
    <row r="19693" spans="1:4" x14ac:dyDescent="0.25">
      <c r="A19693" s="31"/>
      <c r="D19693" s="30"/>
    </row>
    <row r="19694" spans="1:4" x14ac:dyDescent="0.25">
      <c r="A19694" s="31"/>
      <c r="D19694" s="30"/>
    </row>
    <row r="19695" spans="1:4" x14ac:dyDescent="0.25">
      <c r="A19695" s="31"/>
      <c r="D19695" s="30"/>
    </row>
    <row r="19696" spans="1:4" x14ac:dyDescent="0.25">
      <c r="A19696" s="31"/>
      <c r="D19696" s="30"/>
    </row>
    <row r="19697" spans="1:4" x14ac:dyDescent="0.25">
      <c r="A19697" s="31"/>
      <c r="D19697" s="30"/>
    </row>
    <row r="19698" spans="1:4" x14ac:dyDescent="0.25">
      <c r="A19698" s="31"/>
      <c r="D19698" s="30"/>
    </row>
    <row r="19699" spans="1:4" x14ac:dyDescent="0.25">
      <c r="A19699" s="31"/>
      <c r="D19699" s="30"/>
    </row>
    <row r="19700" spans="1:4" x14ac:dyDescent="0.25">
      <c r="A19700" s="31"/>
      <c r="D19700" s="30"/>
    </row>
    <row r="19701" spans="1:4" x14ac:dyDescent="0.25">
      <c r="A19701" s="31"/>
      <c r="D19701" s="30"/>
    </row>
    <row r="19702" spans="1:4" x14ac:dyDescent="0.25">
      <c r="A19702" s="31"/>
      <c r="D19702" s="30"/>
    </row>
    <row r="19703" spans="1:4" x14ac:dyDescent="0.25">
      <c r="A19703" s="31"/>
      <c r="D19703" s="30"/>
    </row>
    <row r="19704" spans="1:4" x14ac:dyDescent="0.25">
      <c r="A19704" s="31"/>
      <c r="D19704" s="30"/>
    </row>
    <row r="19705" spans="1:4" x14ac:dyDescent="0.25">
      <c r="A19705" s="31"/>
      <c r="D19705" s="30"/>
    </row>
    <row r="19706" spans="1:4" x14ac:dyDescent="0.25">
      <c r="A19706" s="31"/>
      <c r="D19706" s="30"/>
    </row>
    <row r="19707" spans="1:4" x14ac:dyDescent="0.25">
      <c r="A19707" s="31"/>
      <c r="D19707" s="30"/>
    </row>
    <row r="19708" spans="1:4" x14ac:dyDescent="0.25">
      <c r="A19708" s="31"/>
      <c r="D19708" s="30"/>
    </row>
    <row r="19709" spans="1:4" x14ac:dyDescent="0.25">
      <c r="A19709" s="31"/>
      <c r="D19709" s="30"/>
    </row>
    <row r="19710" spans="1:4" x14ac:dyDescent="0.25">
      <c r="A19710" s="31"/>
      <c r="D19710" s="30"/>
    </row>
    <row r="19711" spans="1:4" x14ac:dyDescent="0.25">
      <c r="A19711" s="31"/>
      <c r="D19711" s="30"/>
    </row>
    <row r="19712" spans="1:4" x14ac:dyDescent="0.25">
      <c r="A19712" s="31"/>
      <c r="D19712" s="30"/>
    </row>
    <row r="19713" spans="1:4" x14ac:dyDescent="0.25">
      <c r="A19713" s="31"/>
      <c r="D19713" s="30"/>
    </row>
    <row r="19714" spans="1:4" x14ac:dyDescent="0.25">
      <c r="A19714" s="31"/>
      <c r="D19714" s="30"/>
    </row>
    <row r="19715" spans="1:4" x14ac:dyDescent="0.25">
      <c r="A19715" s="31"/>
      <c r="D19715" s="30"/>
    </row>
    <row r="19716" spans="1:4" x14ac:dyDescent="0.25">
      <c r="A19716" s="31"/>
      <c r="D19716" s="30"/>
    </row>
    <row r="19717" spans="1:4" x14ac:dyDescent="0.25">
      <c r="A19717" s="31"/>
      <c r="D19717" s="30"/>
    </row>
    <row r="19718" spans="1:4" x14ac:dyDescent="0.25">
      <c r="A19718" s="31"/>
      <c r="D19718" s="30"/>
    </row>
    <row r="19719" spans="1:4" x14ac:dyDescent="0.25">
      <c r="A19719" s="31"/>
      <c r="D19719" s="30"/>
    </row>
    <row r="19720" spans="1:4" x14ac:dyDescent="0.25">
      <c r="A19720" s="31"/>
      <c r="D19720" s="30"/>
    </row>
    <row r="19721" spans="1:4" x14ac:dyDescent="0.25">
      <c r="A19721" s="31"/>
      <c r="D19721" s="30"/>
    </row>
    <row r="19722" spans="1:4" x14ac:dyDescent="0.25">
      <c r="A19722" s="31"/>
      <c r="D19722" s="30"/>
    </row>
    <row r="19723" spans="1:4" x14ac:dyDescent="0.25">
      <c r="A19723" s="31"/>
      <c r="D19723" s="30"/>
    </row>
    <row r="19724" spans="1:4" x14ac:dyDescent="0.25">
      <c r="A19724" s="31"/>
      <c r="D19724" s="30"/>
    </row>
    <row r="19725" spans="1:4" x14ac:dyDescent="0.25">
      <c r="A19725" s="31"/>
      <c r="D19725" s="30"/>
    </row>
    <row r="19726" spans="1:4" x14ac:dyDescent="0.25">
      <c r="A19726" s="31"/>
      <c r="D19726" s="30"/>
    </row>
    <row r="19727" spans="1:4" x14ac:dyDescent="0.25">
      <c r="A19727" s="31"/>
      <c r="D19727" s="30"/>
    </row>
    <row r="19728" spans="1:4" x14ac:dyDescent="0.25">
      <c r="A19728" s="31"/>
      <c r="D19728" s="30"/>
    </row>
    <row r="19729" spans="1:4" x14ac:dyDescent="0.25">
      <c r="A19729" s="31"/>
      <c r="D19729" s="30"/>
    </row>
    <row r="19730" spans="1:4" x14ac:dyDescent="0.25">
      <c r="A19730" s="31"/>
      <c r="D19730" s="30"/>
    </row>
    <row r="19731" spans="1:4" x14ac:dyDescent="0.25">
      <c r="A19731" s="31"/>
      <c r="D19731" s="30"/>
    </row>
    <row r="19732" spans="1:4" x14ac:dyDescent="0.25">
      <c r="A19732" s="31"/>
      <c r="D19732" s="30"/>
    </row>
    <row r="19733" spans="1:4" x14ac:dyDescent="0.25">
      <c r="A19733" s="31"/>
      <c r="D19733" s="30"/>
    </row>
    <row r="19734" spans="1:4" x14ac:dyDescent="0.25">
      <c r="A19734" s="31"/>
      <c r="D19734" s="30"/>
    </row>
    <row r="19735" spans="1:4" x14ac:dyDescent="0.25">
      <c r="A19735" s="31"/>
      <c r="D19735" s="30"/>
    </row>
    <row r="19736" spans="1:4" x14ac:dyDescent="0.25">
      <c r="A19736" s="31"/>
      <c r="D19736" s="30"/>
    </row>
    <row r="19737" spans="1:4" x14ac:dyDescent="0.25">
      <c r="A19737" s="31"/>
      <c r="D19737" s="30"/>
    </row>
    <row r="19738" spans="1:4" x14ac:dyDescent="0.25">
      <c r="A19738" s="31"/>
      <c r="D19738" s="30"/>
    </row>
    <row r="19739" spans="1:4" x14ac:dyDescent="0.25">
      <c r="A19739" s="31"/>
      <c r="D19739" s="30"/>
    </row>
    <row r="19740" spans="1:4" x14ac:dyDescent="0.25">
      <c r="A19740" s="31"/>
      <c r="D19740" s="30"/>
    </row>
    <row r="19741" spans="1:4" x14ac:dyDescent="0.25">
      <c r="A19741" s="31"/>
      <c r="D19741" s="30"/>
    </row>
    <row r="19742" spans="1:4" x14ac:dyDescent="0.25">
      <c r="A19742" s="31"/>
      <c r="D19742" s="30"/>
    </row>
    <row r="19743" spans="1:4" x14ac:dyDescent="0.25">
      <c r="A19743" s="31"/>
      <c r="D19743" s="30"/>
    </row>
    <row r="19744" spans="1:4" x14ac:dyDescent="0.25">
      <c r="A19744" s="31"/>
      <c r="D19744" s="30"/>
    </row>
    <row r="19745" spans="1:4" x14ac:dyDescent="0.25">
      <c r="A19745" s="31"/>
      <c r="D19745" s="30"/>
    </row>
    <row r="19746" spans="1:4" x14ac:dyDescent="0.25">
      <c r="A19746" s="31"/>
      <c r="D19746" s="30"/>
    </row>
    <row r="19747" spans="1:4" x14ac:dyDescent="0.25">
      <c r="A19747" s="31"/>
      <c r="D19747" s="30"/>
    </row>
    <row r="19748" spans="1:4" x14ac:dyDescent="0.25">
      <c r="A19748" s="31"/>
      <c r="D19748" s="30"/>
    </row>
    <row r="19749" spans="1:4" x14ac:dyDescent="0.25">
      <c r="A19749" s="31"/>
      <c r="D19749" s="30"/>
    </row>
    <row r="19750" spans="1:4" x14ac:dyDescent="0.25">
      <c r="A19750" s="31"/>
      <c r="D19750" s="30"/>
    </row>
    <row r="19751" spans="1:4" x14ac:dyDescent="0.25">
      <c r="A19751" s="31"/>
      <c r="D19751" s="30"/>
    </row>
    <row r="19752" spans="1:4" x14ac:dyDescent="0.25">
      <c r="A19752" s="31"/>
      <c r="D19752" s="30"/>
    </row>
    <row r="19753" spans="1:4" x14ac:dyDescent="0.25">
      <c r="A19753" s="31"/>
      <c r="D19753" s="30"/>
    </row>
    <row r="19754" spans="1:4" x14ac:dyDescent="0.25">
      <c r="A19754" s="31"/>
      <c r="D19754" s="30"/>
    </row>
    <row r="19755" spans="1:4" x14ac:dyDescent="0.25">
      <c r="A19755" s="31"/>
      <c r="D19755" s="30"/>
    </row>
    <row r="19756" spans="1:4" x14ac:dyDescent="0.25">
      <c r="A19756" s="31"/>
      <c r="D19756" s="30"/>
    </row>
    <row r="19757" spans="1:4" x14ac:dyDescent="0.25">
      <c r="A19757" s="31"/>
      <c r="D19757" s="30"/>
    </row>
    <row r="19758" spans="1:4" x14ac:dyDescent="0.25">
      <c r="A19758" s="31"/>
      <c r="D19758" s="30"/>
    </row>
    <row r="19759" spans="1:4" x14ac:dyDescent="0.25">
      <c r="A19759" s="31"/>
      <c r="D19759" s="30"/>
    </row>
    <row r="19760" spans="1:4" x14ac:dyDescent="0.25">
      <c r="A19760" s="31"/>
      <c r="D19760" s="30"/>
    </row>
    <row r="19761" spans="1:4" x14ac:dyDescent="0.25">
      <c r="A19761" s="31"/>
      <c r="D19761" s="30"/>
    </row>
    <row r="19762" spans="1:4" x14ac:dyDescent="0.25">
      <c r="A19762" s="31"/>
      <c r="D19762" s="30"/>
    </row>
    <row r="19763" spans="1:4" x14ac:dyDescent="0.25">
      <c r="A19763" s="31"/>
      <c r="D19763" s="30"/>
    </row>
    <row r="19764" spans="1:4" x14ac:dyDescent="0.25">
      <c r="A19764" s="31"/>
      <c r="D19764" s="30"/>
    </row>
    <row r="19765" spans="1:4" x14ac:dyDescent="0.25">
      <c r="A19765" s="31"/>
      <c r="D19765" s="30"/>
    </row>
    <row r="19766" spans="1:4" x14ac:dyDescent="0.25">
      <c r="A19766" s="31"/>
      <c r="D19766" s="30"/>
    </row>
    <row r="19767" spans="1:4" x14ac:dyDescent="0.25">
      <c r="A19767" s="31"/>
      <c r="D19767" s="30"/>
    </row>
    <row r="19768" spans="1:4" x14ac:dyDescent="0.25">
      <c r="A19768" s="31"/>
      <c r="D19768" s="30"/>
    </row>
    <row r="19769" spans="1:4" x14ac:dyDescent="0.25">
      <c r="A19769" s="31"/>
      <c r="D19769" s="30"/>
    </row>
    <row r="19770" spans="1:4" x14ac:dyDescent="0.25">
      <c r="A19770" s="31"/>
      <c r="D19770" s="30"/>
    </row>
    <row r="19771" spans="1:4" x14ac:dyDescent="0.25">
      <c r="A19771" s="31"/>
      <c r="D19771" s="30"/>
    </row>
    <row r="19772" spans="1:4" x14ac:dyDescent="0.25">
      <c r="A19772" s="31"/>
      <c r="D19772" s="30"/>
    </row>
    <row r="19773" spans="1:4" x14ac:dyDescent="0.25">
      <c r="A19773" s="31"/>
      <c r="D19773" s="30"/>
    </row>
    <row r="19774" spans="1:4" x14ac:dyDescent="0.25">
      <c r="A19774" s="31"/>
      <c r="D19774" s="30"/>
    </row>
    <row r="19775" spans="1:4" x14ac:dyDescent="0.25">
      <c r="A19775" s="31"/>
      <c r="D19775" s="30"/>
    </row>
    <row r="19776" spans="1:4" x14ac:dyDescent="0.25">
      <c r="A19776" s="31"/>
      <c r="D19776" s="30"/>
    </row>
    <row r="19777" spans="1:4" x14ac:dyDescent="0.25">
      <c r="A19777" s="31"/>
      <c r="D19777" s="30"/>
    </row>
    <row r="19778" spans="1:4" x14ac:dyDescent="0.25">
      <c r="A19778" s="31"/>
      <c r="D19778" s="30"/>
    </row>
    <row r="19779" spans="1:4" x14ac:dyDescent="0.25">
      <c r="A19779" s="31"/>
      <c r="D19779" s="30"/>
    </row>
    <row r="19780" spans="1:4" x14ac:dyDescent="0.25">
      <c r="A19780" s="31"/>
      <c r="D19780" s="30"/>
    </row>
    <row r="19781" spans="1:4" x14ac:dyDescent="0.25">
      <c r="A19781" s="31"/>
      <c r="D19781" s="30"/>
    </row>
    <row r="19782" spans="1:4" x14ac:dyDescent="0.25">
      <c r="A19782" s="31"/>
      <c r="D19782" s="30"/>
    </row>
    <row r="19783" spans="1:4" x14ac:dyDescent="0.25">
      <c r="A19783" s="31"/>
      <c r="D19783" s="30"/>
    </row>
    <row r="19784" spans="1:4" x14ac:dyDescent="0.25">
      <c r="A19784" s="31"/>
      <c r="D19784" s="30"/>
    </row>
    <row r="19785" spans="1:4" x14ac:dyDescent="0.25">
      <c r="A19785" s="31"/>
      <c r="D19785" s="30"/>
    </row>
    <row r="19786" spans="1:4" x14ac:dyDescent="0.25">
      <c r="A19786" s="31"/>
      <c r="D19786" s="30"/>
    </row>
    <row r="19787" spans="1:4" x14ac:dyDescent="0.25">
      <c r="A19787" s="31"/>
      <c r="D19787" s="30"/>
    </row>
    <row r="19788" spans="1:4" x14ac:dyDescent="0.25">
      <c r="A19788" s="31"/>
      <c r="D19788" s="30"/>
    </row>
    <row r="19789" spans="1:4" x14ac:dyDescent="0.25">
      <c r="A19789" s="31"/>
      <c r="D19789" s="30"/>
    </row>
    <row r="19790" spans="1:4" x14ac:dyDescent="0.25">
      <c r="A19790" s="31"/>
      <c r="D19790" s="30"/>
    </row>
    <row r="19791" spans="1:4" x14ac:dyDescent="0.25">
      <c r="A19791" s="31"/>
      <c r="D19791" s="30"/>
    </row>
    <row r="19792" spans="1:4" x14ac:dyDescent="0.25">
      <c r="A19792" s="31"/>
      <c r="D19792" s="30"/>
    </row>
    <row r="19793" spans="1:4" x14ac:dyDescent="0.25">
      <c r="A19793" s="31"/>
      <c r="D19793" s="30"/>
    </row>
    <row r="19794" spans="1:4" x14ac:dyDescent="0.25">
      <c r="A19794" s="31"/>
      <c r="D19794" s="30"/>
    </row>
    <row r="19795" spans="1:4" x14ac:dyDescent="0.25">
      <c r="A19795" s="31"/>
      <c r="D19795" s="30"/>
    </row>
    <row r="19796" spans="1:4" x14ac:dyDescent="0.25">
      <c r="A19796" s="31"/>
      <c r="D19796" s="30"/>
    </row>
    <row r="19797" spans="1:4" x14ac:dyDescent="0.25">
      <c r="A19797" s="31"/>
      <c r="D19797" s="30"/>
    </row>
    <row r="19798" spans="1:4" x14ac:dyDescent="0.25">
      <c r="A19798" s="31"/>
      <c r="D19798" s="30"/>
    </row>
    <row r="19799" spans="1:4" x14ac:dyDescent="0.25">
      <c r="A19799" s="31"/>
      <c r="D19799" s="30"/>
    </row>
    <row r="19800" spans="1:4" x14ac:dyDescent="0.25">
      <c r="A19800" s="31"/>
      <c r="D19800" s="30"/>
    </row>
    <row r="19801" spans="1:4" x14ac:dyDescent="0.25">
      <c r="A19801" s="31"/>
      <c r="D19801" s="30"/>
    </row>
    <row r="19802" spans="1:4" x14ac:dyDescent="0.25">
      <c r="A19802" s="31"/>
      <c r="D19802" s="30"/>
    </row>
    <row r="19803" spans="1:4" x14ac:dyDescent="0.25">
      <c r="A19803" s="31"/>
      <c r="D19803" s="30"/>
    </row>
    <row r="19804" spans="1:4" x14ac:dyDescent="0.25">
      <c r="A19804" s="31"/>
      <c r="D19804" s="30"/>
    </row>
    <row r="19805" spans="1:4" x14ac:dyDescent="0.25">
      <c r="A19805" s="31"/>
      <c r="D19805" s="30"/>
    </row>
    <row r="19806" spans="1:4" x14ac:dyDescent="0.25">
      <c r="A19806" s="31"/>
      <c r="D19806" s="30"/>
    </row>
    <row r="19807" spans="1:4" x14ac:dyDescent="0.25">
      <c r="A19807" s="31"/>
      <c r="D19807" s="30"/>
    </row>
    <row r="19808" spans="1:4" x14ac:dyDescent="0.25">
      <c r="A19808" s="31"/>
      <c r="D19808" s="30"/>
    </row>
    <row r="19809" spans="1:4" x14ac:dyDescent="0.25">
      <c r="A19809" s="31"/>
      <c r="D19809" s="30"/>
    </row>
    <row r="19810" spans="1:4" x14ac:dyDescent="0.25">
      <c r="A19810" s="31"/>
      <c r="D19810" s="30"/>
    </row>
    <row r="19811" spans="1:4" x14ac:dyDescent="0.25">
      <c r="A19811" s="31"/>
      <c r="D19811" s="30"/>
    </row>
    <row r="19812" spans="1:4" x14ac:dyDescent="0.25">
      <c r="A19812" s="31"/>
      <c r="D19812" s="30"/>
    </row>
    <row r="19813" spans="1:4" x14ac:dyDescent="0.25">
      <c r="A19813" s="31"/>
      <c r="D19813" s="30"/>
    </row>
    <row r="19814" spans="1:4" x14ac:dyDescent="0.25">
      <c r="A19814" s="31"/>
      <c r="D19814" s="30"/>
    </row>
    <row r="19815" spans="1:4" x14ac:dyDescent="0.25">
      <c r="A19815" s="31"/>
      <c r="D19815" s="30"/>
    </row>
    <row r="19816" spans="1:4" x14ac:dyDescent="0.25">
      <c r="A19816" s="31"/>
      <c r="D19816" s="30"/>
    </row>
    <row r="19817" spans="1:4" x14ac:dyDescent="0.25">
      <c r="A19817" s="31"/>
      <c r="D19817" s="30"/>
    </row>
    <row r="19818" spans="1:4" x14ac:dyDescent="0.25">
      <c r="A19818" s="31"/>
      <c r="D19818" s="30"/>
    </row>
    <row r="19819" spans="1:4" x14ac:dyDescent="0.25">
      <c r="A19819" s="31"/>
      <c r="D19819" s="30"/>
    </row>
    <row r="19820" spans="1:4" x14ac:dyDescent="0.25">
      <c r="A19820" s="31"/>
      <c r="D19820" s="30"/>
    </row>
    <row r="19821" spans="1:4" x14ac:dyDescent="0.25">
      <c r="A19821" s="31"/>
      <c r="D19821" s="30"/>
    </row>
    <row r="19822" spans="1:4" x14ac:dyDescent="0.25">
      <c r="A19822" s="31"/>
      <c r="D19822" s="30"/>
    </row>
    <row r="19823" spans="1:4" x14ac:dyDescent="0.25">
      <c r="A19823" s="31"/>
      <c r="D19823" s="30"/>
    </row>
    <row r="19824" spans="1:4" x14ac:dyDescent="0.25">
      <c r="A19824" s="31"/>
      <c r="D19824" s="30"/>
    </row>
    <row r="19825" spans="1:4" x14ac:dyDescent="0.25">
      <c r="A19825" s="31"/>
      <c r="D19825" s="30"/>
    </row>
    <row r="19826" spans="1:4" x14ac:dyDescent="0.25">
      <c r="A19826" s="31"/>
      <c r="D19826" s="30"/>
    </row>
    <row r="19827" spans="1:4" x14ac:dyDescent="0.25">
      <c r="A19827" s="31"/>
      <c r="D19827" s="30"/>
    </row>
    <row r="19828" spans="1:4" x14ac:dyDescent="0.25">
      <c r="A19828" s="31"/>
      <c r="D19828" s="30"/>
    </row>
    <row r="19829" spans="1:4" x14ac:dyDescent="0.25">
      <c r="A19829" s="31"/>
      <c r="D19829" s="30"/>
    </row>
    <row r="19830" spans="1:4" x14ac:dyDescent="0.25">
      <c r="A19830" s="31"/>
      <c r="D19830" s="30"/>
    </row>
    <row r="19831" spans="1:4" x14ac:dyDescent="0.25">
      <c r="A19831" s="31"/>
      <c r="D19831" s="30"/>
    </row>
    <row r="19832" spans="1:4" x14ac:dyDescent="0.25">
      <c r="A19832" s="31"/>
      <c r="D19832" s="30"/>
    </row>
    <row r="19833" spans="1:4" x14ac:dyDescent="0.25">
      <c r="A19833" s="31"/>
      <c r="D19833" s="30"/>
    </row>
    <row r="19834" spans="1:4" x14ac:dyDescent="0.25">
      <c r="A19834" s="31"/>
      <c r="D19834" s="30"/>
    </row>
    <row r="19835" spans="1:4" x14ac:dyDescent="0.25">
      <c r="A19835" s="31"/>
      <c r="D19835" s="30"/>
    </row>
    <row r="19836" spans="1:4" x14ac:dyDescent="0.25">
      <c r="A19836" s="31"/>
      <c r="D19836" s="30"/>
    </row>
    <row r="19837" spans="1:4" x14ac:dyDescent="0.25">
      <c r="A19837" s="31"/>
      <c r="D19837" s="30"/>
    </row>
    <row r="19838" spans="1:4" x14ac:dyDescent="0.25">
      <c r="A19838" s="31"/>
      <c r="D19838" s="30"/>
    </row>
    <row r="19839" spans="1:4" x14ac:dyDescent="0.25">
      <c r="A19839" s="31"/>
      <c r="D19839" s="30"/>
    </row>
    <row r="19840" spans="1:4" x14ac:dyDescent="0.25">
      <c r="A19840" s="31"/>
      <c r="D19840" s="30"/>
    </row>
    <row r="19841" spans="1:4" x14ac:dyDescent="0.25">
      <c r="A19841" s="31"/>
      <c r="D19841" s="30"/>
    </row>
    <row r="19842" spans="1:4" x14ac:dyDescent="0.25">
      <c r="A19842" s="31"/>
      <c r="D19842" s="30"/>
    </row>
    <row r="19843" spans="1:4" x14ac:dyDescent="0.25">
      <c r="A19843" s="31"/>
      <c r="D19843" s="30"/>
    </row>
    <row r="19844" spans="1:4" x14ac:dyDescent="0.25">
      <c r="A19844" s="31"/>
      <c r="D19844" s="30"/>
    </row>
    <row r="19845" spans="1:4" x14ac:dyDescent="0.25">
      <c r="A19845" s="31"/>
      <c r="D19845" s="30"/>
    </row>
    <row r="19846" spans="1:4" x14ac:dyDescent="0.25">
      <c r="A19846" s="31"/>
      <c r="D19846" s="30"/>
    </row>
    <row r="19847" spans="1:4" x14ac:dyDescent="0.25">
      <c r="A19847" s="31"/>
      <c r="D19847" s="30"/>
    </row>
    <row r="19848" spans="1:4" x14ac:dyDescent="0.25">
      <c r="A19848" s="31"/>
      <c r="D19848" s="30"/>
    </row>
    <row r="19849" spans="1:4" x14ac:dyDescent="0.25">
      <c r="A19849" s="31"/>
      <c r="D19849" s="30"/>
    </row>
    <row r="19850" spans="1:4" x14ac:dyDescent="0.25">
      <c r="A19850" s="31"/>
      <c r="D19850" s="30"/>
    </row>
    <row r="19851" spans="1:4" x14ac:dyDescent="0.25">
      <c r="A19851" s="31"/>
      <c r="D19851" s="30"/>
    </row>
    <row r="19852" spans="1:4" x14ac:dyDescent="0.25">
      <c r="A19852" s="31"/>
      <c r="D19852" s="30"/>
    </row>
    <row r="19853" spans="1:4" x14ac:dyDescent="0.25">
      <c r="A19853" s="31"/>
      <c r="D19853" s="30"/>
    </row>
    <row r="19854" spans="1:4" x14ac:dyDescent="0.25">
      <c r="A19854" s="31"/>
      <c r="D19854" s="30"/>
    </row>
    <row r="19855" spans="1:4" x14ac:dyDescent="0.25">
      <c r="A19855" s="31"/>
      <c r="D19855" s="30"/>
    </row>
    <row r="19856" spans="1:4" x14ac:dyDescent="0.25">
      <c r="A19856" s="31"/>
      <c r="D19856" s="30"/>
    </row>
    <row r="19857" spans="1:4" x14ac:dyDescent="0.25">
      <c r="A19857" s="31"/>
      <c r="D19857" s="30"/>
    </row>
    <row r="19858" spans="1:4" x14ac:dyDescent="0.25">
      <c r="A19858" s="31"/>
      <c r="D19858" s="30"/>
    </row>
    <row r="19859" spans="1:4" x14ac:dyDescent="0.25">
      <c r="A19859" s="31"/>
      <c r="D19859" s="30"/>
    </row>
    <row r="19860" spans="1:4" x14ac:dyDescent="0.25">
      <c r="A19860" s="31"/>
      <c r="D19860" s="30"/>
    </row>
    <row r="19861" spans="1:4" x14ac:dyDescent="0.25">
      <c r="A19861" s="31"/>
      <c r="D19861" s="30"/>
    </row>
    <row r="19862" spans="1:4" x14ac:dyDescent="0.25">
      <c r="A19862" s="31"/>
      <c r="D19862" s="30"/>
    </row>
    <row r="19863" spans="1:4" x14ac:dyDescent="0.25">
      <c r="A19863" s="31"/>
      <c r="D19863" s="30"/>
    </row>
    <row r="19864" spans="1:4" x14ac:dyDescent="0.25">
      <c r="A19864" s="31"/>
      <c r="D19864" s="30"/>
    </row>
    <row r="19865" spans="1:4" x14ac:dyDescent="0.25">
      <c r="A19865" s="31"/>
      <c r="D19865" s="30"/>
    </row>
    <row r="19866" spans="1:4" x14ac:dyDescent="0.25">
      <c r="A19866" s="31"/>
      <c r="D19866" s="30"/>
    </row>
    <row r="19867" spans="1:4" x14ac:dyDescent="0.25">
      <c r="A19867" s="31"/>
      <c r="D19867" s="30"/>
    </row>
    <row r="19868" spans="1:4" x14ac:dyDescent="0.25">
      <c r="A19868" s="31"/>
      <c r="D19868" s="30"/>
    </row>
    <row r="19869" spans="1:4" x14ac:dyDescent="0.25">
      <c r="A19869" s="31"/>
      <c r="D19869" s="30"/>
    </row>
    <row r="19870" spans="1:4" x14ac:dyDescent="0.25">
      <c r="A19870" s="31"/>
      <c r="D19870" s="30"/>
    </row>
    <row r="19871" spans="1:4" x14ac:dyDescent="0.25">
      <c r="A19871" s="31"/>
      <c r="D19871" s="30"/>
    </row>
    <row r="19872" spans="1:4" x14ac:dyDescent="0.25">
      <c r="A19872" s="31"/>
      <c r="D19872" s="30"/>
    </row>
    <row r="19873" spans="1:4" x14ac:dyDescent="0.25">
      <c r="A19873" s="31"/>
      <c r="D19873" s="30"/>
    </row>
    <row r="19874" spans="1:4" x14ac:dyDescent="0.25">
      <c r="A19874" s="31"/>
      <c r="D19874" s="30"/>
    </row>
    <row r="19875" spans="1:4" x14ac:dyDescent="0.25">
      <c r="A19875" s="31"/>
      <c r="D19875" s="30"/>
    </row>
    <row r="19876" spans="1:4" x14ac:dyDescent="0.25">
      <c r="A19876" s="31"/>
      <c r="D19876" s="30"/>
    </row>
    <row r="19877" spans="1:4" x14ac:dyDescent="0.25">
      <c r="A19877" s="31"/>
      <c r="D19877" s="30"/>
    </row>
    <row r="19878" spans="1:4" x14ac:dyDescent="0.25">
      <c r="A19878" s="31"/>
      <c r="D19878" s="30"/>
    </row>
    <row r="19879" spans="1:4" x14ac:dyDescent="0.25">
      <c r="A19879" s="31"/>
      <c r="D19879" s="30"/>
    </row>
    <row r="19880" spans="1:4" x14ac:dyDescent="0.25">
      <c r="A19880" s="31"/>
      <c r="D19880" s="30"/>
    </row>
    <row r="19881" spans="1:4" x14ac:dyDescent="0.25">
      <c r="A19881" s="31"/>
      <c r="D19881" s="30"/>
    </row>
    <row r="19882" spans="1:4" x14ac:dyDescent="0.25">
      <c r="A19882" s="31"/>
      <c r="D19882" s="30"/>
    </row>
    <row r="19883" spans="1:4" x14ac:dyDescent="0.25">
      <c r="A19883" s="31"/>
      <c r="D19883" s="30"/>
    </row>
    <row r="19884" spans="1:4" x14ac:dyDescent="0.25">
      <c r="A19884" s="31"/>
      <c r="D19884" s="30"/>
    </row>
    <row r="19885" spans="1:4" x14ac:dyDescent="0.25">
      <c r="A19885" s="31"/>
      <c r="D19885" s="30"/>
    </row>
    <row r="19886" spans="1:4" x14ac:dyDescent="0.25">
      <c r="A19886" s="31"/>
      <c r="D19886" s="30"/>
    </row>
    <row r="19887" spans="1:4" x14ac:dyDescent="0.25">
      <c r="A19887" s="31"/>
      <c r="D19887" s="30"/>
    </row>
    <row r="19888" spans="1:4" x14ac:dyDescent="0.25">
      <c r="A19888" s="31"/>
      <c r="D19888" s="30"/>
    </row>
    <row r="19889" spans="1:4" x14ac:dyDescent="0.25">
      <c r="A19889" s="31"/>
      <c r="D19889" s="30"/>
    </row>
    <row r="19890" spans="1:4" x14ac:dyDescent="0.25">
      <c r="A19890" s="31"/>
      <c r="D19890" s="30"/>
    </row>
    <row r="19891" spans="1:4" x14ac:dyDescent="0.25">
      <c r="A19891" s="31"/>
      <c r="D19891" s="30"/>
    </row>
    <row r="19892" spans="1:4" x14ac:dyDescent="0.25">
      <c r="A19892" s="31"/>
      <c r="D19892" s="30"/>
    </row>
    <row r="19893" spans="1:4" x14ac:dyDescent="0.25">
      <c r="A19893" s="31"/>
      <c r="D19893" s="30"/>
    </row>
    <row r="19894" spans="1:4" x14ac:dyDescent="0.25">
      <c r="A19894" s="31"/>
      <c r="D19894" s="30"/>
    </row>
    <row r="19895" spans="1:4" x14ac:dyDescent="0.25">
      <c r="A19895" s="31"/>
      <c r="D19895" s="30"/>
    </row>
    <row r="19896" spans="1:4" x14ac:dyDescent="0.25">
      <c r="A19896" s="31"/>
      <c r="D19896" s="30"/>
    </row>
    <row r="19897" spans="1:4" x14ac:dyDescent="0.25">
      <c r="A19897" s="31"/>
      <c r="D19897" s="30"/>
    </row>
    <row r="19898" spans="1:4" x14ac:dyDescent="0.25">
      <c r="A19898" s="31"/>
      <c r="D19898" s="30"/>
    </row>
    <row r="19899" spans="1:4" x14ac:dyDescent="0.25">
      <c r="A19899" s="31"/>
      <c r="D19899" s="30"/>
    </row>
    <row r="19900" spans="1:4" x14ac:dyDescent="0.25">
      <c r="A19900" s="31"/>
      <c r="D19900" s="30"/>
    </row>
    <row r="19901" spans="1:4" x14ac:dyDescent="0.25">
      <c r="A19901" s="31"/>
      <c r="D19901" s="30"/>
    </row>
    <row r="19902" spans="1:4" x14ac:dyDescent="0.25">
      <c r="A19902" s="31"/>
      <c r="D19902" s="30"/>
    </row>
    <row r="19903" spans="1:4" x14ac:dyDescent="0.25">
      <c r="A19903" s="31"/>
      <c r="D19903" s="30"/>
    </row>
    <row r="19904" spans="1:4" x14ac:dyDescent="0.25">
      <c r="A19904" s="31"/>
      <c r="D19904" s="30"/>
    </row>
    <row r="19905" spans="1:4" x14ac:dyDescent="0.25">
      <c r="A19905" s="31"/>
      <c r="D19905" s="30"/>
    </row>
    <row r="19906" spans="1:4" x14ac:dyDescent="0.25">
      <c r="A19906" s="31"/>
      <c r="D19906" s="30"/>
    </row>
    <row r="19907" spans="1:4" x14ac:dyDescent="0.25">
      <c r="A19907" s="31"/>
      <c r="D19907" s="30"/>
    </row>
    <row r="19908" spans="1:4" x14ac:dyDescent="0.25">
      <c r="A19908" s="31"/>
      <c r="D19908" s="30"/>
    </row>
    <row r="19909" spans="1:4" x14ac:dyDescent="0.25">
      <c r="A19909" s="31"/>
      <c r="D19909" s="30"/>
    </row>
    <row r="19910" spans="1:4" x14ac:dyDescent="0.25">
      <c r="A19910" s="31"/>
      <c r="D19910" s="30"/>
    </row>
    <row r="19911" spans="1:4" x14ac:dyDescent="0.25">
      <c r="A19911" s="31"/>
      <c r="D19911" s="30"/>
    </row>
    <row r="19912" spans="1:4" x14ac:dyDescent="0.25">
      <c r="A19912" s="31"/>
      <c r="D19912" s="30"/>
    </row>
    <row r="19913" spans="1:4" x14ac:dyDescent="0.25">
      <c r="A19913" s="31"/>
      <c r="D19913" s="30"/>
    </row>
    <row r="19914" spans="1:4" x14ac:dyDescent="0.25">
      <c r="A19914" s="31"/>
      <c r="D19914" s="30"/>
    </row>
    <row r="19915" spans="1:4" x14ac:dyDescent="0.25">
      <c r="A19915" s="31"/>
      <c r="D19915" s="30"/>
    </row>
    <row r="19916" spans="1:4" x14ac:dyDescent="0.25">
      <c r="A19916" s="31"/>
      <c r="D19916" s="30"/>
    </row>
    <row r="19917" spans="1:4" x14ac:dyDescent="0.25">
      <c r="A19917" s="31"/>
      <c r="D19917" s="30"/>
    </row>
    <row r="19918" spans="1:4" x14ac:dyDescent="0.25">
      <c r="A19918" s="31"/>
      <c r="D19918" s="30"/>
    </row>
    <row r="19919" spans="1:4" x14ac:dyDescent="0.25">
      <c r="A19919" s="31"/>
      <c r="D19919" s="30"/>
    </row>
    <row r="19920" spans="1:4" x14ac:dyDescent="0.25">
      <c r="A19920" s="31"/>
      <c r="D19920" s="30"/>
    </row>
    <row r="19921" spans="1:4" x14ac:dyDescent="0.25">
      <c r="A19921" s="31"/>
      <c r="D19921" s="30"/>
    </row>
    <row r="19922" spans="1:4" x14ac:dyDescent="0.25">
      <c r="A19922" s="31"/>
      <c r="D19922" s="30"/>
    </row>
    <row r="19923" spans="1:4" x14ac:dyDescent="0.25">
      <c r="A19923" s="31"/>
      <c r="D19923" s="30"/>
    </row>
    <row r="19924" spans="1:4" x14ac:dyDescent="0.25">
      <c r="A19924" s="31"/>
      <c r="D19924" s="30"/>
    </row>
    <row r="19925" spans="1:4" x14ac:dyDescent="0.25">
      <c r="A19925" s="31"/>
      <c r="D19925" s="30"/>
    </row>
    <row r="19926" spans="1:4" x14ac:dyDescent="0.25">
      <c r="A19926" s="31"/>
      <c r="D19926" s="30"/>
    </row>
    <row r="19927" spans="1:4" x14ac:dyDescent="0.25">
      <c r="A19927" s="31"/>
      <c r="D19927" s="30"/>
    </row>
    <row r="19928" spans="1:4" x14ac:dyDescent="0.25">
      <c r="A19928" s="31"/>
      <c r="D19928" s="30"/>
    </row>
    <row r="19929" spans="1:4" x14ac:dyDescent="0.25">
      <c r="A19929" s="31"/>
      <c r="D19929" s="30"/>
    </row>
    <row r="19930" spans="1:4" x14ac:dyDescent="0.25">
      <c r="A19930" s="31"/>
      <c r="D19930" s="30"/>
    </row>
    <row r="19931" spans="1:4" x14ac:dyDescent="0.25">
      <c r="A19931" s="31"/>
      <c r="D19931" s="30"/>
    </row>
    <row r="19932" spans="1:4" x14ac:dyDescent="0.25">
      <c r="A19932" s="31"/>
      <c r="D19932" s="30"/>
    </row>
    <row r="19933" spans="1:4" x14ac:dyDescent="0.25">
      <c r="A19933" s="31"/>
      <c r="D19933" s="30"/>
    </row>
    <row r="19934" spans="1:4" x14ac:dyDescent="0.25">
      <c r="A19934" s="31"/>
      <c r="D19934" s="30"/>
    </row>
    <row r="19935" spans="1:4" x14ac:dyDescent="0.25">
      <c r="A19935" s="31"/>
      <c r="D19935" s="30"/>
    </row>
    <row r="19936" spans="1:4" x14ac:dyDescent="0.25">
      <c r="A19936" s="31"/>
      <c r="D19936" s="30"/>
    </row>
    <row r="19937" spans="1:4" x14ac:dyDescent="0.25">
      <c r="A19937" s="31"/>
      <c r="D19937" s="30"/>
    </row>
    <row r="19938" spans="1:4" x14ac:dyDescent="0.25">
      <c r="A19938" s="31"/>
      <c r="D19938" s="30"/>
    </row>
    <row r="19939" spans="1:4" x14ac:dyDescent="0.25">
      <c r="A19939" s="31"/>
      <c r="D19939" s="30"/>
    </row>
    <row r="19940" spans="1:4" x14ac:dyDescent="0.25">
      <c r="A19940" s="31"/>
      <c r="D19940" s="30"/>
    </row>
    <row r="19941" spans="1:4" x14ac:dyDescent="0.25">
      <c r="A19941" s="31"/>
      <c r="D19941" s="30"/>
    </row>
    <row r="19942" spans="1:4" x14ac:dyDescent="0.25">
      <c r="A19942" s="31"/>
      <c r="D19942" s="30"/>
    </row>
    <row r="19943" spans="1:4" x14ac:dyDescent="0.25">
      <c r="A19943" s="31"/>
      <c r="D19943" s="30"/>
    </row>
    <row r="19944" spans="1:4" x14ac:dyDescent="0.25">
      <c r="A19944" s="31"/>
      <c r="D19944" s="30"/>
    </row>
    <row r="19945" spans="1:4" x14ac:dyDescent="0.25">
      <c r="A19945" s="31"/>
      <c r="D19945" s="30"/>
    </row>
    <row r="19946" spans="1:4" x14ac:dyDescent="0.25">
      <c r="A19946" s="31"/>
      <c r="D19946" s="30"/>
    </row>
    <row r="19947" spans="1:4" x14ac:dyDescent="0.25">
      <c r="A19947" s="31"/>
      <c r="D19947" s="30"/>
    </row>
    <row r="19948" spans="1:4" x14ac:dyDescent="0.25">
      <c r="A19948" s="31"/>
      <c r="D19948" s="30"/>
    </row>
    <row r="19949" spans="1:4" x14ac:dyDescent="0.25">
      <c r="A19949" s="31"/>
      <c r="D19949" s="30"/>
    </row>
    <row r="19950" spans="1:4" x14ac:dyDescent="0.25">
      <c r="A19950" s="31"/>
      <c r="D19950" s="30"/>
    </row>
    <row r="19951" spans="1:4" x14ac:dyDescent="0.25">
      <c r="A19951" s="31"/>
      <c r="D19951" s="30"/>
    </row>
    <row r="19952" spans="1:4" x14ac:dyDescent="0.25">
      <c r="A19952" s="31"/>
      <c r="D19952" s="30"/>
    </row>
    <row r="19953" spans="1:4" x14ac:dyDescent="0.25">
      <c r="A19953" s="31"/>
      <c r="D19953" s="30"/>
    </row>
    <row r="19954" spans="1:4" x14ac:dyDescent="0.25">
      <c r="A19954" s="31"/>
      <c r="D19954" s="30"/>
    </row>
    <row r="19955" spans="1:4" x14ac:dyDescent="0.25">
      <c r="A19955" s="31"/>
      <c r="D19955" s="30"/>
    </row>
    <row r="19956" spans="1:4" x14ac:dyDescent="0.25">
      <c r="A19956" s="31"/>
      <c r="D19956" s="30"/>
    </row>
    <row r="19957" spans="1:4" x14ac:dyDescent="0.25">
      <c r="A19957" s="31"/>
      <c r="D19957" s="30"/>
    </row>
    <row r="19958" spans="1:4" x14ac:dyDescent="0.25">
      <c r="A19958" s="31"/>
      <c r="D19958" s="30"/>
    </row>
    <row r="19959" spans="1:4" x14ac:dyDescent="0.25">
      <c r="A19959" s="31"/>
      <c r="D19959" s="30"/>
    </row>
    <row r="19960" spans="1:4" x14ac:dyDescent="0.25">
      <c r="A19960" s="31"/>
      <c r="D19960" s="30"/>
    </row>
    <row r="19961" spans="1:4" x14ac:dyDescent="0.25">
      <c r="A19961" s="31"/>
      <c r="D19961" s="30"/>
    </row>
    <row r="19962" spans="1:4" x14ac:dyDescent="0.25">
      <c r="A19962" s="31"/>
      <c r="D19962" s="30"/>
    </row>
    <row r="19963" spans="1:4" x14ac:dyDescent="0.25">
      <c r="A19963" s="31"/>
      <c r="D19963" s="30"/>
    </row>
    <row r="19964" spans="1:4" x14ac:dyDescent="0.25">
      <c r="A19964" s="31"/>
      <c r="D19964" s="30"/>
    </row>
    <row r="19965" spans="1:4" x14ac:dyDescent="0.25">
      <c r="A19965" s="31"/>
      <c r="D19965" s="30"/>
    </row>
    <row r="19966" spans="1:4" x14ac:dyDescent="0.25">
      <c r="A19966" s="31"/>
      <c r="D19966" s="30"/>
    </row>
    <row r="19967" spans="1:4" x14ac:dyDescent="0.25">
      <c r="A19967" s="31"/>
      <c r="D19967" s="30"/>
    </row>
    <row r="19968" spans="1:4" x14ac:dyDescent="0.25">
      <c r="A19968" s="31"/>
      <c r="D19968" s="30"/>
    </row>
    <row r="19969" spans="1:4" x14ac:dyDescent="0.25">
      <c r="A19969" s="31"/>
      <c r="D19969" s="30"/>
    </row>
    <row r="19970" spans="1:4" x14ac:dyDescent="0.25">
      <c r="A19970" s="31"/>
      <c r="D19970" s="30"/>
    </row>
    <row r="19971" spans="1:4" x14ac:dyDescent="0.25">
      <c r="A19971" s="31"/>
      <c r="D19971" s="30"/>
    </row>
    <row r="19972" spans="1:4" x14ac:dyDescent="0.25">
      <c r="A19972" s="31"/>
      <c r="D19972" s="30"/>
    </row>
    <row r="19973" spans="1:4" x14ac:dyDescent="0.25">
      <c r="A19973" s="31"/>
      <c r="D19973" s="30"/>
    </row>
    <row r="19974" spans="1:4" x14ac:dyDescent="0.25">
      <c r="A19974" s="31"/>
      <c r="D19974" s="30"/>
    </row>
    <row r="19975" spans="1:4" x14ac:dyDescent="0.25">
      <c r="A19975" s="31"/>
      <c r="D19975" s="30"/>
    </row>
    <row r="19976" spans="1:4" x14ac:dyDescent="0.25">
      <c r="A19976" s="31"/>
      <c r="D19976" s="30"/>
    </row>
    <row r="19977" spans="1:4" x14ac:dyDescent="0.25">
      <c r="A19977" s="31"/>
      <c r="D19977" s="30"/>
    </row>
    <row r="19978" spans="1:4" x14ac:dyDescent="0.25">
      <c r="A19978" s="31"/>
      <c r="D19978" s="30"/>
    </row>
    <row r="19979" spans="1:4" x14ac:dyDescent="0.25">
      <c r="A19979" s="31"/>
      <c r="D19979" s="30"/>
    </row>
    <row r="19980" spans="1:4" x14ac:dyDescent="0.25">
      <c r="A19980" s="31"/>
      <c r="D19980" s="30"/>
    </row>
    <row r="19981" spans="1:4" x14ac:dyDescent="0.25">
      <c r="A19981" s="31"/>
      <c r="D19981" s="30"/>
    </row>
    <row r="19982" spans="1:4" x14ac:dyDescent="0.25">
      <c r="A19982" s="31"/>
      <c r="D19982" s="30"/>
    </row>
    <row r="19983" spans="1:4" x14ac:dyDescent="0.25">
      <c r="A19983" s="31"/>
      <c r="D19983" s="30"/>
    </row>
    <row r="19984" spans="1:4" x14ac:dyDescent="0.25">
      <c r="A19984" s="31"/>
      <c r="D19984" s="30"/>
    </row>
    <row r="19985" spans="1:4" x14ac:dyDescent="0.25">
      <c r="A19985" s="31"/>
      <c r="D19985" s="30"/>
    </row>
    <row r="19986" spans="1:4" x14ac:dyDescent="0.25">
      <c r="A19986" s="31"/>
      <c r="D19986" s="30"/>
    </row>
    <row r="19987" spans="1:4" x14ac:dyDescent="0.25">
      <c r="A19987" s="31"/>
      <c r="D19987" s="30"/>
    </row>
    <row r="19988" spans="1:4" x14ac:dyDescent="0.25">
      <c r="A19988" s="31"/>
      <c r="D19988" s="30"/>
    </row>
    <row r="19989" spans="1:4" x14ac:dyDescent="0.25">
      <c r="A19989" s="31"/>
      <c r="D19989" s="30"/>
    </row>
    <row r="19990" spans="1:4" x14ac:dyDescent="0.25">
      <c r="A19990" s="31"/>
      <c r="D19990" s="30"/>
    </row>
    <row r="19991" spans="1:4" x14ac:dyDescent="0.25">
      <c r="A19991" s="31"/>
      <c r="D19991" s="30"/>
    </row>
    <row r="19992" spans="1:4" x14ac:dyDescent="0.25">
      <c r="A19992" s="31"/>
      <c r="D19992" s="30"/>
    </row>
    <row r="19993" spans="1:4" x14ac:dyDescent="0.25">
      <c r="A19993" s="31"/>
      <c r="D19993" s="30"/>
    </row>
    <row r="19994" spans="1:4" x14ac:dyDescent="0.25">
      <c r="A19994" s="31"/>
      <c r="D19994" s="30"/>
    </row>
    <row r="19995" spans="1:4" x14ac:dyDescent="0.25">
      <c r="A19995" s="31"/>
      <c r="D19995" s="30"/>
    </row>
    <row r="19996" spans="1:4" x14ac:dyDescent="0.25">
      <c r="A19996" s="31"/>
      <c r="D19996" s="30"/>
    </row>
    <row r="19997" spans="1:4" x14ac:dyDescent="0.25">
      <c r="A19997" s="31"/>
      <c r="D19997" s="30"/>
    </row>
    <row r="19998" spans="1:4" x14ac:dyDescent="0.25">
      <c r="A19998" s="31"/>
      <c r="D19998" s="30"/>
    </row>
    <row r="19999" spans="1:4" x14ac:dyDescent="0.25">
      <c r="A19999" s="31"/>
      <c r="D19999" s="30"/>
    </row>
    <row r="20000" spans="1:4" x14ac:dyDescent="0.25">
      <c r="A20000" s="31"/>
      <c r="D20000" s="30"/>
    </row>
    <row r="20001" spans="1:4" x14ac:dyDescent="0.25">
      <c r="A20001" s="31"/>
      <c r="D20001" s="30"/>
    </row>
    <row r="20002" spans="1:4" x14ac:dyDescent="0.25">
      <c r="A20002" s="31"/>
      <c r="D20002" s="30"/>
    </row>
    <row r="20003" spans="1:4" x14ac:dyDescent="0.25">
      <c r="A20003" s="31"/>
      <c r="D20003" s="30"/>
    </row>
    <row r="20004" spans="1:4" x14ac:dyDescent="0.25">
      <c r="A20004" s="31"/>
      <c r="D20004" s="30"/>
    </row>
    <row r="20005" spans="1:4" x14ac:dyDescent="0.25">
      <c r="A20005" s="31"/>
      <c r="D20005" s="30"/>
    </row>
    <row r="20006" spans="1:4" x14ac:dyDescent="0.25">
      <c r="A20006" s="31"/>
      <c r="D20006" s="30"/>
    </row>
    <row r="20007" spans="1:4" x14ac:dyDescent="0.25">
      <c r="A20007" s="31"/>
      <c r="D20007" s="30"/>
    </row>
    <row r="20008" spans="1:4" x14ac:dyDescent="0.25">
      <c r="A20008" s="31"/>
      <c r="D20008" s="30"/>
    </row>
    <row r="20009" spans="1:4" x14ac:dyDescent="0.25">
      <c r="A20009" s="31"/>
      <c r="D20009" s="30"/>
    </row>
    <row r="20010" spans="1:4" x14ac:dyDescent="0.25">
      <c r="A20010" s="31"/>
      <c r="D20010" s="30"/>
    </row>
    <row r="20011" spans="1:4" x14ac:dyDescent="0.25">
      <c r="A20011" s="31"/>
      <c r="D20011" s="30"/>
    </row>
    <row r="20012" spans="1:4" x14ac:dyDescent="0.25">
      <c r="A20012" s="31"/>
      <c r="D20012" s="30"/>
    </row>
    <row r="20013" spans="1:4" x14ac:dyDescent="0.25">
      <c r="A20013" s="31"/>
      <c r="D20013" s="30"/>
    </row>
    <row r="20014" spans="1:4" x14ac:dyDescent="0.25">
      <c r="A20014" s="31"/>
      <c r="D20014" s="30"/>
    </row>
    <row r="20015" spans="1:4" x14ac:dyDescent="0.25">
      <c r="A20015" s="31"/>
      <c r="D20015" s="30"/>
    </row>
    <row r="20016" spans="1:4" x14ac:dyDescent="0.25">
      <c r="A20016" s="31"/>
      <c r="D20016" s="30"/>
    </row>
    <row r="20017" spans="1:4" x14ac:dyDescent="0.25">
      <c r="A20017" s="31"/>
      <c r="D20017" s="30"/>
    </row>
    <row r="20018" spans="1:4" x14ac:dyDescent="0.25">
      <c r="A20018" s="31"/>
      <c r="D20018" s="30"/>
    </row>
    <row r="20019" spans="1:4" x14ac:dyDescent="0.25">
      <c r="A20019" s="31"/>
      <c r="D20019" s="30"/>
    </row>
    <row r="20020" spans="1:4" x14ac:dyDescent="0.25">
      <c r="A20020" s="31"/>
      <c r="D20020" s="30"/>
    </row>
    <row r="20021" spans="1:4" x14ac:dyDescent="0.25">
      <c r="A20021" s="31"/>
      <c r="D20021" s="30"/>
    </row>
    <row r="20022" spans="1:4" x14ac:dyDescent="0.25">
      <c r="A20022" s="31"/>
      <c r="D20022" s="30"/>
    </row>
    <row r="20023" spans="1:4" x14ac:dyDescent="0.25">
      <c r="A20023" s="31"/>
      <c r="D20023" s="30"/>
    </row>
    <row r="20024" spans="1:4" x14ac:dyDescent="0.25">
      <c r="A20024" s="31"/>
      <c r="D20024" s="30"/>
    </row>
    <row r="20025" spans="1:4" x14ac:dyDescent="0.25">
      <c r="A20025" s="31"/>
      <c r="D20025" s="30"/>
    </row>
    <row r="20026" spans="1:4" x14ac:dyDescent="0.25">
      <c r="A20026" s="31"/>
      <c r="D20026" s="30"/>
    </row>
    <row r="20027" spans="1:4" x14ac:dyDescent="0.25">
      <c r="A20027" s="31"/>
      <c r="D20027" s="30"/>
    </row>
    <row r="20028" spans="1:4" x14ac:dyDescent="0.25">
      <c r="A20028" s="31"/>
      <c r="D20028" s="30"/>
    </row>
    <row r="20029" spans="1:4" x14ac:dyDescent="0.25">
      <c r="A20029" s="31"/>
      <c r="D20029" s="30"/>
    </row>
    <row r="20030" spans="1:4" x14ac:dyDescent="0.25">
      <c r="A20030" s="31"/>
      <c r="D20030" s="30"/>
    </row>
    <row r="20031" spans="1:4" x14ac:dyDescent="0.25">
      <c r="A20031" s="31"/>
      <c r="D20031" s="30"/>
    </row>
    <row r="20032" spans="1:4" x14ac:dyDescent="0.25">
      <c r="A20032" s="31"/>
      <c r="D20032" s="30"/>
    </row>
    <row r="20033" spans="1:4" x14ac:dyDescent="0.25">
      <c r="A20033" s="31"/>
      <c r="D20033" s="30"/>
    </row>
    <row r="20034" spans="1:4" x14ac:dyDescent="0.25">
      <c r="A20034" s="31"/>
      <c r="D20034" s="30"/>
    </row>
    <row r="20035" spans="1:4" x14ac:dyDescent="0.25">
      <c r="A20035" s="31"/>
      <c r="D20035" s="30"/>
    </row>
    <row r="20036" spans="1:4" x14ac:dyDescent="0.25">
      <c r="A20036" s="31"/>
      <c r="D20036" s="30"/>
    </row>
    <row r="20037" spans="1:4" x14ac:dyDescent="0.25">
      <c r="A20037" s="31"/>
      <c r="D20037" s="30"/>
    </row>
    <row r="20038" spans="1:4" x14ac:dyDescent="0.25">
      <c r="A20038" s="31"/>
      <c r="D20038" s="30"/>
    </row>
    <row r="20039" spans="1:4" x14ac:dyDescent="0.25">
      <c r="A20039" s="31"/>
      <c r="D20039" s="30"/>
    </row>
    <row r="20040" spans="1:4" x14ac:dyDescent="0.25">
      <c r="A20040" s="31"/>
      <c r="D20040" s="30"/>
    </row>
    <row r="20041" spans="1:4" x14ac:dyDescent="0.25">
      <c r="A20041" s="31"/>
      <c r="D20041" s="30"/>
    </row>
    <row r="20042" spans="1:4" x14ac:dyDescent="0.25">
      <c r="A20042" s="31"/>
      <c r="D20042" s="30"/>
    </row>
    <row r="20043" spans="1:4" x14ac:dyDescent="0.25">
      <c r="A20043" s="31"/>
      <c r="D20043" s="30"/>
    </row>
    <row r="20044" spans="1:4" x14ac:dyDescent="0.25">
      <c r="A20044" s="31"/>
      <c r="D20044" s="30"/>
    </row>
    <row r="20045" spans="1:4" x14ac:dyDescent="0.25">
      <c r="A20045" s="31"/>
      <c r="D20045" s="30"/>
    </row>
    <row r="20046" spans="1:4" x14ac:dyDescent="0.25">
      <c r="A20046" s="31"/>
      <c r="D20046" s="30"/>
    </row>
    <row r="20047" spans="1:4" x14ac:dyDescent="0.25">
      <c r="A20047" s="31"/>
      <c r="D20047" s="30"/>
    </row>
    <row r="20048" spans="1:4" x14ac:dyDescent="0.25">
      <c r="A20048" s="31"/>
      <c r="D20048" s="30"/>
    </row>
    <row r="20049" spans="1:4" x14ac:dyDescent="0.25">
      <c r="A20049" s="31"/>
      <c r="D20049" s="30"/>
    </row>
    <row r="20050" spans="1:4" x14ac:dyDescent="0.25">
      <c r="A20050" s="31"/>
      <c r="D20050" s="30"/>
    </row>
    <row r="20051" spans="1:4" x14ac:dyDescent="0.25">
      <c r="A20051" s="31"/>
      <c r="D20051" s="30"/>
    </row>
    <row r="20052" spans="1:4" x14ac:dyDescent="0.25">
      <c r="A20052" s="31"/>
      <c r="D20052" s="30"/>
    </row>
    <row r="20053" spans="1:4" x14ac:dyDescent="0.25">
      <c r="A20053" s="31"/>
      <c r="D20053" s="30"/>
    </row>
    <row r="20054" spans="1:4" x14ac:dyDescent="0.25">
      <c r="A20054" s="31"/>
      <c r="D20054" s="30"/>
    </row>
    <row r="20055" spans="1:4" x14ac:dyDescent="0.25">
      <c r="A20055" s="31"/>
      <c r="D20055" s="30"/>
    </row>
    <row r="20056" spans="1:4" x14ac:dyDescent="0.25">
      <c r="A20056" s="31"/>
      <c r="D20056" s="30"/>
    </row>
    <row r="20057" spans="1:4" x14ac:dyDescent="0.25">
      <c r="A20057" s="31"/>
      <c r="D20057" s="30"/>
    </row>
    <row r="20058" spans="1:4" x14ac:dyDescent="0.25">
      <c r="A20058" s="31"/>
      <c r="D20058" s="30"/>
    </row>
    <row r="20059" spans="1:4" x14ac:dyDescent="0.25">
      <c r="A20059" s="31"/>
      <c r="D20059" s="30"/>
    </row>
    <row r="20060" spans="1:4" x14ac:dyDescent="0.25">
      <c r="A20060" s="31"/>
      <c r="D20060" s="30"/>
    </row>
    <row r="20061" spans="1:4" x14ac:dyDescent="0.25">
      <c r="A20061" s="31"/>
      <c r="D20061" s="30"/>
    </row>
    <row r="20062" spans="1:4" x14ac:dyDescent="0.25">
      <c r="A20062" s="31"/>
      <c r="D20062" s="30"/>
    </row>
    <row r="20063" spans="1:4" x14ac:dyDescent="0.25">
      <c r="A20063" s="31"/>
      <c r="D20063" s="30"/>
    </row>
    <row r="20064" spans="1:4" x14ac:dyDescent="0.25">
      <c r="A20064" s="31"/>
      <c r="D20064" s="30"/>
    </row>
    <row r="20065" spans="1:4" x14ac:dyDescent="0.25">
      <c r="A20065" s="31"/>
      <c r="D20065" s="30"/>
    </row>
    <row r="20066" spans="1:4" x14ac:dyDescent="0.25">
      <c r="A20066" s="31"/>
      <c r="D20066" s="30"/>
    </row>
    <row r="20067" spans="1:4" x14ac:dyDescent="0.25">
      <c r="A20067" s="31"/>
      <c r="D20067" s="30"/>
    </row>
    <row r="20068" spans="1:4" x14ac:dyDescent="0.25">
      <c r="A20068" s="31"/>
      <c r="D20068" s="30"/>
    </row>
    <row r="20069" spans="1:4" x14ac:dyDescent="0.25">
      <c r="A20069" s="31"/>
      <c r="D20069" s="30"/>
    </row>
    <row r="20070" spans="1:4" x14ac:dyDescent="0.25">
      <c r="A20070" s="31"/>
      <c r="D20070" s="30"/>
    </row>
    <row r="20071" spans="1:4" x14ac:dyDescent="0.25">
      <c r="A20071" s="31"/>
      <c r="D20071" s="30"/>
    </row>
    <row r="20072" spans="1:4" x14ac:dyDescent="0.25">
      <c r="A20072" s="31"/>
      <c r="D20072" s="30"/>
    </row>
    <row r="20073" spans="1:4" x14ac:dyDescent="0.25">
      <c r="A20073" s="31"/>
      <c r="D20073" s="30"/>
    </row>
    <row r="20074" spans="1:4" x14ac:dyDescent="0.25">
      <c r="A20074" s="31"/>
      <c r="D20074" s="30"/>
    </row>
    <row r="20075" spans="1:4" x14ac:dyDescent="0.25">
      <c r="A20075" s="31"/>
      <c r="D20075" s="30"/>
    </row>
    <row r="20076" spans="1:4" x14ac:dyDescent="0.25">
      <c r="A20076" s="31"/>
      <c r="D20076" s="30"/>
    </row>
    <row r="20077" spans="1:4" x14ac:dyDescent="0.25">
      <c r="A20077" s="31"/>
      <c r="D20077" s="30"/>
    </row>
    <row r="20078" spans="1:4" x14ac:dyDescent="0.25">
      <c r="A20078" s="31"/>
      <c r="D20078" s="30"/>
    </row>
    <row r="20079" spans="1:4" x14ac:dyDescent="0.25">
      <c r="A20079" s="31"/>
      <c r="D20079" s="30"/>
    </row>
    <row r="20080" spans="1:4" x14ac:dyDescent="0.25">
      <c r="A20080" s="31"/>
      <c r="D20080" s="30"/>
    </row>
    <row r="20081" spans="1:4" x14ac:dyDescent="0.25">
      <c r="A20081" s="31"/>
      <c r="D20081" s="30"/>
    </row>
    <row r="20082" spans="1:4" x14ac:dyDescent="0.25">
      <c r="A20082" s="31"/>
      <c r="D20082" s="30"/>
    </row>
    <row r="20083" spans="1:4" x14ac:dyDescent="0.25">
      <c r="A20083" s="31"/>
      <c r="D20083" s="30"/>
    </row>
    <row r="20084" spans="1:4" x14ac:dyDescent="0.25">
      <c r="A20084" s="31"/>
      <c r="D20084" s="30"/>
    </row>
    <row r="20085" spans="1:4" x14ac:dyDescent="0.25">
      <c r="A20085" s="31"/>
      <c r="D20085" s="30"/>
    </row>
    <row r="20086" spans="1:4" x14ac:dyDescent="0.25">
      <c r="A20086" s="31"/>
      <c r="D20086" s="30"/>
    </row>
    <row r="20087" spans="1:4" x14ac:dyDescent="0.25">
      <c r="A20087" s="31"/>
      <c r="D20087" s="30"/>
    </row>
    <row r="20088" spans="1:4" x14ac:dyDescent="0.25">
      <c r="A20088" s="31"/>
      <c r="D20088" s="30"/>
    </row>
    <row r="20089" spans="1:4" x14ac:dyDescent="0.25">
      <c r="A20089" s="31"/>
      <c r="D20089" s="30"/>
    </row>
    <row r="20090" spans="1:4" x14ac:dyDescent="0.25">
      <c r="A20090" s="31"/>
      <c r="D20090" s="30"/>
    </row>
    <row r="20091" spans="1:4" x14ac:dyDescent="0.25">
      <c r="A20091" s="31"/>
      <c r="D20091" s="30"/>
    </row>
    <row r="20092" spans="1:4" x14ac:dyDescent="0.25">
      <c r="A20092" s="31"/>
      <c r="D20092" s="30"/>
    </row>
    <row r="20093" spans="1:4" x14ac:dyDescent="0.25">
      <c r="A20093" s="31"/>
      <c r="D20093" s="30"/>
    </row>
    <row r="20094" spans="1:4" x14ac:dyDescent="0.25">
      <c r="A20094" s="31"/>
      <c r="D20094" s="30"/>
    </row>
    <row r="20095" spans="1:4" x14ac:dyDescent="0.25">
      <c r="A20095" s="31"/>
      <c r="D20095" s="30"/>
    </row>
    <row r="20096" spans="1:4" x14ac:dyDescent="0.25">
      <c r="A20096" s="31"/>
      <c r="D20096" s="30"/>
    </row>
    <row r="20097" spans="1:4" x14ac:dyDescent="0.25">
      <c r="A20097" s="31"/>
      <c r="D20097" s="30"/>
    </row>
    <row r="20098" spans="1:4" x14ac:dyDescent="0.25">
      <c r="A20098" s="31"/>
      <c r="D20098" s="30"/>
    </row>
    <row r="20099" spans="1:4" x14ac:dyDescent="0.25">
      <c r="A20099" s="31"/>
      <c r="D20099" s="30"/>
    </row>
    <row r="20100" spans="1:4" x14ac:dyDescent="0.25">
      <c r="A20100" s="31"/>
      <c r="D20100" s="30"/>
    </row>
    <row r="20101" spans="1:4" x14ac:dyDescent="0.25">
      <c r="A20101" s="31"/>
      <c r="D20101" s="30"/>
    </row>
    <row r="20102" spans="1:4" x14ac:dyDescent="0.25">
      <c r="A20102" s="31"/>
      <c r="D20102" s="30"/>
    </row>
    <row r="20103" spans="1:4" x14ac:dyDescent="0.25">
      <c r="A20103" s="31"/>
      <c r="D20103" s="30"/>
    </row>
    <row r="20104" spans="1:4" x14ac:dyDescent="0.25">
      <c r="A20104" s="31"/>
      <c r="D20104" s="30"/>
    </row>
    <row r="20105" spans="1:4" x14ac:dyDescent="0.25">
      <c r="A20105" s="31"/>
      <c r="D20105" s="30"/>
    </row>
    <row r="20106" spans="1:4" x14ac:dyDescent="0.25">
      <c r="A20106" s="31"/>
      <c r="D20106" s="30"/>
    </row>
    <row r="20107" spans="1:4" x14ac:dyDescent="0.25">
      <c r="A20107" s="31"/>
      <c r="D20107" s="30"/>
    </row>
    <row r="20108" spans="1:4" x14ac:dyDescent="0.25">
      <c r="A20108" s="31"/>
      <c r="D20108" s="30"/>
    </row>
    <row r="20109" spans="1:4" x14ac:dyDescent="0.25">
      <c r="A20109" s="31"/>
      <c r="D20109" s="30"/>
    </row>
    <row r="20110" spans="1:4" x14ac:dyDescent="0.25">
      <c r="A20110" s="31"/>
      <c r="D20110" s="30"/>
    </row>
    <row r="20111" spans="1:4" x14ac:dyDescent="0.25">
      <c r="A20111" s="31"/>
      <c r="D20111" s="30"/>
    </row>
    <row r="20112" spans="1:4" x14ac:dyDescent="0.25">
      <c r="A20112" s="31"/>
      <c r="D20112" s="30"/>
    </row>
    <row r="20113" spans="1:4" x14ac:dyDescent="0.25">
      <c r="A20113" s="31"/>
      <c r="D20113" s="30"/>
    </row>
    <row r="20114" spans="1:4" x14ac:dyDescent="0.25">
      <c r="A20114" s="31"/>
      <c r="D20114" s="30"/>
    </row>
    <row r="20115" spans="1:4" x14ac:dyDescent="0.25">
      <c r="A20115" s="31"/>
      <c r="D20115" s="30"/>
    </row>
    <row r="20116" spans="1:4" x14ac:dyDescent="0.25">
      <c r="A20116" s="31"/>
      <c r="D20116" s="30"/>
    </row>
    <row r="20117" spans="1:4" x14ac:dyDescent="0.25">
      <c r="A20117" s="31"/>
      <c r="D20117" s="30"/>
    </row>
    <row r="20118" spans="1:4" x14ac:dyDescent="0.25">
      <c r="A20118" s="31"/>
      <c r="D20118" s="30"/>
    </row>
    <row r="20119" spans="1:4" x14ac:dyDescent="0.25">
      <c r="A20119" s="31"/>
      <c r="D20119" s="30"/>
    </row>
    <row r="20120" spans="1:4" x14ac:dyDescent="0.25">
      <c r="A20120" s="31"/>
      <c r="D20120" s="30"/>
    </row>
    <row r="20121" spans="1:4" x14ac:dyDescent="0.25">
      <c r="A20121" s="31"/>
      <c r="D20121" s="30"/>
    </row>
    <row r="20122" spans="1:4" x14ac:dyDescent="0.25">
      <c r="A20122" s="31"/>
      <c r="D20122" s="30"/>
    </row>
    <row r="20123" spans="1:4" x14ac:dyDescent="0.25">
      <c r="A20123" s="31"/>
      <c r="D20123" s="30"/>
    </row>
    <row r="20124" spans="1:4" x14ac:dyDescent="0.25">
      <c r="A20124" s="31"/>
      <c r="D20124" s="30"/>
    </row>
    <row r="20125" spans="1:4" x14ac:dyDescent="0.25">
      <c r="A20125" s="31"/>
      <c r="D20125" s="30"/>
    </row>
    <row r="20126" spans="1:4" x14ac:dyDescent="0.25">
      <c r="A20126" s="31"/>
      <c r="D20126" s="30"/>
    </row>
    <row r="20127" spans="1:4" x14ac:dyDescent="0.25">
      <c r="A20127" s="31"/>
      <c r="D20127" s="30"/>
    </row>
    <row r="20128" spans="1:4" x14ac:dyDescent="0.25">
      <c r="A20128" s="31"/>
      <c r="D20128" s="30"/>
    </row>
    <row r="20129" spans="1:4" x14ac:dyDescent="0.25">
      <c r="A20129" s="31"/>
      <c r="D20129" s="30"/>
    </row>
    <row r="20130" spans="1:4" x14ac:dyDescent="0.25">
      <c r="A20130" s="31"/>
      <c r="D20130" s="30"/>
    </row>
    <row r="20131" spans="1:4" x14ac:dyDescent="0.25">
      <c r="A20131" s="31"/>
      <c r="D20131" s="30"/>
    </row>
    <row r="20132" spans="1:4" x14ac:dyDescent="0.25">
      <c r="A20132" s="31"/>
      <c r="D20132" s="30"/>
    </row>
    <row r="20133" spans="1:4" x14ac:dyDescent="0.25">
      <c r="A20133" s="31"/>
      <c r="D20133" s="30"/>
    </row>
    <row r="20134" spans="1:4" x14ac:dyDescent="0.25">
      <c r="A20134" s="31"/>
      <c r="D20134" s="30"/>
    </row>
    <row r="20135" spans="1:4" x14ac:dyDescent="0.25">
      <c r="A20135" s="31"/>
      <c r="D20135" s="30"/>
    </row>
    <row r="20136" spans="1:4" x14ac:dyDescent="0.25">
      <c r="A20136" s="31"/>
      <c r="D20136" s="30"/>
    </row>
    <row r="20137" spans="1:4" x14ac:dyDescent="0.25">
      <c r="A20137" s="31"/>
      <c r="D20137" s="30"/>
    </row>
    <row r="20138" spans="1:4" x14ac:dyDescent="0.25">
      <c r="A20138" s="31"/>
      <c r="D20138" s="30"/>
    </row>
    <row r="20139" spans="1:4" x14ac:dyDescent="0.25">
      <c r="A20139" s="31"/>
      <c r="D20139" s="30"/>
    </row>
    <row r="20140" spans="1:4" x14ac:dyDescent="0.25">
      <c r="A20140" s="31"/>
      <c r="D20140" s="30"/>
    </row>
    <row r="20141" spans="1:4" x14ac:dyDescent="0.25">
      <c r="A20141" s="31"/>
      <c r="D20141" s="30"/>
    </row>
    <row r="20142" spans="1:4" x14ac:dyDescent="0.25">
      <c r="A20142" s="31"/>
      <c r="D20142" s="30"/>
    </row>
    <row r="20143" spans="1:4" x14ac:dyDescent="0.25">
      <c r="A20143" s="31"/>
      <c r="D20143" s="30"/>
    </row>
    <row r="20144" spans="1:4" x14ac:dyDescent="0.25">
      <c r="A20144" s="31"/>
      <c r="D20144" s="30"/>
    </row>
    <row r="20145" spans="1:4" x14ac:dyDescent="0.25">
      <c r="A20145" s="31"/>
      <c r="D20145" s="30"/>
    </row>
    <row r="20146" spans="1:4" x14ac:dyDescent="0.25">
      <c r="A20146" s="31"/>
      <c r="D20146" s="30"/>
    </row>
    <row r="20147" spans="1:4" x14ac:dyDescent="0.25">
      <c r="A20147" s="31"/>
      <c r="D20147" s="30"/>
    </row>
    <row r="20148" spans="1:4" x14ac:dyDescent="0.25">
      <c r="A20148" s="31"/>
      <c r="D20148" s="30"/>
    </row>
    <row r="20149" spans="1:4" x14ac:dyDescent="0.25">
      <c r="A20149" s="31"/>
      <c r="D20149" s="30"/>
    </row>
    <row r="20150" spans="1:4" x14ac:dyDescent="0.25">
      <c r="A20150" s="31"/>
      <c r="D20150" s="30"/>
    </row>
    <row r="20151" spans="1:4" x14ac:dyDescent="0.25">
      <c r="A20151" s="31"/>
      <c r="D20151" s="30"/>
    </row>
    <row r="20152" spans="1:4" x14ac:dyDescent="0.25">
      <c r="A20152" s="31"/>
      <c r="D20152" s="30"/>
    </row>
    <row r="20153" spans="1:4" x14ac:dyDescent="0.25">
      <c r="A20153" s="31"/>
      <c r="D20153" s="30"/>
    </row>
    <row r="20154" spans="1:4" x14ac:dyDescent="0.25">
      <c r="A20154" s="31"/>
      <c r="D20154" s="30"/>
    </row>
    <row r="20155" spans="1:4" x14ac:dyDescent="0.25">
      <c r="A20155" s="31"/>
      <c r="D20155" s="30"/>
    </row>
    <row r="20156" spans="1:4" x14ac:dyDescent="0.25">
      <c r="A20156" s="31"/>
      <c r="D20156" s="30"/>
    </row>
    <row r="20157" spans="1:4" x14ac:dyDescent="0.25">
      <c r="A20157" s="31"/>
      <c r="D20157" s="30"/>
    </row>
    <row r="20158" spans="1:4" x14ac:dyDescent="0.25">
      <c r="A20158" s="31"/>
      <c r="D20158" s="30"/>
    </row>
    <row r="20159" spans="1:4" x14ac:dyDescent="0.25">
      <c r="A20159" s="31"/>
      <c r="D20159" s="30"/>
    </row>
    <row r="20160" spans="1:4" x14ac:dyDescent="0.25">
      <c r="A20160" s="31"/>
      <c r="D20160" s="30"/>
    </row>
    <row r="20161" spans="1:4" x14ac:dyDescent="0.25">
      <c r="A20161" s="31"/>
      <c r="D20161" s="30"/>
    </row>
    <row r="20162" spans="1:4" x14ac:dyDescent="0.25">
      <c r="A20162" s="31"/>
      <c r="D20162" s="30"/>
    </row>
    <row r="20163" spans="1:4" x14ac:dyDescent="0.25">
      <c r="A20163" s="31"/>
      <c r="D20163" s="30"/>
    </row>
    <row r="20164" spans="1:4" x14ac:dyDescent="0.25">
      <c r="A20164" s="31"/>
      <c r="D20164" s="30"/>
    </row>
    <row r="20165" spans="1:4" x14ac:dyDescent="0.25">
      <c r="A20165" s="31"/>
      <c r="D20165" s="30"/>
    </row>
    <row r="20166" spans="1:4" x14ac:dyDescent="0.25">
      <c r="A20166" s="31"/>
      <c r="D20166" s="30"/>
    </row>
    <row r="20167" spans="1:4" x14ac:dyDescent="0.25">
      <c r="A20167" s="31"/>
      <c r="D20167" s="30"/>
    </row>
    <row r="20168" spans="1:4" x14ac:dyDescent="0.25">
      <c r="A20168" s="31"/>
      <c r="D20168" s="30"/>
    </row>
    <row r="20169" spans="1:4" x14ac:dyDescent="0.25">
      <c r="A20169" s="31"/>
      <c r="D20169" s="30"/>
    </row>
    <row r="20170" spans="1:4" x14ac:dyDescent="0.25">
      <c r="A20170" s="31"/>
      <c r="D20170" s="30"/>
    </row>
    <row r="20171" spans="1:4" x14ac:dyDescent="0.25">
      <c r="A20171" s="31"/>
      <c r="D20171" s="30"/>
    </row>
    <row r="20172" spans="1:4" x14ac:dyDescent="0.25">
      <c r="A20172" s="31"/>
      <c r="D20172" s="30"/>
    </row>
    <row r="20173" spans="1:4" x14ac:dyDescent="0.25">
      <c r="A20173" s="31"/>
      <c r="D20173" s="30"/>
    </row>
    <row r="20174" spans="1:4" x14ac:dyDescent="0.25">
      <c r="A20174" s="31"/>
      <c r="D20174" s="30"/>
    </row>
    <row r="20175" spans="1:4" x14ac:dyDescent="0.25">
      <c r="A20175" s="31"/>
      <c r="D20175" s="30"/>
    </row>
    <row r="20176" spans="1:4" x14ac:dyDescent="0.25">
      <c r="A20176" s="31"/>
      <c r="D20176" s="30"/>
    </row>
    <row r="20177" spans="1:4" x14ac:dyDescent="0.25">
      <c r="A20177" s="31"/>
      <c r="D20177" s="30"/>
    </row>
    <row r="20178" spans="1:4" x14ac:dyDescent="0.25">
      <c r="A20178" s="31"/>
      <c r="D20178" s="30"/>
    </row>
    <row r="20179" spans="1:4" x14ac:dyDescent="0.25">
      <c r="A20179" s="31"/>
      <c r="D20179" s="30"/>
    </row>
    <row r="20180" spans="1:4" x14ac:dyDescent="0.25">
      <c r="A20180" s="31"/>
      <c r="D20180" s="30"/>
    </row>
    <row r="20181" spans="1:4" x14ac:dyDescent="0.25">
      <c r="A20181" s="31"/>
      <c r="D20181" s="30"/>
    </row>
    <row r="20182" spans="1:4" x14ac:dyDescent="0.25">
      <c r="A20182" s="31"/>
      <c r="D20182" s="30"/>
    </row>
    <row r="20183" spans="1:4" x14ac:dyDescent="0.25">
      <c r="A20183" s="31"/>
      <c r="D20183" s="30"/>
    </row>
    <row r="20184" spans="1:4" x14ac:dyDescent="0.25">
      <c r="A20184" s="31"/>
      <c r="D20184" s="30"/>
    </row>
    <row r="20185" spans="1:4" x14ac:dyDescent="0.25">
      <c r="A20185" s="31"/>
      <c r="D20185" s="30"/>
    </row>
    <row r="20186" spans="1:4" x14ac:dyDescent="0.25">
      <c r="A20186" s="31"/>
      <c r="D20186" s="30"/>
    </row>
    <row r="20187" spans="1:4" x14ac:dyDescent="0.25">
      <c r="A20187" s="31"/>
      <c r="D20187" s="30"/>
    </row>
    <row r="20188" spans="1:4" x14ac:dyDescent="0.25">
      <c r="A20188" s="31"/>
      <c r="D20188" s="30"/>
    </row>
    <row r="20189" spans="1:4" x14ac:dyDescent="0.25">
      <c r="A20189" s="31"/>
      <c r="D20189" s="30"/>
    </row>
    <row r="20190" spans="1:4" x14ac:dyDescent="0.25">
      <c r="A20190" s="31"/>
      <c r="D20190" s="30"/>
    </row>
    <row r="20191" spans="1:4" x14ac:dyDescent="0.25">
      <c r="A20191" s="31"/>
      <c r="D20191" s="30"/>
    </row>
    <row r="20192" spans="1:4" x14ac:dyDescent="0.25">
      <c r="A20192" s="31"/>
      <c r="D20192" s="30"/>
    </row>
    <row r="20193" spans="1:4" x14ac:dyDescent="0.25">
      <c r="A20193" s="31"/>
      <c r="D20193" s="30"/>
    </row>
    <row r="20194" spans="1:4" x14ac:dyDescent="0.25">
      <c r="A20194" s="31"/>
      <c r="D20194" s="30"/>
    </row>
    <row r="20195" spans="1:4" x14ac:dyDescent="0.25">
      <c r="A20195" s="31"/>
      <c r="D20195" s="30"/>
    </row>
    <row r="20196" spans="1:4" x14ac:dyDescent="0.25">
      <c r="A20196" s="31"/>
      <c r="D20196" s="30"/>
    </row>
    <row r="20197" spans="1:4" x14ac:dyDescent="0.25">
      <c r="A20197" s="31"/>
      <c r="D20197" s="30"/>
    </row>
    <row r="20198" spans="1:4" x14ac:dyDescent="0.25">
      <c r="A20198" s="31"/>
      <c r="D20198" s="30"/>
    </row>
    <row r="20199" spans="1:4" x14ac:dyDescent="0.25">
      <c r="A20199" s="31"/>
      <c r="D20199" s="30"/>
    </row>
    <row r="20200" spans="1:4" x14ac:dyDescent="0.25">
      <c r="A20200" s="31"/>
      <c r="D20200" s="30"/>
    </row>
    <row r="20201" spans="1:4" x14ac:dyDescent="0.25">
      <c r="A20201" s="31"/>
      <c r="D20201" s="30"/>
    </row>
    <row r="20202" spans="1:4" x14ac:dyDescent="0.25">
      <c r="A20202" s="31"/>
      <c r="D20202" s="30"/>
    </row>
    <row r="20203" spans="1:4" x14ac:dyDescent="0.25">
      <c r="A20203" s="31"/>
      <c r="D20203" s="30"/>
    </row>
    <row r="20204" spans="1:4" x14ac:dyDescent="0.25">
      <c r="A20204" s="31"/>
      <c r="D20204" s="30"/>
    </row>
    <row r="20205" spans="1:4" x14ac:dyDescent="0.25">
      <c r="A20205" s="31"/>
      <c r="D20205" s="30"/>
    </row>
    <row r="20206" spans="1:4" x14ac:dyDescent="0.25">
      <c r="A20206" s="31"/>
      <c r="D20206" s="30"/>
    </row>
    <row r="20207" spans="1:4" x14ac:dyDescent="0.25">
      <c r="A20207" s="31"/>
      <c r="D20207" s="30"/>
    </row>
    <row r="20208" spans="1:4" x14ac:dyDescent="0.25">
      <c r="A20208" s="31"/>
      <c r="D20208" s="30"/>
    </row>
    <row r="20209" spans="1:4" x14ac:dyDescent="0.25">
      <c r="A20209" s="31"/>
      <c r="D20209" s="30"/>
    </row>
    <row r="20210" spans="1:4" x14ac:dyDescent="0.25">
      <c r="A20210" s="31"/>
      <c r="D20210" s="30"/>
    </row>
    <row r="20211" spans="1:4" x14ac:dyDescent="0.25">
      <c r="A20211" s="31"/>
      <c r="D20211" s="30"/>
    </row>
    <row r="20212" spans="1:4" x14ac:dyDescent="0.25">
      <c r="A20212" s="31"/>
      <c r="D20212" s="30"/>
    </row>
    <row r="20213" spans="1:4" x14ac:dyDescent="0.25">
      <c r="A20213" s="31"/>
      <c r="D20213" s="30"/>
    </row>
    <row r="20214" spans="1:4" x14ac:dyDescent="0.25">
      <c r="A20214" s="31"/>
      <c r="D20214" s="30"/>
    </row>
    <row r="20215" spans="1:4" x14ac:dyDescent="0.25">
      <c r="A20215" s="31"/>
      <c r="D20215" s="30"/>
    </row>
    <row r="20216" spans="1:4" x14ac:dyDescent="0.25">
      <c r="A20216" s="31"/>
      <c r="D20216" s="30"/>
    </row>
    <row r="20217" spans="1:4" x14ac:dyDescent="0.25">
      <c r="A20217" s="31"/>
      <c r="D20217" s="30"/>
    </row>
    <row r="20218" spans="1:4" x14ac:dyDescent="0.25">
      <c r="A20218" s="31"/>
      <c r="D20218" s="30"/>
    </row>
    <row r="20219" spans="1:4" x14ac:dyDescent="0.25">
      <c r="A20219" s="31"/>
      <c r="D20219" s="30"/>
    </row>
    <row r="20220" spans="1:4" x14ac:dyDescent="0.25">
      <c r="A20220" s="31"/>
      <c r="D20220" s="30"/>
    </row>
    <row r="20221" spans="1:4" x14ac:dyDescent="0.25">
      <c r="A20221" s="31"/>
      <c r="D20221" s="30"/>
    </row>
    <row r="20222" spans="1:4" x14ac:dyDescent="0.25">
      <c r="A20222" s="31"/>
      <c r="D20222" s="30"/>
    </row>
    <row r="20223" spans="1:4" x14ac:dyDescent="0.25">
      <c r="A20223" s="31"/>
      <c r="D20223" s="30"/>
    </row>
    <row r="20224" spans="1:4" x14ac:dyDescent="0.25">
      <c r="A20224" s="31"/>
      <c r="D20224" s="30"/>
    </row>
    <row r="20225" spans="1:4" x14ac:dyDescent="0.25">
      <c r="A20225" s="31"/>
      <c r="D20225" s="30"/>
    </row>
    <row r="20226" spans="1:4" x14ac:dyDescent="0.25">
      <c r="A20226" s="31"/>
      <c r="D20226" s="30"/>
    </row>
    <row r="20227" spans="1:4" x14ac:dyDescent="0.25">
      <c r="A20227" s="31"/>
      <c r="D20227" s="30"/>
    </row>
    <row r="20228" spans="1:4" x14ac:dyDescent="0.25">
      <c r="A20228" s="31"/>
      <c r="D20228" s="30"/>
    </row>
    <row r="20229" spans="1:4" x14ac:dyDescent="0.25">
      <c r="A20229" s="31"/>
      <c r="D20229" s="30"/>
    </row>
    <row r="20230" spans="1:4" x14ac:dyDescent="0.25">
      <c r="A20230" s="31"/>
      <c r="D20230" s="30"/>
    </row>
    <row r="20231" spans="1:4" x14ac:dyDescent="0.25">
      <c r="A20231" s="31"/>
      <c r="D20231" s="30"/>
    </row>
    <row r="20232" spans="1:4" x14ac:dyDescent="0.25">
      <c r="A20232" s="31"/>
      <c r="D20232" s="30"/>
    </row>
    <row r="20233" spans="1:4" x14ac:dyDescent="0.25">
      <c r="A20233" s="31"/>
      <c r="D20233" s="30"/>
    </row>
    <row r="20234" spans="1:4" x14ac:dyDescent="0.25">
      <c r="A20234" s="31"/>
      <c r="D20234" s="30"/>
    </row>
    <row r="20235" spans="1:4" x14ac:dyDescent="0.25">
      <c r="A20235" s="31"/>
      <c r="D20235" s="30"/>
    </row>
    <row r="20236" spans="1:4" x14ac:dyDescent="0.25">
      <c r="A20236" s="31"/>
      <c r="D20236" s="30"/>
    </row>
    <row r="20237" spans="1:4" x14ac:dyDescent="0.25">
      <c r="A20237" s="31"/>
      <c r="D20237" s="30"/>
    </row>
    <row r="20238" spans="1:4" x14ac:dyDescent="0.25">
      <c r="A20238" s="31"/>
      <c r="D20238" s="30"/>
    </row>
    <row r="20239" spans="1:4" x14ac:dyDescent="0.25">
      <c r="A20239" s="31"/>
      <c r="D20239" s="30"/>
    </row>
    <row r="20240" spans="1:4" x14ac:dyDescent="0.25">
      <c r="A20240" s="31"/>
      <c r="D20240" s="30"/>
    </row>
    <row r="20241" spans="1:4" x14ac:dyDescent="0.25">
      <c r="A20241" s="31"/>
      <c r="D20241" s="30"/>
    </row>
    <row r="20242" spans="1:4" x14ac:dyDescent="0.25">
      <c r="A20242" s="31"/>
      <c r="D20242" s="30"/>
    </row>
    <row r="20243" spans="1:4" x14ac:dyDescent="0.25">
      <c r="A20243" s="31"/>
      <c r="D20243" s="30"/>
    </row>
    <row r="20244" spans="1:4" x14ac:dyDescent="0.25">
      <c r="A20244" s="31"/>
      <c r="D20244" s="30"/>
    </row>
    <row r="20245" spans="1:4" x14ac:dyDescent="0.25">
      <c r="A20245" s="31"/>
      <c r="D20245" s="30"/>
    </row>
    <row r="20246" spans="1:4" x14ac:dyDescent="0.25">
      <c r="A20246" s="31"/>
      <c r="D20246" s="30"/>
    </row>
    <row r="20247" spans="1:4" x14ac:dyDescent="0.25">
      <c r="A20247" s="31"/>
      <c r="D20247" s="30"/>
    </row>
    <row r="20248" spans="1:4" x14ac:dyDescent="0.25">
      <c r="A20248" s="31"/>
      <c r="D20248" s="30"/>
    </row>
    <row r="20249" spans="1:4" x14ac:dyDescent="0.25">
      <c r="A20249" s="31"/>
      <c r="D20249" s="30"/>
    </row>
    <row r="20250" spans="1:4" x14ac:dyDescent="0.25">
      <c r="A20250" s="31"/>
      <c r="D20250" s="30"/>
    </row>
    <row r="20251" spans="1:4" x14ac:dyDescent="0.25">
      <c r="A20251" s="31"/>
      <c r="D20251" s="30"/>
    </row>
    <row r="20252" spans="1:4" x14ac:dyDescent="0.25">
      <c r="A20252" s="31"/>
      <c r="D20252" s="30"/>
    </row>
    <row r="20253" spans="1:4" x14ac:dyDescent="0.25">
      <c r="A20253" s="31"/>
      <c r="D20253" s="30"/>
    </row>
    <row r="20254" spans="1:4" x14ac:dyDescent="0.25">
      <c r="A20254" s="31"/>
      <c r="D20254" s="30"/>
    </row>
    <row r="20255" spans="1:4" x14ac:dyDescent="0.25">
      <c r="A20255" s="31"/>
      <c r="D20255" s="30"/>
    </row>
    <row r="20256" spans="1:4" x14ac:dyDescent="0.25">
      <c r="A20256" s="31"/>
      <c r="D20256" s="30"/>
    </row>
    <row r="20257" spans="1:4" x14ac:dyDescent="0.25">
      <c r="A20257" s="31"/>
      <c r="D20257" s="30"/>
    </row>
    <row r="20258" spans="1:4" x14ac:dyDescent="0.25">
      <c r="A20258" s="31"/>
      <c r="D20258" s="30"/>
    </row>
    <row r="20259" spans="1:4" x14ac:dyDescent="0.25">
      <c r="A20259" s="31"/>
      <c r="D20259" s="30"/>
    </row>
    <row r="20260" spans="1:4" x14ac:dyDescent="0.25">
      <c r="A20260" s="31"/>
      <c r="D20260" s="30"/>
    </row>
    <row r="20261" spans="1:4" x14ac:dyDescent="0.25">
      <c r="A20261" s="31"/>
      <c r="D20261" s="30"/>
    </row>
    <row r="20262" spans="1:4" x14ac:dyDescent="0.25">
      <c r="A20262" s="31"/>
      <c r="D20262" s="30"/>
    </row>
    <row r="20263" spans="1:4" x14ac:dyDescent="0.25">
      <c r="A20263" s="31"/>
      <c r="D20263" s="30"/>
    </row>
    <row r="20264" spans="1:4" x14ac:dyDescent="0.25">
      <c r="A20264" s="31"/>
      <c r="D20264" s="30"/>
    </row>
    <row r="20265" spans="1:4" x14ac:dyDescent="0.25">
      <c r="A20265" s="31"/>
      <c r="D20265" s="30"/>
    </row>
    <row r="20266" spans="1:4" x14ac:dyDescent="0.25">
      <c r="A20266" s="31"/>
      <c r="D20266" s="30"/>
    </row>
    <row r="20267" spans="1:4" x14ac:dyDescent="0.25">
      <c r="A20267" s="31"/>
      <c r="D20267" s="30"/>
    </row>
    <row r="20268" spans="1:4" x14ac:dyDescent="0.25">
      <c r="A20268" s="31"/>
      <c r="D20268" s="30"/>
    </row>
    <row r="20269" spans="1:4" x14ac:dyDescent="0.25">
      <c r="A20269" s="31"/>
      <c r="D20269" s="30"/>
    </row>
    <row r="20270" spans="1:4" x14ac:dyDescent="0.25">
      <c r="A20270" s="31"/>
      <c r="D20270" s="30"/>
    </row>
    <row r="20271" spans="1:4" x14ac:dyDescent="0.25">
      <c r="A20271" s="31"/>
      <c r="D20271" s="30"/>
    </row>
    <row r="20272" spans="1:4" x14ac:dyDescent="0.25">
      <c r="A20272" s="31"/>
      <c r="D20272" s="30"/>
    </row>
    <row r="20273" spans="1:4" x14ac:dyDescent="0.25">
      <c r="A20273" s="31"/>
      <c r="D20273" s="30"/>
    </row>
    <row r="20274" spans="1:4" x14ac:dyDescent="0.25">
      <c r="A20274" s="31"/>
      <c r="D20274" s="30"/>
    </row>
    <row r="20275" spans="1:4" x14ac:dyDescent="0.25">
      <c r="A20275" s="31"/>
      <c r="D20275" s="30"/>
    </row>
    <row r="20276" spans="1:4" x14ac:dyDescent="0.25">
      <c r="A20276" s="31"/>
      <c r="D20276" s="30"/>
    </row>
    <row r="20277" spans="1:4" x14ac:dyDescent="0.25">
      <c r="A20277" s="31"/>
      <c r="D20277" s="30"/>
    </row>
    <row r="20278" spans="1:4" x14ac:dyDescent="0.25">
      <c r="A20278" s="31"/>
      <c r="D20278" s="30"/>
    </row>
    <row r="20279" spans="1:4" x14ac:dyDescent="0.25">
      <c r="A20279" s="31"/>
      <c r="D20279" s="30"/>
    </row>
    <row r="20280" spans="1:4" x14ac:dyDescent="0.25">
      <c r="A20280" s="31"/>
      <c r="D20280" s="30"/>
    </row>
    <row r="20281" spans="1:4" x14ac:dyDescent="0.25">
      <c r="A20281" s="31"/>
      <c r="D20281" s="30"/>
    </row>
    <row r="20282" spans="1:4" x14ac:dyDescent="0.25">
      <c r="A20282" s="31"/>
      <c r="D20282" s="30"/>
    </row>
    <row r="20283" spans="1:4" x14ac:dyDescent="0.25">
      <c r="A20283" s="31"/>
      <c r="D20283" s="30"/>
    </row>
    <row r="20284" spans="1:4" x14ac:dyDescent="0.25">
      <c r="A20284" s="31"/>
      <c r="D20284" s="30"/>
    </row>
    <row r="20285" spans="1:4" x14ac:dyDescent="0.25">
      <c r="A20285" s="31"/>
      <c r="D20285" s="30"/>
    </row>
    <row r="20286" spans="1:4" x14ac:dyDescent="0.25">
      <c r="A20286" s="31"/>
      <c r="D20286" s="30"/>
    </row>
    <row r="20287" spans="1:4" x14ac:dyDescent="0.25">
      <c r="A20287" s="31"/>
      <c r="D20287" s="30"/>
    </row>
    <row r="20288" spans="1:4" x14ac:dyDescent="0.25">
      <c r="A20288" s="31"/>
      <c r="D20288" s="30"/>
    </row>
    <row r="20289" spans="1:4" x14ac:dyDescent="0.25">
      <c r="A20289" s="31"/>
      <c r="D20289" s="30"/>
    </row>
    <row r="20290" spans="1:4" x14ac:dyDescent="0.25">
      <c r="A20290" s="31"/>
      <c r="D20290" s="30"/>
    </row>
    <row r="20291" spans="1:4" x14ac:dyDescent="0.25">
      <c r="A20291" s="31"/>
      <c r="D20291" s="30"/>
    </row>
    <row r="20292" spans="1:4" x14ac:dyDescent="0.25">
      <c r="A20292" s="31"/>
      <c r="D20292" s="30"/>
    </row>
    <row r="20293" spans="1:4" x14ac:dyDescent="0.25">
      <c r="A20293" s="31"/>
      <c r="D20293" s="30"/>
    </row>
    <row r="20294" spans="1:4" x14ac:dyDescent="0.25">
      <c r="A20294" s="31"/>
      <c r="D20294" s="30"/>
    </row>
    <row r="20295" spans="1:4" x14ac:dyDescent="0.25">
      <c r="A20295" s="31"/>
      <c r="D20295" s="30"/>
    </row>
    <row r="20296" spans="1:4" x14ac:dyDescent="0.25">
      <c r="A20296" s="31"/>
      <c r="D20296" s="30"/>
    </row>
    <row r="20297" spans="1:4" x14ac:dyDescent="0.25">
      <c r="A20297" s="31"/>
      <c r="D20297" s="30"/>
    </row>
    <row r="20298" spans="1:4" x14ac:dyDescent="0.25">
      <c r="A20298" s="31"/>
      <c r="D20298" s="30"/>
    </row>
    <row r="20299" spans="1:4" x14ac:dyDescent="0.25">
      <c r="A20299" s="31"/>
      <c r="D20299" s="30"/>
    </row>
    <row r="20300" spans="1:4" x14ac:dyDescent="0.25">
      <c r="A20300" s="31"/>
      <c r="D20300" s="30"/>
    </row>
    <row r="20301" spans="1:4" x14ac:dyDescent="0.25">
      <c r="A20301" s="31"/>
      <c r="D20301" s="30"/>
    </row>
    <row r="20302" spans="1:4" x14ac:dyDescent="0.25">
      <c r="A20302" s="31"/>
      <c r="D20302" s="30"/>
    </row>
    <row r="20303" spans="1:4" x14ac:dyDescent="0.25">
      <c r="A20303" s="31"/>
      <c r="D20303" s="30"/>
    </row>
    <row r="20304" spans="1:4" x14ac:dyDescent="0.25">
      <c r="A20304" s="31"/>
      <c r="D20304" s="30"/>
    </row>
    <row r="20305" spans="1:4" x14ac:dyDescent="0.25">
      <c r="A20305" s="31"/>
      <c r="D20305" s="30"/>
    </row>
    <row r="20306" spans="1:4" x14ac:dyDescent="0.25">
      <c r="A20306" s="31"/>
      <c r="D20306" s="30"/>
    </row>
    <row r="20307" spans="1:4" x14ac:dyDescent="0.25">
      <c r="A20307" s="31"/>
      <c r="D20307" s="30"/>
    </row>
    <row r="20308" spans="1:4" x14ac:dyDescent="0.25">
      <c r="A20308" s="31"/>
      <c r="D20308" s="30"/>
    </row>
    <row r="20309" spans="1:4" x14ac:dyDescent="0.25">
      <c r="A20309" s="31"/>
      <c r="D20309" s="30"/>
    </row>
    <row r="20310" spans="1:4" x14ac:dyDescent="0.25">
      <c r="A20310" s="31"/>
      <c r="D20310" s="30"/>
    </row>
    <row r="20311" spans="1:4" x14ac:dyDescent="0.25">
      <c r="A20311" s="31"/>
      <c r="D20311" s="30"/>
    </row>
    <row r="20312" spans="1:4" x14ac:dyDescent="0.25">
      <c r="A20312" s="31"/>
      <c r="D20312" s="30"/>
    </row>
    <row r="20313" spans="1:4" x14ac:dyDescent="0.25">
      <c r="A20313" s="31"/>
      <c r="D20313" s="30"/>
    </row>
    <row r="20314" spans="1:4" x14ac:dyDescent="0.25">
      <c r="A20314" s="31"/>
      <c r="D20314" s="30"/>
    </row>
    <row r="20315" spans="1:4" x14ac:dyDescent="0.25">
      <c r="A20315" s="31"/>
      <c r="D20315" s="30"/>
    </row>
    <row r="20316" spans="1:4" x14ac:dyDescent="0.25">
      <c r="A20316" s="31"/>
      <c r="D20316" s="30"/>
    </row>
    <row r="20317" spans="1:4" x14ac:dyDescent="0.25">
      <c r="A20317" s="31"/>
      <c r="D20317" s="30"/>
    </row>
    <row r="20318" spans="1:4" x14ac:dyDescent="0.25">
      <c r="A20318" s="31"/>
      <c r="D20318" s="30"/>
    </row>
    <row r="20319" spans="1:4" x14ac:dyDescent="0.25">
      <c r="A20319" s="31"/>
      <c r="D20319" s="30"/>
    </row>
    <row r="20320" spans="1:4" x14ac:dyDescent="0.25">
      <c r="A20320" s="31"/>
      <c r="D20320" s="30"/>
    </row>
    <row r="20321" spans="1:4" x14ac:dyDescent="0.25">
      <c r="A20321" s="31"/>
      <c r="D20321" s="30"/>
    </row>
    <row r="20322" spans="1:4" x14ac:dyDescent="0.25">
      <c r="A20322" s="31"/>
      <c r="D20322" s="30"/>
    </row>
    <row r="20323" spans="1:4" x14ac:dyDescent="0.25">
      <c r="A20323" s="31"/>
      <c r="D20323" s="30"/>
    </row>
    <row r="20324" spans="1:4" x14ac:dyDescent="0.25">
      <c r="A20324" s="31"/>
      <c r="D20324" s="30"/>
    </row>
    <row r="20325" spans="1:4" x14ac:dyDescent="0.25">
      <c r="A20325" s="31"/>
      <c r="D20325" s="30"/>
    </row>
    <row r="20326" spans="1:4" x14ac:dyDescent="0.25">
      <c r="A20326" s="31"/>
      <c r="D20326" s="30"/>
    </row>
    <row r="20327" spans="1:4" x14ac:dyDescent="0.25">
      <c r="A20327" s="31"/>
      <c r="D20327" s="30"/>
    </row>
    <row r="20328" spans="1:4" x14ac:dyDescent="0.25">
      <c r="A20328" s="31"/>
      <c r="D20328" s="30"/>
    </row>
    <row r="20329" spans="1:4" x14ac:dyDescent="0.25">
      <c r="A20329" s="31"/>
      <c r="D20329" s="30"/>
    </row>
    <row r="20330" spans="1:4" x14ac:dyDescent="0.25">
      <c r="A20330" s="31"/>
      <c r="D20330" s="30"/>
    </row>
    <row r="20331" spans="1:4" x14ac:dyDescent="0.25">
      <c r="A20331" s="31"/>
      <c r="D20331" s="30"/>
    </row>
    <row r="20332" spans="1:4" x14ac:dyDescent="0.25">
      <c r="A20332" s="31"/>
      <c r="D20332" s="30"/>
    </row>
    <row r="20333" spans="1:4" x14ac:dyDescent="0.25">
      <c r="A20333" s="31"/>
      <c r="D20333" s="30"/>
    </row>
    <row r="20334" spans="1:4" x14ac:dyDescent="0.25">
      <c r="A20334" s="31"/>
      <c r="D20334" s="30"/>
    </row>
    <row r="20335" spans="1:4" x14ac:dyDescent="0.25">
      <c r="A20335" s="31"/>
      <c r="D20335" s="30"/>
    </row>
    <row r="20336" spans="1:4" x14ac:dyDescent="0.25">
      <c r="A20336" s="31"/>
      <c r="D20336" s="30"/>
    </row>
    <row r="20337" spans="1:4" x14ac:dyDescent="0.25">
      <c r="A20337" s="31"/>
      <c r="D20337" s="30"/>
    </row>
    <row r="20338" spans="1:4" x14ac:dyDescent="0.25">
      <c r="A20338" s="31"/>
      <c r="D20338" s="30"/>
    </row>
    <row r="20339" spans="1:4" x14ac:dyDescent="0.25">
      <c r="A20339" s="31"/>
      <c r="D20339" s="30"/>
    </row>
    <row r="20340" spans="1:4" x14ac:dyDescent="0.25">
      <c r="A20340" s="31"/>
      <c r="D20340" s="30"/>
    </row>
    <row r="20341" spans="1:4" x14ac:dyDescent="0.25">
      <c r="A20341" s="31"/>
      <c r="D20341" s="30"/>
    </row>
    <row r="20342" spans="1:4" x14ac:dyDescent="0.25">
      <c r="A20342" s="31"/>
      <c r="D20342" s="30"/>
    </row>
    <row r="20343" spans="1:4" x14ac:dyDescent="0.25">
      <c r="A20343" s="31"/>
      <c r="D20343" s="30"/>
    </row>
    <row r="20344" spans="1:4" x14ac:dyDescent="0.25">
      <c r="A20344" s="31"/>
      <c r="D20344" s="30"/>
    </row>
    <row r="20345" spans="1:4" x14ac:dyDescent="0.25">
      <c r="A20345" s="31"/>
      <c r="D20345" s="30"/>
    </row>
    <row r="20346" spans="1:4" x14ac:dyDescent="0.25">
      <c r="A20346" s="31"/>
      <c r="D20346" s="30"/>
    </row>
    <row r="20347" spans="1:4" x14ac:dyDescent="0.25">
      <c r="A20347" s="31"/>
      <c r="D20347" s="30"/>
    </row>
    <row r="20348" spans="1:4" x14ac:dyDescent="0.25">
      <c r="A20348" s="31"/>
      <c r="D20348" s="30"/>
    </row>
    <row r="20349" spans="1:4" x14ac:dyDescent="0.25">
      <c r="A20349" s="31"/>
      <c r="D20349" s="30"/>
    </row>
    <row r="20350" spans="1:4" x14ac:dyDescent="0.25">
      <c r="A20350" s="31"/>
      <c r="D20350" s="30"/>
    </row>
    <row r="20351" spans="1:4" x14ac:dyDescent="0.25">
      <c r="A20351" s="31"/>
      <c r="D20351" s="30"/>
    </row>
    <row r="20352" spans="1:4" x14ac:dyDescent="0.25">
      <c r="A20352" s="31"/>
      <c r="D20352" s="30"/>
    </row>
    <row r="20353" spans="1:4" x14ac:dyDescent="0.25">
      <c r="A20353" s="31"/>
      <c r="D20353" s="30"/>
    </row>
    <row r="20354" spans="1:4" x14ac:dyDescent="0.25">
      <c r="A20354" s="31"/>
      <c r="D20354" s="30"/>
    </row>
    <row r="20355" spans="1:4" x14ac:dyDescent="0.25">
      <c r="A20355" s="31"/>
      <c r="D20355" s="30"/>
    </row>
    <row r="20356" spans="1:4" x14ac:dyDescent="0.25">
      <c r="A20356" s="31"/>
      <c r="D20356" s="30"/>
    </row>
    <row r="20357" spans="1:4" x14ac:dyDescent="0.25">
      <c r="A20357" s="31"/>
      <c r="D20357" s="30"/>
    </row>
    <row r="20358" spans="1:4" x14ac:dyDescent="0.25">
      <c r="A20358" s="31"/>
      <c r="D20358" s="30"/>
    </row>
    <row r="20359" spans="1:4" x14ac:dyDescent="0.25">
      <c r="A20359" s="31"/>
      <c r="D20359" s="30"/>
    </row>
    <row r="20360" spans="1:4" x14ac:dyDescent="0.25">
      <c r="A20360" s="31"/>
      <c r="D20360" s="30"/>
    </row>
    <row r="20361" spans="1:4" x14ac:dyDescent="0.25">
      <c r="A20361" s="31"/>
      <c r="D20361" s="30"/>
    </row>
    <row r="20362" spans="1:4" x14ac:dyDescent="0.25">
      <c r="A20362" s="31"/>
      <c r="D20362" s="30"/>
    </row>
    <row r="20363" spans="1:4" x14ac:dyDescent="0.25">
      <c r="A20363" s="31"/>
      <c r="D20363" s="30"/>
    </row>
    <row r="20364" spans="1:4" x14ac:dyDescent="0.25">
      <c r="A20364" s="31"/>
      <c r="D20364" s="30"/>
    </row>
    <row r="20365" spans="1:4" x14ac:dyDescent="0.25">
      <c r="A20365" s="31"/>
      <c r="D20365" s="30"/>
    </row>
    <row r="20366" spans="1:4" x14ac:dyDescent="0.25">
      <c r="A20366" s="31"/>
      <c r="D20366" s="30"/>
    </row>
    <row r="20367" spans="1:4" x14ac:dyDescent="0.25">
      <c r="A20367" s="31"/>
      <c r="D20367" s="30"/>
    </row>
    <row r="20368" spans="1:4" x14ac:dyDescent="0.25">
      <c r="A20368" s="31"/>
      <c r="D20368" s="30"/>
    </row>
    <row r="20369" spans="1:4" x14ac:dyDescent="0.25">
      <c r="A20369" s="31"/>
      <c r="D20369" s="30"/>
    </row>
    <row r="20370" spans="1:4" x14ac:dyDescent="0.25">
      <c r="A20370" s="31"/>
      <c r="D20370" s="30"/>
    </row>
    <row r="20371" spans="1:4" x14ac:dyDescent="0.25">
      <c r="A20371" s="31"/>
      <c r="D20371" s="30"/>
    </row>
    <row r="20372" spans="1:4" x14ac:dyDescent="0.25">
      <c r="A20372" s="31"/>
      <c r="D20372" s="30"/>
    </row>
    <row r="20373" spans="1:4" x14ac:dyDescent="0.25">
      <c r="A20373" s="31"/>
      <c r="D20373" s="30"/>
    </row>
    <row r="20374" spans="1:4" x14ac:dyDescent="0.25">
      <c r="A20374" s="31"/>
      <c r="D20374" s="30"/>
    </row>
    <row r="20375" spans="1:4" x14ac:dyDescent="0.25">
      <c r="A20375" s="31"/>
      <c r="D20375" s="30"/>
    </row>
    <row r="20376" spans="1:4" x14ac:dyDescent="0.25">
      <c r="A20376" s="31"/>
      <c r="D20376" s="30"/>
    </row>
    <row r="20377" spans="1:4" x14ac:dyDescent="0.25">
      <c r="A20377" s="31"/>
      <c r="D20377" s="30"/>
    </row>
    <row r="20378" spans="1:4" x14ac:dyDescent="0.25">
      <c r="A20378" s="31"/>
      <c r="D20378" s="30"/>
    </row>
    <row r="20379" spans="1:4" x14ac:dyDescent="0.25">
      <c r="A20379" s="31"/>
      <c r="D20379" s="30"/>
    </row>
    <row r="20380" spans="1:4" x14ac:dyDescent="0.25">
      <c r="A20380" s="31"/>
      <c r="D20380" s="30"/>
    </row>
    <row r="20381" spans="1:4" x14ac:dyDescent="0.25">
      <c r="A20381" s="31"/>
      <c r="D20381" s="30"/>
    </row>
    <row r="20382" spans="1:4" x14ac:dyDescent="0.25">
      <c r="A20382" s="31"/>
      <c r="D20382" s="30"/>
    </row>
    <row r="20383" spans="1:4" x14ac:dyDescent="0.25">
      <c r="A20383" s="31"/>
      <c r="D20383" s="30"/>
    </row>
    <row r="20384" spans="1:4" x14ac:dyDescent="0.25">
      <c r="A20384" s="31"/>
      <c r="D20384" s="30"/>
    </row>
    <row r="20385" spans="1:4" x14ac:dyDescent="0.25">
      <c r="A20385" s="31"/>
      <c r="D20385" s="30"/>
    </row>
    <row r="20386" spans="1:4" x14ac:dyDescent="0.25">
      <c r="A20386" s="31"/>
      <c r="D20386" s="30"/>
    </row>
    <row r="20387" spans="1:4" x14ac:dyDescent="0.25">
      <c r="A20387" s="31"/>
      <c r="D20387" s="30"/>
    </row>
    <row r="20388" spans="1:4" x14ac:dyDescent="0.25">
      <c r="A20388" s="31"/>
      <c r="D20388" s="30"/>
    </row>
    <row r="20389" spans="1:4" x14ac:dyDescent="0.25">
      <c r="A20389" s="31"/>
      <c r="D20389" s="30"/>
    </row>
    <row r="20390" spans="1:4" x14ac:dyDescent="0.25">
      <c r="A20390" s="31"/>
      <c r="D20390" s="30"/>
    </row>
    <row r="20391" spans="1:4" x14ac:dyDescent="0.25">
      <c r="A20391" s="31"/>
      <c r="D20391" s="30"/>
    </row>
    <row r="20392" spans="1:4" x14ac:dyDescent="0.25">
      <c r="A20392" s="31"/>
      <c r="D20392" s="30"/>
    </row>
    <row r="20393" spans="1:4" x14ac:dyDescent="0.25">
      <c r="A20393" s="31"/>
      <c r="D20393" s="30"/>
    </row>
    <row r="20394" spans="1:4" x14ac:dyDescent="0.25">
      <c r="A20394" s="31"/>
      <c r="D20394" s="30"/>
    </row>
    <row r="20395" spans="1:4" x14ac:dyDescent="0.25">
      <c r="A20395" s="31"/>
      <c r="D20395" s="30"/>
    </row>
    <row r="20396" spans="1:4" x14ac:dyDescent="0.25">
      <c r="A20396" s="31"/>
      <c r="D20396" s="30"/>
    </row>
    <row r="20397" spans="1:4" x14ac:dyDescent="0.25">
      <c r="A20397" s="31"/>
      <c r="D20397" s="30"/>
    </row>
    <row r="20398" spans="1:4" x14ac:dyDescent="0.25">
      <c r="A20398" s="31"/>
      <c r="D20398" s="30"/>
    </row>
    <row r="20399" spans="1:4" x14ac:dyDescent="0.25">
      <c r="A20399" s="31"/>
      <c r="D20399" s="30"/>
    </row>
    <row r="20400" spans="1:4" x14ac:dyDescent="0.25">
      <c r="A20400" s="31"/>
      <c r="D20400" s="30"/>
    </row>
    <row r="20401" spans="1:4" x14ac:dyDescent="0.25">
      <c r="A20401" s="31"/>
      <c r="D20401" s="30"/>
    </row>
    <row r="20402" spans="1:4" x14ac:dyDescent="0.25">
      <c r="A20402" s="31"/>
      <c r="D20402" s="30"/>
    </row>
    <row r="20403" spans="1:4" x14ac:dyDescent="0.25">
      <c r="A20403" s="31"/>
      <c r="D20403" s="30"/>
    </row>
    <row r="20404" spans="1:4" x14ac:dyDescent="0.25">
      <c r="A20404" s="31"/>
      <c r="D20404" s="30"/>
    </row>
    <row r="20405" spans="1:4" x14ac:dyDescent="0.25">
      <c r="A20405" s="31"/>
      <c r="D20405" s="30"/>
    </row>
    <row r="20406" spans="1:4" x14ac:dyDescent="0.25">
      <c r="A20406" s="31"/>
      <c r="D20406" s="30"/>
    </row>
    <row r="20407" spans="1:4" x14ac:dyDescent="0.25">
      <c r="A20407" s="31"/>
      <c r="D20407" s="30"/>
    </row>
    <row r="20408" spans="1:4" x14ac:dyDescent="0.25">
      <c r="A20408" s="31"/>
      <c r="D20408" s="30"/>
    </row>
    <row r="20409" spans="1:4" x14ac:dyDescent="0.25">
      <c r="A20409" s="31"/>
      <c r="D20409" s="30"/>
    </row>
    <row r="20410" spans="1:4" x14ac:dyDescent="0.25">
      <c r="A20410" s="31"/>
      <c r="D20410" s="30"/>
    </row>
    <row r="20411" spans="1:4" x14ac:dyDescent="0.25">
      <c r="A20411" s="31"/>
      <c r="D20411" s="30"/>
    </row>
    <row r="20412" spans="1:4" x14ac:dyDescent="0.25">
      <c r="A20412" s="31"/>
      <c r="D20412" s="30"/>
    </row>
    <row r="20413" spans="1:4" x14ac:dyDescent="0.25">
      <c r="A20413" s="31"/>
      <c r="D20413" s="30"/>
    </row>
    <row r="20414" spans="1:4" x14ac:dyDescent="0.25">
      <c r="A20414" s="31"/>
      <c r="D20414" s="30"/>
    </row>
    <row r="20415" spans="1:4" x14ac:dyDescent="0.25">
      <c r="A20415" s="31"/>
      <c r="D20415" s="30"/>
    </row>
    <row r="20416" spans="1:4" x14ac:dyDescent="0.25">
      <c r="A20416" s="31"/>
      <c r="D20416" s="30"/>
    </row>
    <row r="20417" spans="1:4" x14ac:dyDescent="0.25">
      <c r="A20417" s="31"/>
      <c r="D20417" s="30"/>
    </row>
    <row r="20418" spans="1:4" x14ac:dyDescent="0.25">
      <c r="A20418" s="31"/>
      <c r="D20418" s="30"/>
    </row>
    <row r="20419" spans="1:4" x14ac:dyDescent="0.25">
      <c r="A20419" s="31"/>
      <c r="D20419" s="30"/>
    </row>
    <row r="20420" spans="1:4" x14ac:dyDescent="0.25">
      <c r="A20420" s="31"/>
      <c r="D20420" s="30"/>
    </row>
    <row r="20421" spans="1:4" x14ac:dyDescent="0.25">
      <c r="A20421" s="31"/>
      <c r="D20421" s="30"/>
    </row>
    <row r="20422" spans="1:4" x14ac:dyDescent="0.25">
      <c r="A20422" s="31"/>
      <c r="D20422" s="30"/>
    </row>
    <row r="20423" spans="1:4" x14ac:dyDescent="0.25">
      <c r="A20423" s="31"/>
      <c r="D20423" s="30"/>
    </row>
    <row r="20424" spans="1:4" x14ac:dyDescent="0.25">
      <c r="A20424" s="31"/>
      <c r="D20424" s="30"/>
    </row>
    <row r="20425" spans="1:4" x14ac:dyDescent="0.25">
      <c r="A20425" s="31"/>
      <c r="D20425" s="30"/>
    </row>
    <row r="20426" spans="1:4" x14ac:dyDescent="0.25">
      <c r="A20426" s="31"/>
      <c r="D20426" s="30"/>
    </row>
    <row r="20427" spans="1:4" x14ac:dyDescent="0.25">
      <c r="A20427" s="31"/>
      <c r="D20427" s="30"/>
    </row>
    <row r="20428" spans="1:4" x14ac:dyDescent="0.25">
      <c r="A20428" s="31"/>
      <c r="D20428" s="30"/>
    </row>
    <row r="20429" spans="1:4" x14ac:dyDescent="0.25">
      <c r="A20429" s="31"/>
      <c r="D20429" s="30"/>
    </row>
    <row r="20430" spans="1:4" x14ac:dyDescent="0.25">
      <c r="A20430" s="31"/>
      <c r="D20430" s="30"/>
    </row>
    <row r="20431" spans="1:4" x14ac:dyDescent="0.25">
      <c r="A20431" s="31"/>
      <c r="D20431" s="30"/>
    </row>
    <row r="20432" spans="1:4" x14ac:dyDescent="0.25">
      <c r="A20432" s="31"/>
      <c r="D20432" s="30"/>
    </row>
    <row r="20433" spans="1:4" x14ac:dyDescent="0.25">
      <c r="A20433" s="31"/>
      <c r="D20433" s="30"/>
    </row>
    <row r="20434" spans="1:4" x14ac:dyDescent="0.25">
      <c r="A20434" s="31"/>
      <c r="D20434" s="30"/>
    </row>
    <row r="20435" spans="1:4" x14ac:dyDescent="0.25">
      <c r="A20435" s="31"/>
      <c r="D20435" s="30"/>
    </row>
    <row r="20436" spans="1:4" x14ac:dyDescent="0.25">
      <c r="A20436" s="31"/>
      <c r="D20436" s="30"/>
    </row>
    <row r="20437" spans="1:4" x14ac:dyDescent="0.25">
      <c r="A20437" s="31"/>
      <c r="D20437" s="30"/>
    </row>
    <row r="20438" spans="1:4" x14ac:dyDescent="0.25">
      <c r="A20438" s="31"/>
      <c r="D20438" s="30"/>
    </row>
    <row r="20439" spans="1:4" x14ac:dyDescent="0.25">
      <c r="A20439" s="31"/>
      <c r="D20439" s="30"/>
    </row>
    <row r="20440" spans="1:4" x14ac:dyDescent="0.25">
      <c r="A20440" s="31"/>
      <c r="D20440" s="30"/>
    </row>
    <row r="20441" spans="1:4" x14ac:dyDescent="0.25">
      <c r="A20441" s="31"/>
      <c r="D20441" s="30"/>
    </row>
    <row r="20442" spans="1:4" x14ac:dyDescent="0.25">
      <c r="A20442" s="31"/>
      <c r="D20442" s="30"/>
    </row>
    <row r="20443" spans="1:4" x14ac:dyDescent="0.25">
      <c r="A20443" s="31"/>
      <c r="D20443" s="30"/>
    </row>
    <row r="20444" spans="1:4" x14ac:dyDescent="0.25">
      <c r="A20444" s="31"/>
      <c r="D20444" s="30"/>
    </row>
    <row r="20445" spans="1:4" x14ac:dyDescent="0.25">
      <c r="A20445" s="31"/>
      <c r="D20445" s="30"/>
    </row>
    <row r="20446" spans="1:4" x14ac:dyDescent="0.25">
      <c r="A20446" s="31"/>
      <c r="D20446" s="30"/>
    </row>
    <row r="20447" spans="1:4" x14ac:dyDescent="0.25">
      <c r="A20447" s="31"/>
      <c r="D20447" s="30"/>
    </row>
    <row r="20448" spans="1:4" x14ac:dyDescent="0.25">
      <c r="A20448" s="31"/>
      <c r="D20448" s="30"/>
    </row>
    <row r="20449" spans="1:4" x14ac:dyDescent="0.25">
      <c r="A20449" s="31"/>
      <c r="D20449" s="30"/>
    </row>
    <row r="20450" spans="1:4" x14ac:dyDescent="0.25">
      <c r="A20450" s="31"/>
      <c r="D20450" s="30"/>
    </row>
    <row r="20451" spans="1:4" x14ac:dyDescent="0.25">
      <c r="A20451" s="31"/>
      <c r="D20451" s="30"/>
    </row>
    <row r="20452" spans="1:4" x14ac:dyDescent="0.25">
      <c r="A20452" s="31"/>
      <c r="D20452" s="30"/>
    </row>
    <row r="20453" spans="1:4" x14ac:dyDescent="0.25">
      <c r="A20453" s="31"/>
      <c r="D20453" s="30"/>
    </row>
    <row r="20454" spans="1:4" x14ac:dyDescent="0.25">
      <c r="A20454" s="31"/>
      <c r="D20454" s="30"/>
    </row>
    <row r="20455" spans="1:4" x14ac:dyDescent="0.25">
      <c r="A20455" s="31"/>
      <c r="D20455" s="30"/>
    </row>
    <row r="20456" spans="1:4" x14ac:dyDescent="0.25">
      <c r="A20456" s="31"/>
      <c r="D20456" s="30"/>
    </row>
    <row r="20457" spans="1:4" x14ac:dyDescent="0.25">
      <c r="A20457" s="31"/>
      <c r="D20457" s="30"/>
    </row>
    <row r="20458" spans="1:4" x14ac:dyDescent="0.25">
      <c r="A20458" s="31"/>
      <c r="D20458" s="30"/>
    </row>
    <row r="20459" spans="1:4" x14ac:dyDescent="0.25">
      <c r="A20459" s="31"/>
      <c r="D20459" s="30"/>
    </row>
    <row r="20460" spans="1:4" x14ac:dyDescent="0.25">
      <c r="A20460" s="31"/>
      <c r="D20460" s="30"/>
    </row>
    <row r="20461" spans="1:4" x14ac:dyDescent="0.25">
      <c r="A20461" s="31"/>
      <c r="D20461" s="30"/>
    </row>
    <row r="20462" spans="1:4" x14ac:dyDescent="0.25">
      <c r="A20462" s="31"/>
      <c r="D20462" s="30"/>
    </row>
    <row r="20463" spans="1:4" x14ac:dyDescent="0.25">
      <c r="A20463" s="31"/>
      <c r="D20463" s="30"/>
    </row>
    <row r="20464" spans="1:4" x14ac:dyDescent="0.25">
      <c r="A20464" s="31"/>
      <c r="D20464" s="30"/>
    </row>
    <row r="20465" spans="1:4" x14ac:dyDescent="0.25">
      <c r="A20465" s="31"/>
      <c r="D20465" s="30"/>
    </row>
    <row r="20466" spans="1:4" x14ac:dyDescent="0.25">
      <c r="A20466" s="31"/>
      <c r="D20466" s="30"/>
    </row>
    <row r="20467" spans="1:4" x14ac:dyDescent="0.25">
      <c r="A20467" s="31"/>
      <c r="D20467" s="30"/>
    </row>
    <row r="20468" spans="1:4" x14ac:dyDescent="0.25">
      <c r="A20468" s="31"/>
      <c r="D20468" s="30"/>
    </row>
    <row r="20469" spans="1:4" x14ac:dyDescent="0.25">
      <c r="A20469" s="31"/>
      <c r="D20469" s="30"/>
    </row>
    <row r="20470" spans="1:4" x14ac:dyDescent="0.25">
      <c r="A20470" s="31"/>
      <c r="D20470" s="30"/>
    </row>
    <row r="20471" spans="1:4" x14ac:dyDescent="0.25">
      <c r="A20471" s="31"/>
      <c r="D20471" s="30"/>
    </row>
    <row r="20472" spans="1:4" x14ac:dyDescent="0.25">
      <c r="A20472" s="31"/>
      <c r="D20472" s="30"/>
    </row>
    <row r="20473" spans="1:4" x14ac:dyDescent="0.25">
      <c r="A20473" s="31"/>
      <c r="D20473" s="30"/>
    </row>
    <row r="20474" spans="1:4" x14ac:dyDescent="0.25">
      <c r="A20474" s="31"/>
      <c r="D20474" s="30"/>
    </row>
    <row r="20475" spans="1:4" x14ac:dyDescent="0.25">
      <c r="A20475" s="31"/>
      <c r="D20475" s="30"/>
    </row>
    <row r="20476" spans="1:4" x14ac:dyDescent="0.25">
      <c r="A20476" s="31"/>
      <c r="D20476" s="30"/>
    </row>
    <row r="20477" spans="1:4" x14ac:dyDescent="0.25">
      <c r="A20477" s="31"/>
      <c r="D20477" s="30"/>
    </row>
    <row r="20478" spans="1:4" x14ac:dyDescent="0.25">
      <c r="A20478" s="31"/>
      <c r="D20478" s="30"/>
    </row>
    <row r="20479" spans="1:4" x14ac:dyDescent="0.25">
      <c r="A20479" s="31"/>
      <c r="D20479" s="30"/>
    </row>
    <row r="20480" spans="1:4" x14ac:dyDescent="0.25">
      <c r="A20480" s="31"/>
      <c r="D20480" s="30"/>
    </row>
    <row r="20481" spans="1:4" x14ac:dyDescent="0.25">
      <c r="A20481" s="31"/>
      <c r="D20481" s="30"/>
    </row>
    <row r="20482" spans="1:4" x14ac:dyDescent="0.25">
      <c r="A20482" s="31"/>
      <c r="D20482" s="30"/>
    </row>
    <row r="20483" spans="1:4" x14ac:dyDescent="0.25">
      <c r="A20483" s="31"/>
      <c r="D20483" s="30"/>
    </row>
    <row r="20484" spans="1:4" x14ac:dyDescent="0.25">
      <c r="A20484" s="31"/>
      <c r="D20484" s="30"/>
    </row>
    <row r="20485" spans="1:4" x14ac:dyDescent="0.25">
      <c r="A20485" s="31"/>
      <c r="D20485" s="30"/>
    </row>
    <row r="20486" spans="1:4" x14ac:dyDescent="0.25">
      <c r="A20486" s="31"/>
      <c r="D20486" s="30"/>
    </row>
    <row r="20487" spans="1:4" x14ac:dyDescent="0.25">
      <c r="A20487" s="31"/>
      <c r="D20487" s="30"/>
    </row>
    <row r="20488" spans="1:4" x14ac:dyDescent="0.25">
      <c r="A20488" s="31"/>
      <c r="D20488" s="30"/>
    </row>
    <row r="20489" spans="1:4" x14ac:dyDescent="0.25">
      <c r="A20489" s="31"/>
      <c r="D20489" s="30"/>
    </row>
    <row r="20490" spans="1:4" x14ac:dyDescent="0.25">
      <c r="A20490" s="31"/>
      <c r="D20490" s="30"/>
    </row>
    <row r="20491" spans="1:4" x14ac:dyDescent="0.25">
      <c r="A20491" s="31"/>
      <c r="D20491" s="30"/>
    </row>
    <row r="20492" spans="1:4" x14ac:dyDescent="0.25">
      <c r="A20492" s="31"/>
      <c r="D20492" s="30"/>
    </row>
    <row r="20493" spans="1:4" x14ac:dyDescent="0.25">
      <c r="A20493" s="31"/>
      <c r="D20493" s="30"/>
    </row>
    <row r="20494" spans="1:4" x14ac:dyDescent="0.25">
      <c r="A20494" s="31"/>
      <c r="D20494" s="30"/>
    </row>
    <row r="20495" spans="1:4" x14ac:dyDescent="0.25">
      <c r="A20495" s="31"/>
      <c r="D20495" s="30"/>
    </row>
    <row r="20496" spans="1:4" x14ac:dyDescent="0.25">
      <c r="A20496" s="31"/>
      <c r="D20496" s="30"/>
    </row>
    <row r="20497" spans="1:4" x14ac:dyDescent="0.25">
      <c r="A20497" s="31"/>
      <c r="D20497" s="30"/>
    </row>
    <row r="20498" spans="1:4" x14ac:dyDescent="0.25">
      <c r="A20498" s="31"/>
      <c r="D20498" s="30"/>
    </row>
    <row r="20499" spans="1:4" x14ac:dyDescent="0.25">
      <c r="A20499" s="31"/>
      <c r="D20499" s="30"/>
    </row>
    <row r="20500" spans="1:4" x14ac:dyDescent="0.25">
      <c r="A20500" s="31"/>
      <c r="D20500" s="30"/>
    </row>
    <row r="20501" spans="1:4" x14ac:dyDescent="0.25">
      <c r="A20501" s="31"/>
      <c r="D20501" s="30"/>
    </row>
    <row r="20502" spans="1:4" x14ac:dyDescent="0.25">
      <c r="A20502" s="31"/>
      <c r="D20502" s="30"/>
    </row>
    <row r="20503" spans="1:4" x14ac:dyDescent="0.25">
      <c r="A20503" s="31"/>
      <c r="D20503" s="30"/>
    </row>
    <row r="20504" spans="1:4" x14ac:dyDescent="0.25">
      <c r="A20504" s="31"/>
      <c r="D20504" s="30"/>
    </row>
    <row r="20505" spans="1:4" x14ac:dyDescent="0.25">
      <c r="A20505" s="31"/>
      <c r="D20505" s="30"/>
    </row>
    <row r="20506" spans="1:4" x14ac:dyDescent="0.25">
      <c r="A20506" s="31"/>
      <c r="D20506" s="30"/>
    </row>
    <row r="20507" spans="1:4" x14ac:dyDescent="0.25">
      <c r="A20507" s="31"/>
      <c r="D20507" s="30"/>
    </row>
    <row r="20508" spans="1:4" x14ac:dyDescent="0.25">
      <c r="A20508" s="31"/>
      <c r="D20508" s="30"/>
    </row>
    <row r="20509" spans="1:4" x14ac:dyDescent="0.25">
      <c r="A20509" s="31"/>
      <c r="D20509" s="30"/>
    </row>
    <row r="20510" spans="1:4" x14ac:dyDescent="0.25">
      <c r="A20510" s="31"/>
      <c r="D20510" s="30"/>
    </row>
    <row r="20511" spans="1:4" x14ac:dyDescent="0.25">
      <c r="A20511" s="31"/>
      <c r="D20511" s="30"/>
    </row>
    <row r="20512" spans="1:4" x14ac:dyDescent="0.25">
      <c r="A20512" s="31"/>
      <c r="D20512" s="30"/>
    </row>
    <row r="20513" spans="1:4" x14ac:dyDescent="0.25">
      <c r="A20513" s="31"/>
      <c r="D20513" s="30"/>
    </row>
    <row r="20514" spans="1:4" x14ac:dyDescent="0.25">
      <c r="A20514" s="31"/>
      <c r="D20514" s="30"/>
    </row>
    <row r="20515" spans="1:4" x14ac:dyDescent="0.25">
      <c r="A20515" s="31"/>
      <c r="D20515" s="30"/>
    </row>
    <row r="20516" spans="1:4" x14ac:dyDescent="0.25">
      <c r="A20516" s="31"/>
      <c r="D20516" s="30"/>
    </row>
    <row r="20517" spans="1:4" x14ac:dyDescent="0.25">
      <c r="A20517" s="31"/>
      <c r="D20517" s="30"/>
    </row>
    <row r="20518" spans="1:4" x14ac:dyDescent="0.25">
      <c r="A20518" s="31"/>
      <c r="D20518" s="30"/>
    </row>
    <row r="20519" spans="1:4" x14ac:dyDescent="0.25">
      <c r="A20519" s="31"/>
      <c r="D20519" s="30"/>
    </row>
    <row r="20520" spans="1:4" x14ac:dyDescent="0.25">
      <c r="A20520" s="31"/>
      <c r="D20520" s="30"/>
    </row>
    <row r="20521" spans="1:4" x14ac:dyDescent="0.25">
      <c r="A20521" s="31"/>
      <c r="D20521" s="30"/>
    </row>
    <row r="20522" spans="1:4" x14ac:dyDescent="0.25">
      <c r="A20522" s="31"/>
      <c r="D20522" s="30"/>
    </row>
    <row r="20523" spans="1:4" x14ac:dyDescent="0.25">
      <c r="A20523" s="31"/>
      <c r="D20523" s="30"/>
    </row>
    <row r="20524" spans="1:4" x14ac:dyDescent="0.25">
      <c r="A20524" s="31"/>
      <c r="D20524" s="30"/>
    </row>
    <row r="20525" spans="1:4" x14ac:dyDescent="0.25">
      <c r="A20525" s="31"/>
      <c r="D20525" s="30"/>
    </row>
    <row r="20526" spans="1:4" x14ac:dyDescent="0.25">
      <c r="A20526" s="31"/>
      <c r="D20526" s="30"/>
    </row>
    <row r="20527" spans="1:4" x14ac:dyDescent="0.25">
      <c r="A20527" s="31"/>
      <c r="D20527" s="30"/>
    </row>
    <row r="20528" spans="1:4" x14ac:dyDescent="0.25">
      <c r="A20528" s="31"/>
      <c r="D20528" s="30"/>
    </row>
    <row r="20529" spans="1:4" x14ac:dyDescent="0.25">
      <c r="A20529" s="31"/>
      <c r="D20529" s="30"/>
    </row>
    <row r="20530" spans="1:4" x14ac:dyDescent="0.25">
      <c r="A20530" s="31"/>
      <c r="D20530" s="30"/>
    </row>
    <row r="20531" spans="1:4" x14ac:dyDescent="0.25">
      <c r="A20531" s="31"/>
      <c r="D20531" s="30"/>
    </row>
    <row r="20532" spans="1:4" x14ac:dyDescent="0.25">
      <c r="A20532" s="31"/>
      <c r="D20532" s="30"/>
    </row>
    <row r="20533" spans="1:4" x14ac:dyDescent="0.25">
      <c r="A20533" s="31"/>
      <c r="D20533" s="30"/>
    </row>
    <row r="20534" spans="1:4" x14ac:dyDescent="0.25">
      <c r="A20534" s="31"/>
      <c r="D20534" s="30"/>
    </row>
    <row r="20535" spans="1:4" x14ac:dyDescent="0.25">
      <c r="A20535" s="31"/>
      <c r="D20535" s="30"/>
    </row>
    <row r="20536" spans="1:4" x14ac:dyDescent="0.25">
      <c r="A20536" s="31"/>
      <c r="D20536" s="30"/>
    </row>
    <row r="20537" spans="1:4" x14ac:dyDescent="0.25">
      <c r="A20537" s="31"/>
      <c r="D20537" s="30"/>
    </row>
    <row r="20538" spans="1:4" x14ac:dyDescent="0.25">
      <c r="A20538" s="31"/>
      <c r="D20538" s="30"/>
    </row>
    <row r="20539" spans="1:4" x14ac:dyDescent="0.25">
      <c r="A20539" s="31"/>
      <c r="D20539" s="30"/>
    </row>
    <row r="20540" spans="1:4" x14ac:dyDescent="0.25">
      <c r="A20540" s="31"/>
      <c r="D20540" s="30"/>
    </row>
    <row r="20541" spans="1:4" x14ac:dyDescent="0.25">
      <c r="A20541" s="31"/>
      <c r="D20541" s="30"/>
    </row>
    <row r="20542" spans="1:4" x14ac:dyDescent="0.25">
      <c r="A20542" s="31"/>
      <c r="D20542" s="30"/>
    </row>
    <row r="20543" spans="1:4" x14ac:dyDescent="0.25">
      <c r="A20543" s="31"/>
      <c r="D20543" s="30"/>
    </row>
    <row r="20544" spans="1:4" x14ac:dyDescent="0.25">
      <c r="A20544" s="31"/>
      <c r="D20544" s="30"/>
    </row>
    <row r="20545" spans="1:4" x14ac:dyDescent="0.25">
      <c r="A20545" s="31"/>
      <c r="D20545" s="30"/>
    </row>
    <row r="20546" spans="1:4" x14ac:dyDescent="0.25">
      <c r="A20546" s="31"/>
      <c r="D20546" s="30"/>
    </row>
    <row r="20547" spans="1:4" x14ac:dyDescent="0.25">
      <c r="A20547" s="31"/>
      <c r="D20547" s="30"/>
    </row>
    <row r="20548" spans="1:4" x14ac:dyDescent="0.25">
      <c r="A20548" s="31"/>
      <c r="D20548" s="30"/>
    </row>
    <row r="20549" spans="1:4" x14ac:dyDescent="0.25">
      <c r="A20549" s="31"/>
      <c r="D20549" s="30"/>
    </row>
    <row r="20550" spans="1:4" x14ac:dyDescent="0.25">
      <c r="A20550" s="31"/>
      <c r="D20550" s="30"/>
    </row>
    <row r="20551" spans="1:4" x14ac:dyDescent="0.25">
      <c r="A20551" s="31"/>
      <c r="D20551" s="30"/>
    </row>
    <row r="20552" spans="1:4" x14ac:dyDescent="0.25">
      <c r="A20552" s="31"/>
      <c r="D20552" s="30"/>
    </row>
    <row r="20553" spans="1:4" x14ac:dyDescent="0.25">
      <c r="A20553" s="31"/>
      <c r="D20553" s="30"/>
    </row>
    <row r="20554" spans="1:4" x14ac:dyDescent="0.25">
      <c r="A20554" s="31"/>
      <c r="D20554" s="30"/>
    </row>
    <row r="20555" spans="1:4" x14ac:dyDescent="0.25">
      <c r="A20555" s="31"/>
      <c r="D20555" s="30"/>
    </row>
    <row r="20556" spans="1:4" x14ac:dyDescent="0.25">
      <c r="A20556" s="31"/>
      <c r="D20556" s="30"/>
    </row>
    <row r="20557" spans="1:4" x14ac:dyDescent="0.25">
      <c r="A20557" s="31"/>
      <c r="D20557" s="30"/>
    </row>
    <row r="20558" spans="1:4" x14ac:dyDescent="0.25">
      <c r="A20558" s="31"/>
      <c r="D20558" s="30"/>
    </row>
    <row r="20559" spans="1:4" x14ac:dyDescent="0.25">
      <c r="A20559" s="31"/>
      <c r="D20559" s="30"/>
    </row>
    <row r="20560" spans="1:4" x14ac:dyDescent="0.25">
      <c r="A20560" s="31"/>
      <c r="D20560" s="30"/>
    </row>
    <row r="20561" spans="1:4" x14ac:dyDescent="0.25">
      <c r="A20561" s="31"/>
      <c r="D20561" s="30"/>
    </row>
    <row r="20562" spans="1:4" x14ac:dyDescent="0.25">
      <c r="A20562" s="31"/>
      <c r="D20562" s="30"/>
    </row>
    <row r="20563" spans="1:4" x14ac:dyDescent="0.25">
      <c r="A20563" s="31"/>
      <c r="D20563" s="30"/>
    </row>
    <row r="20564" spans="1:4" x14ac:dyDescent="0.25">
      <c r="A20564" s="31"/>
      <c r="D20564" s="30"/>
    </row>
    <row r="20565" spans="1:4" x14ac:dyDescent="0.25">
      <c r="A20565" s="31"/>
      <c r="D20565" s="30"/>
    </row>
    <row r="20566" spans="1:4" x14ac:dyDescent="0.25">
      <c r="A20566" s="31"/>
      <c r="D20566" s="30"/>
    </row>
    <row r="20567" spans="1:4" x14ac:dyDescent="0.25">
      <c r="A20567" s="31"/>
      <c r="D20567" s="30"/>
    </row>
    <row r="20568" spans="1:4" x14ac:dyDescent="0.25">
      <c r="A20568" s="31"/>
      <c r="D20568" s="30"/>
    </row>
    <row r="20569" spans="1:4" x14ac:dyDescent="0.25">
      <c r="A20569" s="31"/>
      <c r="D20569" s="30"/>
    </row>
    <row r="20570" spans="1:4" x14ac:dyDescent="0.25">
      <c r="A20570" s="31"/>
      <c r="D20570" s="30"/>
    </row>
    <row r="20571" spans="1:4" x14ac:dyDescent="0.25">
      <c r="A20571" s="31"/>
      <c r="D20571" s="30"/>
    </row>
    <row r="20572" spans="1:4" x14ac:dyDescent="0.25">
      <c r="A20572" s="31"/>
      <c r="D20572" s="30"/>
    </row>
    <row r="20573" spans="1:4" x14ac:dyDescent="0.25">
      <c r="A20573" s="31"/>
      <c r="D20573" s="30"/>
    </row>
    <row r="20574" spans="1:4" x14ac:dyDescent="0.25">
      <c r="A20574" s="31"/>
      <c r="D20574" s="30"/>
    </row>
    <row r="20575" spans="1:4" x14ac:dyDescent="0.25">
      <c r="A20575" s="31"/>
      <c r="D20575" s="30"/>
    </row>
    <row r="20576" spans="1:4" x14ac:dyDescent="0.25">
      <c r="A20576" s="31"/>
      <c r="D20576" s="30"/>
    </row>
    <row r="20577" spans="1:4" x14ac:dyDescent="0.25">
      <c r="A20577" s="31"/>
      <c r="D20577" s="30"/>
    </row>
    <row r="20578" spans="1:4" x14ac:dyDescent="0.25">
      <c r="A20578" s="31"/>
      <c r="D20578" s="30"/>
    </row>
    <row r="20579" spans="1:4" x14ac:dyDescent="0.25">
      <c r="A20579" s="31"/>
      <c r="D20579" s="30"/>
    </row>
    <row r="20580" spans="1:4" x14ac:dyDescent="0.25">
      <c r="A20580" s="31"/>
      <c r="D20580" s="30"/>
    </row>
    <row r="20581" spans="1:4" x14ac:dyDescent="0.25">
      <c r="A20581" s="31"/>
      <c r="D20581" s="30"/>
    </row>
    <row r="20582" spans="1:4" x14ac:dyDescent="0.25">
      <c r="A20582" s="31"/>
      <c r="D20582" s="30"/>
    </row>
    <row r="20583" spans="1:4" x14ac:dyDescent="0.25">
      <c r="A20583" s="31"/>
      <c r="D20583" s="30"/>
    </row>
    <row r="20584" spans="1:4" x14ac:dyDescent="0.25">
      <c r="A20584" s="31"/>
      <c r="D20584" s="30"/>
    </row>
    <row r="20585" spans="1:4" x14ac:dyDescent="0.25">
      <c r="A20585" s="31"/>
      <c r="D20585" s="30"/>
    </row>
    <row r="20586" spans="1:4" x14ac:dyDescent="0.25">
      <c r="A20586" s="31"/>
      <c r="D20586" s="30"/>
    </row>
    <row r="20587" spans="1:4" x14ac:dyDescent="0.25">
      <c r="A20587" s="31"/>
      <c r="D20587" s="30"/>
    </row>
    <row r="20588" spans="1:4" x14ac:dyDescent="0.25">
      <c r="A20588" s="31"/>
      <c r="D20588" s="30"/>
    </row>
    <row r="20589" spans="1:4" x14ac:dyDescent="0.25">
      <c r="A20589" s="31"/>
      <c r="D20589" s="30"/>
    </row>
    <row r="20590" spans="1:4" x14ac:dyDescent="0.25">
      <c r="A20590" s="31"/>
      <c r="D20590" s="30"/>
    </row>
    <row r="20591" spans="1:4" x14ac:dyDescent="0.25">
      <c r="A20591" s="31"/>
      <c r="D20591" s="30"/>
    </row>
    <row r="20592" spans="1:4" x14ac:dyDescent="0.25">
      <c r="A20592" s="31"/>
      <c r="D20592" s="30"/>
    </row>
    <row r="20593" spans="1:4" x14ac:dyDescent="0.25">
      <c r="A20593" s="31"/>
      <c r="D20593" s="30"/>
    </row>
    <row r="20594" spans="1:4" x14ac:dyDescent="0.25">
      <c r="A20594" s="31"/>
      <c r="D20594" s="30"/>
    </row>
    <row r="20595" spans="1:4" x14ac:dyDescent="0.25">
      <c r="A20595" s="31"/>
      <c r="D20595" s="30"/>
    </row>
    <row r="20596" spans="1:4" x14ac:dyDescent="0.25">
      <c r="A20596" s="31"/>
      <c r="D20596" s="30"/>
    </row>
    <row r="20597" spans="1:4" x14ac:dyDescent="0.25">
      <c r="A20597" s="31"/>
      <c r="D20597" s="30"/>
    </row>
    <row r="20598" spans="1:4" x14ac:dyDescent="0.25">
      <c r="A20598" s="31"/>
      <c r="D20598" s="30"/>
    </row>
    <row r="20599" spans="1:4" x14ac:dyDescent="0.25">
      <c r="A20599" s="31"/>
      <c r="D20599" s="30"/>
    </row>
    <row r="20600" spans="1:4" x14ac:dyDescent="0.25">
      <c r="A20600" s="31"/>
      <c r="D20600" s="30"/>
    </row>
    <row r="20601" spans="1:4" x14ac:dyDescent="0.25">
      <c r="A20601" s="31"/>
      <c r="D20601" s="30"/>
    </row>
    <row r="20602" spans="1:4" x14ac:dyDescent="0.25">
      <c r="A20602" s="31"/>
      <c r="D20602" s="30"/>
    </row>
    <row r="20603" spans="1:4" x14ac:dyDescent="0.25">
      <c r="A20603" s="31"/>
      <c r="D20603" s="30"/>
    </row>
    <row r="20604" spans="1:4" x14ac:dyDescent="0.25">
      <c r="A20604" s="31"/>
      <c r="D20604" s="30"/>
    </row>
    <row r="20605" spans="1:4" x14ac:dyDescent="0.25">
      <c r="A20605" s="31"/>
      <c r="D20605" s="30"/>
    </row>
    <row r="20606" spans="1:4" x14ac:dyDescent="0.25">
      <c r="A20606" s="31"/>
      <c r="D20606" s="30"/>
    </row>
    <row r="20607" spans="1:4" x14ac:dyDescent="0.25">
      <c r="A20607" s="31"/>
      <c r="D20607" s="30"/>
    </row>
    <row r="20608" spans="1:4" x14ac:dyDescent="0.25">
      <c r="A20608" s="31"/>
      <c r="D20608" s="30"/>
    </row>
    <row r="20609" spans="1:4" x14ac:dyDescent="0.25">
      <c r="A20609" s="31"/>
      <c r="D20609" s="30"/>
    </row>
    <row r="20610" spans="1:4" x14ac:dyDescent="0.25">
      <c r="A20610" s="31"/>
      <c r="D20610" s="30"/>
    </row>
    <row r="20611" spans="1:4" x14ac:dyDescent="0.25">
      <c r="A20611" s="31"/>
      <c r="D20611" s="30"/>
    </row>
    <row r="20612" spans="1:4" x14ac:dyDescent="0.25">
      <c r="A20612" s="31"/>
      <c r="D20612" s="30"/>
    </row>
    <row r="20613" spans="1:4" x14ac:dyDescent="0.25">
      <c r="A20613" s="31"/>
      <c r="D20613" s="30"/>
    </row>
    <row r="20614" spans="1:4" x14ac:dyDescent="0.25">
      <c r="A20614" s="31"/>
      <c r="D20614" s="30"/>
    </row>
    <row r="20615" spans="1:4" x14ac:dyDescent="0.25">
      <c r="A20615" s="31"/>
      <c r="D20615" s="30"/>
    </row>
    <row r="20616" spans="1:4" x14ac:dyDescent="0.25">
      <c r="A20616" s="31"/>
      <c r="D20616" s="30"/>
    </row>
    <row r="20617" spans="1:4" x14ac:dyDescent="0.25">
      <c r="A20617" s="31"/>
      <c r="D20617" s="30"/>
    </row>
    <row r="20618" spans="1:4" x14ac:dyDescent="0.25">
      <c r="A20618" s="31"/>
      <c r="D20618" s="30"/>
    </row>
    <row r="20619" spans="1:4" x14ac:dyDescent="0.25">
      <c r="A20619" s="31"/>
      <c r="D20619" s="30"/>
    </row>
    <row r="20620" spans="1:4" x14ac:dyDescent="0.25">
      <c r="A20620" s="31"/>
      <c r="D20620" s="30"/>
    </row>
    <row r="20621" spans="1:4" x14ac:dyDescent="0.25">
      <c r="A20621" s="31"/>
      <c r="D20621" s="30"/>
    </row>
    <row r="20622" spans="1:4" x14ac:dyDescent="0.25">
      <c r="A20622" s="31"/>
      <c r="D20622" s="30"/>
    </row>
    <row r="20623" spans="1:4" x14ac:dyDescent="0.25">
      <c r="A20623" s="31"/>
      <c r="D20623" s="30"/>
    </row>
    <row r="20624" spans="1:4" x14ac:dyDescent="0.25">
      <c r="A20624" s="31"/>
      <c r="D20624" s="30"/>
    </row>
    <row r="20625" spans="1:4" x14ac:dyDescent="0.25">
      <c r="A20625" s="31"/>
      <c r="D20625" s="30"/>
    </row>
    <row r="20626" spans="1:4" x14ac:dyDescent="0.25">
      <c r="A20626" s="31"/>
      <c r="D20626" s="30"/>
    </row>
    <row r="20627" spans="1:4" x14ac:dyDescent="0.25">
      <c r="A20627" s="31"/>
      <c r="D20627" s="30"/>
    </row>
    <row r="20628" spans="1:4" x14ac:dyDescent="0.25">
      <c r="A20628" s="31"/>
      <c r="D20628" s="30"/>
    </row>
    <row r="20629" spans="1:4" x14ac:dyDescent="0.25">
      <c r="A20629" s="31"/>
      <c r="D20629" s="30"/>
    </row>
    <row r="20630" spans="1:4" x14ac:dyDescent="0.25">
      <c r="A20630" s="31"/>
      <c r="D20630" s="30"/>
    </row>
    <row r="20631" spans="1:4" x14ac:dyDescent="0.25">
      <c r="A20631" s="31"/>
      <c r="D20631" s="30"/>
    </row>
    <row r="20632" spans="1:4" x14ac:dyDescent="0.25">
      <c r="A20632" s="31"/>
      <c r="D20632" s="30"/>
    </row>
    <row r="20633" spans="1:4" x14ac:dyDescent="0.25">
      <c r="A20633" s="31"/>
      <c r="D20633" s="30"/>
    </row>
    <row r="20634" spans="1:4" x14ac:dyDescent="0.25">
      <c r="A20634" s="31"/>
      <c r="D20634" s="30"/>
    </row>
    <row r="20635" spans="1:4" x14ac:dyDescent="0.25">
      <c r="A20635" s="31"/>
      <c r="D20635" s="30"/>
    </row>
    <row r="20636" spans="1:4" x14ac:dyDescent="0.25">
      <c r="A20636" s="31"/>
      <c r="D20636" s="30"/>
    </row>
    <row r="20637" spans="1:4" x14ac:dyDescent="0.25">
      <c r="A20637" s="31"/>
      <c r="D20637" s="30"/>
    </row>
    <row r="20638" spans="1:4" x14ac:dyDescent="0.25">
      <c r="A20638" s="31"/>
      <c r="D20638" s="30"/>
    </row>
    <row r="20639" spans="1:4" x14ac:dyDescent="0.25">
      <c r="A20639" s="31"/>
      <c r="D20639" s="30"/>
    </row>
    <row r="20640" spans="1:4" x14ac:dyDescent="0.25">
      <c r="A20640" s="31"/>
      <c r="D20640" s="30"/>
    </row>
    <row r="20641" spans="1:4" x14ac:dyDescent="0.25">
      <c r="A20641" s="31"/>
      <c r="D20641" s="30"/>
    </row>
    <row r="20642" spans="1:4" x14ac:dyDescent="0.25">
      <c r="A20642" s="31"/>
      <c r="D20642" s="30"/>
    </row>
    <row r="20643" spans="1:4" x14ac:dyDescent="0.25">
      <c r="A20643" s="31"/>
      <c r="D20643" s="30"/>
    </row>
    <row r="20644" spans="1:4" x14ac:dyDescent="0.25">
      <c r="A20644" s="31"/>
      <c r="D20644" s="30"/>
    </row>
    <row r="20645" spans="1:4" x14ac:dyDescent="0.25">
      <c r="A20645" s="31"/>
      <c r="D20645" s="30"/>
    </row>
    <row r="20646" spans="1:4" x14ac:dyDescent="0.25">
      <c r="A20646" s="31"/>
      <c r="D20646" s="30"/>
    </row>
    <row r="20647" spans="1:4" x14ac:dyDescent="0.25">
      <c r="A20647" s="31"/>
      <c r="D20647" s="30"/>
    </row>
    <row r="20648" spans="1:4" x14ac:dyDescent="0.25">
      <c r="A20648" s="31"/>
      <c r="D20648" s="30"/>
    </row>
    <row r="20649" spans="1:4" x14ac:dyDescent="0.25">
      <c r="A20649" s="31"/>
      <c r="D20649" s="30"/>
    </row>
    <row r="20650" spans="1:4" x14ac:dyDescent="0.25">
      <c r="A20650" s="31"/>
      <c r="D20650" s="30"/>
    </row>
    <row r="20651" spans="1:4" x14ac:dyDescent="0.25">
      <c r="A20651" s="31"/>
      <c r="D20651" s="30"/>
    </row>
    <row r="20652" spans="1:4" x14ac:dyDescent="0.25">
      <c r="A20652" s="31"/>
      <c r="D20652" s="30"/>
    </row>
    <row r="20653" spans="1:4" x14ac:dyDescent="0.25">
      <c r="A20653" s="31"/>
      <c r="D20653" s="30"/>
    </row>
    <row r="20654" spans="1:4" x14ac:dyDescent="0.25">
      <c r="A20654" s="31"/>
      <c r="D20654" s="30"/>
    </row>
    <row r="20655" spans="1:4" x14ac:dyDescent="0.25">
      <c r="A20655" s="31"/>
      <c r="D20655" s="30"/>
    </row>
    <row r="20656" spans="1:4" x14ac:dyDescent="0.25">
      <c r="A20656" s="31"/>
      <c r="D20656" s="30"/>
    </row>
    <row r="20657" spans="1:4" x14ac:dyDescent="0.25">
      <c r="A20657" s="31"/>
      <c r="D20657" s="30"/>
    </row>
    <row r="20658" spans="1:4" x14ac:dyDescent="0.25">
      <c r="A20658" s="31"/>
      <c r="D20658" s="30"/>
    </row>
    <row r="20659" spans="1:4" x14ac:dyDescent="0.25">
      <c r="A20659" s="31"/>
      <c r="D20659" s="30"/>
    </row>
    <row r="20660" spans="1:4" x14ac:dyDescent="0.25">
      <c r="A20660" s="31"/>
      <c r="D20660" s="30"/>
    </row>
    <row r="20661" spans="1:4" x14ac:dyDescent="0.25">
      <c r="A20661" s="31"/>
      <c r="D20661" s="30"/>
    </row>
    <row r="20662" spans="1:4" x14ac:dyDescent="0.25">
      <c r="A20662" s="31"/>
      <c r="D20662" s="30"/>
    </row>
    <row r="20663" spans="1:4" x14ac:dyDescent="0.25">
      <c r="A20663" s="31"/>
      <c r="D20663" s="30"/>
    </row>
    <row r="20664" spans="1:4" x14ac:dyDescent="0.25">
      <c r="A20664" s="31"/>
      <c r="D20664" s="30"/>
    </row>
    <row r="20665" spans="1:4" x14ac:dyDescent="0.25">
      <c r="A20665" s="31"/>
      <c r="D20665" s="30"/>
    </row>
    <row r="20666" spans="1:4" x14ac:dyDescent="0.25">
      <c r="A20666" s="31"/>
      <c r="D20666" s="30"/>
    </row>
    <row r="20667" spans="1:4" x14ac:dyDescent="0.25">
      <c r="A20667" s="31"/>
      <c r="D20667" s="30"/>
    </row>
    <row r="20668" spans="1:4" x14ac:dyDescent="0.25">
      <c r="A20668" s="31"/>
      <c r="D20668" s="30"/>
    </row>
    <row r="20669" spans="1:4" x14ac:dyDescent="0.25">
      <c r="A20669" s="31"/>
      <c r="D20669" s="30"/>
    </row>
    <row r="20670" spans="1:4" x14ac:dyDescent="0.25">
      <c r="A20670" s="31"/>
      <c r="D20670" s="30"/>
    </row>
    <row r="20671" spans="1:4" x14ac:dyDescent="0.25">
      <c r="A20671" s="31"/>
      <c r="D20671" s="30"/>
    </row>
    <row r="20672" spans="1:4" x14ac:dyDescent="0.25">
      <c r="A20672" s="31"/>
      <c r="D20672" s="30"/>
    </row>
    <row r="20673" spans="1:4" x14ac:dyDescent="0.25">
      <c r="A20673" s="31"/>
      <c r="D20673" s="30"/>
    </row>
    <row r="20674" spans="1:4" x14ac:dyDescent="0.25">
      <c r="A20674" s="31"/>
      <c r="D20674" s="30"/>
    </row>
    <row r="20675" spans="1:4" x14ac:dyDescent="0.25">
      <c r="A20675" s="31"/>
      <c r="D20675" s="30"/>
    </row>
    <row r="20676" spans="1:4" x14ac:dyDescent="0.25">
      <c r="A20676" s="31"/>
      <c r="D20676" s="30"/>
    </row>
    <row r="20677" spans="1:4" x14ac:dyDescent="0.25">
      <c r="A20677" s="31"/>
      <c r="D20677" s="30"/>
    </row>
    <row r="20678" spans="1:4" x14ac:dyDescent="0.25">
      <c r="A20678" s="31"/>
      <c r="D20678" s="30"/>
    </row>
    <row r="20679" spans="1:4" x14ac:dyDescent="0.25">
      <c r="A20679" s="31"/>
      <c r="D20679" s="30"/>
    </row>
    <row r="20680" spans="1:4" x14ac:dyDescent="0.25">
      <c r="A20680" s="31"/>
      <c r="D20680" s="30"/>
    </row>
    <row r="20681" spans="1:4" x14ac:dyDescent="0.25">
      <c r="A20681" s="31"/>
      <c r="D20681" s="30"/>
    </row>
    <row r="20682" spans="1:4" x14ac:dyDescent="0.25">
      <c r="A20682" s="31"/>
      <c r="D20682" s="30"/>
    </row>
    <row r="20683" spans="1:4" x14ac:dyDescent="0.25">
      <c r="A20683" s="31"/>
      <c r="D20683" s="30"/>
    </row>
    <row r="20684" spans="1:4" x14ac:dyDescent="0.25">
      <c r="A20684" s="31"/>
      <c r="D20684" s="30"/>
    </row>
    <row r="20685" spans="1:4" x14ac:dyDescent="0.25">
      <c r="A20685" s="31"/>
      <c r="D20685" s="30"/>
    </row>
    <row r="20686" spans="1:4" x14ac:dyDescent="0.25">
      <c r="A20686" s="31"/>
      <c r="D20686" s="30"/>
    </row>
    <row r="20687" spans="1:4" x14ac:dyDescent="0.25">
      <c r="A20687" s="31"/>
      <c r="D20687" s="30"/>
    </row>
    <row r="20688" spans="1:4" x14ac:dyDescent="0.25">
      <c r="A20688" s="31"/>
      <c r="D20688" s="30"/>
    </row>
    <row r="20689" spans="1:4" x14ac:dyDescent="0.25">
      <c r="A20689" s="31"/>
      <c r="D20689" s="30"/>
    </row>
    <row r="20690" spans="1:4" x14ac:dyDescent="0.25">
      <c r="A20690" s="31"/>
      <c r="D20690" s="30"/>
    </row>
    <row r="20691" spans="1:4" x14ac:dyDescent="0.25">
      <c r="A20691" s="31"/>
      <c r="D20691" s="30"/>
    </row>
    <row r="20692" spans="1:4" x14ac:dyDescent="0.25">
      <c r="A20692" s="31"/>
      <c r="D20692" s="30"/>
    </row>
    <row r="20693" spans="1:4" x14ac:dyDescent="0.25">
      <c r="A20693" s="31"/>
      <c r="D20693" s="30"/>
    </row>
    <row r="20694" spans="1:4" x14ac:dyDescent="0.25">
      <c r="A20694" s="31"/>
      <c r="D20694" s="30"/>
    </row>
    <row r="20695" spans="1:4" x14ac:dyDescent="0.25">
      <c r="A20695" s="31"/>
      <c r="D20695" s="30"/>
    </row>
    <row r="20696" spans="1:4" x14ac:dyDescent="0.25">
      <c r="A20696" s="31"/>
      <c r="D20696" s="30"/>
    </row>
    <row r="20697" spans="1:4" x14ac:dyDescent="0.25">
      <c r="A20697" s="31"/>
      <c r="D20697" s="30"/>
    </row>
    <row r="20698" spans="1:4" x14ac:dyDescent="0.25">
      <c r="A20698" s="31"/>
      <c r="D20698" s="30"/>
    </row>
    <row r="20699" spans="1:4" x14ac:dyDescent="0.25">
      <c r="A20699" s="31"/>
      <c r="D20699" s="30"/>
    </row>
    <row r="20700" spans="1:4" x14ac:dyDescent="0.25">
      <c r="A20700" s="31"/>
      <c r="D20700" s="30"/>
    </row>
    <row r="20701" spans="1:4" x14ac:dyDescent="0.25">
      <c r="A20701" s="31"/>
      <c r="D20701" s="30"/>
    </row>
    <row r="20702" spans="1:4" x14ac:dyDescent="0.25">
      <c r="A20702" s="31"/>
      <c r="D20702" s="30"/>
    </row>
    <row r="20703" spans="1:4" x14ac:dyDescent="0.25">
      <c r="A20703" s="31"/>
      <c r="D20703" s="30"/>
    </row>
    <row r="20704" spans="1:4" x14ac:dyDescent="0.25">
      <c r="A20704" s="31"/>
      <c r="D20704" s="30"/>
    </row>
    <row r="20705" spans="1:4" x14ac:dyDescent="0.25">
      <c r="A20705" s="31"/>
      <c r="D20705" s="30"/>
    </row>
    <row r="20706" spans="1:4" x14ac:dyDescent="0.25">
      <c r="A20706" s="31"/>
      <c r="D20706" s="30"/>
    </row>
    <row r="20707" spans="1:4" x14ac:dyDescent="0.25">
      <c r="A20707" s="31"/>
      <c r="D20707" s="30"/>
    </row>
    <row r="20708" spans="1:4" x14ac:dyDescent="0.25">
      <c r="A20708" s="31"/>
      <c r="D20708" s="30"/>
    </row>
    <row r="20709" spans="1:4" x14ac:dyDescent="0.25">
      <c r="A20709" s="31"/>
      <c r="D20709" s="30"/>
    </row>
    <row r="20710" spans="1:4" x14ac:dyDescent="0.25">
      <c r="A20710" s="31"/>
      <c r="D20710" s="30"/>
    </row>
    <row r="20711" spans="1:4" x14ac:dyDescent="0.25">
      <c r="A20711" s="31"/>
      <c r="D20711" s="30"/>
    </row>
    <row r="20712" spans="1:4" x14ac:dyDescent="0.25">
      <c r="A20712" s="31"/>
      <c r="D20712" s="30"/>
    </row>
    <row r="20713" spans="1:4" x14ac:dyDescent="0.25">
      <c r="A20713" s="31"/>
      <c r="D20713" s="30"/>
    </row>
    <row r="20714" spans="1:4" x14ac:dyDescent="0.25">
      <c r="A20714" s="31"/>
      <c r="D20714" s="30"/>
    </row>
    <row r="20715" spans="1:4" x14ac:dyDescent="0.25">
      <c r="A20715" s="31"/>
      <c r="D20715" s="30"/>
    </row>
    <row r="20716" spans="1:4" x14ac:dyDescent="0.25">
      <c r="A20716" s="31"/>
      <c r="D20716" s="30"/>
    </row>
    <row r="20717" spans="1:4" x14ac:dyDescent="0.25">
      <c r="A20717" s="31"/>
      <c r="D20717" s="30"/>
    </row>
    <row r="20718" spans="1:4" x14ac:dyDescent="0.25">
      <c r="A20718" s="31"/>
      <c r="D20718" s="30"/>
    </row>
    <row r="20719" spans="1:4" x14ac:dyDescent="0.25">
      <c r="A20719" s="31"/>
      <c r="D20719" s="30"/>
    </row>
    <row r="20720" spans="1:4" x14ac:dyDescent="0.25">
      <c r="A20720" s="31"/>
      <c r="D20720" s="30"/>
    </row>
    <row r="20721" spans="1:4" x14ac:dyDescent="0.25">
      <c r="A20721" s="31"/>
      <c r="D20721" s="30"/>
    </row>
    <row r="20722" spans="1:4" x14ac:dyDescent="0.25">
      <c r="A20722" s="31"/>
      <c r="D20722" s="30"/>
    </row>
    <row r="20723" spans="1:4" x14ac:dyDescent="0.25">
      <c r="A20723" s="31"/>
      <c r="D20723" s="30"/>
    </row>
    <row r="20724" spans="1:4" x14ac:dyDescent="0.25">
      <c r="A20724" s="31"/>
      <c r="D20724" s="30"/>
    </row>
    <row r="20725" spans="1:4" x14ac:dyDescent="0.25">
      <c r="A20725" s="31"/>
      <c r="D20725" s="30"/>
    </row>
    <row r="20726" spans="1:4" x14ac:dyDescent="0.25">
      <c r="A20726" s="31"/>
      <c r="D20726" s="30"/>
    </row>
    <row r="20727" spans="1:4" x14ac:dyDescent="0.25">
      <c r="A20727" s="31"/>
      <c r="D20727" s="30"/>
    </row>
    <row r="20728" spans="1:4" x14ac:dyDescent="0.25">
      <c r="A20728" s="31"/>
      <c r="D20728" s="30"/>
    </row>
    <row r="20729" spans="1:4" x14ac:dyDescent="0.25">
      <c r="A20729" s="31"/>
      <c r="D20729" s="30"/>
    </row>
    <row r="20730" spans="1:4" x14ac:dyDescent="0.25">
      <c r="A20730" s="31"/>
      <c r="D20730" s="30"/>
    </row>
    <row r="20731" spans="1:4" x14ac:dyDescent="0.25">
      <c r="A20731" s="31"/>
      <c r="D20731" s="30"/>
    </row>
    <row r="20732" spans="1:4" x14ac:dyDescent="0.25">
      <c r="A20732" s="31"/>
      <c r="D20732" s="30"/>
    </row>
    <row r="20733" spans="1:4" x14ac:dyDescent="0.25">
      <c r="A20733" s="31"/>
      <c r="D20733" s="30"/>
    </row>
    <row r="20734" spans="1:4" x14ac:dyDescent="0.25">
      <c r="A20734" s="31"/>
      <c r="D20734" s="30"/>
    </row>
    <row r="20735" spans="1:4" x14ac:dyDescent="0.25">
      <c r="A20735" s="31"/>
      <c r="D20735" s="30"/>
    </row>
    <row r="20736" spans="1:4" x14ac:dyDescent="0.25">
      <c r="A20736" s="31"/>
      <c r="D20736" s="30"/>
    </row>
    <row r="20737" spans="1:4" x14ac:dyDescent="0.25">
      <c r="A20737" s="31"/>
      <c r="D20737" s="30"/>
    </row>
    <row r="20738" spans="1:4" x14ac:dyDescent="0.25">
      <c r="A20738" s="31"/>
      <c r="D20738" s="30"/>
    </row>
    <row r="20739" spans="1:4" x14ac:dyDescent="0.25">
      <c r="A20739" s="31"/>
      <c r="D20739" s="30"/>
    </row>
    <row r="20740" spans="1:4" x14ac:dyDescent="0.25">
      <c r="A20740" s="31"/>
      <c r="D20740" s="30"/>
    </row>
    <row r="20741" spans="1:4" x14ac:dyDescent="0.25">
      <c r="A20741" s="31"/>
      <c r="D20741" s="30"/>
    </row>
    <row r="20742" spans="1:4" x14ac:dyDescent="0.25">
      <c r="A20742" s="31"/>
      <c r="D20742" s="30"/>
    </row>
    <row r="20743" spans="1:4" x14ac:dyDescent="0.25">
      <c r="A20743" s="31"/>
      <c r="D20743" s="30"/>
    </row>
    <row r="20744" spans="1:4" x14ac:dyDescent="0.25">
      <c r="A20744" s="31"/>
      <c r="D20744" s="30"/>
    </row>
    <row r="20745" spans="1:4" x14ac:dyDescent="0.25">
      <c r="A20745" s="31"/>
      <c r="D20745" s="30"/>
    </row>
    <row r="20746" spans="1:4" x14ac:dyDescent="0.25">
      <c r="A20746" s="31"/>
      <c r="D20746" s="30"/>
    </row>
    <row r="20747" spans="1:4" x14ac:dyDescent="0.25">
      <c r="A20747" s="31"/>
      <c r="D20747" s="30"/>
    </row>
    <row r="20748" spans="1:4" x14ac:dyDescent="0.25">
      <c r="A20748" s="31"/>
      <c r="D20748" s="30"/>
    </row>
    <row r="20749" spans="1:4" x14ac:dyDescent="0.25">
      <c r="A20749" s="31"/>
      <c r="D20749" s="30"/>
    </row>
    <row r="20750" spans="1:4" x14ac:dyDescent="0.25">
      <c r="A20750" s="31"/>
      <c r="D20750" s="30"/>
    </row>
    <row r="20751" spans="1:4" x14ac:dyDescent="0.25">
      <c r="A20751" s="31"/>
      <c r="D20751" s="30"/>
    </row>
    <row r="20752" spans="1:4" x14ac:dyDescent="0.25">
      <c r="A20752" s="31"/>
      <c r="D20752" s="30"/>
    </row>
    <row r="20753" spans="1:4" x14ac:dyDescent="0.25">
      <c r="A20753" s="31"/>
      <c r="D20753" s="30"/>
    </row>
    <row r="20754" spans="1:4" x14ac:dyDescent="0.25">
      <c r="A20754" s="31"/>
      <c r="D20754" s="30"/>
    </row>
    <row r="20755" spans="1:4" x14ac:dyDescent="0.25">
      <c r="A20755" s="31"/>
      <c r="D20755" s="30"/>
    </row>
    <row r="20756" spans="1:4" x14ac:dyDescent="0.25">
      <c r="A20756" s="31"/>
      <c r="D20756" s="30"/>
    </row>
    <row r="20757" spans="1:4" x14ac:dyDescent="0.25">
      <c r="A20757" s="31"/>
      <c r="D20757" s="30"/>
    </row>
    <row r="20758" spans="1:4" x14ac:dyDescent="0.25">
      <c r="A20758" s="31"/>
      <c r="D20758" s="30"/>
    </row>
    <row r="20759" spans="1:4" x14ac:dyDescent="0.25">
      <c r="A20759" s="31"/>
      <c r="D20759" s="30"/>
    </row>
    <row r="20760" spans="1:4" x14ac:dyDescent="0.25">
      <c r="A20760" s="31"/>
      <c r="D20760" s="30"/>
    </row>
    <row r="20761" spans="1:4" x14ac:dyDescent="0.25">
      <c r="A20761" s="31"/>
      <c r="D20761" s="30"/>
    </row>
    <row r="20762" spans="1:4" x14ac:dyDescent="0.25">
      <c r="A20762" s="31"/>
      <c r="D20762" s="30"/>
    </row>
    <row r="20763" spans="1:4" x14ac:dyDescent="0.25">
      <c r="A20763" s="31"/>
      <c r="D20763" s="30"/>
    </row>
    <row r="20764" spans="1:4" x14ac:dyDescent="0.25">
      <c r="A20764" s="31"/>
      <c r="D20764" s="30"/>
    </row>
    <row r="20765" spans="1:4" x14ac:dyDescent="0.25">
      <c r="A20765" s="31"/>
      <c r="D20765" s="30"/>
    </row>
    <row r="20766" spans="1:4" x14ac:dyDescent="0.25">
      <c r="A20766" s="31"/>
      <c r="D20766" s="30"/>
    </row>
    <row r="20767" spans="1:4" x14ac:dyDescent="0.25">
      <c r="A20767" s="31"/>
      <c r="D20767" s="30"/>
    </row>
    <row r="20768" spans="1:4" x14ac:dyDescent="0.25">
      <c r="A20768" s="31"/>
      <c r="D20768" s="30"/>
    </row>
    <row r="20769" spans="1:4" x14ac:dyDescent="0.25">
      <c r="A20769" s="31"/>
      <c r="D20769" s="30"/>
    </row>
    <row r="20770" spans="1:4" x14ac:dyDescent="0.25">
      <c r="A20770" s="31"/>
      <c r="D20770" s="30"/>
    </row>
    <row r="20771" spans="1:4" x14ac:dyDescent="0.25">
      <c r="A20771" s="31"/>
      <c r="D20771" s="30"/>
    </row>
    <row r="20772" spans="1:4" x14ac:dyDescent="0.25">
      <c r="A20772" s="31"/>
      <c r="D20772" s="30"/>
    </row>
    <row r="20773" spans="1:4" x14ac:dyDescent="0.25">
      <c r="A20773" s="31"/>
      <c r="D20773" s="30"/>
    </row>
    <row r="20774" spans="1:4" x14ac:dyDescent="0.25">
      <c r="A20774" s="31"/>
      <c r="D20774" s="30"/>
    </row>
    <row r="20775" spans="1:4" x14ac:dyDescent="0.25">
      <c r="A20775" s="31"/>
      <c r="D20775" s="30"/>
    </row>
    <row r="20776" spans="1:4" x14ac:dyDescent="0.25">
      <c r="A20776" s="31"/>
      <c r="D20776" s="30"/>
    </row>
    <row r="20777" spans="1:4" x14ac:dyDescent="0.25">
      <c r="A20777" s="31"/>
      <c r="D20777" s="30"/>
    </row>
    <row r="20778" spans="1:4" x14ac:dyDescent="0.25">
      <c r="A20778" s="31"/>
      <c r="D20778" s="30"/>
    </row>
    <row r="20779" spans="1:4" x14ac:dyDescent="0.25">
      <c r="A20779" s="31"/>
      <c r="D20779" s="30"/>
    </row>
    <row r="20780" spans="1:4" x14ac:dyDescent="0.25">
      <c r="A20780" s="31"/>
      <c r="D20780" s="30"/>
    </row>
    <row r="20781" spans="1:4" x14ac:dyDescent="0.25">
      <c r="A20781" s="31"/>
      <c r="D20781" s="30"/>
    </row>
    <row r="20782" spans="1:4" x14ac:dyDescent="0.25">
      <c r="A20782" s="31"/>
      <c r="D20782" s="30"/>
    </row>
    <row r="20783" spans="1:4" x14ac:dyDescent="0.25">
      <c r="A20783" s="31"/>
      <c r="D20783" s="30"/>
    </row>
    <row r="20784" spans="1:4" x14ac:dyDescent="0.25">
      <c r="A20784" s="31"/>
      <c r="D20784" s="30"/>
    </row>
    <row r="20785" spans="1:4" x14ac:dyDescent="0.25">
      <c r="A20785" s="31"/>
      <c r="D20785" s="30"/>
    </row>
    <row r="20786" spans="1:4" x14ac:dyDescent="0.25">
      <c r="A20786" s="31"/>
      <c r="D20786" s="30"/>
    </row>
    <row r="20787" spans="1:4" x14ac:dyDescent="0.25">
      <c r="A20787" s="31"/>
      <c r="D20787" s="30"/>
    </row>
    <row r="20788" spans="1:4" x14ac:dyDescent="0.25">
      <c r="A20788" s="31"/>
      <c r="D20788" s="30"/>
    </row>
    <row r="20789" spans="1:4" x14ac:dyDescent="0.25">
      <c r="A20789" s="31"/>
      <c r="D20789" s="30"/>
    </row>
    <row r="20790" spans="1:4" x14ac:dyDescent="0.25">
      <c r="A20790" s="31"/>
      <c r="D20790" s="30"/>
    </row>
    <row r="20791" spans="1:4" x14ac:dyDescent="0.25">
      <c r="A20791" s="31"/>
      <c r="D20791" s="30"/>
    </row>
    <row r="20792" spans="1:4" x14ac:dyDescent="0.25">
      <c r="A20792" s="31"/>
      <c r="D20792" s="30"/>
    </row>
    <row r="20793" spans="1:4" x14ac:dyDescent="0.25">
      <c r="A20793" s="31"/>
      <c r="D20793" s="30"/>
    </row>
    <row r="20794" spans="1:4" x14ac:dyDescent="0.25">
      <c r="A20794" s="31"/>
      <c r="D20794" s="30"/>
    </row>
    <row r="20795" spans="1:4" x14ac:dyDescent="0.25">
      <c r="A20795" s="31"/>
      <c r="D20795" s="30"/>
    </row>
    <row r="20796" spans="1:4" x14ac:dyDescent="0.25">
      <c r="A20796" s="31"/>
      <c r="D20796" s="30"/>
    </row>
    <row r="20797" spans="1:4" x14ac:dyDescent="0.25">
      <c r="A20797" s="31"/>
      <c r="D20797" s="30"/>
    </row>
    <row r="20798" spans="1:4" x14ac:dyDescent="0.25">
      <c r="A20798" s="31"/>
      <c r="D20798" s="30"/>
    </row>
    <row r="20799" spans="1:4" x14ac:dyDescent="0.25">
      <c r="A20799" s="31"/>
      <c r="D20799" s="30"/>
    </row>
    <row r="20800" spans="1:4" x14ac:dyDescent="0.25">
      <c r="A20800" s="31"/>
      <c r="D20800" s="30"/>
    </row>
    <row r="20801" spans="1:4" x14ac:dyDescent="0.25">
      <c r="A20801" s="31"/>
      <c r="D20801" s="30"/>
    </row>
    <row r="20802" spans="1:4" x14ac:dyDescent="0.25">
      <c r="A20802" s="31"/>
      <c r="D20802" s="30"/>
    </row>
    <row r="20803" spans="1:4" x14ac:dyDescent="0.25">
      <c r="A20803" s="31"/>
      <c r="D20803" s="30"/>
    </row>
    <row r="20804" spans="1:4" x14ac:dyDescent="0.25">
      <c r="A20804" s="31"/>
      <c r="D20804" s="30"/>
    </row>
    <row r="20805" spans="1:4" x14ac:dyDescent="0.25">
      <c r="A20805" s="31"/>
      <c r="D20805" s="30"/>
    </row>
    <row r="20806" spans="1:4" x14ac:dyDescent="0.25">
      <c r="A20806" s="31"/>
      <c r="D20806" s="30"/>
    </row>
    <row r="20807" spans="1:4" x14ac:dyDescent="0.25">
      <c r="A20807" s="31"/>
      <c r="D20807" s="30"/>
    </row>
    <row r="20808" spans="1:4" x14ac:dyDescent="0.25">
      <c r="A20808" s="31"/>
      <c r="D20808" s="30"/>
    </row>
    <row r="20809" spans="1:4" x14ac:dyDescent="0.25">
      <c r="A20809" s="31"/>
      <c r="D20809" s="30"/>
    </row>
    <row r="20810" spans="1:4" x14ac:dyDescent="0.25">
      <c r="A20810" s="31"/>
      <c r="D20810" s="30"/>
    </row>
    <row r="20811" spans="1:4" x14ac:dyDescent="0.25">
      <c r="A20811" s="31"/>
      <c r="D20811" s="30"/>
    </row>
    <row r="20812" spans="1:4" x14ac:dyDescent="0.25">
      <c r="A20812" s="31"/>
      <c r="D20812" s="30"/>
    </row>
    <row r="20813" spans="1:4" x14ac:dyDescent="0.25">
      <c r="A20813" s="31"/>
      <c r="D20813" s="30"/>
    </row>
    <row r="20814" spans="1:4" x14ac:dyDescent="0.25">
      <c r="A20814" s="31"/>
      <c r="D20814" s="30"/>
    </row>
    <row r="20815" spans="1:4" x14ac:dyDescent="0.25">
      <c r="A20815" s="31"/>
      <c r="D20815" s="30"/>
    </row>
    <row r="20816" spans="1:4" x14ac:dyDescent="0.25">
      <c r="A20816" s="31"/>
      <c r="D20816" s="30"/>
    </row>
    <row r="20817" spans="1:4" x14ac:dyDescent="0.25">
      <c r="A20817" s="31"/>
      <c r="D20817" s="30"/>
    </row>
    <row r="20818" spans="1:4" x14ac:dyDescent="0.25">
      <c r="A20818" s="31"/>
      <c r="D20818" s="30"/>
    </row>
    <row r="20819" spans="1:4" x14ac:dyDescent="0.25">
      <c r="A20819" s="31"/>
      <c r="D20819" s="30"/>
    </row>
    <row r="20820" spans="1:4" x14ac:dyDescent="0.25">
      <c r="A20820" s="31"/>
      <c r="D20820" s="30"/>
    </row>
    <row r="20821" spans="1:4" x14ac:dyDescent="0.25">
      <c r="A20821" s="31"/>
      <c r="D20821" s="30"/>
    </row>
    <row r="20822" spans="1:4" x14ac:dyDescent="0.25">
      <c r="A20822" s="31"/>
      <c r="D20822" s="30"/>
    </row>
    <row r="20823" spans="1:4" x14ac:dyDescent="0.25">
      <c r="A20823" s="31"/>
      <c r="D20823" s="30"/>
    </row>
    <row r="20824" spans="1:4" x14ac:dyDescent="0.25">
      <c r="A20824" s="31"/>
      <c r="D20824" s="30"/>
    </row>
    <row r="20825" spans="1:4" x14ac:dyDescent="0.25">
      <c r="A20825" s="31"/>
      <c r="D20825" s="30"/>
    </row>
    <row r="20826" spans="1:4" x14ac:dyDescent="0.25">
      <c r="A20826" s="31"/>
      <c r="D20826" s="30"/>
    </row>
    <row r="20827" spans="1:4" x14ac:dyDescent="0.25">
      <c r="A20827" s="31"/>
      <c r="D20827" s="30"/>
    </row>
    <row r="20828" spans="1:4" x14ac:dyDescent="0.25">
      <c r="A20828" s="31"/>
      <c r="D20828" s="30"/>
    </row>
    <row r="20829" spans="1:4" x14ac:dyDescent="0.25">
      <c r="A20829" s="31"/>
      <c r="D20829" s="30"/>
    </row>
    <row r="20830" spans="1:4" x14ac:dyDescent="0.25">
      <c r="A20830" s="31"/>
      <c r="D20830" s="30"/>
    </row>
    <row r="20831" spans="1:4" x14ac:dyDescent="0.25">
      <c r="A20831" s="31"/>
      <c r="D20831" s="30"/>
    </row>
    <row r="20832" spans="1:4" x14ac:dyDescent="0.25">
      <c r="A20832" s="31"/>
      <c r="D20832" s="30"/>
    </row>
    <row r="20833" spans="1:4" x14ac:dyDescent="0.25">
      <c r="A20833" s="31"/>
      <c r="D20833" s="30"/>
    </row>
    <row r="20834" spans="1:4" x14ac:dyDescent="0.25">
      <c r="A20834" s="31"/>
      <c r="D20834" s="30"/>
    </row>
    <row r="20835" spans="1:4" x14ac:dyDescent="0.25">
      <c r="A20835" s="31"/>
      <c r="D20835" s="30"/>
    </row>
    <row r="20836" spans="1:4" x14ac:dyDescent="0.25">
      <c r="A20836" s="31"/>
      <c r="D20836" s="30"/>
    </row>
    <row r="20837" spans="1:4" x14ac:dyDescent="0.25">
      <c r="A20837" s="31"/>
      <c r="D20837" s="30"/>
    </row>
    <row r="20838" spans="1:4" x14ac:dyDescent="0.25">
      <c r="A20838" s="31"/>
      <c r="D20838" s="30"/>
    </row>
    <row r="20839" spans="1:4" x14ac:dyDescent="0.25">
      <c r="A20839" s="31"/>
      <c r="D20839" s="30"/>
    </row>
    <row r="20840" spans="1:4" x14ac:dyDescent="0.25">
      <c r="A20840" s="31"/>
      <c r="D20840" s="30"/>
    </row>
    <row r="20841" spans="1:4" x14ac:dyDescent="0.25">
      <c r="A20841" s="31"/>
      <c r="D20841" s="30"/>
    </row>
    <row r="20842" spans="1:4" x14ac:dyDescent="0.25">
      <c r="A20842" s="31"/>
      <c r="D20842" s="30"/>
    </row>
    <row r="20843" spans="1:4" x14ac:dyDescent="0.25">
      <c r="A20843" s="31"/>
      <c r="D20843" s="30"/>
    </row>
    <row r="20844" spans="1:4" x14ac:dyDescent="0.25">
      <c r="A20844" s="31"/>
      <c r="D20844" s="30"/>
    </row>
    <row r="20845" spans="1:4" x14ac:dyDescent="0.25">
      <c r="A20845" s="31"/>
      <c r="D20845" s="30"/>
    </row>
    <row r="20846" spans="1:4" x14ac:dyDescent="0.25">
      <c r="A20846" s="31"/>
      <c r="D20846" s="30"/>
    </row>
    <row r="20847" spans="1:4" x14ac:dyDescent="0.25">
      <c r="A20847" s="31"/>
      <c r="D20847" s="30"/>
    </row>
    <row r="20848" spans="1:4" x14ac:dyDescent="0.25">
      <c r="A20848" s="31"/>
      <c r="D20848" s="30"/>
    </row>
    <row r="20849" spans="1:4" x14ac:dyDescent="0.25">
      <c r="A20849" s="31"/>
      <c r="D20849" s="30"/>
    </row>
    <row r="20850" spans="1:4" x14ac:dyDescent="0.25">
      <c r="A20850" s="31"/>
      <c r="D20850" s="30"/>
    </row>
    <row r="20851" spans="1:4" x14ac:dyDescent="0.25">
      <c r="A20851" s="31"/>
      <c r="D20851" s="30"/>
    </row>
    <row r="20852" spans="1:4" x14ac:dyDescent="0.25">
      <c r="A20852" s="31"/>
      <c r="D20852" s="30"/>
    </row>
    <row r="20853" spans="1:4" x14ac:dyDescent="0.25">
      <c r="A20853" s="31"/>
      <c r="D20853" s="30"/>
    </row>
    <row r="20854" spans="1:4" x14ac:dyDescent="0.25">
      <c r="A20854" s="31"/>
      <c r="D20854" s="30"/>
    </row>
    <row r="20855" spans="1:4" x14ac:dyDescent="0.25">
      <c r="A20855" s="31"/>
      <c r="D20855" s="30"/>
    </row>
    <row r="20856" spans="1:4" x14ac:dyDescent="0.25">
      <c r="A20856" s="31"/>
      <c r="D20856" s="30"/>
    </row>
    <row r="20857" spans="1:4" x14ac:dyDescent="0.25">
      <c r="A20857" s="31"/>
      <c r="D20857" s="30"/>
    </row>
    <row r="20858" spans="1:4" x14ac:dyDescent="0.25">
      <c r="A20858" s="31"/>
      <c r="D20858" s="30"/>
    </row>
    <row r="20859" spans="1:4" x14ac:dyDescent="0.25">
      <c r="A20859" s="31"/>
      <c r="D20859" s="30"/>
    </row>
    <row r="20860" spans="1:4" x14ac:dyDescent="0.25">
      <c r="A20860" s="31"/>
      <c r="D20860" s="30"/>
    </row>
    <row r="20861" spans="1:4" x14ac:dyDescent="0.25">
      <c r="A20861" s="31"/>
      <c r="D20861" s="30"/>
    </row>
    <row r="20862" spans="1:4" x14ac:dyDescent="0.25">
      <c r="A20862" s="31"/>
      <c r="D20862" s="30"/>
    </row>
    <row r="20863" spans="1:4" x14ac:dyDescent="0.25">
      <c r="A20863" s="31"/>
      <c r="D20863" s="30"/>
    </row>
    <row r="20864" spans="1:4" x14ac:dyDescent="0.25">
      <c r="A20864" s="31"/>
      <c r="D20864" s="30"/>
    </row>
    <row r="20865" spans="1:4" x14ac:dyDescent="0.25">
      <c r="A20865" s="31"/>
      <c r="D20865" s="30"/>
    </row>
    <row r="20866" spans="1:4" x14ac:dyDescent="0.25">
      <c r="A20866" s="31"/>
      <c r="D20866" s="30"/>
    </row>
    <row r="20867" spans="1:4" x14ac:dyDescent="0.25">
      <c r="A20867" s="31"/>
      <c r="D20867" s="30"/>
    </row>
    <row r="20868" spans="1:4" x14ac:dyDescent="0.25">
      <c r="A20868" s="31"/>
      <c r="D20868" s="30"/>
    </row>
    <row r="20869" spans="1:4" x14ac:dyDescent="0.25">
      <c r="A20869" s="31"/>
      <c r="D20869" s="30"/>
    </row>
    <row r="20870" spans="1:4" x14ac:dyDescent="0.25">
      <c r="A20870" s="31"/>
      <c r="D20870" s="30"/>
    </row>
    <row r="20871" spans="1:4" x14ac:dyDescent="0.25">
      <c r="A20871" s="31"/>
      <c r="D20871" s="30"/>
    </row>
    <row r="20872" spans="1:4" x14ac:dyDescent="0.25">
      <c r="A20872" s="31"/>
      <c r="D20872" s="30"/>
    </row>
    <row r="20873" spans="1:4" x14ac:dyDescent="0.25">
      <c r="A20873" s="31"/>
      <c r="D20873" s="30"/>
    </row>
    <row r="20874" spans="1:4" x14ac:dyDescent="0.25">
      <c r="A20874" s="31"/>
      <c r="D20874" s="30"/>
    </row>
    <row r="20875" spans="1:4" x14ac:dyDescent="0.25">
      <c r="A20875" s="31"/>
      <c r="D20875" s="30"/>
    </row>
    <row r="20876" spans="1:4" x14ac:dyDescent="0.25">
      <c r="A20876" s="31"/>
      <c r="D20876" s="30"/>
    </row>
    <row r="20877" spans="1:4" x14ac:dyDescent="0.25">
      <c r="A20877" s="31"/>
      <c r="D20877" s="30"/>
    </row>
    <row r="20878" spans="1:4" x14ac:dyDescent="0.25">
      <c r="A20878" s="31"/>
      <c r="D20878" s="30"/>
    </row>
    <row r="20879" spans="1:4" x14ac:dyDescent="0.25">
      <c r="A20879" s="31"/>
      <c r="D20879" s="30"/>
    </row>
    <row r="20880" spans="1:4" x14ac:dyDescent="0.25">
      <c r="A20880" s="31"/>
      <c r="D20880" s="30"/>
    </row>
    <row r="20881" spans="1:4" x14ac:dyDescent="0.25">
      <c r="A20881" s="31"/>
      <c r="D20881" s="30"/>
    </row>
    <row r="20882" spans="1:4" x14ac:dyDescent="0.25">
      <c r="A20882" s="31"/>
      <c r="D20882" s="30"/>
    </row>
    <row r="20883" spans="1:4" x14ac:dyDescent="0.25">
      <c r="A20883" s="31"/>
      <c r="D20883" s="30"/>
    </row>
    <row r="20884" spans="1:4" x14ac:dyDescent="0.25">
      <c r="A20884" s="31"/>
      <c r="D20884" s="30"/>
    </row>
    <row r="20885" spans="1:4" x14ac:dyDescent="0.25">
      <c r="A20885" s="31"/>
      <c r="D20885" s="30"/>
    </row>
    <row r="20886" spans="1:4" x14ac:dyDescent="0.25">
      <c r="A20886" s="31"/>
      <c r="D20886" s="30"/>
    </row>
    <row r="20887" spans="1:4" x14ac:dyDescent="0.25">
      <c r="A20887" s="31"/>
      <c r="D20887" s="30"/>
    </row>
    <row r="20888" spans="1:4" x14ac:dyDescent="0.25">
      <c r="A20888" s="31"/>
      <c r="D20888" s="30"/>
    </row>
    <row r="20889" spans="1:4" x14ac:dyDescent="0.25">
      <c r="A20889" s="31"/>
      <c r="D20889" s="30"/>
    </row>
    <row r="20890" spans="1:4" x14ac:dyDescent="0.25">
      <c r="A20890" s="31"/>
      <c r="D20890" s="30"/>
    </row>
    <row r="20891" spans="1:4" x14ac:dyDescent="0.25">
      <c r="A20891" s="31"/>
      <c r="D20891" s="30"/>
    </row>
    <row r="20892" spans="1:4" x14ac:dyDescent="0.25">
      <c r="A20892" s="31"/>
      <c r="D20892" s="30"/>
    </row>
    <row r="20893" spans="1:4" x14ac:dyDescent="0.25">
      <c r="A20893" s="31"/>
      <c r="D20893" s="30"/>
    </row>
    <row r="20894" spans="1:4" x14ac:dyDescent="0.25">
      <c r="A20894" s="31"/>
      <c r="D20894" s="30"/>
    </row>
    <row r="20895" spans="1:4" x14ac:dyDescent="0.25">
      <c r="A20895" s="31"/>
      <c r="D20895" s="30"/>
    </row>
    <row r="20896" spans="1:4" x14ac:dyDescent="0.25">
      <c r="A20896" s="31"/>
      <c r="D20896" s="30"/>
    </row>
    <row r="20897" spans="1:4" x14ac:dyDescent="0.25">
      <c r="A20897" s="31"/>
      <c r="D20897" s="30"/>
    </row>
    <row r="20898" spans="1:4" x14ac:dyDescent="0.25">
      <c r="A20898" s="31"/>
      <c r="D20898" s="30"/>
    </row>
    <row r="20899" spans="1:4" x14ac:dyDescent="0.25">
      <c r="A20899" s="31"/>
      <c r="D20899" s="30"/>
    </row>
    <row r="20900" spans="1:4" x14ac:dyDescent="0.25">
      <c r="A20900" s="31"/>
      <c r="D20900" s="30"/>
    </row>
    <row r="20901" spans="1:4" x14ac:dyDescent="0.25">
      <c r="A20901" s="31"/>
      <c r="D20901" s="30"/>
    </row>
    <row r="20902" spans="1:4" x14ac:dyDescent="0.25">
      <c r="A20902" s="31"/>
      <c r="D20902" s="30"/>
    </row>
    <row r="20903" spans="1:4" x14ac:dyDescent="0.25">
      <c r="A20903" s="31"/>
      <c r="D20903" s="30"/>
    </row>
    <row r="20904" spans="1:4" x14ac:dyDescent="0.25">
      <c r="A20904" s="31"/>
      <c r="D20904" s="30"/>
    </row>
    <row r="20905" spans="1:4" x14ac:dyDescent="0.25">
      <c r="A20905" s="31"/>
      <c r="D20905" s="30"/>
    </row>
    <row r="20906" spans="1:4" x14ac:dyDescent="0.25">
      <c r="A20906" s="31"/>
      <c r="D20906" s="30"/>
    </row>
    <row r="20907" spans="1:4" x14ac:dyDescent="0.25">
      <c r="A20907" s="31"/>
      <c r="D20907" s="30"/>
    </row>
    <row r="20908" spans="1:4" x14ac:dyDescent="0.25">
      <c r="A20908" s="31"/>
      <c r="D20908" s="30"/>
    </row>
    <row r="20909" spans="1:4" x14ac:dyDescent="0.25">
      <c r="A20909" s="31"/>
      <c r="D20909" s="30"/>
    </row>
    <row r="20910" spans="1:4" x14ac:dyDescent="0.25">
      <c r="A20910" s="31"/>
      <c r="D20910" s="30"/>
    </row>
    <row r="20911" spans="1:4" x14ac:dyDescent="0.25">
      <c r="A20911" s="31"/>
      <c r="D20911" s="30"/>
    </row>
    <row r="20912" spans="1:4" x14ac:dyDescent="0.25">
      <c r="A20912" s="31"/>
      <c r="D20912" s="30"/>
    </row>
    <row r="20913" spans="1:4" x14ac:dyDescent="0.25">
      <c r="A20913" s="31"/>
      <c r="D20913" s="30"/>
    </row>
    <row r="20914" spans="1:4" x14ac:dyDescent="0.25">
      <c r="A20914" s="31"/>
      <c r="D20914" s="30"/>
    </row>
    <row r="20915" spans="1:4" x14ac:dyDescent="0.25">
      <c r="A20915" s="31"/>
      <c r="D20915" s="30"/>
    </row>
    <row r="20916" spans="1:4" x14ac:dyDescent="0.25">
      <c r="A20916" s="31"/>
      <c r="D20916" s="30"/>
    </row>
    <row r="20917" spans="1:4" x14ac:dyDescent="0.25">
      <c r="A20917" s="31"/>
      <c r="D20917" s="30"/>
    </row>
    <row r="20918" spans="1:4" x14ac:dyDescent="0.25">
      <c r="A20918" s="31"/>
      <c r="D20918" s="30"/>
    </row>
    <row r="20919" spans="1:4" x14ac:dyDescent="0.25">
      <c r="A20919" s="31"/>
      <c r="D20919" s="30"/>
    </row>
    <row r="20920" spans="1:4" x14ac:dyDescent="0.25">
      <c r="A20920" s="31"/>
      <c r="D20920" s="30"/>
    </row>
    <row r="20921" spans="1:4" x14ac:dyDescent="0.25">
      <c r="A20921" s="31"/>
      <c r="D20921" s="30"/>
    </row>
    <row r="20922" spans="1:4" x14ac:dyDescent="0.25">
      <c r="A20922" s="31"/>
      <c r="D20922" s="30"/>
    </row>
    <row r="20923" spans="1:4" x14ac:dyDescent="0.25">
      <c r="A20923" s="31"/>
      <c r="D20923" s="30"/>
    </row>
    <row r="20924" spans="1:4" x14ac:dyDescent="0.25">
      <c r="A20924" s="31"/>
      <c r="D20924" s="30"/>
    </row>
    <row r="20925" spans="1:4" x14ac:dyDescent="0.25">
      <c r="A20925" s="31"/>
      <c r="D20925" s="30"/>
    </row>
    <row r="20926" spans="1:4" x14ac:dyDescent="0.25">
      <c r="A20926" s="31"/>
      <c r="D20926" s="30"/>
    </row>
    <row r="20927" spans="1:4" x14ac:dyDescent="0.25">
      <c r="A20927" s="31"/>
      <c r="D20927" s="30"/>
    </row>
    <row r="20928" spans="1:4" x14ac:dyDescent="0.25">
      <c r="A20928" s="31"/>
      <c r="D20928" s="30"/>
    </row>
    <row r="20929" spans="1:4" x14ac:dyDescent="0.25">
      <c r="A20929" s="31"/>
      <c r="D20929" s="30"/>
    </row>
    <row r="20930" spans="1:4" x14ac:dyDescent="0.25">
      <c r="A20930" s="31"/>
      <c r="D20930" s="30"/>
    </row>
    <row r="20931" spans="1:4" x14ac:dyDescent="0.25">
      <c r="A20931" s="31"/>
      <c r="D20931" s="30"/>
    </row>
    <row r="20932" spans="1:4" x14ac:dyDescent="0.25">
      <c r="A20932" s="31"/>
      <c r="D20932" s="30"/>
    </row>
    <row r="20933" spans="1:4" x14ac:dyDescent="0.25">
      <c r="A20933" s="31"/>
      <c r="D20933" s="30"/>
    </row>
    <row r="20934" spans="1:4" x14ac:dyDescent="0.25">
      <c r="A20934" s="31"/>
      <c r="D20934" s="30"/>
    </row>
    <row r="20935" spans="1:4" x14ac:dyDescent="0.25">
      <c r="A20935" s="31"/>
      <c r="D20935" s="30"/>
    </row>
    <row r="20936" spans="1:4" x14ac:dyDescent="0.25">
      <c r="A20936" s="31"/>
      <c r="D20936" s="30"/>
    </row>
    <row r="20937" spans="1:4" x14ac:dyDescent="0.25">
      <c r="A20937" s="31"/>
      <c r="D20937" s="30"/>
    </row>
    <row r="20938" spans="1:4" x14ac:dyDescent="0.25">
      <c r="A20938" s="31"/>
      <c r="D20938" s="30"/>
    </row>
    <row r="20939" spans="1:4" x14ac:dyDescent="0.25">
      <c r="A20939" s="31"/>
      <c r="D20939" s="30"/>
    </row>
    <row r="20940" spans="1:4" x14ac:dyDescent="0.25">
      <c r="A20940" s="31"/>
      <c r="D20940" s="30"/>
    </row>
    <row r="20941" spans="1:4" x14ac:dyDescent="0.25">
      <c r="A20941" s="31"/>
      <c r="D20941" s="30"/>
    </row>
    <row r="20942" spans="1:4" x14ac:dyDescent="0.25">
      <c r="A20942" s="31"/>
      <c r="D20942" s="30"/>
    </row>
    <row r="20943" spans="1:4" x14ac:dyDescent="0.25">
      <c r="A20943" s="31"/>
      <c r="D20943" s="30"/>
    </row>
    <row r="20944" spans="1:4" x14ac:dyDescent="0.25">
      <c r="A20944" s="31"/>
      <c r="D20944" s="30"/>
    </row>
    <row r="20945" spans="1:4" x14ac:dyDescent="0.25">
      <c r="A20945" s="31"/>
      <c r="D20945" s="30"/>
    </row>
    <row r="20946" spans="1:4" x14ac:dyDescent="0.25">
      <c r="A20946" s="31"/>
      <c r="D20946" s="30"/>
    </row>
    <row r="20947" spans="1:4" x14ac:dyDescent="0.25">
      <c r="A20947" s="31"/>
      <c r="D20947" s="30"/>
    </row>
    <row r="20948" spans="1:4" x14ac:dyDescent="0.25">
      <c r="A20948" s="31"/>
      <c r="D20948" s="30"/>
    </row>
    <row r="20949" spans="1:4" x14ac:dyDescent="0.25">
      <c r="A20949" s="31"/>
      <c r="D20949" s="30"/>
    </row>
    <row r="20950" spans="1:4" x14ac:dyDescent="0.25">
      <c r="A20950" s="31"/>
      <c r="D20950" s="30"/>
    </row>
    <row r="20951" spans="1:4" x14ac:dyDescent="0.25">
      <c r="A20951" s="31"/>
      <c r="D20951" s="30"/>
    </row>
    <row r="20952" spans="1:4" x14ac:dyDescent="0.25">
      <c r="A20952" s="31"/>
      <c r="D20952" s="30"/>
    </row>
    <row r="20953" spans="1:4" x14ac:dyDescent="0.25">
      <c r="A20953" s="31"/>
      <c r="D20953" s="30"/>
    </row>
    <row r="20954" spans="1:4" x14ac:dyDescent="0.25">
      <c r="A20954" s="31"/>
      <c r="D20954" s="30"/>
    </row>
    <row r="20955" spans="1:4" x14ac:dyDescent="0.25">
      <c r="A20955" s="31"/>
      <c r="D20955" s="30"/>
    </row>
    <row r="20956" spans="1:4" x14ac:dyDescent="0.25">
      <c r="A20956" s="31"/>
      <c r="D20956" s="30"/>
    </row>
    <row r="20957" spans="1:4" x14ac:dyDescent="0.25">
      <c r="A20957" s="31"/>
      <c r="D20957" s="30"/>
    </row>
    <row r="20958" spans="1:4" x14ac:dyDescent="0.25">
      <c r="A20958" s="31"/>
      <c r="D20958" s="30"/>
    </row>
    <row r="20959" spans="1:4" x14ac:dyDescent="0.25">
      <c r="A20959" s="31"/>
      <c r="D20959" s="30"/>
    </row>
    <row r="20960" spans="1:4" x14ac:dyDescent="0.25">
      <c r="A20960" s="31"/>
      <c r="D20960" s="30"/>
    </row>
    <row r="20961" spans="1:4" x14ac:dyDescent="0.25">
      <c r="A20961" s="31"/>
      <c r="D20961" s="30"/>
    </row>
    <row r="20962" spans="1:4" x14ac:dyDescent="0.25">
      <c r="A20962" s="31"/>
      <c r="D20962" s="30"/>
    </row>
    <row r="20963" spans="1:4" x14ac:dyDescent="0.25">
      <c r="A20963" s="31"/>
      <c r="D20963" s="30"/>
    </row>
    <row r="20964" spans="1:4" x14ac:dyDescent="0.25">
      <c r="A20964" s="31"/>
      <c r="D20964" s="30"/>
    </row>
    <row r="20965" spans="1:4" x14ac:dyDescent="0.25">
      <c r="A20965" s="31"/>
      <c r="D20965" s="30"/>
    </row>
    <row r="20966" spans="1:4" x14ac:dyDescent="0.25">
      <c r="A20966" s="31"/>
      <c r="D20966" s="30"/>
    </row>
    <row r="20967" spans="1:4" x14ac:dyDescent="0.25">
      <c r="A20967" s="31"/>
      <c r="D20967" s="30"/>
    </row>
    <row r="20968" spans="1:4" x14ac:dyDescent="0.25">
      <c r="A20968" s="31"/>
      <c r="D20968" s="30"/>
    </row>
    <row r="20969" spans="1:4" x14ac:dyDescent="0.25">
      <c r="A20969" s="31"/>
      <c r="D20969" s="30"/>
    </row>
    <row r="20970" spans="1:4" x14ac:dyDescent="0.25">
      <c r="A20970" s="31"/>
      <c r="D20970" s="30"/>
    </row>
    <row r="20971" spans="1:4" x14ac:dyDescent="0.25">
      <c r="A20971" s="31"/>
      <c r="D20971" s="30"/>
    </row>
    <row r="20972" spans="1:4" x14ac:dyDescent="0.25">
      <c r="A20972" s="31"/>
      <c r="D20972" s="30"/>
    </row>
    <row r="20973" spans="1:4" x14ac:dyDescent="0.25">
      <c r="A20973" s="31"/>
      <c r="D20973" s="30"/>
    </row>
    <row r="20974" spans="1:4" x14ac:dyDescent="0.25">
      <c r="A20974" s="31"/>
      <c r="D20974" s="30"/>
    </row>
    <row r="20975" spans="1:4" x14ac:dyDescent="0.25">
      <c r="A20975" s="31"/>
      <c r="D20975" s="30"/>
    </row>
    <row r="20976" spans="1:4" x14ac:dyDescent="0.25">
      <c r="A20976" s="31"/>
      <c r="D20976" s="30"/>
    </row>
    <row r="20977" spans="1:4" x14ac:dyDescent="0.25">
      <c r="A20977" s="31"/>
      <c r="D20977" s="30"/>
    </row>
    <row r="20978" spans="1:4" x14ac:dyDescent="0.25">
      <c r="A20978" s="31"/>
      <c r="D20978" s="30"/>
    </row>
    <row r="20979" spans="1:4" x14ac:dyDescent="0.25">
      <c r="A20979" s="31"/>
      <c r="D20979" s="30"/>
    </row>
    <row r="20980" spans="1:4" x14ac:dyDescent="0.25">
      <c r="A20980" s="31"/>
      <c r="D20980" s="30"/>
    </row>
    <row r="20981" spans="1:4" x14ac:dyDescent="0.25">
      <c r="A20981" s="31"/>
      <c r="D20981" s="30"/>
    </row>
    <row r="20982" spans="1:4" x14ac:dyDescent="0.25">
      <c r="A20982" s="31"/>
      <c r="D20982" s="30"/>
    </row>
    <row r="20983" spans="1:4" x14ac:dyDescent="0.25">
      <c r="A20983" s="31"/>
      <c r="D20983" s="30"/>
    </row>
    <row r="20984" spans="1:4" x14ac:dyDescent="0.25">
      <c r="A20984" s="31"/>
      <c r="D20984" s="30"/>
    </row>
    <row r="20985" spans="1:4" x14ac:dyDescent="0.25">
      <c r="A20985" s="31"/>
      <c r="D20985" s="30"/>
    </row>
    <row r="20986" spans="1:4" x14ac:dyDescent="0.25">
      <c r="A20986" s="31"/>
      <c r="D20986" s="30"/>
    </row>
    <row r="20987" spans="1:4" x14ac:dyDescent="0.25">
      <c r="A20987" s="31"/>
      <c r="D20987" s="30"/>
    </row>
    <row r="20988" spans="1:4" x14ac:dyDescent="0.25">
      <c r="A20988" s="31"/>
      <c r="D20988" s="30"/>
    </row>
    <row r="20989" spans="1:4" x14ac:dyDescent="0.25">
      <c r="A20989" s="31"/>
      <c r="D20989" s="30"/>
    </row>
    <row r="20990" spans="1:4" x14ac:dyDescent="0.25">
      <c r="A20990" s="31"/>
      <c r="D20990" s="30"/>
    </row>
    <row r="20991" spans="1:4" x14ac:dyDescent="0.25">
      <c r="A20991" s="31"/>
      <c r="D20991" s="30"/>
    </row>
    <row r="20992" spans="1:4" x14ac:dyDescent="0.25">
      <c r="A20992" s="31"/>
      <c r="D20992" s="30"/>
    </row>
    <row r="20993" spans="1:4" x14ac:dyDescent="0.25">
      <c r="A20993" s="31"/>
      <c r="D20993" s="30"/>
    </row>
    <row r="20994" spans="1:4" x14ac:dyDescent="0.25">
      <c r="A20994" s="31"/>
      <c r="D20994" s="30"/>
    </row>
    <row r="20995" spans="1:4" x14ac:dyDescent="0.25">
      <c r="A20995" s="31"/>
      <c r="D20995" s="30"/>
    </row>
    <row r="20996" spans="1:4" x14ac:dyDescent="0.25">
      <c r="A20996" s="31"/>
      <c r="D20996" s="30"/>
    </row>
    <row r="20997" spans="1:4" x14ac:dyDescent="0.25">
      <c r="A20997" s="31"/>
      <c r="D20997" s="30"/>
    </row>
    <row r="20998" spans="1:4" x14ac:dyDescent="0.25">
      <c r="A20998" s="31"/>
      <c r="D20998" s="30"/>
    </row>
    <row r="20999" spans="1:4" x14ac:dyDescent="0.25">
      <c r="A20999" s="31"/>
      <c r="D20999" s="30"/>
    </row>
    <row r="21000" spans="1:4" x14ac:dyDescent="0.25">
      <c r="A21000" s="31"/>
      <c r="D21000" s="30"/>
    </row>
    <row r="21001" spans="1:4" x14ac:dyDescent="0.25">
      <c r="A21001" s="31"/>
      <c r="D21001" s="30"/>
    </row>
    <row r="21002" spans="1:4" x14ac:dyDescent="0.25">
      <c r="A21002" s="31"/>
      <c r="D21002" s="30"/>
    </row>
    <row r="21003" spans="1:4" x14ac:dyDescent="0.25">
      <c r="A21003" s="31"/>
      <c r="D21003" s="30"/>
    </row>
    <row r="21004" spans="1:4" x14ac:dyDescent="0.25">
      <c r="A21004" s="31"/>
      <c r="D21004" s="30"/>
    </row>
    <row r="21005" spans="1:4" x14ac:dyDescent="0.25">
      <c r="A21005" s="31"/>
      <c r="D21005" s="30"/>
    </row>
    <row r="21006" spans="1:4" x14ac:dyDescent="0.25">
      <c r="A21006" s="31"/>
      <c r="D21006" s="30"/>
    </row>
    <row r="21007" spans="1:4" x14ac:dyDescent="0.25">
      <c r="A21007" s="31"/>
      <c r="D21007" s="30"/>
    </row>
    <row r="21008" spans="1:4" x14ac:dyDescent="0.25">
      <c r="A21008" s="31"/>
      <c r="D21008" s="30"/>
    </row>
    <row r="21009" spans="1:4" x14ac:dyDescent="0.25">
      <c r="A21009" s="31"/>
      <c r="D21009" s="30"/>
    </row>
    <row r="21010" spans="1:4" x14ac:dyDescent="0.25">
      <c r="A21010" s="31"/>
      <c r="D21010" s="30"/>
    </row>
    <row r="21011" spans="1:4" x14ac:dyDescent="0.25">
      <c r="A21011" s="31"/>
      <c r="D21011" s="30"/>
    </row>
    <row r="21012" spans="1:4" x14ac:dyDescent="0.25">
      <c r="A21012" s="31"/>
      <c r="D21012" s="30"/>
    </row>
    <row r="21013" spans="1:4" x14ac:dyDescent="0.25">
      <c r="A21013" s="31"/>
      <c r="D21013" s="30"/>
    </row>
    <row r="21014" spans="1:4" x14ac:dyDescent="0.25">
      <c r="A21014" s="31"/>
      <c r="D21014" s="30"/>
    </row>
    <row r="21015" spans="1:4" x14ac:dyDescent="0.25">
      <c r="A21015" s="31"/>
      <c r="D21015" s="30"/>
    </row>
    <row r="21016" spans="1:4" x14ac:dyDescent="0.25">
      <c r="A21016" s="31"/>
      <c r="D21016" s="30"/>
    </row>
    <row r="21017" spans="1:4" x14ac:dyDescent="0.25">
      <c r="A21017" s="31"/>
      <c r="D21017" s="30"/>
    </row>
    <row r="21018" spans="1:4" x14ac:dyDescent="0.25">
      <c r="A21018" s="31"/>
      <c r="D21018" s="30"/>
    </row>
    <row r="21019" spans="1:4" x14ac:dyDescent="0.25">
      <c r="A21019" s="31"/>
      <c r="D21019" s="30"/>
    </row>
    <row r="21020" spans="1:4" x14ac:dyDescent="0.25">
      <c r="A21020" s="31"/>
      <c r="D21020" s="30"/>
    </row>
    <row r="21021" spans="1:4" x14ac:dyDescent="0.25">
      <c r="A21021" s="31"/>
      <c r="D21021" s="30"/>
    </row>
    <row r="21022" spans="1:4" x14ac:dyDescent="0.25">
      <c r="A21022" s="31"/>
      <c r="D21022" s="30"/>
    </row>
    <row r="21023" spans="1:4" x14ac:dyDescent="0.25">
      <c r="A21023" s="31"/>
      <c r="D21023" s="30"/>
    </row>
    <row r="21024" spans="1:4" x14ac:dyDescent="0.25">
      <c r="A21024" s="31"/>
      <c r="D21024" s="30"/>
    </row>
    <row r="21025" spans="1:4" x14ac:dyDescent="0.25">
      <c r="A21025" s="31"/>
      <c r="D21025" s="30"/>
    </row>
    <row r="21026" spans="1:4" x14ac:dyDescent="0.25">
      <c r="A21026" s="31"/>
      <c r="D21026" s="30"/>
    </row>
    <row r="21027" spans="1:4" x14ac:dyDescent="0.25">
      <c r="A21027" s="31"/>
      <c r="D21027" s="30"/>
    </row>
    <row r="21028" spans="1:4" x14ac:dyDescent="0.25">
      <c r="A21028" s="31"/>
      <c r="D21028" s="30"/>
    </row>
    <row r="21029" spans="1:4" x14ac:dyDescent="0.25">
      <c r="A21029" s="31"/>
      <c r="D21029" s="30"/>
    </row>
    <row r="21030" spans="1:4" x14ac:dyDescent="0.25">
      <c r="A21030" s="31"/>
      <c r="D21030" s="30"/>
    </row>
    <row r="21031" spans="1:4" x14ac:dyDescent="0.25">
      <c r="A21031" s="31"/>
      <c r="D21031" s="30"/>
    </row>
    <row r="21032" spans="1:4" x14ac:dyDescent="0.25">
      <c r="A21032" s="31"/>
      <c r="D21032" s="30"/>
    </row>
    <row r="21033" spans="1:4" x14ac:dyDescent="0.25">
      <c r="A21033" s="31"/>
      <c r="D21033" s="30"/>
    </row>
    <row r="21034" spans="1:4" x14ac:dyDescent="0.25">
      <c r="A21034" s="31"/>
      <c r="D21034" s="30"/>
    </row>
    <row r="21035" spans="1:4" x14ac:dyDescent="0.25">
      <c r="A21035" s="31"/>
      <c r="D21035" s="30"/>
    </row>
    <row r="21036" spans="1:4" x14ac:dyDescent="0.25">
      <c r="A21036" s="31"/>
      <c r="D21036" s="30"/>
    </row>
    <row r="21037" spans="1:4" x14ac:dyDescent="0.25">
      <c r="A21037" s="31"/>
      <c r="D21037" s="30"/>
    </row>
    <row r="21038" spans="1:4" x14ac:dyDescent="0.25">
      <c r="A21038" s="31"/>
      <c r="D21038" s="30"/>
    </row>
    <row r="21039" spans="1:4" x14ac:dyDescent="0.25">
      <c r="A21039" s="31"/>
      <c r="D21039" s="30"/>
    </row>
    <row r="21040" spans="1:4" x14ac:dyDescent="0.25">
      <c r="A21040" s="31"/>
      <c r="D21040" s="30"/>
    </row>
    <row r="21041" spans="1:4" x14ac:dyDescent="0.25">
      <c r="A21041" s="31"/>
      <c r="D21041" s="30"/>
    </row>
    <row r="21042" spans="1:4" x14ac:dyDescent="0.25">
      <c r="A21042" s="31"/>
      <c r="D21042" s="30"/>
    </row>
    <row r="21043" spans="1:4" x14ac:dyDescent="0.25">
      <c r="A21043" s="31"/>
      <c r="D21043" s="30"/>
    </row>
    <row r="21044" spans="1:4" x14ac:dyDescent="0.25">
      <c r="A21044" s="31"/>
      <c r="D21044" s="30"/>
    </row>
    <row r="21045" spans="1:4" x14ac:dyDescent="0.25">
      <c r="A21045" s="31"/>
      <c r="D21045" s="30"/>
    </row>
    <row r="21046" spans="1:4" x14ac:dyDescent="0.25">
      <c r="A21046" s="31"/>
      <c r="D21046" s="30"/>
    </row>
    <row r="21047" spans="1:4" x14ac:dyDescent="0.25">
      <c r="A21047" s="31"/>
      <c r="D21047" s="30"/>
    </row>
    <row r="21048" spans="1:4" x14ac:dyDescent="0.25">
      <c r="A21048" s="31"/>
      <c r="D21048" s="30"/>
    </row>
    <row r="21049" spans="1:4" x14ac:dyDescent="0.25">
      <c r="A21049" s="31"/>
      <c r="D21049" s="30"/>
    </row>
    <row r="21050" spans="1:4" x14ac:dyDescent="0.25">
      <c r="A21050" s="31"/>
      <c r="D21050" s="30"/>
    </row>
    <row r="21051" spans="1:4" x14ac:dyDescent="0.25">
      <c r="A21051" s="31"/>
      <c r="D21051" s="30"/>
    </row>
    <row r="21052" spans="1:4" x14ac:dyDescent="0.25">
      <c r="A21052" s="31"/>
      <c r="D21052" s="30"/>
    </row>
    <row r="21053" spans="1:4" x14ac:dyDescent="0.25">
      <c r="A21053" s="31"/>
      <c r="D21053" s="30"/>
    </row>
    <row r="21054" spans="1:4" x14ac:dyDescent="0.25">
      <c r="A21054" s="31"/>
      <c r="D21054" s="30"/>
    </row>
    <row r="21055" spans="1:4" x14ac:dyDescent="0.25">
      <c r="A21055" s="31"/>
      <c r="D21055" s="30"/>
    </row>
    <row r="21056" spans="1:4" x14ac:dyDescent="0.25">
      <c r="A21056" s="31"/>
      <c r="D21056" s="30"/>
    </row>
    <row r="21057" spans="1:4" x14ac:dyDescent="0.25">
      <c r="A21057" s="31"/>
      <c r="D21057" s="30"/>
    </row>
    <row r="21058" spans="1:4" x14ac:dyDescent="0.25">
      <c r="A21058" s="31"/>
      <c r="D21058" s="30"/>
    </row>
    <row r="21059" spans="1:4" x14ac:dyDescent="0.25">
      <c r="A21059" s="31"/>
      <c r="D21059" s="30"/>
    </row>
    <row r="21060" spans="1:4" x14ac:dyDescent="0.25">
      <c r="A21060" s="31"/>
      <c r="D21060" s="30"/>
    </row>
    <row r="21061" spans="1:4" x14ac:dyDescent="0.25">
      <c r="A21061" s="31"/>
      <c r="D21061" s="30"/>
    </row>
    <row r="21062" spans="1:4" x14ac:dyDescent="0.25">
      <c r="A21062" s="31"/>
      <c r="D21062" s="30"/>
    </row>
    <row r="21063" spans="1:4" x14ac:dyDescent="0.25">
      <c r="A21063" s="31"/>
      <c r="D21063" s="30"/>
    </row>
    <row r="21064" spans="1:4" x14ac:dyDescent="0.25">
      <c r="A21064" s="31"/>
      <c r="D21064" s="30"/>
    </row>
    <row r="21065" spans="1:4" x14ac:dyDescent="0.25">
      <c r="A21065" s="31"/>
      <c r="D21065" s="30"/>
    </row>
    <row r="21066" spans="1:4" x14ac:dyDescent="0.25">
      <c r="A21066" s="31"/>
      <c r="D21066" s="30"/>
    </row>
    <row r="21067" spans="1:4" x14ac:dyDescent="0.25">
      <c r="A21067" s="31"/>
      <c r="D21067" s="30"/>
    </row>
    <row r="21068" spans="1:4" x14ac:dyDescent="0.25">
      <c r="A21068" s="31"/>
      <c r="D21068" s="30"/>
    </row>
    <row r="21069" spans="1:4" x14ac:dyDescent="0.25">
      <c r="A21069" s="31"/>
      <c r="D21069" s="30"/>
    </row>
    <row r="21070" spans="1:4" x14ac:dyDescent="0.25">
      <c r="A21070" s="31"/>
      <c r="D21070" s="30"/>
    </row>
    <row r="21071" spans="1:4" x14ac:dyDescent="0.25">
      <c r="A21071" s="31"/>
      <c r="D21071" s="30"/>
    </row>
    <row r="21072" spans="1:4" x14ac:dyDescent="0.25">
      <c r="A21072" s="31"/>
      <c r="D21072" s="30"/>
    </row>
    <row r="21073" spans="1:4" x14ac:dyDescent="0.25">
      <c r="A21073" s="31"/>
      <c r="D21073" s="30"/>
    </row>
    <row r="21074" spans="1:4" x14ac:dyDescent="0.25">
      <c r="A21074" s="31"/>
      <c r="D21074" s="30"/>
    </row>
    <row r="21075" spans="1:4" x14ac:dyDescent="0.25">
      <c r="A21075" s="31"/>
      <c r="D21075" s="30"/>
    </row>
    <row r="21076" spans="1:4" x14ac:dyDescent="0.25">
      <c r="A21076" s="31"/>
      <c r="D21076" s="30"/>
    </row>
    <row r="21077" spans="1:4" x14ac:dyDescent="0.25">
      <c r="A21077" s="31"/>
      <c r="D21077" s="30"/>
    </row>
    <row r="21078" spans="1:4" x14ac:dyDescent="0.25">
      <c r="A21078" s="31"/>
      <c r="D21078" s="30"/>
    </row>
    <row r="21079" spans="1:4" x14ac:dyDescent="0.25">
      <c r="A21079" s="31"/>
      <c r="D21079" s="30"/>
    </row>
    <row r="21080" spans="1:4" x14ac:dyDescent="0.25">
      <c r="A21080" s="31"/>
      <c r="D21080" s="30"/>
    </row>
    <row r="21081" spans="1:4" x14ac:dyDescent="0.25">
      <c r="A21081" s="31"/>
      <c r="D21081" s="30"/>
    </row>
    <row r="21082" spans="1:4" x14ac:dyDescent="0.25">
      <c r="A21082" s="31"/>
      <c r="D21082" s="30"/>
    </row>
    <row r="21083" spans="1:4" x14ac:dyDescent="0.25">
      <c r="A21083" s="31"/>
      <c r="D21083" s="30"/>
    </row>
    <row r="21084" spans="1:4" x14ac:dyDescent="0.25">
      <c r="A21084" s="31"/>
      <c r="D21084" s="30"/>
    </row>
    <row r="21085" spans="1:4" x14ac:dyDescent="0.25">
      <c r="A21085" s="31"/>
      <c r="D21085" s="30"/>
    </row>
    <row r="21086" spans="1:4" x14ac:dyDescent="0.25">
      <c r="A21086" s="31"/>
      <c r="D21086" s="30"/>
    </row>
    <row r="21087" spans="1:4" x14ac:dyDescent="0.25">
      <c r="A21087" s="31"/>
      <c r="D21087" s="30"/>
    </row>
    <row r="21088" spans="1:4" x14ac:dyDescent="0.25">
      <c r="A21088" s="31"/>
      <c r="D21088" s="30"/>
    </row>
    <row r="21089" spans="1:4" x14ac:dyDescent="0.25">
      <c r="A21089" s="31"/>
      <c r="D21089" s="30"/>
    </row>
    <row r="21090" spans="1:4" x14ac:dyDescent="0.25">
      <c r="A21090" s="31"/>
      <c r="D21090" s="30"/>
    </row>
    <row r="21091" spans="1:4" x14ac:dyDescent="0.25">
      <c r="A21091" s="31"/>
      <c r="D21091" s="30"/>
    </row>
    <row r="21092" spans="1:4" x14ac:dyDescent="0.25">
      <c r="A21092" s="31"/>
      <c r="D21092" s="30"/>
    </row>
    <row r="21093" spans="1:4" x14ac:dyDescent="0.25">
      <c r="A21093" s="31"/>
      <c r="D21093" s="30"/>
    </row>
    <row r="21094" spans="1:4" x14ac:dyDescent="0.25">
      <c r="A21094" s="31"/>
      <c r="D21094" s="30"/>
    </row>
    <row r="21095" spans="1:4" x14ac:dyDescent="0.25">
      <c r="A21095" s="31"/>
      <c r="D21095" s="30"/>
    </row>
    <row r="21096" spans="1:4" x14ac:dyDescent="0.25">
      <c r="A21096" s="31"/>
      <c r="D21096" s="30"/>
    </row>
    <row r="21097" spans="1:4" x14ac:dyDescent="0.25">
      <c r="A21097" s="31"/>
      <c r="D21097" s="30"/>
    </row>
    <row r="21098" spans="1:4" x14ac:dyDescent="0.25">
      <c r="A21098" s="31"/>
      <c r="D21098" s="30"/>
    </row>
    <row r="21099" spans="1:4" x14ac:dyDescent="0.25">
      <c r="A21099" s="31"/>
      <c r="D21099" s="30"/>
    </row>
    <row r="21100" spans="1:4" x14ac:dyDescent="0.25">
      <c r="A21100" s="31"/>
      <c r="D21100" s="30"/>
    </row>
    <row r="21101" spans="1:4" x14ac:dyDescent="0.25">
      <c r="A21101" s="31"/>
      <c r="D21101" s="30"/>
    </row>
    <row r="21102" spans="1:4" x14ac:dyDescent="0.25">
      <c r="A21102" s="31"/>
      <c r="D21102" s="30"/>
    </row>
    <row r="21103" spans="1:4" x14ac:dyDescent="0.25">
      <c r="A21103" s="31"/>
      <c r="D21103" s="30"/>
    </row>
    <row r="21104" spans="1:4" x14ac:dyDescent="0.25">
      <c r="A21104" s="31"/>
      <c r="D21104" s="30"/>
    </row>
    <row r="21105" spans="1:4" x14ac:dyDescent="0.25">
      <c r="A21105" s="31"/>
      <c r="D21105" s="30"/>
    </row>
    <row r="21106" spans="1:4" x14ac:dyDescent="0.25">
      <c r="A21106" s="31"/>
      <c r="D21106" s="30"/>
    </row>
    <row r="21107" spans="1:4" x14ac:dyDescent="0.25">
      <c r="A21107" s="31"/>
      <c r="D21107" s="30"/>
    </row>
    <row r="21108" spans="1:4" x14ac:dyDescent="0.25">
      <c r="A21108" s="31"/>
      <c r="D21108" s="30"/>
    </row>
    <row r="21109" spans="1:4" x14ac:dyDescent="0.25">
      <c r="A21109" s="31"/>
      <c r="D21109" s="30"/>
    </row>
    <row r="21110" spans="1:4" x14ac:dyDescent="0.25">
      <c r="A21110" s="31"/>
      <c r="D21110" s="30"/>
    </row>
    <row r="21111" spans="1:4" x14ac:dyDescent="0.25">
      <c r="A21111" s="31"/>
      <c r="D21111" s="30"/>
    </row>
    <row r="21112" spans="1:4" x14ac:dyDescent="0.25">
      <c r="A21112" s="31"/>
      <c r="D21112" s="30"/>
    </row>
    <row r="21113" spans="1:4" x14ac:dyDescent="0.25">
      <c r="A21113" s="31"/>
      <c r="D21113" s="30"/>
    </row>
    <row r="21114" spans="1:4" x14ac:dyDescent="0.25">
      <c r="A21114" s="31"/>
      <c r="D21114" s="30"/>
    </row>
    <row r="21115" spans="1:4" x14ac:dyDescent="0.25">
      <c r="A21115" s="31"/>
      <c r="D21115" s="30"/>
    </row>
    <row r="21116" spans="1:4" x14ac:dyDescent="0.25">
      <c r="A21116" s="31"/>
      <c r="D21116" s="30"/>
    </row>
    <row r="21117" spans="1:4" x14ac:dyDescent="0.25">
      <c r="A21117" s="31"/>
      <c r="D21117" s="30"/>
    </row>
    <row r="21118" spans="1:4" x14ac:dyDescent="0.25">
      <c r="A21118" s="31"/>
      <c r="D21118" s="30"/>
    </row>
    <row r="21119" spans="1:4" x14ac:dyDescent="0.25">
      <c r="A21119" s="31"/>
      <c r="D21119" s="30"/>
    </row>
    <row r="21120" spans="1:4" x14ac:dyDescent="0.25">
      <c r="A21120" s="31"/>
      <c r="D21120" s="30"/>
    </row>
    <row r="21121" spans="1:4" x14ac:dyDescent="0.25">
      <c r="A21121" s="31"/>
      <c r="D21121" s="30"/>
    </row>
    <row r="21122" spans="1:4" x14ac:dyDescent="0.25">
      <c r="A21122" s="31"/>
      <c r="D21122" s="30"/>
    </row>
    <row r="21123" spans="1:4" x14ac:dyDescent="0.25">
      <c r="A21123" s="31"/>
      <c r="D21123" s="30"/>
    </row>
    <row r="21124" spans="1:4" x14ac:dyDescent="0.25">
      <c r="A21124" s="31"/>
      <c r="D21124" s="30"/>
    </row>
    <row r="21125" spans="1:4" x14ac:dyDescent="0.25">
      <c r="A21125" s="31"/>
      <c r="D21125" s="30"/>
    </row>
    <row r="21126" spans="1:4" x14ac:dyDescent="0.25">
      <c r="A21126" s="31"/>
      <c r="D21126" s="30"/>
    </row>
    <row r="21127" spans="1:4" x14ac:dyDescent="0.25">
      <c r="A21127" s="31"/>
      <c r="D21127" s="30"/>
    </row>
    <row r="21128" spans="1:4" x14ac:dyDescent="0.25">
      <c r="A21128" s="31"/>
      <c r="D21128" s="30"/>
    </row>
    <row r="21129" spans="1:4" x14ac:dyDescent="0.25">
      <c r="A21129" s="31"/>
      <c r="D21129" s="30"/>
    </row>
    <row r="21130" spans="1:4" x14ac:dyDescent="0.25">
      <c r="A21130" s="31"/>
      <c r="D21130" s="30"/>
    </row>
    <row r="21131" spans="1:4" x14ac:dyDescent="0.25">
      <c r="A21131" s="31"/>
      <c r="D21131" s="30"/>
    </row>
    <row r="21132" spans="1:4" x14ac:dyDescent="0.25">
      <c r="A21132" s="31"/>
      <c r="D21132" s="30"/>
    </row>
    <row r="21133" spans="1:4" x14ac:dyDescent="0.25">
      <c r="A21133" s="31"/>
      <c r="D21133" s="30"/>
    </row>
    <row r="21134" spans="1:4" x14ac:dyDescent="0.25">
      <c r="A21134" s="31"/>
      <c r="D21134" s="30"/>
    </row>
    <row r="21135" spans="1:4" x14ac:dyDescent="0.25">
      <c r="A21135" s="31"/>
      <c r="D21135" s="30"/>
    </row>
    <row r="21136" spans="1:4" x14ac:dyDescent="0.25">
      <c r="A21136" s="31"/>
      <c r="D21136" s="30"/>
    </row>
    <row r="21137" spans="1:4" x14ac:dyDescent="0.25">
      <c r="A21137" s="31"/>
      <c r="D21137" s="30"/>
    </row>
    <row r="21138" spans="1:4" x14ac:dyDescent="0.25">
      <c r="A21138" s="31"/>
      <c r="D21138" s="30"/>
    </row>
    <row r="21139" spans="1:4" x14ac:dyDescent="0.25">
      <c r="A21139" s="31"/>
      <c r="D21139" s="30"/>
    </row>
    <row r="21140" spans="1:4" x14ac:dyDescent="0.25">
      <c r="A21140" s="31"/>
      <c r="D21140" s="30"/>
    </row>
    <row r="21141" spans="1:4" x14ac:dyDescent="0.25">
      <c r="A21141" s="31"/>
      <c r="D21141" s="30"/>
    </row>
    <row r="21142" spans="1:4" x14ac:dyDescent="0.25">
      <c r="A21142" s="31"/>
      <c r="D21142" s="30"/>
    </row>
    <row r="21143" spans="1:4" x14ac:dyDescent="0.25">
      <c r="A21143" s="31"/>
      <c r="D21143" s="30"/>
    </row>
    <row r="21144" spans="1:4" x14ac:dyDescent="0.25">
      <c r="A21144" s="31"/>
      <c r="D21144" s="30"/>
    </row>
    <row r="21145" spans="1:4" x14ac:dyDescent="0.25">
      <c r="A21145" s="31"/>
      <c r="D21145" s="30"/>
    </row>
    <row r="21146" spans="1:4" x14ac:dyDescent="0.25">
      <c r="A21146" s="31"/>
      <c r="D21146" s="30"/>
    </row>
    <row r="21147" spans="1:4" x14ac:dyDescent="0.25">
      <c r="A21147" s="31"/>
      <c r="D21147" s="30"/>
    </row>
    <row r="21148" spans="1:4" x14ac:dyDescent="0.25">
      <c r="A21148" s="31"/>
      <c r="D21148" s="30"/>
    </row>
    <row r="21149" spans="1:4" x14ac:dyDescent="0.25">
      <c r="A21149" s="31"/>
      <c r="D21149" s="30"/>
    </row>
    <row r="21150" spans="1:4" x14ac:dyDescent="0.25">
      <c r="A21150" s="31"/>
      <c r="D21150" s="30"/>
    </row>
    <row r="21151" spans="1:4" x14ac:dyDescent="0.25">
      <c r="A21151" s="31"/>
      <c r="D21151" s="30"/>
    </row>
    <row r="21152" spans="1:4" x14ac:dyDescent="0.25">
      <c r="A21152" s="31"/>
      <c r="D21152" s="30"/>
    </row>
    <row r="21153" spans="1:4" x14ac:dyDescent="0.25">
      <c r="A21153" s="31"/>
      <c r="D21153" s="30"/>
    </row>
    <row r="21154" spans="1:4" x14ac:dyDescent="0.25">
      <c r="A21154" s="31"/>
      <c r="D21154" s="30"/>
    </row>
    <row r="21155" spans="1:4" x14ac:dyDescent="0.25">
      <c r="A21155" s="31"/>
      <c r="D21155" s="30"/>
    </row>
    <row r="21156" spans="1:4" x14ac:dyDescent="0.25">
      <c r="A21156" s="31"/>
      <c r="D21156" s="30"/>
    </row>
    <row r="21157" spans="1:4" x14ac:dyDescent="0.25">
      <c r="A21157" s="31"/>
      <c r="D21157" s="30"/>
    </row>
    <row r="21158" spans="1:4" x14ac:dyDescent="0.25">
      <c r="A21158" s="31"/>
      <c r="D21158" s="30"/>
    </row>
    <row r="21159" spans="1:4" x14ac:dyDescent="0.25">
      <c r="A21159" s="31"/>
      <c r="D21159" s="30"/>
    </row>
    <row r="21160" spans="1:4" x14ac:dyDescent="0.25">
      <c r="A21160" s="31"/>
      <c r="D21160" s="30"/>
    </row>
    <row r="21161" spans="1:4" x14ac:dyDescent="0.25">
      <c r="A21161" s="31"/>
      <c r="D21161" s="30"/>
    </row>
    <row r="21162" spans="1:4" x14ac:dyDescent="0.25">
      <c r="A21162" s="31"/>
      <c r="D21162" s="30"/>
    </row>
    <row r="21163" spans="1:4" x14ac:dyDescent="0.25">
      <c r="A21163" s="31"/>
      <c r="D21163" s="30"/>
    </row>
    <row r="21164" spans="1:4" x14ac:dyDescent="0.25">
      <c r="A21164" s="31"/>
      <c r="D21164" s="30"/>
    </row>
    <row r="21165" spans="1:4" x14ac:dyDescent="0.25">
      <c r="A21165" s="31"/>
      <c r="D21165" s="30"/>
    </row>
    <row r="21166" spans="1:4" x14ac:dyDescent="0.25">
      <c r="A21166" s="31"/>
      <c r="D21166" s="30"/>
    </row>
    <row r="21167" spans="1:4" x14ac:dyDescent="0.25">
      <c r="A21167" s="31"/>
      <c r="D21167" s="30"/>
    </row>
    <row r="21168" spans="1:4" x14ac:dyDescent="0.25">
      <c r="A21168" s="31"/>
      <c r="D21168" s="30"/>
    </row>
    <row r="21169" spans="1:4" x14ac:dyDescent="0.25">
      <c r="A21169" s="31"/>
      <c r="D21169" s="30"/>
    </row>
    <row r="21170" spans="1:4" x14ac:dyDescent="0.25">
      <c r="A21170" s="31"/>
      <c r="D21170" s="30"/>
    </row>
    <row r="21171" spans="1:4" x14ac:dyDescent="0.25">
      <c r="A21171" s="31"/>
      <c r="D21171" s="30"/>
    </row>
    <row r="21172" spans="1:4" x14ac:dyDescent="0.25">
      <c r="A21172" s="31"/>
      <c r="D21172" s="30"/>
    </row>
    <row r="21173" spans="1:4" x14ac:dyDescent="0.25">
      <c r="A21173" s="31"/>
      <c r="D21173" s="30"/>
    </row>
    <row r="21174" spans="1:4" x14ac:dyDescent="0.25">
      <c r="A21174" s="31"/>
      <c r="D21174" s="30"/>
    </row>
    <row r="21175" spans="1:4" x14ac:dyDescent="0.25">
      <c r="A21175" s="31"/>
      <c r="D21175" s="30"/>
    </row>
    <row r="21176" spans="1:4" x14ac:dyDescent="0.25">
      <c r="A21176" s="31"/>
      <c r="D21176" s="30"/>
    </row>
    <row r="21177" spans="1:4" x14ac:dyDescent="0.25">
      <c r="A21177" s="31"/>
      <c r="D21177" s="30"/>
    </row>
    <row r="21178" spans="1:4" x14ac:dyDescent="0.25">
      <c r="A21178" s="31"/>
      <c r="D21178" s="30"/>
    </row>
    <row r="21179" spans="1:4" x14ac:dyDescent="0.25">
      <c r="A21179" s="31"/>
      <c r="D21179" s="30"/>
    </row>
    <row r="21180" spans="1:4" x14ac:dyDescent="0.25">
      <c r="A21180" s="31"/>
      <c r="D21180" s="30"/>
    </row>
    <row r="21181" spans="1:4" x14ac:dyDescent="0.25">
      <c r="A21181" s="31"/>
      <c r="D21181" s="30"/>
    </row>
    <row r="21182" spans="1:4" x14ac:dyDescent="0.25">
      <c r="A21182" s="31"/>
      <c r="D21182" s="30"/>
    </row>
    <row r="21183" spans="1:4" x14ac:dyDescent="0.25">
      <c r="A21183" s="31"/>
      <c r="D21183" s="30"/>
    </row>
    <row r="21184" spans="1:4" x14ac:dyDescent="0.25">
      <c r="A21184" s="31"/>
      <c r="D21184" s="30"/>
    </row>
    <row r="21185" spans="1:4" x14ac:dyDescent="0.25">
      <c r="A21185" s="31"/>
      <c r="D21185" s="30"/>
    </row>
    <row r="21186" spans="1:4" x14ac:dyDescent="0.25">
      <c r="A21186" s="31"/>
      <c r="D21186" s="30"/>
    </row>
    <row r="21187" spans="1:4" x14ac:dyDescent="0.25">
      <c r="A21187" s="31"/>
      <c r="D21187" s="30"/>
    </row>
    <row r="21188" spans="1:4" x14ac:dyDescent="0.25">
      <c r="A21188" s="31"/>
      <c r="D21188" s="30"/>
    </row>
    <row r="21189" spans="1:4" x14ac:dyDescent="0.25">
      <c r="A21189" s="31"/>
      <c r="D21189" s="30"/>
    </row>
    <row r="21190" spans="1:4" x14ac:dyDescent="0.25">
      <c r="A21190" s="31"/>
      <c r="D21190" s="30"/>
    </row>
    <row r="21191" spans="1:4" x14ac:dyDescent="0.25">
      <c r="A21191" s="31"/>
      <c r="D21191" s="30"/>
    </row>
    <row r="21192" spans="1:4" x14ac:dyDescent="0.25">
      <c r="A21192" s="31"/>
      <c r="D21192" s="30"/>
    </row>
    <row r="21193" spans="1:4" x14ac:dyDescent="0.25">
      <c r="A21193" s="31"/>
      <c r="D21193" s="30"/>
    </row>
    <row r="21194" spans="1:4" x14ac:dyDescent="0.25">
      <c r="A21194" s="31"/>
      <c r="D21194" s="30"/>
    </row>
    <row r="21195" spans="1:4" x14ac:dyDescent="0.25">
      <c r="A21195" s="31"/>
      <c r="D21195" s="30"/>
    </row>
    <row r="21196" spans="1:4" x14ac:dyDescent="0.25">
      <c r="A21196" s="31"/>
      <c r="D21196" s="30"/>
    </row>
    <row r="21197" spans="1:4" x14ac:dyDescent="0.25">
      <c r="A21197" s="31"/>
      <c r="D21197" s="30"/>
    </row>
    <row r="21198" spans="1:4" x14ac:dyDescent="0.25">
      <c r="A21198" s="31"/>
      <c r="D21198" s="30"/>
    </row>
    <row r="21199" spans="1:4" x14ac:dyDescent="0.25">
      <c r="A21199" s="31"/>
      <c r="D21199" s="30"/>
    </row>
    <row r="21200" spans="1:4" x14ac:dyDescent="0.25">
      <c r="A21200" s="31"/>
      <c r="D21200" s="30"/>
    </row>
    <row r="21201" spans="1:4" x14ac:dyDescent="0.25">
      <c r="A21201" s="31"/>
      <c r="D21201" s="30"/>
    </row>
    <row r="21202" spans="1:4" x14ac:dyDescent="0.25">
      <c r="A21202" s="31"/>
      <c r="D21202" s="30"/>
    </row>
    <row r="21203" spans="1:4" x14ac:dyDescent="0.25">
      <c r="A21203" s="31"/>
      <c r="D21203" s="30"/>
    </row>
    <row r="21204" spans="1:4" x14ac:dyDescent="0.25">
      <c r="A21204" s="31"/>
      <c r="D21204" s="30"/>
    </row>
    <row r="21205" spans="1:4" x14ac:dyDescent="0.25">
      <c r="A21205" s="31"/>
      <c r="D21205" s="30"/>
    </row>
    <row r="21206" spans="1:4" x14ac:dyDescent="0.25">
      <c r="A21206" s="31"/>
      <c r="D21206" s="30"/>
    </row>
    <row r="21207" spans="1:4" x14ac:dyDescent="0.25">
      <c r="A21207" s="31"/>
      <c r="D21207" s="30"/>
    </row>
    <row r="21208" spans="1:4" x14ac:dyDescent="0.25">
      <c r="A21208" s="31"/>
      <c r="D21208" s="30"/>
    </row>
    <row r="21209" spans="1:4" x14ac:dyDescent="0.25">
      <c r="A21209" s="31"/>
      <c r="D21209" s="30"/>
    </row>
    <row r="21210" spans="1:4" x14ac:dyDescent="0.25">
      <c r="A21210" s="31"/>
      <c r="D21210" s="30"/>
    </row>
    <row r="21211" spans="1:4" x14ac:dyDescent="0.25">
      <c r="A21211" s="31"/>
      <c r="D21211" s="30"/>
    </row>
    <row r="21212" spans="1:4" x14ac:dyDescent="0.25">
      <c r="A21212" s="31"/>
      <c r="D21212" s="30"/>
    </row>
    <row r="21213" spans="1:4" x14ac:dyDescent="0.25">
      <c r="A21213" s="31"/>
      <c r="D21213" s="30"/>
    </row>
    <row r="21214" spans="1:4" x14ac:dyDescent="0.25">
      <c r="A21214" s="31"/>
      <c r="D21214" s="30"/>
    </row>
    <row r="21215" spans="1:4" x14ac:dyDescent="0.25">
      <c r="A21215" s="31"/>
      <c r="D21215" s="30"/>
    </row>
    <row r="21216" spans="1:4" x14ac:dyDescent="0.25">
      <c r="A21216" s="31"/>
      <c r="D21216" s="30"/>
    </row>
    <row r="21217" spans="1:4" x14ac:dyDescent="0.25">
      <c r="A21217" s="31"/>
      <c r="D21217" s="30"/>
    </row>
    <row r="21218" spans="1:4" x14ac:dyDescent="0.25">
      <c r="A21218" s="31"/>
      <c r="D21218" s="30"/>
    </row>
    <row r="21219" spans="1:4" x14ac:dyDescent="0.25">
      <c r="A21219" s="31"/>
      <c r="D21219" s="30"/>
    </row>
    <row r="21220" spans="1:4" x14ac:dyDescent="0.25">
      <c r="A21220" s="31"/>
      <c r="D21220" s="30"/>
    </row>
    <row r="21221" spans="1:4" x14ac:dyDescent="0.25">
      <c r="A21221" s="31"/>
      <c r="D21221" s="30"/>
    </row>
    <row r="21222" spans="1:4" x14ac:dyDescent="0.25">
      <c r="A21222" s="31"/>
      <c r="D21222" s="30"/>
    </row>
    <row r="21223" spans="1:4" x14ac:dyDescent="0.25">
      <c r="A21223" s="31"/>
      <c r="D21223" s="30"/>
    </row>
    <row r="21224" spans="1:4" x14ac:dyDescent="0.25">
      <c r="A21224" s="31"/>
      <c r="D21224" s="30"/>
    </row>
    <row r="21225" spans="1:4" x14ac:dyDescent="0.25">
      <c r="A21225" s="31"/>
      <c r="D21225" s="30"/>
    </row>
    <row r="21226" spans="1:4" x14ac:dyDescent="0.25">
      <c r="A21226" s="31"/>
      <c r="D21226" s="30"/>
    </row>
    <row r="21227" spans="1:4" x14ac:dyDescent="0.25">
      <c r="A21227" s="31"/>
      <c r="D21227" s="30"/>
    </row>
    <row r="21228" spans="1:4" x14ac:dyDescent="0.25">
      <c r="A21228" s="31"/>
      <c r="D21228" s="30"/>
    </row>
    <row r="21229" spans="1:4" x14ac:dyDescent="0.25">
      <c r="A21229" s="31"/>
      <c r="D21229" s="30"/>
    </row>
    <row r="21230" spans="1:4" x14ac:dyDescent="0.25">
      <c r="A21230" s="31"/>
      <c r="D21230" s="30"/>
    </row>
    <row r="21231" spans="1:4" x14ac:dyDescent="0.25">
      <c r="A21231" s="31"/>
      <c r="D21231" s="30"/>
    </row>
    <row r="21232" spans="1:4" x14ac:dyDescent="0.25">
      <c r="A21232" s="31"/>
      <c r="D21232" s="30"/>
    </row>
    <row r="21233" spans="1:4" x14ac:dyDescent="0.25">
      <c r="A21233" s="31"/>
      <c r="D21233" s="30"/>
    </row>
    <row r="21234" spans="1:4" x14ac:dyDescent="0.25">
      <c r="A21234" s="31"/>
      <c r="D21234" s="30"/>
    </row>
    <row r="21235" spans="1:4" x14ac:dyDescent="0.25">
      <c r="A21235" s="31"/>
      <c r="D21235" s="30"/>
    </row>
    <row r="21236" spans="1:4" x14ac:dyDescent="0.25">
      <c r="A21236" s="31"/>
      <c r="D21236" s="30"/>
    </row>
    <row r="21237" spans="1:4" x14ac:dyDescent="0.25">
      <c r="A21237" s="31"/>
      <c r="D21237" s="30"/>
    </row>
    <row r="21238" spans="1:4" x14ac:dyDescent="0.25">
      <c r="A21238" s="31"/>
      <c r="D21238" s="30"/>
    </row>
    <row r="21239" spans="1:4" x14ac:dyDescent="0.25">
      <c r="A21239" s="31"/>
      <c r="D21239" s="30"/>
    </row>
    <row r="21240" spans="1:4" x14ac:dyDescent="0.25">
      <c r="A21240" s="31"/>
      <c r="D21240" s="30"/>
    </row>
    <row r="21241" spans="1:4" x14ac:dyDescent="0.25">
      <c r="A21241" s="31"/>
      <c r="D21241" s="30"/>
    </row>
    <row r="21242" spans="1:4" x14ac:dyDescent="0.25">
      <c r="A21242" s="31"/>
      <c r="D21242" s="30"/>
    </row>
    <row r="21243" spans="1:4" x14ac:dyDescent="0.25">
      <c r="A21243" s="31"/>
      <c r="D21243" s="30"/>
    </row>
    <row r="21244" spans="1:4" x14ac:dyDescent="0.25">
      <c r="A21244" s="31"/>
      <c r="D21244" s="30"/>
    </row>
    <row r="21245" spans="1:4" x14ac:dyDescent="0.25">
      <c r="A21245" s="31"/>
      <c r="D21245" s="30"/>
    </row>
    <row r="21246" spans="1:4" x14ac:dyDescent="0.25">
      <c r="A21246" s="31"/>
      <c r="D21246" s="30"/>
    </row>
    <row r="21247" spans="1:4" x14ac:dyDescent="0.25">
      <c r="A21247" s="31"/>
      <c r="D21247" s="30"/>
    </row>
    <row r="21248" spans="1:4" x14ac:dyDescent="0.25">
      <c r="A21248" s="31"/>
      <c r="D21248" s="30"/>
    </row>
    <row r="21249" spans="1:4" x14ac:dyDescent="0.25">
      <c r="A21249" s="31"/>
      <c r="D21249" s="30"/>
    </row>
    <row r="21250" spans="1:4" x14ac:dyDescent="0.25">
      <c r="A21250" s="31"/>
      <c r="D21250" s="30"/>
    </row>
    <row r="21251" spans="1:4" x14ac:dyDescent="0.25">
      <c r="A21251" s="31"/>
      <c r="D21251" s="30"/>
    </row>
    <row r="21252" spans="1:4" x14ac:dyDescent="0.25">
      <c r="A21252" s="31"/>
      <c r="D21252" s="30"/>
    </row>
    <row r="21253" spans="1:4" x14ac:dyDescent="0.25">
      <c r="A21253" s="31"/>
      <c r="D21253" s="30"/>
    </row>
    <row r="21254" spans="1:4" x14ac:dyDescent="0.25">
      <c r="A21254" s="31"/>
      <c r="D21254" s="30"/>
    </row>
    <row r="21255" spans="1:4" x14ac:dyDescent="0.25">
      <c r="A21255" s="31"/>
      <c r="D21255" s="30"/>
    </row>
    <row r="21256" spans="1:4" x14ac:dyDescent="0.25">
      <c r="A21256" s="31"/>
      <c r="D21256" s="30"/>
    </row>
    <row r="21257" spans="1:4" x14ac:dyDescent="0.25">
      <c r="A21257" s="31"/>
      <c r="D21257" s="30"/>
    </row>
    <row r="21258" spans="1:4" x14ac:dyDescent="0.25">
      <c r="A21258" s="31"/>
      <c r="D21258" s="30"/>
    </row>
    <row r="21259" spans="1:4" x14ac:dyDescent="0.25">
      <c r="A21259" s="31"/>
      <c r="D21259" s="30"/>
    </row>
    <row r="21260" spans="1:4" x14ac:dyDescent="0.25">
      <c r="A21260" s="31"/>
      <c r="D21260" s="30"/>
    </row>
    <row r="21261" spans="1:4" x14ac:dyDescent="0.25">
      <c r="A21261" s="31"/>
      <c r="D21261" s="30"/>
    </row>
    <row r="21262" spans="1:4" x14ac:dyDescent="0.25">
      <c r="A21262" s="31"/>
      <c r="D21262" s="30"/>
    </row>
    <row r="21263" spans="1:4" x14ac:dyDescent="0.25">
      <c r="A21263" s="31"/>
      <c r="D21263" s="30"/>
    </row>
    <row r="21264" spans="1:4" x14ac:dyDescent="0.25">
      <c r="A21264" s="31"/>
      <c r="D21264" s="30"/>
    </row>
    <row r="21265" spans="1:4" x14ac:dyDescent="0.25">
      <c r="A21265" s="31"/>
      <c r="D21265" s="30"/>
    </row>
    <row r="21266" spans="1:4" x14ac:dyDescent="0.25">
      <c r="A21266" s="31"/>
      <c r="D21266" s="30"/>
    </row>
    <row r="21267" spans="1:4" x14ac:dyDescent="0.25">
      <c r="A21267" s="31"/>
      <c r="D21267" s="30"/>
    </row>
    <row r="21268" spans="1:4" x14ac:dyDescent="0.25">
      <c r="A21268" s="31"/>
      <c r="D21268" s="30"/>
    </row>
    <row r="21269" spans="1:4" x14ac:dyDescent="0.25">
      <c r="A21269" s="31"/>
      <c r="D21269" s="30"/>
    </row>
    <row r="21270" spans="1:4" x14ac:dyDescent="0.25">
      <c r="A21270" s="31"/>
      <c r="D21270" s="30"/>
    </row>
    <row r="21271" spans="1:4" x14ac:dyDescent="0.25">
      <c r="A21271" s="31"/>
      <c r="D21271" s="30"/>
    </row>
    <row r="21272" spans="1:4" x14ac:dyDescent="0.25">
      <c r="A21272" s="31"/>
      <c r="D21272" s="30"/>
    </row>
    <row r="21273" spans="1:4" x14ac:dyDescent="0.25">
      <c r="A21273" s="31"/>
      <c r="D21273" s="30"/>
    </row>
    <row r="21274" spans="1:4" x14ac:dyDescent="0.25">
      <c r="A21274" s="31"/>
      <c r="D21274" s="30"/>
    </row>
    <row r="21275" spans="1:4" x14ac:dyDescent="0.25">
      <c r="A21275" s="31"/>
      <c r="D21275" s="30"/>
    </row>
    <row r="21276" spans="1:4" x14ac:dyDescent="0.25">
      <c r="A21276" s="31"/>
      <c r="D21276" s="30"/>
    </row>
    <row r="21277" spans="1:4" x14ac:dyDescent="0.25">
      <c r="A21277" s="31"/>
      <c r="D21277" s="30"/>
    </row>
    <row r="21278" spans="1:4" x14ac:dyDescent="0.25">
      <c r="A21278" s="31"/>
      <c r="D21278" s="30"/>
    </row>
    <row r="21279" spans="1:4" x14ac:dyDescent="0.25">
      <c r="A21279" s="31"/>
      <c r="D21279" s="30"/>
    </row>
    <row r="21280" spans="1:4" x14ac:dyDescent="0.25">
      <c r="A21280" s="31"/>
      <c r="D21280" s="30"/>
    </row>
    <row r="21281" spans="1:4" x14ac:dyDescent="0.25">
      <c r="A21281" s="31"/>
      <c r="D21281" s="30"/>
    </row>
    <row r="21282" spans="1:4" x14ac:dyDescent="0.25">
      <c r="A21282" s="31"/>
      <c r="D21282" s="30"/>
    </row>
    <row r="21283" spans="1:4" x14ac:dyDescent="0.25">
      <c r="A21283" s="31"/>
      <c r="D21283" s="30"/>
    </row>
    <row r="21284" spans="1:4" x14ac:dyDescent="0.25">
      <c r="A21284" s="31"/>
      <c r="D21284" s="30"/>
    </row>
    <row r="21285" spans="1:4" x14ac:dyDescent="0.25">
      <c r="A21285" s="31"/>
      <c r="D21285" s="30"/>
    </row>
    <row r="21286" spans="1:4" x14ac:dyDescent="0.25">
      <c r="A21286" s="31"/>
      <c r="D21286" s="30"/>
    </row>
    <row r="21287" spans="1:4" x14ac:dyDescent="0.25">
      <c r="A21287" s="31"/>
      <c r="D21287" s="30"/>
    </row>
    <row r="21288" spans="1:4" x14ac:dyDescent="0.25">
      <c r="A21288" s="31"/>
      <c r="D21288" s="30"/>
    </row>
    <row r="21289" spans="1:4" x14ac:dyDescent="0.25">
      <c r="A21289" s="31"/>
      <c r="D21289" s="30"/>
    </row>
    <row r="21290" spans="1:4" x14ac:dyDescent="0.25">
      <c r="A21290" s="31"/>
      <c r="D21290" s="30"/>
    </row>
    <row r="21291" spans="1:4" x14ac:dyDescent="0.25">
      <c r="A21291" s="31"/>
      <c r="D21291" s="30"/>
    </row>
    <row r="21292" spans="1:4" x14ac:dyDescent="0.25">
      <c r="A21292" s="31"/>
      <c r="D21292" s="30"/>
    </row>
    <row r="21293" spans="1:4" x14ac:dyDescent="0.25">
      <c r="A21293" s="31"/>
      <c r="D21293" s="30"/>
    </row>
    <row r="21294" spans="1:4" x14ac:dyDescent="0.25">
      <c r="A21294" s="31"/>
      <c r="D21294" s="30"/>
    </row>
    <row r="21295" spans="1:4" x14ac:dyDescent="0.25">
      <c r="A21295" s="31"/>
      <c r="D21295" s="30"/>
    </row>
    <row r="21296" spans="1:4" x14ac:dyDescent="0.25">
      <c r="A21296" s="31"/>
      <c r="D21296" s="30"/>
    </row>
    <row r="21297" spans="1:4" x14ac:dyDescent="0.25">
      <c r="A21297" s="31"/>
      <c r="D21297" s="30"/>
    </row>
    <row r="21298" spans="1:4" x14ac:dyDescent="0.25">
      <c r="A21298" s="31"/>
      <c r="D21298" s="30"/>
    </row>
    <row r="21299" spans="1:4" x14ac:dyDescent="0.25">
      <c r="A21299" s="31"/>
      <c r="D21299" s="30"/>
    </row>
    <row r="21300" spans="1:4" x14ac:dyDescent="0.25">
      <c r="A21300" s="31"/>
      <c r="D21300" s="30"/>
    </row>
    <row r="21301" spans="1:4" x14ac:dyDescent="0.25">
      <c r="A21301" s="31"/>
      <c r="D21301" s="30"/>
    </row>
    <row r="21302" spans="1:4" x14ac:dyDescent="0.25">
      <c r="A21302" s="31"/>
      <c r="D21302" s="30"/>
    </row>
    <row r="21303" spans="1:4" x14ac:dyDescent="0.25">
      <c r="A21303" s="31"/>
      <c r="D21303" s="30"/>
    </row>
    <row r="21304" spans="1:4" x14ac:dyDescent="0.25">
      <c r="A21304" s="31"/>
      <c r="D21304" s="30"/>
    </row>
    <row r="21305" spans="1:4" x14ac:dyDescent="0.25">
      <c r="A21305" s="31"/>
      <c r="D21305" s="30"/>
    </row>
    <row r="21306" spans="1:4" x14ac:dyDescent="0.25">
      <c r="A21306" s="31"/>
      <c r="D21306" s="30"/>
    </row>
    <row r="21307" spans="1:4" x14ac:dyDescent="0.25">
      <c r="A21307" s="31"/>
      <c r="D21307" s="30"/>
    </row>
    <row r="21308" spans="1:4" x14ac:dyDescent="0.25">
      <c r="A21308" s="31"/>
      <c r="D21308" s="30"/>
    </row>
    <row r="21309" spans="1:4" x14ac:dyDescent="0.25">
      <c r="A21309" s="31"/>
      <c r="D21309" s="30"/>
    </row>
    <row r="21310" spans="1:4" x14ac:dyDescent="0.25">
      <c r="A21310" s="31"/>
      <c r="D21310" s="30"/>
    </row>
    <row r="21311" spans="1:4" x14ac:dyDescent="0.25">
      <c r="A21311" s="31"/>
      <c r="D21311" s="30"/>
    </row>
    <row r="21312" spans="1:4" x14ac:dyDescent="0.25">
      <c r="A21312" s="31"/>
      <c r="D21312" s="30"/>
    </row>
    <row r="21313" spans="1:4" x14ac:dyDescent="0.25">
      <c r="A21313" s="31"/>
      <c r="D21313" s="30"/>
    </row>
    <row r="21314" spans="1:4" x14ac:dyDescent="0.25">
      <c r="A21314" s="31"/>
      <c r="D21314" s="30"/>
    </row>
    <row r="21315" spans="1:4" x14ac:dyDescent="0.25">
      <c r="A21315" s="31"/>
      <c r="D21315" s="30"/>
    </row>
    <row r="21316" spans="1:4" x14ac:dyDescent="0.25">
      <c r="A21316" s="31"/>
      <c r="D21316" s="30"/>
    </row>
    <row r="21317" spans="1:4" x14ac:dyDescent="0.25">
      <c r="A21317" s="31"/>
      <c r="D21317" s="30"/>
    </row>
    <row r="21318" spans="1:4" x14ac:dyDescent="0.25">
      <c r="A21318" s="31"/>
      <c r="D21318" s="30"/>
    </row>
    <row r="21319" spans="1:4" x14ac:dyDescent="0.25">
      <c r="A21319" s="31"/>
      <c r="D21319" s="30"/>
    </row>
    <row r="21320" spans="1:4" x14ac:dyDescent="0.25">
      <c r="A21320" s="31"/>
      <c r="D21320" s="30"/>
    </row>
    <row r="21321" spans="1:4" x14ac:dyDescent="0.25">
      <c r="A21321" s="31"/>
      <c r="D21321" s="30"/>
    </row>
    <row r="21322" spans="1:4" x14ac:dyDescent="0.25">
      <c r="A21322" s="31"/>
      <c r="D21322" s="30"/>
    </row>
    <row r="21323" spans="1:4" x14ac:dyDescent="0.25">
      <c r="A21323" s="31"/>
      <c r="D21323" s="30"/>
    </row>
    <row r="21324" spans="1:4" x14ac:dyDescent="0.25">
      <c r="A21324" s="31"/>
      <c r="D21324" s="30"/>
    </row>
    <row r="21325" spans="1:4" x14ac:dyDescent="0.25">
      <c r="A21325" s="31"/>
      <c r="D21325" s="30"/>
    </row>
    <row r="21326" spans="1:4" x14ac:dyDescent="0.25">
      <c r="A21326" s="31"/>
      <c r="D21326" s="30"/>
    </row>
    <row r="21327" spans="1:4" x14ac:dyDescent="0.25">
      <c r="A21327" s="31"/>
      <c r="D21327" s="30"/>
    </row>
    <row r="21328" spans="1:4" x14ac:dyDescent="0.25">
      <c r="A21328" s="31"/>
      <c r="D21328" s="30"/>
    </row>
    <row r="21329" spans="1:4" x14ac:dyDescent="0.25">
      <c r="A21329" s="31"/>
      <c r="D21329" s="30"/>
    </row>
    <row r="21330" spans="1:4" x14ac:dyDescent="0.25">
      <c r="A21330" s="31"/>
      <c r="D21330" s="30"/>
    </row>
    <row r="21331" spans="1:4" x14ac:dyDescent="0.25">
      <c r="A21331" s="31"/>
      <c r="D21331" s="30"/>
    </row>
    <row r="21332" spans="1:4" x14ac:dyDescent="0.25">
      <c r="A21332" s="31"/>
      <c r="D21332" s="30"/>
    </row>
    <row r="21333" spans="1:4" x14ac:dyDescent="0.25">
      <c r="A21333" s="31"/>
      <c r="D21333" s="30"/>
    </row>
    <row r="21334" spans="1:4" x14ac:dyDescent="0.25">
      <c r="A21334" s="31"/>
      <c r="D21334" s="30"/>
    </row>
    <row r="21335" spans="1:4" x14ac:dyDescent="0.25">
      <c r="A21335" s="31"/>
      <c r="D21335" s="30"/>
    </row>
    <row r="21336" spans="1:4" x14ac:dyDescent="0.25">
      <c r="A21336" s="31"/>
      <c r="D21336" s="30"/>
    </row>
    <row r="21337" spans="1:4" x14ac:dyDescent="0.25">
      <c r="A21337" s="31"/>
      <c r="D21337" s="30"/>
    </row>
    <row r="21338" spans="1:4" x14ac:dyDescent="0.25">
      <c r="A21338" s="31"/>
      <c r="D21338" s="30"/>
    </row>
    <row r="21339" spans="1:4" x14ac:dyDescent="0.25">
      <c r="A21339" s="31"/>
      <c r="D21339" s="30"/>
    </row>
    <row r="21340" spans="1:4" x14ac:dyDescent="0.25">
      <c r="A21340" s="31"/>
      <c r="D21340" s="30"/>
    </row>
    <row r="21341" spans="1:4" x14ac:dyDescent="0.25">
      <c r="A21341" s="31"/>
      <c r="D21341" s="30"/>
    </row>
    <row r="21342" spans="1:4" x14ac:dyDescent="0.25">
      <c r="A21342" s="31"/>
      <c r="D21342" s="30"/>
    </row>
    <row r="21343" spans="1:4" x14ac:dyDescent="0.25">
      <c r="A21343" s="31"/>
      <c r="D21343" s="30"/>
    </row>
    <row r="21344" spans="1:4" x14ac:dyDescent="0.25">
      <c r="A21344" s="31"/>
      <c r="D21344" s="30"/>
    </row>
    <row r="21345" spans="1:4" x14ac:dyDescent="0.25">
      <c r="A21345" s="31"/>
      <c r="D21345" s="30"/>
    </row>
    <row r="21346" spans="1:4" x14ac:dyDescent="0.25">
      <c r="A21346" s="31"/>
      <c r="D21346" s="30"/>
    </row>
    <row r="21347" spans="1:4" x14ac:dyDescent="0.25">
      <c r="A21347" s="31"/>
      <c r="D21347" s="30"/>
    </row>
    <row r="21348" spans="1:4" x14ac:dyDescent="0.25">
      <c r="A21348" s="31"/>
      <c r="D21348" s="30"/>
    </row>
    <row r="21349" spans="1:4" x14ac:dyDescent="0.25">
      <c r="A21349" s="31"/>
      <c r="D21349" s="30"/>
    </row>
    <row r="21350" spans="1:4" x14ac:dyDescent="0.25">
      <c r="A21350" s="31"/>
      <c r="D21350" s="30"/>
    </row>
    <row r="21351" spans="1:4" x14ac:dyDescent="0.25">
      <c r="A21351" s="31"/>
      <c r="D21351" s="30"/>
    </row>
    <row r="21352" spans="1:4" x14ac:dyDescent="0.25">
      <c r="A21352" s="31"/>
      <c r="D21352" s="30"/>
    </row>
    <row r="21353" spans="1:4" x14ac:dyDescent="0.25">
      <c r="A21353" s="31"/>
      <c r="D21353" s="30"/>
    </row>
    <row r="21354" spans="1:4" x14ac:dyDescent="0.25">
      <c r="A21354" s="31"/>
      <c r="D21354" s="30"/>
    </row>
    <row r="21355" spans="1:4" x14ac:dyDescent="0.25">
      <c r="A21355" s="31"/>
      <c r="D21355" s="30"/>
    </row>
    <row r="21356" spans="1:4" x14ac:dyDescent="0.25">
      <c r="A21356" s="31"/>
      <c r="D21356" s="30"/>
    </row>
    <row r="21357" spans="1:4" x14ac:dyDescent="0.25">
      <c r="A21357" s="31"/>
      <c r="D21357" s="30"/>
    </row>
    <row r="21358" spans="1:4" x14ac:dyDescent="0.25">
      <c r="A21358" s="31"/>
      <c r="D21358" s="30"/>
    </row>
    <row r="21359" spans="1:4" x14ac:dyDescent="0.25">
      <c r="A21359" s="31"/>
      <c r="D21359" s="30"/>
    </row>
    <row r="21360" spans="1:4" x14ac:dyDescent="0.25">
      <c r="A21360" s="31"/>
      <c r="D21360" s="30"/>
    </row>
    <row r="21361" spans="1:4" x14ac:dyDescent="0.25">
      <c r="A21361" s="31"/>
      <c r="D21361" s="30"/>
    </row>
    <row r="21362" spans="1:4" x14ac:dyDescent="0.25">
      <c r="A21362" s="31"/>
      <c r="D21362" s="30"/>
    </row>
    <row r="21363" spans="1:4" x14ac:dyDescent="0.25">
      <c r="A21363" s="31"/>
      <c r="D21363" s="30"/>
    </row>
    <row r="21364" spans="1:4" x14ac:dyDescent="0.25">
      <c r="A21364" s="31"/>
      <c r="D21364" s="30"/>
    </row>
    <row r="21365" spans="1:4" x14ac:dyDescent="0.25">
      <c r="A21365" s="31"/>
      <c r="D21365" s="30"/>
    </row>
    <row r="21366" spans="1:4" x14ac:dyDescent="0.25">
      <c r="A21366" s="31"/>
      <c r="D21366" s="30"/>
    </row>
    <row r="21367" spans="1:4" x14ac:dyDescent="0.25">
      <c r="A21367" s="31"/>
      <c r="D21367" s="30"/>
    </row>
    <row r="21368" spans="1:4" x14ac:dyDescent="0.25">
      <c r="A21368" s="31"/>
      <c r="D21368" s="30"/>
    </row>
    <row r="21369" spans="1:4" x14ac:dyDescent="0.25">
      <c r="A21369" s="31"/>
      <c r="D21369" s="30"/>
    </row>
    <row r="21370" spans="1:4" x14ac:dyDescent="0.25">
      <c r="A21370" s="31"/>
      <c r="D21370" s="30"/>
    </row>
    <row r="21371" spans="1:4" x14ac:dyDescent="0.25">
      <c r="A21371" s="31"/>
      <c r="D21371" s="30"/>
    </row>
    <row r="21372" spans="1:4" x14ac:dyDescent="0.25">
      <c r="A21372" s="31"/>
      <c r="D21372" s="30"/>
    </row>
    <row r="21373" spans="1:4" x14ac:dyDescent="0.25">
      <c r="A21373" s="31"/>
      <c r="D21373" s="30"/>
    </row>
    <row r="21374" spans="1:4" x14ac:dyDescent="0.25">
      <c r="A21374" s="31"/>
      <c r="D21374" s="30"/>
    </row>
    <row r="21375" spans="1:4" x14ac:dyDescent="0.25">
      <c r="A21375" s="31"/>
      <c r="D21375" s="30"/>
    </row>
    <row r="21376" spans="1:4" x14ac:dyDescent="0.25">
      <c r="A21376" s="31"/>
      <c r="D21376" s="30"/>
    </row>
    <row r="21377" spans="1:4" x14ac:dyDescent="0.25">
      <c r="A21377" s="31"/>
      <c r="D21377" s="30"/>
    </row>
    <row r="21378" spans="1:4" x14ac:dyDescent="0.25">
      <c r="A21378" s="31"/>
      <c r="D21378" s="30"/>
    </row>
    <row r="21379" spans="1:4" x14ac:dyDescent="0.25">
      <c r="A21379" s="31"/>
      <c r="D21379" s="30"/>
    </row>
    <row r="21380" spans="1:4" x14ac:dyDescent="0.25">
      <c r="A21380" s="31"/>
      <c r="D21380" s="30"/>
    </row>
    <row r="21381" spans="1:4" x14ac:dyDescent="0.25">
      <c r="A21381" s="31"/>
      <c r="D21381" s="30"/>
    </row>
    <row r="21382" spans="1:4" x14ac:dyDescent="0.25">
      <c r="A21382" s="31"/>
      <c r="D21382" s="30"/>
    </row>
    <row r="21383" spans="1:4" x14ac:dyDescent="0.25">
      <c r="A21383" s="31"/>
      <c r="D21383" s="30"/>
    </row>
    <row r="21384" spans="1:4" x14ac:dyDescent="0.25">
      <c r="A21384" s="31"/>
      <c r="D21384" s="30"/>
    </row>
    <row r="21385" spans="1:4" x14ac:dyDescent="0.25">
      <c r="A21385" s="31"/>
      <c r="D21385" s="30"/>
    </row>
    <row r="21386" spans="1:4" x14ac:dyDescent="0.25">
      <c r="A21386" s="31"/>
      <c r="D21386" s="30"/>
    </row>
    <row r="21387" spans="1:4" x14ac:dyDescent="0.25">
      <c r="A21387" s="31"/>
      <c r="D21387" s="30"/>
    </row>
    <row r="21388" spans="1:4" x14ac:dyDescent="0.25">
      <c r="A21388" s="31"/>
      <c r="D21388" s="30"/>
    </row>
    <row r="21389" spans="1:4" x14ac:dyDescent="0.25">
      <c r="A21389" s="31"/>
      <c r="D21389" s="30"/>
    </row>
    <row r="21390" spans="1:4" x14ac:dyDescent="0.25">
      <c r="A21390" s="31"/>
      <c r="D21390" s="30"/>
    </row>
    <row r="21391" spans="1:4" x14ac:dyDescent="0.25">
      <c r="A21391" s="31"/>
      <c r="D21391" s="30"/>
    </row>
    <row r="21392" spans="1:4" x14ac:dyDescent="0.25">
      <c r="A21392" s="31"/>
      <c r="D21392" s="30"/>
    </row>
    <row r="21393" spans="1:4" x14ac:dyDescent="0.25">
      <c r="A21393" s="31"/>
      <c r="D21393" s="30"/>
    </row>
    <row r="21394" spans="1:4" x14ac:dyDescent="0.25">
      <c r="A21394" s="31"/>
      <c r="D21394" s="30"/>
    </row>
    <row r="21395" spans="1:4" x14ac:dyDescent="0.25">
      <c r="A21395" s="31"/>
      <c r="D21395" s="30"/>
    </row>
    <row r="21396" spans="1:4" x14ac:dyDescent="0.25">
      <c r="A21396" s="31"/>
      <c r="D21396" s="30"/>
    </row>
    <row r="21397" spans="1:4" x14ac:dyDescent="0.25">
      <c r="A21397" s="31"/>
      <c r="D21397" s="30"/>
    </row>
    <row r="21398" spans="1:4" x14ac:dyDescent="0.25">
      <c r="A21398" s="31"/>
      <c r="D21398" s="30"/>
    </row>
    <row r="21399" spans="1:4" x14ac:dyDescent="0.25">
      <c r="A21399" s="31"/>
      <c r="D21399" s="30"/>
    </row>
    <row r="21400" spans="1:4" x14ac:dyDescent="0.25">
      <c r="A21400" s="31"/>
      <c r="D21400" s="30"/>
    </row>
    <row r="21401" spans="1:4" x14ac:dyDescent="0.25">
      <c r="A21401" s="31"/>
      <c r="D21401" s="30"/>
    </row>
    <row r="21402" spans="1:4" x14ac:dyDescent="0.25">
      <c r="A21402" s="31"/>
      <c r="D21402" s="30"/>
    </row>
    <row r="21403" spans="1:4" x14ac:dyDescent="0.25">
      <c r="A21403" s="31"/>
      <c r="D21403" s="30"/>
    </row>
    <row r="21404" spans="1:4" x14ac:dyDescent="0.25">
      <c r="A21404" s="31"/>
      <c r="D21404" s="30"/>
    </row>
    <row r="21405" spans="1:4" x14ac:dyDescent="0.25">
      <c r="A21405" s="31"/>
      <c r="D21405" s="30"/>
    </row>
    <row r="21406" spans="1:4" x14ac:dyDescent="0.25">
      <c r="A21406" s="31"/>
      <c r="D21406" s="30"/>
    </row>
    <row r="21407" spans="1:4" x14ac:dyDescent="0.25">
      <c r="A21407" s="31"/>
      <c r="D21407" s="30"/>
    </row>
    <row r="21408" spans="1:4" x14ac:dyDescent="0.25">
      <c r="A21408" s="31"/>
      <c r="D21408" s="30"/>
    </row>
    <row r="21409" spans="1:4" x14ac:dyDescent="0.25">
      <c r="A21409" s="31"/>
      <c r="D21409" s="30"/>
    </row>
    <row r="21410" spans="1:4" x14ac:dyDescent="0.25">
      <c r="A21410" s="31"/>
      <c r="D21410" s="30"/>
    </row>
    <row r="21411" spans="1:4" x14ac:dyDescent="0.25">
      <c r="A21411" s="31"/>
      <c r="D21411" s="30"/>
    </row>
    <row r="21412" spans="1:4" x14ac:dyDescent="0.25">
      <c r="A21412" s="31"/>
      <c r="D21412" s="30"/>
    </row>
    <row r="21413" spans="1:4" x14ac:dyDescent="0.25">
      <c r="A21413" s="31"/>
      <c r="D21413" s="30"/>
    </row>
    <row r="21414" spans="1:4" x14ac:dyDescent="0.25">
      <c r="A21414" s="31"/>
      <c r="D21414" s="30"/>
    </row>
    <row r="21415" spans="1:4" x14ac:dyDescent="0.25">
      <c r="A21415" s="31"/>
      <c r="D21415" s="30"/>
    </row>
    <row r="21416" spans="1:4" x14ac:dyDescent="0.25">
      <c r="A21416" s="31"/>
      <c r="D21416" s="30"/>
    </row>
    <row r="21417" spans="1:4" x14ac:dyDescent="0.25">
      <c r="A21417" s="31"/>
      <c r="D21417" s="30"/>
    </row>
    <row r="21418" spans="1:4" x14ac:dyDescent="0.25">
      <c r="A21418" s="31"/>
      <c r="D21418" s="30"/>
    </row>
    <row r="21419" spans="1:4" x14ac:dyDescent="0.25">
      <c r="A21419" s="31"/>
      <c r="D21419" s="30"/>
    </row>
    <row r="21420" spans="1:4" x14ac:dyDescent="0.25">
      <c r="A21420" s="31"/>
      <c r="D21420" s="30"/>
    </row>
    <row r="21421" spans="1:4" x14ac:dyDescent="0.25">
      <c r="A21421" s="31"/>
      <c r="D21421" s="30"/>
    </row>
    <row r="21422" spans="1:4" x14ac:dyDescent="0.25">
      <c r="A21422" s="31"/>
      <c r="D21422" s="30"/>
    </row>
    <row r="21423" spans="1:4" x14ac:dyDescent="0.25">
      <c r="A21423" s="31"/>
      <c r="D21423" s="30"/>
    </row>
    <row r="21424" spans="1:4" x14ac:dyDescent="0.25">
      <c r="A21424" s="31"/>
      <c r="D21424" s="30"/>
    </row>
    <row r="21425" spans="1:4" x14ac:dyDescent="0.25">
      <c r="A21425" s="31"/>
      <c r="D21425" s="30"/>
    </row>
    <row r="21426" spans="1:4" x14ac:dyDescent="0.25">
      <c r="A21426" s="31"/>
      <c r="D21426" s="30"/>
    </row>
    <row r="21427" spans="1:4" x14ac:dyDescent="0.25">
      <c r="A21427" s="31"/>
      <c r="D21427" s="30"/>
    </row>
    <row r="21428" spans="1:4" x14ac:dyDescent="0.25">
      <c r="A21428" s="31"/>
      <c r="D21428" s="30"/>
    </row>
    <row r="21429" spans="1:4" x14ac:dyDescent="0.25">
      <c r="A21429" s="31"/>
      <c r="D21429" s="30"/>
    </row>
    <row r="21430" spans="1:4" x14ac:dyDescent="0.25">
      <c r="A21430" s="31"/>
      <c r="D21430" s="30"/>
    </row>
    <row r="21431" spans="1:4" x14ac:dyDescent="0.25">
      <c r="A21431" s="31"/>
      <c r="D21431" s="30"/>
    </row>
    <row r="21432" spans="1:4" x14ac:dyDescent="0.25">
      <c r="A21432" s="31"/>
      <c r="D21432" s="30"/>
    </row>
    <row r="21433" spans="1:4" x14ac:dyDescent="0.25">
      <c r="A21433" s="31"/>
      <c r="D21433" s="30"/>
    </row>
    <row r="21434" spans="1:4" x14ac:dyDescent="0.25">
      <c r="A21434" s="31"/>
      <c r="D21434" s="30"/>
    </row>
    <row r="21435" spans="1:4" x14ac:dyDescent="0.25">
      <c r="A21435" s="31"/>
      <c r="D21435" s="30"/>
    </row>
    <row r="21436" spans="1:4" x14ac:dyDescent="0.25">
      <c r="A21436" s="31"/>
      <c r="D21436" s="30"/>
    </row>
    <row r="21437" spans="1:4" x14ac:dyDescent="0.25">
      <c r="A21437" s="31"/>
      <c r="D21437" s="30"/>
    </row>
    <row r="21438" spans="1:4" x14ac:dyDescent="0.25">
      <c r="A21438" s="31"/>
      <c r="D21438" s="30"/>
    </row>
    <row r="21439" spans="1:4" x14ac:dyDescent="0.25">
      <c r="A21439" s="31"/>
      <c r="D21439" s="30"/>
    </row>
    <row r="21440" spans="1:4" x14ac:dyDescent="0.25">
      <c r="A21440" s="31"/>
      <c r="D21440" s="30"/>
    </row>
    <row r="21441" spans="1:4" x14ac:dyDescent="0.25">
      <c r="A21441" s="31"/>
      <c r="D21441" s="30"/>
    </row>
    <row r="21442" spans="1:4" x14ac:dyDescent="0.25">
      <c r="A21442" s="31"/>
      <c r="D21442" s="30"/>
    </row>
    <row r="21443" spans="1:4" x14ac:dyDescent="0.25">
      <c r="A21443" s="31"/>
      <c r="D21443" s="30"/>
    </row>
    <row r="21444" spans="1:4" x14ac:dyDescent="0.25">
      <c r="A21444" s="31"/>
      <c r="D21444" s="30"/>
    </row>
    <row r="21445" spans="1:4" x14ac:dyDescent="0.25">
      <c r="A21445" s="31"/>
      <c r="D21445" s="30"/>
    </row>
    <row r="21446" spans="1:4" x14ac:dyDescent="0.25">
      <c r="A21446" s="31"/>
      <c r="D21446" s="30"/>
    </row>
    <row r="21447" spans="1:4" x14ac:dyDescent="0.25">
      <c r="A21447" s="31"/>
      <c r="D21447" s="30"/>
    </row>
    <row r="21448" spans="1:4" x14ac:dyDescent="0.25">
      <c r="A21448" s="31"/>
      <c r="D21448" s="30"/>
    </row>
    <row r="21449" spans="1:4" x14ac:dyDescent="0.25">
      <c r="A21449" s="31"/>
      <c r="D21449" s="30"/>
    </row>
    <row r="21450" spans="1:4" x14ac:dyDescent="0.25">
      <c r="A21450" s="31"/>
      <c r="D21450" s="30"/>
    </row>
    <row r="21451" spans="1:4" x14ac:dyDescent="0.25">
      <c r="A21451" s="31"/>
      <c r="D21451" s="30"/>
    </row>
    <row r="21452" spans="1:4" x14ac:dyDescent="0.25">
      <c r="A21452" s="31"/>
      <c r="D21452" s="30"/>
    </row>
    <row r="21453" spans="1:4" x14ac:dyDescent="0.25">
      <c r="A21453" s="31"/>
      <c r="D21453" s="30"/>
    </row>
    <row r="21454" spans="1:4" x14ac:dyDescent="0.25">
      <c r="A21454" s="31"/>
      <c r="D21454" s="30"/>
    </row>
    <row r="21455" spans="1:4" x14ac:dyDescent="0.25">
      <c r="A21455" s="31"/>
      <c r="D21455" s="30"/>
    </row>
    <row r="21456" spans="1:4" x14ac:dyDescent="0.25">
      <c r="A21456" s="31"/>
      <c r="D21456" s="30"/>
    </row>
    <row r="21457" spans="1:4" x14ac:dyDescent="0.25">
      <c r="A21457" s="31"/>
      <c r="D21457" s="30"/>
    </row>
    <row r="21458" spans="1:4" x14ac:dyDescent="0.25">
      <c r="A21458" s="31"/>
      <c r="D21458" s="30"/>
    </row>
    <row r="21459" spans="1:4" x14ac:dyDescent="0.25">
      <c r="A21459" s="31"/>
      <c r="D21459" s="30"/>
    </row>
    <row r="21460" spans="1:4" x14ac:dyDescent="0.25">
      <c r="A21460" s="31"/>
      <c r="D21460" s="30"/>
    </row>
    <row r="21461" spans="1:4" x14ac:dyDescent="0.25">
      <c r="A21461" s="31"/>
      <c r="D21461" s="30"/>
    </row>
    <row r="21462" spans="1:4" x14ac:dyDescent="0.25">
      <c r="A21462" s="31"/>
      <c r="D21462" s="30"/>
    </row>
    <row r="21463" spans="1:4" x14ac:dyDescent="0.25">
      <c r="A21463" s="31"/>
      <c r="D21463" s="30"/>
    </row>
    <row r="21464" spans="1:4" x14ac:dyDescent="0.25">
      <c r="A21464" s="31"/>
      <c r="D21464" s="30"/>
    </row>
    <row r="21465" spans="1:4" x14ac:dyDescent="0.25">
      <c r="A21465" s="31"/>
      <c r="D21465" s="30"/>
    </row>
    <row r="21466" spans="1:4" x14ac:dyDescent="0.25">
      <c r="A21466" s="31"/>
      <c r="D21466" s="30"/>
    </row>
    <row r="21467" spans="1:4" x14ac:dyDescent="0.25">
      <c r="A21467" s="31"/>
      <c r="D21467" s="30"/>
    </row>
    <row r="21468" spans="1:4" x14ac:dyDescent="0.25">
      <c r="A21468" s="31"/>
      <c r="D21468" s="30"/>
    </row>
    <row r="21469" spans="1:4" x14ac:dyDescent="0.25">
      <c r="A21469" s="31"/>
      <c r="D21469" s="30"/>
    </row>
    <row r="21470" spans="1:4" x14ac:dyDescent="0.25">
      <c r="A21470" s="31"/>
      <c r="D21470" s="30"/>
    </row>
    <row r="21471" spans="1:4" x14ac:dyDescent="0.25">
      <c r="A21471" s="31"/>
      <c r="D21471" s="30"/>
    </row>
    <row r="21472" spans="1:4" x14ac:dyDescent="0.25">
      <c r="A21472" s="31"/>
      <c r="D21472" s="30"/>
    </row>
    <row r="21473" spans="1:4" x14ac:dyDescent="0.25">
      <c r="A21473" s="31"/>
      <c r="D21473" s="30"/>
    </row>
    <row r="21474" spans="1:4" x14ac:dyDescent="0.25">
      <c r="A21474" s="31"/>
      <c r="D21474" s="30"/>
    </row>
    <row r="21475" spans="1:4" x14ac:dyDescent="0.25">
      <c r="A21475" s="31"/>
      <c r="D21475" s="30"/>
    </row>
    <row r="21476" spans="1:4" x14ac:dyDescent="0.25">
      <c r="A21476" s="31"/>
      <c r="D21476" s="30"/>
    </row>
    <row r="21477" spans="1:4" x14ac:dyDescent="0.25">
      <c r="A21477" s="31"/>
      <c r="D21477" s="30"/>
    </row>
    <row r="21478" spans="1:4" x14ac:dyDescent="0.25">
      <c r="A21478" s="31"/>
      <c r="D21478" s="30"/>
    </row>
    <row r="21479" spans="1:4" x14ac:dyDescent="0.25">
      <c r="A21479" s="31"/>
      <c r="D21479" s="30"/>
    </row>
    <row r="21480" spans="1:4" x14ac:dyDescent="0.25">
      <c r="A21480" s="31"/>
      <c r="D21480" s="30"/>
    </row>
    <row r="21481" spans="1:4" x14ac:dyDescent="0.25">
      <c r="A21481" s="31"/>
      <c r="D21481" s="30"/>
    </row>
    <row r="21482" spans="1:4" x14ac:dyDescent="0.25">
      <c r="A21482" s="31"/>
      <c r="D21482" s="30"/>
    </row>
    <row r="21483" spans="1:4" x14ac:dyDescent="0.25">
      <c r="A21483" s="31"/>
      <c r="D21483" s="30"/>
    </row>
    <row r="21484" spans="1:4" x14ac:dyDescent="0.25">
      <c r="A21484" s="31"/>
      <c r="D21484" s="30"/>
    </row>
    <row r="21485" spans="1:4" x14ac:dyDescent="0.25">
      <c r="A21485" s="31"/>
      <c r="D21485" s="30"/>
    </row>
    <row r="21486" spans="1:4" x14ac:dyDescent="0.25">
      <c r="A21486" s="31"/>
      <c r="D21486" s="30"/>
    </row>
    <row r="21487" spans="1:4" x14ac:dyDescent="0.25">
      <c r="A21487" s="31"/>
      <c r="D21487" s="30"/>
    </row>
    <row r="21488" spans="1:4" x14ac:dyDescent="0.25">
      <c r="A21488" s="31"/>
      <c r="D21488" s="30"/>
    </row>
    <row r="21489" spans="1:4" x14ac:dyDescent="0.25">
      <c r="A21489" s="31"/>
      <c r="D21489" s="30"/>
    </row>
    <row r="21490" spans="1:4" x14ac:dyDescent="0.25">
      <c r="A21490" s="31"/>
      <c r="D21490" s="30"/>
    </row>
    <row r="21491" spans="1:4" x14ac:dyDescent="0.25">
      <c r="A21491" s="31"/>
      <c r="D21491" s="30"/>
    </row>
    <row r="21492" spans="1:4" x14ac:dyDescent="0.25">
      <c r="A21492" s="31"/>
      <c r="D21492" s="30"/>
    </row>
    <row r="21493" spans="1:4" x14ac:dyDescent="0.25">
      <c r="A21493" s="31"/>
      <c r="D21493" s="30"/>
    </row>
    <row r="21494" spans="1:4" x14ac:dyDescent="0.25">
      <c r="A21494" s="31"/>
      <c r="D21494" s="30"/>
    </row>
    <row r="21495" spans="1:4" x14ac:dyDescent="0.25">
      <c r="A21495" s="31"/>
      <c r="D21495" s="30"/>
    </row>
    <row r="21496" spans="1:4" x14ac:dyDescent="0.25">
      <c r="A21496" s="31"/>
      <c r="D21496" s="30"/>
    </row>
    <row r="21497" spans="1:4" x14ac:dyDescent="0.25">
      <c r="A21497" s="31"/>
      <c r="D21497" s="30"/>
    </row>
    <row r="21498" spans="1:4" x14ac:dyDescent="0.25">
      <c r="A21498" s="31"/>
      <c r="D21498" s="30"/>
    </row>
    <row r="21499" spans="1:4" x14ac:dyDescent="0.25">
      <c r="A21499" s="31"/>
      <c r="D21499" s="30"/>
    </row>
    <row r="21500" spans="1:4" x14ac:dyDescent="0.25">
      <c r="A21500" s="31"/>
      <c r="D21500" s="30"/>
    </row>
    <row r="21501" spans="1:4" x14ac:dyDescent="0.25">
      <c r="A21501" s="31"/>
      <c r="D21501" s="30"/>
    </row>
    <row r="21502" spans="1:4" x14ac:dyDescent="0.25">
      <c r="A21502" s="31"/>
      <c r="D21502" s="30"/>
    </row>
    <row r="21503" spans="1:4" x14ac:dyDescent="0.25">
      <c r="A21503" s="31"/>
      <c r="D21503" s="30"/>
    </row>
    <row r="21504" spans="1:4" x14ac:dyDescent="0.25">
      <c r="A21504" s="31"/>
      <c r="D21504" s="30"/>
    </row>
    <row r="21505" spans="1:4" x14ac:dyDescent="0.25">
      <c r="A21505" s="31"/>
      <c r="D21505" s="30"/>
    </row>
    <row r="21506" spans="1:4" x14ac:dyDescent="0.25">
      <c r="A21506" s="31"/>
      <c r="D21506" s="30"/>
    </row>
    <row r="21507" spans="1:4" x14ac:dyDescent="0.25">
      <c r="A21507" s="31"/>
      <c r="D21507" s="30"/>
    </row>
    <row r="21508" spans="1:4" x14ac:dyDescent="0.25">
      <c r="A21508" s="31"/>
      <c r="D21508" s="30"/>
    </row>
    <row r="21509" spans="1:4" x14ac:dyDescent="0.25">
      <c r="A21509" s="31"/>
      <c r="D21509" s="30"/>
    </row>
    <row r="21510" spans="1:4" x14ac:dyDescent="0.25">
      <c r="A21510" s="31"/>
      <c r="D21510" s="30"/>
    </row>
    <row r="21511" spans="1:4" x14ac:dyDescent="0.25">
      <c r="A21511" s="31"/>
      <c r="D21511" s="30"/>
    </row>
    <row r="21512" spans="1:4" x14ac:dyDescent="0.25">
      <c r="A21512" s="31"/>
      <c r="D21512" s="30"/>
    </row>
    <row r="21513" spans="1:4" x14ac:dyDescent="0.25">
      <c r="A21513" s="31"/>
      <c r="D21513" s="30"/>
    </row>
    <row r="21514" spans="1:4" x14ac:dyDescent="0.25">
      <c r="A21514" s="31"/>
      <c r="D21514" s="30"/>
    </row>
    <row r="21515" spans="1:4" x14ac:dyDescent="0.25">
      <c r="A21515" s="31"/>
      <c r="D21515" s="30"/>
    </row>
    <row r="21516" spans="1:4" x14ac:dyDescent="0.25">
      <c r="A21516" s="31"/>
      <c r="D21516" s="30"/>
    </row>
    <row r="21517" spans="1:4" x14ac:dyDescent="0.25">
      <c r="A21517" s="31"/>
      <c r="D21517" s="30"/>
    </row>
    <row r="21518" spans="1:4" x14ac:dyDescent="0.25">
      <c r="A21518" s="31"/>
      <c r="D21518" s="30"/>
    </row>
    <row r="21519" spans="1:4" x14ac:dyDescent="0.25">
      <c r="A21519" s="31"/>
      <c r="D21519" s="30"/>
    </row>
    <row r="21520" spans="1:4" x14ac:dyDescent="0.25">
      <c r="A21520" s="31"/>
      <c r="D21520" s="30"/>
    </row>
    <row r="21521" spans="1:4" x14ac:dyDescent="0.25">
      <c r="A21521" s="31"/>
      <c r="D21521" s="30"/>
    </row>
    <row r="21522" spans="1:4" x14ac:dyDescent="0.25">
      <c r="A21522" s="31"/>
      <c r="D21522" s="30"/>
    </row>
    <row r="21523" spans="1:4" x14ac:dyDescent="0.25">
      <c r="A21523" s="31"/>
      <c r="D21523" s="30"/>
    </row>
    <row r="21524" spans="1:4" x14ac:dyDescent="0.25">
      <c r="A21524" s="31"/>
      <c r="D21524" s="30"/>
    </row>
    <row r="21525" spans="1:4" x14ac:dyDescent="0.25">
      <c r="A21525" s="31"/>
      <c r="D21525" s="30"/>
    </row>
    <row r="21526" spans="1:4" x14ac:dyDescent="0.25">
      <c r="A21526" s="31"/>
      <c r="D21526" s="30"/>
    </row>
    <row r="21527" spans="1:4" x14ac:dyDescent="0.25">
      <c r="A21527" s="31"/>
      <c r="D21527" s="30"/>
    </row>
    <row r="21528" spans="1:4" x14ac:dyDescent="0.25">
      <c r="A21528" s="31"/>
      <c r="D21528" s="30"/>
    </row>
    <row r="21529" spans="1:4" x14ac:dyDescent="0.25">
      <c r="A21529" s="31"/>
      <c r="D21529" s="30"/>
    </row>
    <row r="21530" spans="1:4" x14ac:dyDescent="0.25">
      <c r="A21530" s="31"/>
      <c r="D21530" s="30"/>
    </row>
    <row r="21531" spans="1:4" x14ac:dyDescent="0.25">
      <c r="A21531" s="31"/>
      <c r="D21531" s="30"/>
    </row>
    <row r="21532" spans="1:4" x14ac:dyDescent="0.25">
      <c r="A21532" s="31"/>
      <c r="D21532" s="30"/>
    </row>
    <row r="21533" spans="1:4" x14ac:dyDescent="0.25">
      <c r="A21533" s="31"/>
      <c r="D21533" s="30"/>
    </row>
    <row r="21534" spans="1:4" x14ac:dyDescent="0.25">
      <c r="A21534" s="31"/>
      <c r="D21534" s="30"/>
    </row>
    <row r="21535" spans="1:4" x14ac:dyDescent="0.25">
      <c r="A21535" s="31"/>
      <c r="D21535" s="30"/>
    </row>
    <row r="21536" spans="1:4" x14ac:dyDescent="0.25">
      <c r="A21536" s="31"/>
      <c r="D21536" s="30"/>
    </row>
    <row r="21537" spans="1:4" x14ac:dyDescent="0.25">
      <c r="A21537" s="31"/>
      <c r="D21537" s="30"/>
    </row>
    <row r="21538" spans="1:4" x14ac:dyDescent="0.25">
      <c r="A21538" s="31"/>
      <c r="D21538" s="30"/>
    </row>
    <row r="21539" spans="1:4" x14ac:dyDescent="0.25">
      <c r="A21539" s="31"/>
      <c r="D21539" s="30"/>
    </row>
    <row r="21540" spans="1:4" x14ac:dyDescent="0.25">
      <c r="A21540" s="31"/>
      <c r="D21540" s="30"/>
    </row>
    <row r="21541" spans="1:4" x14ac:dyDescent="0.25">
      <c r="A21541" s="31"/>
      <c r="D21541" s="30"/>
    </row>
    <row r="21542" spans="1:4" x14ac:dyDescent="0.25">
      <c r="A21542" s="31"/>
      <c r="D21542" s="30"/>
    </row>
    <row r="21543" spans="1:4" x14ac:dyDescent="0.25">
      <c r="A21543" s="31"/>
      <c r="D21543" s="30"/>
    </row>
    <row r="21544" spans="1:4" x14ac:dyDescent="0.25">
      <c r="A21544" s="31"/>
      <c r="D21544" s="30"/>
    </row>
    <row r="21545" spans="1:4" x14ac:dyDescent="0.25">
      <c r="A21545" s="31"/>
      <c r="D21545" s="30"/>
    </row>
    <row r="21546" spans="1:4" x14ac:dyDescent="0.25">
      <c r="A21546" s="31"/>
      <c r="D21546" s="30"/>
    </row>
    <row r="21547" spans="1:4" x14ac:dyDescent="0.25">
      <c r="A21547" s="31"/>
      <c r="D21547" s="30"/>
    </row>
    <row r="21548" spans="1:4" x14ac:dyDescent="0.25">
      <c r="A21548" s="31"/>
      <c r="D21548" s="30"/>
    </row>
    <row r="21549" spans="1:4" x14ac:dyDescent="0.25">
      <c r="A21549" s="31"/>
      <c r="D21549" s="30"/>
    </row>
    <row r="21550" spans="1:4" x14ac:dyDescent="0.25">
      <c r="A21550" s="31"/>
      <c r="D21550" s="30"/>
    </row>
    <row r="21551" spans="1:4" x14ac:dyDescent="0.25">
      <c r="A21551" s="31"/>
      <c r="D21551" s="30"/>
    </row>
    <row r="21552" spans="1:4" x14ac:dyDescent="0.25">
      <c r="A21552" s="31"/>
      <c r="D21552" s="30"/>
    </row>
    <row r="21553" spans="1:4" x14ac:dyDescent="0.25">
      <c r="A21553" s="31"/>
      <c r="D21553" s="30"/>
    </row>
    <row r="21554" spans="1:4" x14ac:dyDescent="0.25">
      <c r="A21554" s="31"/>
      <c r="D21554" s="30"/>
    </row>
    <row r="21555" spans="1:4" x14ac:dyDescent="0.25">
      <c r="A21555" s="31"/>
      <c r="D21555" s="30"/>
    </row>
    <row r="21556" spans="1:4" x14ac:dyDescent="0.25">
      <c r="A21556" s="31"/>
      <c r="D21556" s="30"/>
    </row>
    <row r="21557" spans="1:4" x14ac:dyDescent="0.25">
      <c r="A21557" s="31"/>
      <c r="D21557" s="30"/>
    </row>
    <row r="21558" spans="1:4" x14ac:dyDescent="0.25">
      <c r="A21558" s="31"/>
      <c r="D21558" s="30"/>
    </row>
    <row r="21559" spans="1:4" x14ac:dyDescent="0.25">
      <c r="A21559" s="31"/>
      <c r="D21559" s="30"/>
    </row>
    <row r="21560" spans="1:4" x14ac:dyDescent="0.25">
      <c r="A21560" s="31"/>
      <c r="D21560" s="30"/>
    </row>
    <row r="21561" spans="1:4" x14ac:dyDescent="0.25">
      <c r="A21561" s="31"/>
      <c r="D21561" s="30"/>
    </row>
    <row r="21562" spans="1:4" x14ac:dyDescent="0.25">
      <c r="A21562" s="31"/>
      <c r="D21562" s="30"/>
    </row>
    <row r="21563" spans="1:4" x14ac:dyDescent="0.25">
      <c r="A21563" s="31"/>
      <c r="D21563" s="30"/>
    </row>
    <row r="21564" spans="1:4" x14ac:dyDescent="0.25">
      <c r="A21564" s="31"/>
      <c r="D21564" s="30"/>
    </row>
    <row r="21565" spans="1:4" x14ac:dyDescent="0.25">
      <c r="A21565" s="31"/>
      <c r="D21565" s="30"/>
    </row>
    <row r="21566" spans="1:4" x14ac:dyDescent="0.25">
      <c r="A21566" s="31"/>
      <c r="D21566" s="30"/>
    </row>
    <row r="21567" spans="1:4" x14ac:dyDescent="0.25">
      <c r="A21567" s="31"/>
      <c r="D21567" s="30"/>
    </row>
    <row r="21568" spans="1:4" x14ac:dyDescent="0.25">
      <c r="A21568" s="31"/>
      <c r="D21568" s="30"/>
    </row>
    <row r="21569" spans="1:4" x14ac:dyDescent="0.25">
      <c r="A21569" s="31"/>
      <c r="D21569" s="30"/>
    </row>
    <row r="21570" spans="1:4" x14ac:dyDescent="0.25">
      <c r="A21570" s="31"/>
      <c r="D21570" s="30"/>
    </row>
    <row r="21571" spans="1:4" x14ac:dyDescent="0.25">
      <c r="A21571" s="31"/>
      <c r="D21571" s="30"/>
    </row>
    <row r="21572" spans="1:4" x14ac:dyDescent="0.25">
      <c r="A21572" s="31"/>
      <c r="D21572" s="30"/>
    </row>
    <row r="21573" spans="1:4" x14ac:dyDescent="0.25">
      <c r="A21573" s="31"/>
      <c r="D21573" s="30"/>
    </row>
    <row r="21574" spans="1:4" x14ac:dyDescent="0.25">
      <c r="A21574" s="31"/>
      <c r="D21574" s="30"/>
    </row>
    <row r="21575" spans="1:4" x14ac:dyDescent="0.25">
      <c r="A21575" s="31"/>
      <c r="D21575" s="30"/>
    </row>
    <row r="21576" spans="1:4" x14ac:dyDescent="0.25">
      <c r="A21576" s="31"/>
      <c r="D21576" s="30"/>
    </row>
    <row r="21577" spans="1:4" x14ac:dyDescent="0.25">
      <c r="A21577" s="31"/>
      <c r="D21577" s="30"/>
    </row>
    <row r="21578" spans="1:4" x14ac:dyDescent="0.25">
      <c r="A21578" s="31"/>
      <c r="D21578" s="30"/>
    </row>
    <row r="21579" spans="1:4" x14ac:dyDescent="0.25">
      <c r="A21579" s="31"/>
      <c r="D21579" s="30"/>
    </row>
    <row r="21580" spans="1:4" x14ac:dyDescent="0.25">
      <c r="A21580" s="31"/>
      <c r="D21580" s="30"/>
    </row>
    <row r="21581" spans="1:4" x14ac:dyDescent="0.25">
      <c r="A21581" s="31"/>
      <c r="D21581" s="30"/>
    </row>
    <row r="21582" spans="1:4" x14ac:dyDescent="0.25">
      <c r="A21582" s="31"/>
      <c r="D21582" s="30"/>
    </row>
    <row r="21583" spans="1:4" x14ac:dyDescent="0.25">
      <c r="A21583" s="31"/>
      <c r="D21583" s="30"/>
    </row>
    <row r="21584" spans="1:4" x14ac:dyDescent="0.25">
      <c r="A21584" s="31"/>
      <c r="D21584" s="30"/>
    </row>
    <row r="21585" spans="1:4" x14ac:dyDescent="0.25">
      <c r="A21585" s="31"/>
      <c r="D21585" s="30"/>
    </row>
    <row r="21586" spans="1:4" x14ac:dyDescent="0.25">
      <c r="A21586" s="31"/>
      <c r="D21586" s="30"/>
    </row>
    <row r="21587" spans="1:4" x14ac:dyDescent="0.25">
      <c r="A21587" s="31"/>
      <c r="D21587" s="30"/>
    </row>
    <row r="21588" spans="1:4" x14ac:dyDescent="0.25">
      <c r="A21588" s="31"/>
      <c r="D21588" s="30"/>
    </row>
    <row r="21589" spans="1:4" x14ac:dyDescent="0.25">
      <c r="A21589" s="31"/>
      <c r="D21589" s="30"/>
    </row>
    <row r="21590" spans="1:4" x14ac:dyDescent="0.25">
      <c r="A21590" s="31"/>
      <c r="D21590" s="30"/>
    </row>
    <row r="21591" spans="1:4" x14ac:dyDescent="0.25">
      <c r="A21591" s="31"/>
      <c r="D21591" s="30"/>
    </row>
    <row r="21592" spans="1:4" x14ac:dyDescent="0.25">
      <c r="A21592" s="31"/>
      <c r="D21592" s="30"/>
    </row>
    <row r="21593" spans="1:4" x14ac:dyDescent="0.25">
      <c r="A21593" s="31"/>
      <c r="D21593" s="30"/>
    </row>
    <row r="21594" spans="1:4" x14ac:dyDescent="0.25">
      <c r="A21594" s="31"/>
      <c r="D21594" s="30"/>
    </row>
    <row r="21595" spans="1:4" x14ac:dyDescent="0.25">
      <c r="A21595" s="31"/>
      <c r="D21595" s="30"/>
    </row>
    <row r="21596" spans="1:4" x14ac:dyDescent="0.25">
      <c r="A21596" s="31"/>
      <c r="D21596" s="30"/>
    </row>
    <row r="21597" spans="1:4" x14ac:dyDescent="0.25">
      <c r="A21597" s="31"/>
      <c r="D21597" s="30"/>
    </row>
    <row r="21598" spans="1:4" x14ac:dyDescent="0.25">
      <c r="A21598" s="31"/>
      <c r="D21598" s="30"/>
    </row>
    <row r="21599" spans="1:4" x14ac:dyDescent="0.25">
      <c r="A21599" s="31"/>
      <c r="D21599" s="30"/>
    </row>
    <row r="21600" spans="1:4" x14ac:dyDescent="0.25">
      <c r="A21600" s="31"/>
      <c r="D21600" s="30"/>
    </row>
    <row r="21601" spans="1:4" x14ac:dyDescent="0.25">
      <c r="A21601" s="31"/>
      <c r="D21601" s="30"/>
    </row>
    <row r="21602" spans="1:4" x14ac:dyDescent="0.25">
      <c r="A21602" s="31"/>
      <c r="D21602" s="30"/>
    </row>
    <row r="21603" spans="1:4" x14ac:dyDescent="0.25">
      <c r="A21603" s="31"/>
      <c r="D21603" s="30"/>
    </row>
    <row r="21604" spans="1:4" x14ac:dyDescent="0.25">
      <c r="A21604" s="31"/>
      <c r="D21604" s="30"/>
    </row>
    <row r="21605" spans="1:4" x14ac:dyDescent="0.25">
      <c r="A21605" s="31"/>
      <c r="D21605" s="30"/>
    </row>
    <row r="21606" spans="1:4" x14ac:dyDescent="0.25">
      <c r="A21606" s="31"/>
      <c r="D21606" s="30"/>
    </row>
    <row r="21607" spans="1:4" x14ac:dyDescent="0.25">
      <c r="A21607" s="31"/>
      <c r="D21607" s="30"/>
    </row>
    <row r="21608" spans="1:4" x14ac:dyDescent="0.25">
      <c r="A21608" s="31"/>
      <c r="D21608" s="30"/>
    </row>
    <row r="21609" spans="1:4" x14ac:dyDescent="0.25">
      <c r="A21609" s="31"/>
      <c r="D21609" s="30"/>
    </row>
    <row r="21610" spans="1:4" x14ac:dyDescent="0.25">
      <c r="A21610" s="31"/>
      <c r="D21610" s="30"/>
    </row>
    <row r="21611" spans="1:4" x14ac:dyDescent="0.25">
      <c r="A21611" s="31"/>
      <c r="D21611" s="30"/>
    </row>
    <row r="21612" spans="1:4" x14ac:dyDescent="0.25">
      <c r="A21612" s="31"/>
      <c r="D21612" s="30"/>
    </row>
    <row r="21613" spans="1:4" x14ac:dyDescent="0.25">
      <c r="A21613" s="31"/>
      <c r="D21613" s="30"/>
    </row>
    <row r="21614" spans="1:4" x14ac:dyDescent="0.25">
      <c r="A21614" s="31"/>
      <c r="D21614" s="30"/>
    </row>
    <row r="21615" spans="1:4" x14ac:dyDescent="0.25">
      <c r="A21615" s="31"/>
      <c r="D21615" s="30"/>
    </row>
    <row r="21616" spans="1:4" x14ac:dyDescent="0.25">
      <c r="A21616" s="31"/>
      <c r="D21616" s="30"/>
    </row>
    <row r="21617" spans="1:4" x14ac:dyDescent="0.25">
      <c r="A21617" s="31"/>
      <c r="D21617" s="30"/>
    </row>
    <row r="21618" spans="1:4" x14ac:dyDescent="0.25">
      <c r="A21618" s="31"/>
      <c r="D21618" s="30"/>
    </row>
    <row r="21619" spans="1:4" x14ac:dyDescent="0.25">
      <c r="A21619" s="31"/>
      <c r="D21619" s="30"/>
    </row>
    <row r="21620" spans="1:4" x14ac:dyDescent="0.25">
      <c r="A21620" s="31"/>
      <c r="D21620" s="30"/>
    </row>
    <row r="21621" spans="1:4" x14ac:dyDescent="0.25">
      <c r="A21621" s="31"/>
      <c r="D21621" s="30"/>
    </row>
    <row r="21622" spans="1:4" x14ac:dyDescent="0.25">
      <c r="A21622" s="31"/>
      <c r="D21622" s="30"/>
    </row>
    <row r="21623" spans="1:4" x14ac:dyDescent="0.25">
      <c r="A21623" s="31"/>
      <c r="D21623" s="30"/>
    </row>
    <row r="21624" spans="1:4" x14ac:dyDescent="0.25">
      <c r="A21624" s="31"/>
      <c r="D21624" s="30"/>
    </row>
    <row r="21625" spans="1:4" x14ac:dyDescent="0.25">
      <c r="A21625" s="31"/>
      <c r="D21625" s="30"/>
    </row>
    <row r="21626" spans="1:4" x14ac:dyDescent="0.25">
      <c r="A21626" s="31"/>
      <c r="D21626" s="30"/>
    </row>
    <row r="21627" spans="1:4" x14ac:dyDescent="0.25">
      <c r="A21627" s="31"/>
      <c r="D21627" s="30"/>
    </row>
    <row r="21628" spans="1:4" x14ac:dyDescent="0.25">
      <c r="A21628" s="31"/>
      <c r="D21628" s="30"/>
    </row>
    <row r="21629" spans="1:4" x14ac:dyDescent="0.25">
      <c r="A21629" s="31"/>
      <c r="D21629" s="30"/>
    </row>
    <row r="21630" spans="1:4" x14ac:dyDescent="0.25">
      <c r="A21630" s="31"/>
      <c r="D21630" s="30"/>
    </row>
    <row r="21631" spans="1:4" x14ac:dyDescent="0.25">
      <c r="A21631" s="31"/>
      <c r="D21631" s="30"/>
    </row>
    <row r="21632" spans="1:4" x14ac:dyDescent="0.25">
      <c r="A21632" s="31"/>
      <c r="D21632" s="30"/>
    </row>
    <row r="21633" spans="1:4" x14ac:dyDescent="0.25">
      <c r="A21633" s="31"/>
      <c r="D21633" s="30"/>
    </row>
    <row r="21634" spans="1:4" x14ac:dyDescent="0.25">
      <c r="A21634" s="31"/>
      <c r="D21634" s="30"/>
    </row>
    <row r="21635" spans="1:4" x14ac:dyDescent="0.25">
      <c r="A21635" s="31"/>
      <c r="D21635" s="30"/>
    </row>
    <row r="21636" spans="1:4" x14ac:dyDescent="0.25">
      <c r="A21636" s="31"/>
      <c r="D21636" s="30"/>
    </row>
    <row r="21637" spans="1:4" x14ac:dyDescent="0.25">
      <c r="A21637" s="31"/>
      <c r="D21637" s="30"/>
    </row>
    <row r="21638" spans="1:4" x14ac:dyDescent="0.25">
      <c r="A21638" s="31"/>
      <c r="D21638" s="30"/>
    </row>
    <row r="21639" spans="1:4" x14ac:dyDescent="0.25">
      <c r="A21639" s="31"/>
      <c r="D21639" s="30"/>
    </row>
    <row r="21640" spans="1:4" x14ac:dyDescent="0.25">
      <c r="A21640" s="31"/>
      <c r="D21640" s="30"/>
    </row>
    <row r="21641" spans="1:4" x14ac:dyDescent="0.25">
      <c r="A21641" s="31"/>
      <c r="D21641" s="30"/>
    </row>
    <row r="21642" spans="1:4" x14ac:dyDescent="0.25">
      <c r="A21642" s="31"/>
      <c r="D21642" s="30"/>
    </row>
    <row r="21643" spans="1:4" x14ac:dyDescent="0.25">
      <c r="A21643" s="31"/>
      <c r="D21643" s="30"/>
    </row>
    <row r="21644" spans="1:4" x14ac:dyDescent="0.25">
      <c r="A21644" s="31"/>
      <c r="D21644" s="30"/>
    </row>
    <row r="21645" spans="1:4" x14ac:dyDescent="0.25">
      <c r="A21645" s="31"/>
      <c r="D21645" s="30"/>
    </row>
    <row r="21646" spans="1:4" x14ac:dyDescent="0.25">
      <c r="A21646" s="31"/>
      <c r="D21646" s="30"/>
    </row>
    <row r="21647" spans="1:4" x14ac:dyDescent="0.25">
      <c r="A21647" s="31"/>
      <c r="D21647" s="30"/>
    </row>
    <row r="21648" spans="1:4" x14ac:dyDescent="0.25">
      <c r="A21648" s="31"/>
      <c r="D21648" s="30"/>
    </row>
    <row r="21649" spans="1:4" x14ac:dyDescent="0.25">
      <c r="A21649" s="31"/>
      <c r="D21649" s="30"/>
    </row>
    <row r="21650" spans="1:4" x14ac:dyDescent="0.25">
      <c r="A21650" s="31"/>
      <c r="D21650" s="30"/>
    </row>
    <row r="21651" spans="1:4" x14ac:dyDescent="0.25">
      <c r="A21651" s="31"/>
      <c r="D21651" s="30"/>
    </row>
    <row r="21652" spans="1:4" x14ac:dyDescent="0.25">
      <c r="A21652" s="31"/>
      <c r="D21652" s="30"/>
    </row>
    <row r="21653" spans="1:4" x14ac:dyDescent="0.25">
      <c r="A21653" s="31"/>
      <c r="D21653" s="30"/>
    </row>
    <row r="21654" spans="1:4" x14ac:dyDescent="0.25">
      <c r="A21654" s="31"/>
      <c r="D21654" s="30"/>
    </row>
    <row r="21655" spans="1:4" x14ac:dyDescent="0.25">
      <c r="A21655" s="31"/>
      <c r="D21655" s="30"/>
    </row>
    <row r="21656" spans="1:4" x14ac:dyDescent="0.25">
      <c r="A21656" s="31"/>
      <c r="D21656" s="30"/>
    </row>
    <row r="21657" spans="1:4" x14ac:dyDescent="0.25">
      <c r="A21657" s="31"/>
      <c r="D21657" s="30"/>
    </row>
    <row r="21658" spans="1:4" x14ac:dyDescent="0.25">
      <c r="A21658" s="31"/>
      <c r="D21658" s="30"/>
    </row>
    <row r="21659" spans="1:4" x14ac:dyDescent="0.25">
      <c r="A21659" s="31"/>
      <c r="D21659" s="30"/>
    </row>
    <row r="21660" spans="1:4" x14ac:dyDescent="0.25">
      <c r="A21660" s="31"/>
      <c r="D21660" s="30"/>
    </row>
    <row r="21661" spans="1:4" x14ac:dyDescent="0.25">
      <c r="A21661" s="31"/>
      <c r="D21661" s="30"/>
    </row>
    <row r="21662" spans="1:4" x14ac:dyDescent="0.25">
      <c r="A21662" s="31"/>
      <c r="D21662" s="30"/>
    </row>
    <row r="21663" spans="1:4" x14ac:dyDescent="0.25">
      <c r="A21663" s="31"/>
      <c r="D21663" s="30"/>
    </row>
    <row r="21664" spans="1:4" x14ac:dyDescent="0.25">
      <c r="A21664" s="31"/>
      <c r="D21664" s="30"/>
    </row>
    <row r="21665" spans="1:4" x14ac:dyDescent="0.25">
      <c r="A21665" s="31"/>
      <c r="D21665" s="30"/>
    </row>
    <row r="21666" spans="1:4" x14ac:dyDescent="0.25">
      <c r="A21666" s="31"/>
      <c r="D21666" s="30"/>
    </row>
    <row r="21667" spans="1:4" x14ac:dyDescent="0.25">
      <c r="A21667" s="31"/>
      <c r="D21667" s="30"/>
    </row>
    <row r="21668" spans="1:4" x14ac:dyDescent="0.25">
      <c r="A21668" s="31"/>
      <c r="D21668" s="30"/>
    </row>
    <row r="21669" spans="1:4" x14ac:dyDescent="0.25">
      <c r="A21669" s="31"/>
      <c r="D21669" s="30"/>
    </row>
    <row r="21670" spans="1:4" x14ac:dyDescent="0.25">
      <c r="A21670" s="31"/>
      <c r="D21670" s="30"/>
    </row>
    <row r="21671" spans="1:4" x14ac:dyDescent="0.25">
      <c r="A21671" s="31"/>
      <c r="D21671" s="30"/>
    </row>
    <row r="21672" spans="1:4" x14ac:dyDescent="0.25">
      <c r="A21672" s="31"/>
      <c r="D21672" s="30"/>
    </row>
    <row r="21673" spans="1:4" x14ac:dyDescent="0.25">
      <c r="A21673" s="31"/>
      <c r="D21673" s="30"/>
    </row>
    <row r="21674" spans="1:4" x14ac:dyDescent="0.25">
      <c r="A21674" s="31"/>
      <c r="D21674" s="30"/>
    </row>
    <row r="21675" spans="1:4" x14ac:dyDescent="0.25">
      <c r="A21675" s="31"/>
      <c r="D21675" s="30"/>
    </row>
    <row r="21676" spans="1:4" x14ac:dyDescent="0.25">
      <c r="A21676" s="31"/>
      <c r="D21676" s="30"/>
    </row>
    <row r="21677" spans="1:4" x14ac:dyDescent="0.25">
      <c r="A21677" s="31"/>
      <c r="D21677" s="30"/>
    </row>
    <row r="21678" spans="1:4" x14ac:dyDescent="0.25">
      <c r="A21678" s="31"/>
      <c r="D21678" s="30"/>
    </row>
    <row r="21679" spans="1:4" x14ac:dyDescent="0.25">
      <c r="A21679" s="31"/>
      <c r="D21679" s="30"/>
    </row>
    <row r="21680" spans="1:4" x14ac:dyDescent="0.25">
      <c r="A21680" s="31"/>
      <c r="D21680" s="30"/>
    </row>
    <row r="21681" spans="1:4" x14ac:dyDescent="0.25">
      <c r="A21681" s="31"/>
      <c r="D21681" s="30"/>
    </row>
    <row r="21682" spans="1:4" x14ac:dyDescent="0.25">
      <c r="A21682" s="31"/>
      <c r="D21682" s="30"/>
    </row>
    <row r="21683" spans="1:4" x14ac:dyDescent="0.25">
      <c r="A21683" s="31"/>
      <c r="D21683" s="30"/>
    </row>
    <row r="21684" spans="1:4" x14ac:dyDescent="0.25">
      <c r="A21684" s="31"/>
      <c r="D21684" s="30"/>
    </row>
    <row r="21685" spans="1:4" x14ac:dyDescent="0.25">
      <c r="A21685" s="31"/>
      <c r="D21685" s="30"/>
    </row>
    <row r="21686" spans="1:4" x14ac:dyDescent="0.25">
      <c r="A21686" s="31"/>
      <c r="D21686" s="30"/>
    </row>
    <row r="21687" spans="1:4" x14ac:dyDescent="0.25">
      <c r="A21687" s="31"/>
      <c r="D21687" s="30"/>
    </row>
    <row r="21688" spans="1:4" x14ac:dyDescent="0.25">
      <c r="A21688" s="31"/>
      <c r="D21688" s="30"/>
    </row>
    <row r="21689" spans="1:4" x14ac:dyDescent="0.25">
      <c r="A21689" s="31"/>
      <c r="D21689" s="30"/>
    </row>
    <row r="21690" spans="1:4" x14ac:dyDescent="0.25">
      <c r="A21690" s="31"/>
      <c r="D21690" s="30"/>
    </row>
    <row r="21691" spans="1:4" x14ac:dyDescent="0.25">
      <c r="A21691" s="31"/>
      <c r="D21691" s="30"/>
    </row>
    <row r="21692" spans="1:4" x14ac:dyDescent="0.25">
      <c r="A21692" s="31"/>
      <c r="D21692" s="30"/>
    </row>
    <row r="21693" spans="1:4" x14ac:dyDescent="0.25">
      <c r="A21693" s="31"/>
      <c r="D21693" s="30"/>
    </row>
    <row r="21694" spans="1:4" x14ac:dyDescent="0.25">
      <c r="A21694" s="31"/>
      <c r="D21694" s="30"/>
    </row>
    <row r="21695" spans="1:4" x14ac:dyDescent="0.25">
      <c r="A21695" s="31"/>
      <c r="D21695" s="30"/>
    </row>
    <row r="21696" spans="1:4" x14ac:dyDescent="0.25">
      <c r="A21696" s="31"/>
      <c r="D21696" s="30"/>
    </row>
    <row r="21697" spans="1:4" x14ac:dyDescent="0.25">
      <c r="A21697" s="31"/>
      <c r="D21697" s="30"/>
    </row>
    <row r="21698" spans="1:4" x14ac:dyDescent="0.25">
      <c r="A21698" s="31"/>
      <c r="D21698" s="30"/>
    </row>
    <row r="21699" spans="1:4" x14ac:dyDescent="0.25">
      <c r="A21699" s="31"/>
      <c r="D21699" s="30"/>
    </row>
    <row r="21700" spans="1:4" x14ac:dyDescent="0.25">
      <c r="A21700" s="31"/>
      <c r="D21700" s="30"/>
    </row>
    <row r="21701" spans="1:4" x14ac:dyDescent="0.25">
      <c r="A21701" s="31"/>
      <c r="D21701" s="30"/>
    </row>
    <row r="21702" spans="1:4" x14ac:dyDescent="0.25">
      <c r="A21702" s="31"/>
      <c r="D21702" s="30"/>
    </row>
    <row r="21703" spans="1:4" x14ac:dyDescent="0.25">
      <c r="A21703" s="31"/>
      <c r="D21703" s="30"/>
    </row>
    <row r="21704" spans="1:4" x14ac:dyDescent="0.25">
      <c r="A21704" s="31"/>
      <c r="D21704" s="30"/>
    </row>
    <row r="21705" spans="1:4" x14ac:dyDescent="0.25">
      <c r="A21705" s="31"/>
      <c r="D21705" s="30"/>
    </row>
    <row r="21706" spans="1:4" x14ac:dyDescent="0.25">
      <c r="A21706" s="31"/>
      <c r="D21706" s="30"/>
    </row>
    <row r="21707" spans="1:4" x14ac:dyDescent="0.25">
      <c r="A21707" s="31"/>
      <c r="D21707" s="30"/>
    </row>
    <row r="21708" spans="1:4" x14ac:dyDescent="0.25">
      <c r="A21708" s="31"/>
      <c r="D21708" s="30"/>
    </row>
    <row r="21709" spans="1:4" x14ac:dyDescent="0.25">
      <c r="A21709" s="31"/>
      <c r="D21709" s="30"/>
    </row>
    <row r="21710" spans="1:4" x14ac:dyDescent="0.25">
      <c r="A21710" s="31"/>
      <c r="D21710" s="30"/>
    </row>
    <row r="21711" spans="1:4" x14ac:dyDescent="0.25">
      <c r="A21711" s="31"/>
      <c r="D21711" s="30"/>
    </row>
    <row r="21712" spans="1:4" x14ac:dyDescent="0.25">
      <c r="A21712" s="31"/>
      <c r="D21712" s="30"/>
    </row>
    <row r="21713" spans="1:4" x14ac:dyDescent="0.25">
      <c r="A21713" s="31"/>
      <c r="D21713" s="30"/>
    </row>
    <row r="21714" spans="1:4" x14ac:dyDescent="0.25">
      <c r="A21714" s="31"/>
      <c r="D21714" s="30"/>
    </row>
    <row r="21715" spans="1:4" x14ac:dyDescent="0.25">
      <c r="A21715" s="31"/>
      <c r="D21715" s="30"/>
    </row>
    <row r="21716" spans="1:4" x14ac:dyDescent="0.25">
      <c r="A21716" s="31"/>
      <c r="D21716" s="30"/>
    </row>
    <row r="21717" spans="1:4" x14ac:dyDescent="0.25">
      <c r="A21717" s="31"/>
      <c r="D21717" s="30"/>
    </row>
    <row r="21718" spans="1:4" x14ac:dyDescent="0.25">
      <c r="A21718" s="31"/>
      <c r="D21718" s="30"/>
    </row>
    <row r="21719" spans="1:4" x14ac:dyDescent="0.25">
      <c r="A21719" s="31"/>
      <c r="D21719" s="30"/>
    </row>
    <row r="21720" spans="1:4" x14ac:dyDescent="0.25">
      <c r="A21720" s="31"/>
      <c r="D21720" s="30"/>
    </row>
    <row r="21721" spans="1:4" x14ac:dyDescent="0.25">
      <c r="A21721" s="31"/>
      <c r="D21721" s="30"/>
    </row>
    <row r="21722" spans="1:4" x14ac:dyDescent="0.25">
      <c r="A21722" s="31"/>
      <c r="D21722" s="30"/>
    </row>
    <row r="21723" spans="1:4" x14ac:dyDescent="0.25">
      <c r="A21723" s="31"/>
      <c r="D21723" s="30"/>
    </row>
    <row r="21724" spans="1:4" x14ac:dyDescent="0.25">
      <c r="A21724" s="31"/>
      <c r="D21724" s="30"/>
    </row>
    <row r="21725" spans="1:4" x14ac:dyDescent="0.25">
      <c r="A21725" s="31"/>
      <c r="D21725" s="30"/>
    </row>
    <row r="21726" spans="1:4" x14ac:dyDescent="0.25">
      <c r="A21726" s="31"/>
      <c r="D21726" s="30"/>
    </row>
    <row r="21727" spans="1:4" x14ac:dyDescent="0.25">
      <c r="A21727" s="31"/>
      <c r="D21727" s="30"/>
    </row>
    <row r="21728" spans="1:4" x14ac:dyDescent="0.25">
      <c r="A21728" s="31"/>
      <c r="D21728" s="30"/>
    </row>
    <row r="21729" spans="1:4" x14ac:dyDescent="0.25">
      <c r="A21729" s="31"/>
      <c r="D21729" s="30"/>
    </row>
    <row r="21730" spans="1:4" x14ac:dyDescent="0.25">
      <c r="A21730" s="31"/>
      <c r="D21730" s="30"/>
    </row>
    <row r="21731" spans="1:4" x14ac:dyDescent="0.25">
      <c r="A21731" s="31"/>
      <c r="D21731" s="30"/>
    </row>
    <row r="21732" spans="1:4" x14ac:dyDescent="0.25">
      <c r="A21732" s="31"/>
      <c r="D21732" s="30"/>
    </row>
    <row r="21733" spans="1:4" x14ac:dyDescent="0.25">
      <c r="A21733" s="31"/>
      <c r="D21733" s="30"/>
    </row>
    <row r="21734" spans="1:4" x14ac:dyDescent="0.25">
      <c r="A21734" s="31"/>
      <c r="D21734" s="30"/>
    </row>
    <row r="21735" spans="1:4" x14ac:dyDescent="0.25">
      <c r="A21735" s="31"/>
      <c r="D21735" s="30"/>
    </row>
    <row r="21736" spans="1:4" x14ac:dyDescent="0.25">
      <c r="A21736" s="31"/>
      <c r="D21736" s="30"/>
    </row>
    <row r="21737" spans="1:4" x14ac:dyDescent="0.25">
      <c r="A21737" s="31"/>
      <c r="D21737" s="30"/>
    </row>
    <row r="21738" spans="1:4" x14ac:dyDescent="0.25">
      <c r="A21738" s="31"/>
      <c r="D21738" s="30"/>
    </row>
    <row r="21739" spans="1:4" x14ac:dyDescent="0.25">
      <c r="A21739" s="31"/>
      <c r="D21739" s="30"/>
    </row>
    <row r="21740" spans="1:4" x14ac:dyDescent="0.25">
      <c r="A21740" s="31"/>
      <c r="D21740" s="30"/>
    </row>
    <row r="21741" spans="1:4" x14ac:dyDescent="0.25">
      <c r="A21741" s="31"/>
      <c r="D21741" s="30"/>
    </row>
    <row r="21742" spans="1:4" x14ac:dyDescent="0.25">
      <c r="A21742" s="31"/>
      <c r="D21742" s="30"/>
    </row>
    <row r="21743" spans="1:4" x14ac:dyDescent="0.25">
      <c r="A21743" s="31"/>
      <c r="D21743" s="30"/>
    </row>
    <row r="21744" spans="1:4" x14ac:dyDescent="0.25">
      <c r="A21744" s="31"/>
      <c r="D21744" s="30"/>
    </row>
    <row r="21745" spans="1:4" x14ac:dyDescent="0.25">
      <c r="A21745" s="31"/>
      <c r="D21745" s="30"/>
    </row>
    <row r="21746" spans="1:4" x14ac:dyDescent="0.25">
      <c r="A21746" s="31"/>
      <c r="D21746" s="30"/>
    </row>
    <row r="21747" spans="1:4" x14ac:dyDescent="0.25">
      <c r="A21747" s="31"/>
      <c r="D21747" s="30"/>
    </row>
    <row r="21748" spans="1:4" x14ac:dyDescent="0.25">
      <c r="A21748" s="31"/>
      <c r="D21748" s="30"/>
    </row>
    <row r="21749" spans="1:4" x14ac:dyDescent="0.25">
      <c r="A21749" s="31"/>
      <c r="D21749" s="30"/>
    </row>
    <row r="21750" spans="1:4" x14ac:dyDescent="0.25">
      <c r="A21750" s="31"/>
      <c r="D21750" s="30"/>
    </row>
    <row r="21751" spans="1:4" x14ac:dyDescent="0.25">
      <c r="A21751" s="31"/>
      <c r="D21751" s="30"/>
    </row>
    <row r="21752" spans="1:4" x14ac:dyDescent="0.25">
      <c r="A21752" s="31"/>
      <c r="D21752" s="30"/>
    </row>
    <row r="21753" spans="1:4" x14ac:dyDescent="0.25">
      <c r="A21753" s="31"/>
      <c r="D21753" s="30"/>
    </row>
    <row r="21754" spans="1:4" x14ac:dyDescent="0.25">
      <c r="A21754" s="31"/>
      <c r="D21754" s="30"/>
    </row>
    <row r="21755" spans="1:4" x14ac:dyDescent="0.25">
      <c r="A21755" s="31"/>
      <c r="D21755" s="30"/>
    </row>
    <row r="21756" spans="1:4" x14ac:dyDescent="0.25">
      <c r="A21756" s="31"/>
      <c r="D21756" s="30"/>
    </row>
    <row r="21757" spans="1:4" x14ac:dyDescent="0.25">
      <c r="A21757" s="31"/>
      <c r="D21757" s="30"/>
    </row>
    <row r="21758" spans="1:4" x14ac:dyDescent="0.25">
      <c r="A21758" s="31"/>
      <c r="D21758" s="30"/>
    </row>
    <row r="21759" spans="1:4" x14ac:dyDescent="0.25">
      <c r="A21759" s="31"/>
      <c r="D21759" s="30"/>
    </row>
    <row r="21760" spans="1:4" x14ac:dyDescent="0.25">
      <c r="A21760" s="31"/>
      <c r="D21760" s="30"/>
    </row>
    <row r="21761" spans="1:4" x14ac:dyDescent="0.25">
      <c r="A21761" s="31"/>
      <c r="D21761" s="30"/>
    </row>
    <row r="21762" spans="1:4" x14ac:dyDescent="0.25">
      <c r="A21762" s="31"/>
      <c r="D21762" s="30"/>
    </row>
    <row r="21763" spans="1:4" x14ac:dyDescent="0.25">
      <c r="A21763" s="31"/>
      <c r="D21763" s="30"/>
    </row>
    <row r="21764" spans="1:4" x14ac:dyDescent="0.25">
      <c r="A21764" s="31"/>
      <c r="D21764" s="30"/>
    </row>
    <row r="21765" spans="1:4" x14ac:dyDescent="0.25">
      <c r="A21765" s="31"/>
      <c r="D21765" s="30"/>
    </row>
    <row r="21766" spans="1:4" x14ac:dyDescent="0.25">
      <c r="A21766" s="31"/>
      <c r="D21766" s="30"/>
    </row>
    <row r="21767" spans="1:4" x14ac:dyDescent="0.25">
      <c r="A21767" s="31"/>
      <c r="D21767" s="30"/>
    </row>
    <row r="21768" spans="1:4" x14ac:dyDescent="0.25">
      <c r="A21768" s="31"/>
      <c r="D21768" s="30"/>
    </row>
    <row r="21769" spans="1:4" x14ac:dyDescent="0.25">
      <c r="A21769" s="31"/>
      <c r="D21769" s="30"/>
    </row>
    <row r="21770" spans="1:4" x14ac:dyDescent="0.25">
      <c r="A21770" s="31"/>
      <c r="D21770" s="30"/>
    </row>
    <row r="21771" spans="1:4" x14ac:dyDescent="0.25">
      <c r="A21771" s="31"/>
      <c r="D21771" s="30"/>
    </row>
    <row r="21772" spans="1:4" x14ac:dyDescent="0.25">
      <c r="A21772" s="31"/>
      <c r="D21772" s="30"/>
    </row>
    <row r="21773" spans="1:4" x14ac:dyDescent="0.25">
      <c r="A21773" s="31"/>
      <c r="D21773" s="30"/>
    </row>
    <row r="21774" spans="1:4" x14ac:dyDescent="0.25">
      <c r="A21774" s="31"/>
      <c r="D21774" s="30"/>
    </row>
    <row r="21775" spans="1:4" x14ac:dyDescent="0.25">
      <c r="A21775" s="31"/>
      <c r="D21775" s="30"/>
    </row>
    <row r="21776" spans="1:4" x14ac:dyDescent="0.25">
      <c r="A21776" s="31"/>
      <c r="D21776" s="30"/>
    </row>
    <row r="21777" spans="1:4" x14ac:dyDescent="0.25">
      <c r="A21777" s="31"/>
      <c r="D21777" s="30"/>
    </row>
    <row r="21778" spans="1:4" x14ac:dyDescent="0.25">
      <c r="A21778" s="31"/>
      <c r="D21778" s="30"/>
    </row>
    <row r="21779" spans="1:4" x14ac:dyDescent="0.25">
      <c r="A21779" s="31"/>
      <c r="D21779" s="30"/>
    </row>
    <row r="21780" spans="1:4" x14ac:dyDescent="0.25">
      <c r="A21780" s="31"/>
      <c r="D21780" s="30"/>
    </row>
    <row r="21781" spans="1:4" x14ac:dyDescent="0.25">
      <c r="A21781" s="31"/>
      <c r="D21781" s="30"/>
    </row>
    <row r="21782" spans="1:4" x14ac:dyDescent="0.25">
      <c r="A21782" s="31"/>
      <c r="D21782" s="30"/>
    </row>
    <row r="21783" spans="1:4" x14ac:dyDescent="0.25">
      <c r="A21783" s="31"/>
      <c r="D21783" s="30"/>
    </row>
    <row r="21784" spans="1:4" x14ac:dyDescent="0.25">
      <c r="A21784" s="31"/>
      <c r="D21784" s="30"/>
    </row>
    <row r="21785" spans="1:4" x14ac:dyDescent="0.25">
      <c r="A21785" s="31"/>
      <c r="D21785" s="30"/>
    </row>
    <row r="21786" spans="1:4" x14ac:dyDescent="0.25">
      <c r="A21786" s="31"/>
      <c r="D21786" s="30"/>
    </row>
    <row r="21787" spans="1:4" x14ac:dyDescent="0.25">
      <c r="A21787" s="31"/>
      <c r="D21787" s="30"/>
    </row>
    <row r="21788" spans="1:4" x14ac:dyDescent="0.25">
      <c r="A21788" s="31"/>
      <c r="D21788" s="30"/>
    </row>
    <row r="21789" spans="1:4" x14ac:dyDescent="0.25">
      <c r="A21789" s="31"/>
      <c r="D21789" s="30"/>
    </row>
    <row r="21790" spans="1:4" x14ac:dyDescent="0.25">
      <c r="A21790" s="31"/>
      <c r="D21790" s="30"/>
    </row>
    <row r="21791" spans="1:4" x14ac:dyDescent="0.25">
      <c r="A21791" s="31"/>
      <c r="D21791" s="30"/>
    </row>
    <row r="21792" spans="1:4" x14ac:dyDescent="0.25">
      <c r="A21792" s="31"/>
      <c r="D21792" s="30"/>
    </row>
    <row r="21793" spans="1:4" x14ac:dyDescent="0.25">
      <c r="A21793" s="31"/>
      <c r="D21793" s="30"/>
    </row>
    <row r="21794" spans="1:4" x14ac:dyDescent="0.25">
      <c r="A21794" s="31"/>
      <c r="D21794" s="30"/>
    </row>
    <row r="21795" spans="1:4" x14ac:dyDescent="0.25">
      <c r="A21795" s="31"/>
      <c r="D21795" s="30"/>
    </row>
    <row r="21796" spans="1:4" x14ac:dyDescent="0.25">
      <c r="A21796" s="31"/>
      <c r="D21796" s="30"/>
    </row>
    <row r="21797" spans="1:4" x14ac:dyDescent="0.25">
      <c r="A21797" s="31"/>
      <c r="D21797" s="30"/>
    </row>
    <row r="21798" spans="1:4" x14ac:dyDescent="0.25">
      <c r="A21798" s="31"/>
      <c r="D21798" s="30"/>
    </row>
    <row r="21799" spans="1:4" x14ac:dyDescent="0.25">
      <c r="A21799" s="31"/>
      <c r="D21799" s="30"/>
    </row>
    <row r="21800" spans="1:4" x14ac:dyDescent="0.25">
      <c r="A21800" s="31"/>
      <c r="D21800" s="30"/>
    </row>
    <row r="21801" spans="1:4" x14ac:dyDescent="0.25">
      <c r="A21801" s="31"/>
      <c r="D21801" s="30"/>
    </row>
    <row r="21802" spans="1:4" x14ac:dyDescent="0.25">
      <c r="A21802" s="31"/>
      <c r="D21802" s="30"/>
    </row>
    <row r="21803" spans="1:4" x14ac:dyDescent="0.25">
      <c r="A21803" s="31"/>
      <c r="D21803" s="30"/>
    </row>
    <row r="21804" spans="1:4" x14ac:dyDescent="0.25">
      <c r="A21804" s="31"/>
      <c r="D21804" s="30"/>
    </row>
    <row r="21805" spans="1:4" x14ac:dyDescent="0.25">
      <c r="A21805" s="31"/>
      <c r="D21805" s="30"/>
    </row>
    <row r="21806" spans="1:4" x14ac:dyDescent="0.25">
      <c r="A21806" s="31"/>
      <c r="D21806" s="30"/>
    </row>
    <row r="21807" spans="1:4" x14ac:dyDescent="0.25">
      <c r="A21807" s="31"/>
      <c r="D21807" s="30"/>
    </row>
    <row r="21808" spans="1:4" x14ac:dyDescent="0.25">
      <c r="A21808" s="31"/>
      <c r="D21808" s="30"/>
    </row>
    <row r="21809" spans="1:4" x14ac:dyDescent="0.25">
      <c r="A21809" s="31"/>
      <c r="D21809" s="30"/>
    </row>
    <row r="21810" spans="1:4" x14ac:dyDescent="0.25">
      <c r="A21810" s="31"/>
      <c r="D21810" s="30"/>
    </row>
    <row r="21811" spans="1:4" x14ac:dyDescent="0.25">
      <c r="A21811" s="31"/>
      <c r="D21811" s="30"/>
    </row>
    <row r="21812" spans="1:4" x14ac:dyDescent="0.25">
      <c r="A21812" s="31"/>
      <c r="D21812" s="30"/>
    </row>
    <row r="21813" spans="1:4" x14ac:dyDescent="0.25">
      <c r="A21813" s="31"/>
      <c r="D21813" s="30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7FBD-3D55-4217-8132-CDFDFC7856B7}">
  <dimension ref="A1:I289"/>
  <sheetViews>
    <sheetView workbookViewId="0">
      <selection activeCell="C25" sqref="C25"/>
    </sheetView>
  </sheetViews>
  <sheetFormatPr defaultRowHeight="15" x14ac:dyDescent="0.25"/>
  <cols>
    <col min="1" max="1" width="11.7109375" bestFit="1" customWidth="1"/>
    <col min="2" max="2" width="23.7109375" bestFit="1" customWidth="1"/>
    <col min="3" max="3" width="14.85546875" bestFit="1" customWidth="1"/>
    <col min="4" max="4" width="8" bestFit="1" customWidth="1"/>
    <col min="5" max="5" width="16.140625" bestFit="1" customWidth="1"/>
    <col min="6" max="6" width="18.140625" bestFit="1" customWidth="1"/>
    <col min="7" max="7" width="30.5703125" bestFit="1" customWidth="1"/>
    <col min="8" max="8" width="6.140625" bestFit="1" customWidth="1"/>
    <col min="9" max="9" width="14.7109375" bestFit="1" customWidth="1"/>
  </cols>
  <sheetData>
    <row r="1" spans="1:9" x14ac:dyDescent="0.25">
      <c r="A1" s="37" t="s">
        <v>260</v>
      </c>
      <c r="B1" s="38" t="s">
        <v>187</v>
      </c>
      <c r="C1" s="38" t="s">
        <v>40</v>
      </c>
      <c r="D1" s="39" t="s">
        <v>221</v>
      </c>
      <c r="E1" s="38" t="s">
        <v>261</v>
      </c>
      <c r="F1" s="40" t="s">
        <v>262</v>
      </c>
      <c r="G1" s="38" t="s">
        <v>263</v>
      </c>
      <c r="H1" s="38" t="s">
        <v>264</v>
      </c>
      <c r="I1" s="41" t="s">
        <v>265</v>
      </c>
    </row>
    <row r="2" spans="1:9" x14ac:dyDescent="0.25">
      <c r="A2" s="42" t="s">
        <v>100</v>
      </c>
      <c r="B2" s="43" t="s">
        <v>100</v>
      </c>
      <c r="C2" s="43" t="s">
        <v>152</v>
      </c>
      <c r="D2" s="44" t="s">
        <v>266</v>
      </c>
      <c r="E2" s="45">
        <v>207.72540000000001</v>
      </c>
      <c r="F2" s="45">
        <v>207.72540000000001</v>
      </c>
      <c r="G2" s="45">
        <v>2313507.8698999998</v>
      </c>
      <c r="H2" s="46">
        <v>8.9788067160964034E-5</v>
      </c>
      <c r="I2" s="47">
        <v>1.0774568059315685E-3</v>
      </c>
    </row>
    <row r="3" spans="1:9" x14ac:dyDescent="0.25">
      <c r="A3" s="48" t="s">
        <v>190</v>
      </c>
      <c r="B3" s="49" t="s">
        <v>234</v>
      </c>
      <c r="C3" s="49" t="s">
        <v>143</v>
      </c>
      <c r="D3" s="50" t="s">
        <v>266</v>
      </c>
      <c r="E3" s="51">
        <v>10591.724099999999</v>
      </c>
      <c r="F3" s="51">
        <v>10591.724099999999</v>
      </c>
      <c r="G3" s="51">
        <v>7054791.2930999994</v>
      </c>
      <c r="H3" s="52">
        <v>1.5013518699496223E-3</v>
      </c>
      <c r="I3" s="53">
        <v>1.8016222439395466E-2</v>
      </c>
    </row>
    <row r="4" spans="1:9" x14ac:dyDescent="0.25">
      <c r="A4" s="42" t="s">
        <v>65</v>
      </c>
      <c r="B4" s="43" t="s">
        <v>66</v>
      </c>
      <c r="C4" s="43" t="s">
        <v>67</v>
      </c>
      <c r="D4" s="44" t="s">
        <v>266</v>
      </c>
      <c r="E4" s="45">
        <v>54676.447699999997</v>
      </c>
      <c r="F4" s="45">
        <v>54676.447699999997</v>
      </c>
      <c r="G4" s="45">
        <v>204109024.55720001</v>
      </c>
      <c r="H4" s="46">
        <v>2.6787863897060238E-4</v>
      </c>
      <c r="I4" s="47">
        <v>3.2145436676472286E-3</v>
      </c>
    </row>
    <row r="5" spans="1:9" x14ac:dyDescent="0.25">
      <c r="A5" s="48" t="s">
        <v>131</v>
      </c>
      <c r="B5" s="49" t="s">
        <v>132</v>
      </c>
      <c r="C5" s="49" t="s">
        <v>67</v>
      </c>
      <c r="D5" s="50" t="s">
        <v>266</v>
      </c>
      <c r="E5" s="51">
        <v>462.1687</v>
      </c>
      <c r="F5" s="51">
        <v>462.1687</v>
      </c>
      <c r="G5" s="51">
        <v>14057870.572699999</v>
      </c>
      <c r="H5" s="52">
        <v>3.2876152729526402E-5</v>
      </c>
      <c r="I5" s="53">
        <v>3.9451383275431682E-4</v>
      </c>
    </row>
    <row r="6" spans="1:9" x14ac:dyDescent="0.25">
      <c r="A6" s="42" t="s">
        <v>82</v>
      </c>
      <c r="B6" s="43" t="s">
        <v>83</v>
      </c>
      <c r="C6" s="43" t="s">
        <v>230</v>
      </c>
      <c r="D6" s="44" t="s">
        <v>266</v>
      </c>
      <c r="E6" s="45">
        <v>17295.4869</v>
      </c>
      <c r="F6" s="45">
        <v>17295.4869</v>
      </c>
      <c r="G6" s="45">
        <v>47954631.124499999</v>
      </c>
      <c r="H6" s="46">
        <v>3.6066353748186256E-4</v>
      </c>
      <c r="I6" s="47">
        <v>4.3279624497823506E-3</v>
      </c>
    </row>
    <row r="7" spans="1:9" x14ac:dyDescent="0.25">
      <c r="A7" s="48" t="s">
        <v>68</v>
      </c>
      <c r="B7" s="49" t="s">
        <v>69</v>
      </c>
      <c r="C7" s="49" t="s">
        <v>143</v>
      </c>
      <c r="D7" s="50" t="s">
        <v>266</v>
      </c>
      <c r="E7" s="51">
        <v>15909.5951</v>
      </c>
      <c r="F7" s="51">
        <v>15909.5951</v>
      </c>
      <c r="G7" s="51">
        <v>51752216.152900003</v>
      </c>
      <c r="H7" s="52">
        <v>3.0741862441205787E-4</v>
      </c>
      <c r="I7" s="53">
        <v>3.6890234929446942E-3</v>
      </c>
    </row>
    <row r="8" spans="1:9" x14ac:dyDescent="0.25">
      <c r="A8" s="42" t="s">
        <v>199</v>
      </c>
      <c r="B8" s="43" t="s">
        <v>267</v>
      </c>
      <c r="C8" s="43" t="s">
        <v>81</v>
      </c>
      <c r="D8" s="44" t="s">
        <v>266</v>
      </c>
      <c r="E8" s="45">
        <v>749.6653</v>
      </c>
      <c r="F8" s="45">
        <v>749.6653</v>
      </c>
      <c r="G8" s="45">
        <v>48729.78</v>
      </c>
      <c r="H8" s="46">
        <v>1.5384130607607915E-2</v>
      </c>
      <c r="I8" s="47">
        <v>0.18460956729129496</v>
      </c>
    </row>
    <row r="9" spans="1:9" x14ac:dyDescent="0.25">
      <c r="A9" s="48" t="s">
        <v>79</v>
      </c>
      <c r="B9" s="49" t="s">
        <v>80</v>
      </c>
      <c r="C9" s="49" t="s">
        <v>81</v>
      </c>
      <c r="D9" s="50" t="s">
        <v>266</v>
      </c>
      <c r="E9" s="51">
        <v>49581.813499999997</v>
      </c>
      <c r="F9" s="51">
        <v>49581.813499999997</v>
      </c>
      <c r="G9" s="51">
        <v>8332155.3970999997</v>
      </c>
      <c r="H9" s="52">
        <v>5.9506587595878138E-3</v>
      </c>
      <c r="I9" s="53">
        <v>7.1407905115053766E-2</v>
      </c>
    </row>
    <row r="10" spans="1:9" x14ac:dyDescent="0.25">
      <c r="A10" s="42" t="s">
        <v>114</v>
      </c>
      <c r="B10" s="43" t="s">
        <v>115</v>
      </c>
      <c r="C10" s="43" t="s">
        <v>224</v>
      </c>
      <c r="D10" s="44" t="s">
        <v>266</v>
      </c>
      <c r="E10" s="45">
        <v>11716.965399999999</v>
      </c>
      <c r="F10" s="45">
        <v>11716.965399999999</v>
      </c>
      <c r="G10" s="45">
        <v>55759640.227499999</v>
      </c>
      <c r="H10" s="46">
        <v>2.1013344691957553E-4</v>
      </c>
      <c r="I10" s="47">
        <v>2.5216013630349064E-3</v>
      </c>
    </row>
    <row r="11" spans="1:9" x14ac:dyDescent="0.25">
      <c r="A11" s="48" t="s">
        <v>146</v>
      </c>
      <c r="B11" s="49" t="s">
        <v>147</v>
      </c>
      <c r="C11" s="49" t="s">
        <v>224</v>
      </c>
      <c r="D11" s="50" t="s">
        <v>266</v>
      </c>
      <c r="E11" s="51">
        <v>21396.140800000001</v>
      </c>
      <c r="F11" s="51">
        <v>21396.140800000001</v>
      </c>
      <c r="G11" s="51">
        <v>12911032.296499999</v>
      </c>
      <c r="H11" s="52">
        <v>1.6571983020908557E-3</v>
      </c>
      <c r="I11" s="53">
        <v>1.9886379625090267E-2</v>
      </c>
    </row>
    <row r="12" spans="1:9" x14ac:dyDescent="0.25">
      <c r="A12" s="42" t="s">
        <v>203</v>
      </c>
      <c r="B12" s="43" t="s">
        <v>203</v>
      </c>
      <c r="C12" s="43" t="s">
        <v>152</v>
      </c>
      <c r="D12" s="44" t="s">
        <v>266</v>
      </c>
      <c r="E12" s="45">
        <v>804.99710000000005</v>
      </c>
      <c r="F12" s="45">
        <v>804.99710000000005</v>
      </c>
      <c r="G12" s="45">
        <v>87468.144499999995</v>
      </c>
      <c r="H12" s="46">
        <v>9.2033174431864172E-3</v>
      </c>
      <c r="I12" s="47">
        <v>0.11043980931823701</v>
      </c>
    </row>
    <row r="13" spans="1:9" x14ac:dyDescent="0.25">
      <c r="A13" s="48" t="s">
        <v>90</v>
      </c>
      <c r="B13" s="49" t="s">
        <v>91</v>
      </c>
      <c r="C13" s="49" t="s">
        <v>81</v>
      </c>
      <c r="D13" s="50" t="s">
        <v>266</v>
      </c>
      <c r="E13" s="51">
        <v>41060.1368</v>
      </c>
      <c r="F13" s="51">
        <v>41060.1368</v>
      </c>
      <c r="G13" s="51">
        <v>82832956.618799999</v>
      </c>
      <c r="H13" s="52">
        <v>4.9569807086520046E-4</v>
      </c>
      <c r="I13" s="53">
        <v>5.9483768503824051E-3</v>
      </c>
    </row>
    <row r="14" spans="1:9" x14ac:dyDescent="0.25">
      <c r="A14" s="42" t="s">
        <v>98</v>
      </c>
      <c r="B14" s="43" t="s">
        <v>99</v>
      </c>
      <c r="C14" s="43" t="s">
        <v>81</v>
      </c>
      <c r="D14" s="44" t="s">
        <v>266</v>
      </c>
      <c r="E14" s="45">
        <v>31219.0586</v>
      </c>
      <c r="F14" s="45">
        <v>31219.0586</v>
      </c>
      <c r="G14" s="45">
        <v>2680481.233</v>
      </c>
      <c r="H14" s="46">
        <v>1.16468111082649E-2</v>
      </c>
      <c r="I14" s="47">
        <v>0.13976173329917879</v>
      </c>
    </row>
    <row r="15" spans="1:9" x14ac:dyDescent="0.25">
      <c r="A15" s="48" t="s">
        <v>120</v>
      </c>
      <c r="B15" s="49" t="s">
        <v>268</v>
      </c>
      <c r="C15" s="49" t="s">
        <v>143</v>
      </c>
      <c r="D15" s="50" t="s">
        <v>266</v>
      </c>
      <c r="E15" s="51">
        <v>29645.971799999999</v>
      </c>
      <c r="F15" s="51">
        <v>29645.971799999999</v>
      </c>
      <c r="G15" s="51">
        <v>46422913.490000002</v>
      </c>
      <c r="H15" s="52">
        <v>6.3860644606862226E-4</v>
      </c>
      <c r="I15" s="53">
        <v>7.6632773528234671E-3</v>
      </c>
    </row>
    <row r="16" spans="1:9" x14ac:dyDescent="0.25">
      <c r="A16" s="42" t="s">
        <v>106</v>
      </c>
      <c r="B16" s="43" t="s">
        <v>107</v>
      </c>
      <c r="C16" s="43" t="s">
        <v>143</v>
      </c>
      <c r="D16" s="44" t="s">
        <v>266</v>
      </c>
      <c r="E16" s="45">
        <v>90029.881500000003</v>
      </c>
      <c r="F16" s="45">
        <v>90029.881500000003</v>
      </c>
      <c r="G16" s="45">
        <v>70635107.227500007</v>
      </c>
      <c r="H16" s="46">
        <v>1.2745769778480514E-3</v>
      </c>
      <c r="I16" s="47">
        <v>1.5294923734176617E-2</v>
      </c>
    </row>
    <row r="17" spans="1:9" x14ac:dyDescent="0.25">
      <c r="A17" s="48" t="s">
        <v>54</v>
      </c>
      <c r="B17" s="49" t="s">
        <v>55</v>
      </c>
      <c r="C17" s="49" t="s">
        <v>143</v>
      </c>
      <c r="D17" s="50" t="s">
        <v>266</v>
      </c>
      <c r="E17" s="51">
        <v>25626.3298</v>
      </c>
      <c r="F17" s="51">
        <v>25626.3298</v>
      </c>
      <c r="G17" s="51">
        <v>52883802.748800002</v>
      </c>
      <c r="H17" s="52">
        <v>4.845780459799006E-4</v>
      </c>
      <c r="I17" s="53">
        <v>5.8149365517588068E-3</v>
      </c>
    </row>
    <row r="18" spans="1:9" x14ac:dyDescent="0.25">
      <c r="A18" s="42" t="s">
        <v>183</v>
      </c>
      <c r="B18" s="43" t="s">
        <v>231</v>
      </c>
      <c r="C18" s="43" t="s">
        <v>230</v>
      </c>
      <c r="D18" s="44" t="s">
        <v>266</v>
      </c>
      <c r="E18" s="45">
        <v>17199.912199999999</v>
      </c>
      <c r="F18" s="45">
        <v>17199.912199999999</v>
      </c>
      <c r="G18" s="45">
        <v>21357780.465100002</v>
      </c>
      <c r="H18" s="46">
        <v>8.0532301697293742E-4</v>
      </c>
      <c r="I18" s="47">
        <v>9.6638762036752486E-3</v>
      </c>
    </row>
    <row r="19" spans="1:9" x14ac:dyDescent="0.25">
      <c r="A19" s="48" t="s">
        <v>94</v>
      </c>
      <c r="B19" s="49" t="s">
        <v>95</v>
      </c>
      <c r="C19" s="49" t="s">
        <v>152</v>
      </c>
      <c r="D19" s="50" t="s">
        <v>266</v>
      </c>
      <c r="E19" s="51">
        <v>25753.164700000001</v>
      </c>
      <c r="F19" s="51">
        <v>25753.164700000001</v>
      </c>
      <c r="G19" s="51">
        <v>27792698.631399997</v>
      </c>
      <c r="H19" s="52">
        <v>9.2661619663317817E-4</v>
      </c>
      <c r="I19" s="53">
        <v>1.1119394359598137E-2</v>
      </c>
    </row>
    <row r="20" spans="1:9" x14ac:dyDescent="0.25">
      <c r="A20" s="42" t="s">
        <v>269</v>
      </c>
      <c r="B20" s="43" t="s">
        <v>270</v>
      </c>
      <c r="C20" s="43" t="s">
        <v>81</v>
      </c>
      <c r="D20" s="44" t="s">
        <v>266</v>
      </c>
      <c r="E20" s="45">
        <v>34970.325900000003</v>
      </c>
      <c r="F20" s="45">
        <v>34970.325900000003</v>
      </c>
      <c r="G20" s="45">
        <v>24668735.579300001</v>
      </c>
      <c r="H20" s="46">
        <v>1.4175970141470995E-3</v>
      </c>
      <c r="I20" s="47">
        <v>1.7011164169765194E-2</v>
      </c>
    </row>
    <row r="21" spans="1:9" x14ac:dyDescent="0.25">
      <c r="A21" s="48" t="s">
        <v>148</v>
      </c>
      <c r="B21" s="49" t="s">
        <v>149</v>
      </c>
      <c r="C21" s="49" t="s">
        <v>152</v>
      </c>
      <c r="D21" s="50" t="s">
        <v>266</v>
      </c>
      <c r="E21" s="51">
        <v>12745.3001</v>
      </c>
      <c r="F21" s="51">
        <v>12745.3001</v>
      </c>
      <c r="G21" s="51">
        <v>23635478.891600002</v>
      </c>
      <c r="H21" s="52">
        <v>5.3924441973247483E-4</v>
      </c>
      <c r="I21" s="53">
        <v>6.4709330367896979E-3</v>
      </c>
    </row>
    <row r="22" spans="1:9" x14ac:dyDescent="0.25">
      <c r="A22" s="42" t="s">
        <v>102</v>
      </c>
      <c r="B22" s="43" t="s">
        <v>271</v>
      </c>
      <c r="C22" s="43" t="s">
        <v>152</v>
      </c>
      <c r="D22" s="44" t="s">
        <v>266</v>
      </c>
      <c r="E22" s="45">
        <v>656.49030000000005</v>
      </c>
      <c r="F22" s="45">
        <v>656.49030000000005</v>
      </c>
      <c r="G22" s="45">
        <v>1900488.1865999999</v>
      </c>
      <c r="H22" s="46">
        <v>3.4543245500224363E-4</v>
      </c>
      <c r="I22" s="47">
        <v>4.1451894600269233E-3</v>
      </c>
    </row>
    <row r="23" spans="1:9" x14ac:dyDescent="0.25">
      <c r="A23" s="48" t="s">
        <v>86</v>
      </c>
      <c r="B23" s="49" t="s">
        <v>87</v>
      </c>
      <c r="C23" s="49" t="s">
        <v>152</v>
      </c>
      <c r="D23" s="50" t="s">
        <v>266</v>
      </c>
      <c r="E23" s="51">
        <v>79753.630099999995</v>
      </c>
      <c r="F23" s="51">
        <v>79753.630099999995</v>
      </c>
      <c r="G23" s="51">
        <v>42961345.174000002</v>
      </c>
      <c r="H23" s="52">
        <v>1.8564043974178559E-3</v>
      </c>
      <c r="I23" s="53">
        <v>2.2276852769014269E-2</v>
      </c>
    </row>
    <row r="24" spans="1:9" x14ac:dyDescent="0.25">
      <c r="A24" s="42" t="s">
        <v>189</v>
      </c>
      <c r="B24" s="43" t="s">
        <v>239</v>
      </c>
      <c r="C24" s="43" t="s">
        <v>152</v>
      </c>
      <c r="D24" s="44" t="s">
        <v>266</v>
      </c>
      <c r="E24" s="45">
        <v>4332.0549000000001</v>
      </c>
      <c r="F24" s="45">
        <v>4332.0549000000001</v>
      </c>
      <c r="G24" s="45">
        <v>4678349.9360999996</v>
      </c>
      <c r="H24" s="46">
        <v>9.2597923609180025E-4</v>
      </c>
      <c r="I24" s="47">
        <v>1.1111750833101603E-2</v>
      </c>
    </row>
    <row r="25" spans="1:9" x14ac:dyDescent="0.25">
      <c r="A25" s="48" t="s">
        <v>124</v>
      </c>
      <c r="B25" s="49" t="s">
        <v>125</v>
      </c>
      <c r="C25" s="49" t="s">
        <v>152</v>
      </c>
      <c r="D25" s="50" t="s">
        <v>266</v>
      </c>
      <c r="E25" s="51">
        <v>36501.262600000002</v>
      </c>
      <c r="F25" s="51">
        <v>36501.262600000002</v>
      </c>
      <c r="G25" s="51">
        <v>22087187.5361</v>
      </c>
      <c r="H25" s="52">
        <v>1.6525989350315055E-3</v>
      </c>
      <c r="I25" s="53">
        <v>1.9831187220378067E-2</v>
      </c>
    </row>
    <row r="26" spans="1:9" x14ac:dyDescent="0.25">
      <c r="A26" s="42" t="s">
        <v>200</v>
      </c>
      <c r="B26" s="43" t="s">
        <v>244</v>
      </c>
      <c r="C26" s="43" t="s">
        <v>230</v>
      </c>
      <c r="D26" s="44" t="s">
        <v>266</v>
      </c>
      <c r="E26" s="45">
        <v>20713.814200000001</v>
      </c>
      <c r="F26" s="45">
        <v>20713.814200000001</v>
      </c>
      <c r="G26" s="45">
        <v>14483905.1921</v>
      </c>
      <c r="H26" s="46">
        <v>1.4301263316262244E-3</v>
      </c>
      <c r="I26" s="47">
        <v>1.7161515979514694E-2</v>
      </c>
    </row>
    <row r="27" spans="1:9" x14ac:dyDescent="0.25">
      <c r="A27" s="48" t="s">
        <v>63</v>
      </c>
      <c r="B27" s="49" t="s">
        <v>64</v>
      </c>
      <c r="C27" s="49" t="s">
        <v>143</v>
      </c>
      <c r="D27" s="50" t="s">
        <v>266</v>
      </c>
      <c r="E27" s="51">
        <v>35799.110800000002</v>
      </c>
      <c r="F27" s="51">
        <v>35799.110800000002</v>
      </c>
      <c r="G27" s="51">
        <v>65829485.025600009</v>
      </c>
      <c r="H27" s="52">
        <v>5.4381575043581636E-4</v>
      </c>
      <c r="I27" s="53">
        <v>6.5257890052297964E-3</v>
      </c>
    </row>
    <row r="28" spans="1:9" x14ac:dyDescent="0.25">
      <c r="A28" s="42" t="s">
        <v>76</v>
      </c>
      <c r="B28" s="43" t="s">
        <v>77</v>
      </c>
      <c r="C28" s="43" t="s">
        <v>152</v>
      </c>
      <c r="D28" s="44" t="s">
        <v>266</v>
      </c>
      <c r="E28" s="45">
        <v>12369.6589</v>
      </c>
      <c r="F28" s="45">
        <v>12369.6589</v>
      </c>
      <c r="G28" s="45">
        <v>16504720.2509</v>
      </c>
      <c r="H28" s="46">
        <v>7.4946189404970285E-4</v>
      </c>
      <c r="I28" s="47">
        <v>8.9935427285964334E-3</v>
      </c>
    </row>
    <row r="29" spans="1:9" x14ac:dyDescent="0.25">
      <c r="A29" s="48" t="s">
        <v>195</v>
      </c>
      <c r="B29" s="49" t="s">
        <v>225</v>
      </c>
      <c r="C29" s="49" t="s">
        <v>226</v>
      </c>
      <c r="D29" s="50" t="s">
        <v>266</v>
      </c>
      <c r="E29" s="51">
        <v>14318.456899999999</v>
      </c>
      <c r="F29" s="51">
        <v>14318.456899999999</v>
      </c>
      <c r="G29" s="51">
        <v>57676572.046099998</v>
      </c>
      <c r="H29" s="52">
        <v>2.4825429792456246E-4</v>
      </c>
      <c r="I29" s="53">
        <v>2.9790515750947495E-3</v>
      </c>
    </row>
    <row r="30" spans="1:9" x14ac:dyDescent="0.25">
      <c r="A30" s="42" t="s">
        <v>116</v>
      </c>
      <c r="B30" s="43" t="s">
        <v>117</v>
      </c>
      <c r="C30" s="43" t="s">
        <v>143</v>
      </c>
      <c r="D30" s="44" t="s">
        <v>266</v>
      </c>
      <c r="E30" s="45">
        <v>55331.106699999997</v>
      </c>
      <c r="F30" s="45">
        <v>55331.106699999997</v>
      </c>
      <c r="G30" s="45">
        <v>71112248.549600005</v>
      </c>
      <c r="H30" s="46">
        <v>7.7808124238129192E-4</v>
      </c>
      <c r="I30" s="47">
        <v>9.3369749085755026E-3</v>
      </c>
    </row>
    <row r="31" spans="1:9" x14ac:dyDescent="0.25">
      <c r="A31" s="48" t="s">
        <v>112</v>
      </c>
      <c r="B31" s="49" t="s">
        <v>113</v>
      </c>
      <c r="C31" s="49" t="s">
        <v>81</v>
      </c>
      <c r="D31" s="50" t="s">
        <v>266</v>
      </c>
      <c r="E31" s="51">
        <v>65978.7261</v>
      </c>
      <c r="F31" s="51">
        <v>65978.7261</v>
      </c>
      <c r="G31" s="51">
        <v>63072225.976199992</v>
      </c>
      <c r="H31" s="52">
        <v>1.0460820920589794E-3</v>
      </c>
      <c r="I31" s="53">
        <v>1.2552985104707752E-2</v>
      </c>
    </row>
    <row r="32" spans="1:9" x14ac:dyDescent="0.25">
      <c r="A32" s="42" t="s">
        <v>122</v>
      </c>
      <c r="B32" s="43" t="s">
        <v>123</v>
      </c>
      <c r="C32" s="43" t="s">
        <v>152</v>
      </c>
      <c r="D32" s="44" t="s">
        <v>266</v>
      </c>
      <c r="E32" s="45">
        <v>24543.192999999999</v>
      </c>
      <c r="F32" s="45">
        <v>24543.192999999999</v>
      </c>
      <c r="G32" s="45">
        <v>95241434.377100006</v>
      </c>
      <c r="H32" s="46">
        <v>2.5769449148385778E-4</v>
      </c>
      <c r="I32" s="47">
        <v>3.0923338978062933E-3</v>
      </c>
    </row>
    <row r="33" spans="1:9" x14ac:dyDescent="0.25">
      <c r="A33" s="48" t="s">
        <v>193</v>
      </c>
      <c r="B33" s="49" t="s">
        <v>232</v>
      </c>
      <c r="C33" s="49" t="s">
        <v>230</v>
      </c>
      <c r="D33" s="50" t="s">
        <v>266</v>
      </c>
      <c r="E33" s="51">
        <v>12636.0152</v>
      </c>
      <c r="F33" s="51">
        <v>12636.0152</v>
      </c>
      <c r="G33" s="51">
        <v>36491068.472099997</v>
      </c>
      <c r="H33" s="52">
        <v>3.4627693101562995E-4</v>
      </c>
      <c r="I33" s="53">
        <v>4.1553231721875592E-3</v>
      </c>
    </row>
    <row r="34" spans="1:9" x14ac:dyDescent="0.25">
      <c r="A34" s="42" t="s">
        <v>197</v>
      </c>
      <c r="B34" s="43" t="s">
        <v>272</v>
      </c>
      <c r="C34" s="43" t="s">
        <v>67</v>
      </c>
      <c r="D34" s="44" t="s">
        <v>266</v>
      </c>
      <c r="E34" s="45">
        <v>2361.0470999999998</v>
      </c>
      <c r="F34" s="45">
        <v>2361.0470999999998</v>
      </c>
      <c r="G34" s="45">
        <v>25586117.368099999</v>
      </c>
      <c r="H34" s="46">
        <v>9.227844404965024E-5</v>
      </c>
      <c r="I34" s="47">
        <v>1.1073413285958029E-3</v>
      </c>
    </row>
    <row r="35" spans="1:9" x14ac:dyDescent="0.25">
      <c r="A35" s="48" t="s">
        <v>191</v>
      </c>
      <c r="B35" s="49" t="s">
        <v>237</v>
      </c>
      <c r="C35" s="49" t="s">
        <v>152</v>
      </c>
      <c r="D35" s="50" t="s">
        <v>266</v>
      </c>
      <c r="E35" s="51">
        <v>604.07899999999995</v>
      </c>
      <c r="F35" s="51">
        <v>604.07899999999995</v>
      </c>
      <c r="G35" s="51">
        <v>6657552.0910999998</v>
      </c>
      <c r="H35" s="52">
        <v>9.0735902886520328E-5</v>
      </c>
      <c r="I35" s="53">
        <v>1.088830834638244E-3</v>
      </c>
    </row>
    <row r="36" spans="1:9" x14ac:dyDescent="0.25">
      <c r="A36" s="42" t="s">
        <v>59</v>
      </c>
      <c r="B36" s="43" t="s">
        <v>60</v>
      </c>
      <c r="C36" s="43" t="s">
        <v>143</v>
      </c>
      <c r="D36" s="44" t="s">
        <v>266</v>
      </c>
      <c r="E36" s="45">
        <v>14022.3233</v>
      </c>
      <c r="F36" s="45">
        <v>14022.3233</v>
      </c>
      <c r="G36" s="45">
        <v>42210332.762699999</v>
      </c>
      <c r="H36" s="46">
        <v>3.3220120245986556E-4</v>
      </c>
      <c r="I36" s="47">
        <v>3.9864144295183868E-3</v>
      </c>
    </row>
    <row r="37" spans="1:9" x14ac:dyDescent="0.25">
      <c r="A37" s="48" t="s">
        <v>198</v>
      </c>
      <c r="B37" s="49" t="s">
        <v>242</v>
      </c>
      <c r="C37" s="49" t="s">
        <v>226</v>
      </c>
      <c r="D37" s="50" t="s">
        <v>266</v>
      </c>
      <c r="E37" s="51">
        <v>12162.330900000001</v>
      </c>
      <c r="F37" s="51">
        <v>12162.330900000001</v>
      </c>
      <c r="G37" s="51">
        <v>31027685.142800003</v>
      </c>
      <c r="H37" s="52">
        <v>3.9198318675804533E-4</v>
      </c>
      <c r="I37" s="53">
        <v>4.7037982410965441E-3</v>
      </c>
    </row>
    <row r="38" spans="1:9" x14ac:dyDescent="0.25">
      <c r="A38" s="42" t="s">
        <v>202</v>
      </c>
      <c r="B38" s="43" t="s">
        <v>273</v>
      </c>
      <c r="C38" s="43" t="s">
        <v>143</v>
      </c>
      <c r="D38" s="44" t="s">
        <v>266</v>
      </c>
      <c r="E38" s="45">
        <v>287.43610000000001</v>
      </c>
      <c r="F38" s="45">
        <v>287.43610000000001</v>
      </c>
      <c r="G38" s="45">
        <v>1429026.6950000001</v>
      </c>
      <c r="H38" s="46">
        <v>2.0114116902483756E-4</v>
      </c>
      <c r="I38" s="47">
        <v>2.4136940282980506E-3</v>
      </c>
    </row>
    <row r="39" spans="1:9" x14ac:dyDescent="0.25">
      <c r="A39" s="48" t="s">
        <v>70</v>
      </c>
      <c r="B39" s="49" t="s">
        <v>71</v>
      </c>
      <c r="C39" s="49" t="s">
        <v>152</v>
      </c>
      <c r="D39" s="50" t="s">
        <v>266</v>
      </c>
      <c r="E39" s="51">
        <v>10376.8554</v>
      </c>
      <c r="F39" s="51">
        <v>10376.8554</v>
      </c>
      <c r="G39" s="51">
        <v>12669678.6447</v>
      </c>
      <c r="H39" s="52">
        <v>8.1903067086400508E-4</v>
      </c>
      <c r="I39" s="53">
        <v>9.8283680503680609E-3</v>
      </c>
    </row>
    <row r="40" spans="1:9" x14ac:dyDescent="0.25">
      <c r="A40" s="42" t="s">
        <v>192</v>
      </c>
      <c r="B40" s="43" t="s">
        <v>243</v>
      </c>
      <c r="C40" s="43" t="s">
        <v>230</v>
      </c>
      <c r="D40" s="44" t="s">
        <v>266</v>
      </c>
      <c r="E40" s="45">
        <v>34202.796999999999</v>
      </c>
      <c r="F40" s="45">
        <v>34202.796999999999</v>
      </c>
      <c r="G40" s="45">
        <v>70856342.998500004</v>
      </c>
      <c r="H40" s="46">
        <v>4.8270621305878086E-4</v>
      </c>
      <c r="I40" s="47">
        <v>5.7924745567053699E-3</v>
      </c>
    </row>
    <row r="41" spans="1:9" x14ac:dyDescent="0.25">
      <c r="A41" s="48" t="s">
        <v>72</v>
      </c>
      <c r="B41" s="49" t="s">
        <v>73</v>
      </c>
      <c r="C41" s="49" t="s">
        <v>67</v>
      </c>
      <c r="D41" s="50" t="s">
        <v>266</v>
      </c>
      <c r="E41" s="51">
        <v>48250.32</v>
      </c>
      <c r="F41" s="51">
        <v>48250.32</v>
      </c>
      <c r="G41" s="51">
        <v>160924970.7044</v>
      </c>
      <c r="H41" s="52">
        <v>2.9983115602755082E-4</v>
      </c>
      <c r="I41" s="53">
        <v>3.5979738723306096E-3</v>
      </c>
    </row>
    <row r="42" spans="1:9" x14ac:dyDescent="0.25">
      <c r="A42" s="42" t="s">
        <v>133</v>
      </c>
      <c r="B42" s="43" t="s">
        <v>134</v>
      </c>
      <c r="C42" s="43" t="s">
        <v>241</v>
      </c>
      <c r="D42" s="44" t="s">
        <v>266</v>
      </c>
      <c r="E42" s="45">
        <v>1399.1484</v>
      </c>
      <c r="F42" s="45">
        <v>1399.1484</v>
      </c>
      <c r="G42" s="45">
        <v>4429889.7684000004</v>
      </c>
      <c r="H42" s="46">
        <v>3.158427123809332E-4</v>
      </c>
      <c r="I42" s="47">
        <v>3.7901125485711984E-3</v>
      </c>
    </row>
    <row r="43" spans="1:9" x14ac:dyDescent="0.25">
      <c r="A43" s="48" t="s">
        <v>188</v>
      </c>
      <c r="B43" s="49" t="s">
        <v>233</v>
      </c>
      <c r="C43" s="49" t="s">
        <v>226</v>
      </c>
      <c r="D43" s="50" t="s">
        <v>266</v>
      </c>
      <c r="E43" s="51">
        <v>10649.491400000001</v>
      </c>
      <c r="F43" s="51">
        <v>10649.491400000001</v>
      </c>
      <c r="G43" s="51">
        <v>51795665.4441</v>
      </c>
      <c r="H43" s="52">
        <v>2.0560584189218241E-4</v>
      </c>
      <c r="I43" s="53">
        <v>2.4672701027061887E-3</v>
      </c>
    </row>
    <row r="44" spans="1:9" x14ac:dyDescent="0.25">
      <c r="A44" s="42" t="s">
        <v>118</v>
      </c>
      <c r="B44" s="43" t="s">
        <v>119</v>
      </c>
      <c r="C44" s="43" t="s">
        <v>143</v>
      </c>
      <c r="D44" s="44" t="s">
        <v>266</v>
      </c>
      <c r="E44" s="45">
        <v>23109.486099999998</v>
      </c>
      <c r="F44" s="45">
        <v>23109.486099999998</v>
      </c>
      <c r="G44" s="45">
        <v>36939532.246699996</v>
      </c>
      <c r="H44" s="46">
        <v>6.2560310579093728E-4</v>
      </c>
      <c r="I44" s="47">
        <v>7.507237269491247E-3</v>
      </c>
    </row>
    <row r="45" spans="1:9" x14ac:dyDescent="0.25">
      <c r="A45" s="48" t="s">
        <v>194</v>
      </c>
      <c r="B45" s="49" t="s">
        <v>246</v>
      </c>
      <c r="C45" s="49" t="s">
        <v>230</v>
      </c>
      <c r="D45" s="50" t="s">
        <v>266</v>
      </c>
      <c r="E45" s="51">
        <v>31833.670699999999</v>
      </c>
      <c r="F45" s="51">
        <v>31833.670699999999</v>
      </c>
      <c r="G45" s="51">
        <v>66567627.375000007</v>
      </c>
      <c r="H45" s="52">
        <v>4.7821549235440208E-4</v>
      </c>
      <c r="I45" s="53">
        <v>5.7385859082528246E-3</v>
      </c>
    </row>
    <row r="46" spans="1:9" x14ac:dyDescent="0.25">
      <c r="A46" s="42" t="s">
        <v>57</v>
      </c>
      <c r="B46" s="43" t="s">
        <v>58</v>
      </c>
      <c r="C46" s="43" t="s">
        <v>230</v>
      </c>
      <c r="D46" s="44" t="s">
        <v>266</v>
      </c>
      <c r="E46" s="45">
        <v>8165.0236999999997</v>
      </c>
      <c r="F46" s="45">
        <v>8165.0236999999997</v>
      </c>
      <c r="G46" s="45">
        <v>9103424.0824999996</v>
      </c>
      <c r="H46" s="46">
        <v>8.9691786584962714E-4</v>
      </c>
      <c r="I46" s="47">
        <v>1.0763014390195526E-2</v>
      </c>
    </row>
    <row r="47" spans="1:9" x14ac:dyDescent="0.25">
      <c r="A47" s="48" t="s">
        <v>274</v>
      </c>
      <c r="B47" s="49" t="s">
        <v>158</v>
      </c>
      <c r="C47" s="49" t="s">
        <v>152</v>
      </c>
      <c r="D47" s="50" t="s">
        <v>266</v>
      </c>
      <c r="E47" s="51">
        <v>211.9188</v>
      </c>
      <c r="F47" s="51">
        <v>211.9188</v>
      </c>
      <c r="G47" s="51">
        <v>264422.14299999998</v>
      </c>
      <c r="H47" s="52">
        <v>8.0144120154112815E-4</v>
      </c>
      <c r="I47" s="53">
        <v>9.6172944184935369E-3</v>
      </c>
    </row>
    <row r="48" spans="1:9" x14ac:dyDescent="0.25">
      <c r="A48" s="42" t="s">
        <v>74</v>
      </c>
      <c r="B48" s="43" t="s">
        <v>75</v>
      </c>
      <c r="C48" s="43" t="s">
        <v>67</v>
      </c>
      <c r="D48" s="44" t="s">
        <v>266</v>
      </c>
      <c r="E48" s="45">
        <v>2623.1021000000001</v>
      </c>
      <c r="F48" s="45">
        <v>2623.1021000000001</v>
      </c>
      <c r="G48" s="45">
        <v>38464291.693999998</v>
      </c>
      <c r="H48" s="46">
        <v>6.8195772870794212E-5</v>
      </c>
      <c r="I48" s="47">
        <v>8.1834927444953049E-4</v>
      </c>
    </row>
    <row r="49" spans="1:9" x14ac:dyDescent="0.25">
      <c r="A49" s="48" t="s">
        <v>96</v>
      </c>
      <c r="B49" s="49" t="s">
        <v>97</v>
      </c>
      <c r="C49" s="49" t="s">
        <v>81</v>
      </c>
      <c r="D49" s="50" t="s">
        <v>266</v>
      </c>
      <c r="E49" s="51">
        <v>23200.897300000001</v>
      </c>
      <c r="F49" s="51">
        <v>23200.897300000001</v>
      </c>
      <c r="G49" s="51">
        <v>19586906.004700001</v>
      </c>
      <c r="H49" s="52">
        <v>1.1845105753013161E-3</v>
      </c>
      <c r="I49" s="53">
        <v>1.4214126903615794E-2</v>
      </c>
    </row>
    <row r="50" spans="1:9" x14ac:dyDescent="0.25">
      <c r="A50" s="42" t="s">
        <v>196</v>
      </c>
      <c r="B50" s="43" t="s">
        <v>245</v>
      </c>
      <c r="C50" s="43" t="s">
        <v>143</v>
      </c>
      <c r="D50" s="44" t="s">
        <v>266</v>
      </c>
      <c r="E50" s="45">
        <v>2.5777000000000001</v>
      </c>
      <c r="F50" s="45">
        <v>2.5777000000000001</v>
      </c>
      <c r="G50" s="45">
        <v>22702.1018</v>
      </c>
      <c r="H50" s="46">
        <v>1.135445529541234E-4</v>
      </c>
      <c r="I50" s="47">
        <v>1.3625346354494809E-3</v>
      </c>
    </row>
    <row r="51" spans="1:9" x14ac:dyDescent="0.25">
      <c r="A51" s="48" t="s">
        <v>150</v>
      </c>
      <c r="B51" s="49" t="s">
        <v>150</v>
      </c>
      <c r="C51" s="49" t="s">
        <v>152</v>
      </c>
      <c r="D51" s="50" t="s">
        <v>275</v>
      </c>
      <c r="E51" s="51">
        <v>2096.1215999999999</v>
      </c>
      <c r="F51" s="51">
        <v>2096.1215999999999</v>
      </c>
      <c r="G51" s="51">
        <v>12734359.781099999</v>
      </c>
      <c r="H51" s="52">
        <v>1.6460361070613129E-4</v>
      </c>
      <c r="I51" s="53">
        <v>1.9752433284735754E-3</v>
      </c>
    </row>
    <row r="52" spans="1:9" x14ac:dyDescent="0.25">
      <c r="A52" s="42" t="s">
        <v>100</v>
      </c>
      <c r="B52" s="43" t="s">
        <v>100</v>
      </c>
      <c r="C52" s="43" t="s">
        <v>152</v>
      </c>
      <c r="D52" s="44" t="s">
        <v>275</v>
      </c>
      <c r="E52" s="45">
        <v>121.9726</v>
      </c>
      <c r="F52" s="45">
        <v>121.9726</v>
      </c>
      <c r="G52" s="45">
        <v>50546.334999999999</v>
      </c>
      <c r="H52" s="46">
        <v>2.4130849447343713E-3</v>
      </c>
      <c r="I52" s="47">
        <v>2.8957019336812453E-2</v>
      </c>
    </row>
    <row r="53" spans="1:9" x14ac:dyDescent="0.25">
      <c r="A53" s="48" t="s">
        <v>190</v>
      </c>
      <c r="B53" s="49" t="s">
        <v>234</v>
      </c>
      <c r="C53" s="49" t="s">
        <v>143</v>
      </c>
      <c r="D53" s="50" t="s">
        <v>275</v>
      </c>
      <c r="E53" s="51">
        <v>11076.5437</v>
      </c>
      <c r="F53" s="51">
        <v>11076.5437</v>
      </c>
      <c r="G53" s="51">
        <v>7610451.223199999</v>
      </c>
      <c r="H53" s="52">
        <v>1.4554384983420992E-3</v>
      </c>
      <c r="I53" s="53">
        <v>1.7465261980105191E-2</v>
      </c>
    </row>
    <row r="54" spans="1:9" x14ac:dyDescent="0.25">
      <c r="A54" s="42" t="s">
        <v>65</v>
      </c>
      <c r="B54" s="43" t="s">
        <v>66</v>
      </c>
      <c r="C54" s="43" t="s">
        <v>67</v>
      </c>
      <c r="D54" s="44" t="s">
        <v>275</v>
      </c>
      <c r="E54" s="45">
        <v>269782.49329999997</v>
      </c>
      <c r="F54" s="45">
        <v>269782.49329999997</v>
      </c>
      <c r="G54" s="45">
        <v>203057927.5341</v>
      </c>
      <c r="H54" s="46">
        <v>1.3285986741625477E-3</v>
      </c>
      <c r="I54" s="47">
        <v>1.5943184089950574E-2</v>
      </c>
    </row>
    <row r="55" spans="1:9" x14ac:dyDescent="0.25">
      <c r="A55" s="48" t="s">
        <v>131</v>
      </c>
      <c r="B55" s="49" t="s">
        <v>132</v>
      </c>
      <c r="C55" s="49" t="s">
        <v>67</v>
      </c>
      <c r="D55" s="50" t="s">
        <v>275</v>
      </c>
      <c r="E55" s="51">
        <v>108329.98510000001</v>
      </c>
      <c r="F55" s="51">
        <v>108329.98510000001</v>
      </c>
      <c r="G55" s="51">
        <v>30485951.213399995</v>
      </c>
      <c r="H55" s="52">
        <v>3.5534395611177098E-3</v>
      </c>
      <c r="I55" s="53">
        <v>4.2641274733412518E-2</v>
      </c>
    </row>
    <row r="56" spans="1:9" x14ac:dyDescent="0.25">
      <c r="A56" s="42" t="s">
        <v>82</v>
      </c>
      <c r="B56" s="43" t="s">
        <v>83</v>
      </c>
      <c r="C56" s="43" t="s">
        <v>230</v>
      </c>
      <c r="D56" s="44" t="s">
        <v>275</v>
      </c>
      <c r="E56" s="45">
        <v>24157.377499999999</v>
      </c>
      <c r="F56" s="45">
        <v>24157.377499999999</v>
      </c>
      <c r="G56" s="45">
        <v>49991565.720700003</v>
      </c>
      <c r="H56" s="46">
        <v>4.8322906377779555E-4</v>
      </c>
      <c r="I56" s="47">
        <v>5.7987487653335468E-3</v>
      </c>
    </row>
    <row r="57" spans="1:9" x14ac:dyDescent="0.25">
      <c r="A57" s="48" t="s">
        <v>68</v>
      </c>
      <c r="B57" s="49" t="s">
        <v>69</v>
      </c>
      <c r="C57" s="49" t="s">
        <v>143</v>
      </c>
      <c r="D57" s="50" t="s">
        <v>275</v>
      </c>
      <c r="E57" s="51">
        <v>15549.8959</v>
      </c>
      <c r="F57" s="51">
        <v>15549.8959</v>
      </c>
      <c r="G57" s="51">
        <v>54837921.103600003</v>
      </c>
      <c r="H57" s="52">
        <v>2.8356100280721945E-4</v>
      </c>
      <c r="I57" s="53">
        <v>3.4027320336866337E-3</v>
      </c>
    </row>
    <row r="58" spans="1:9" x14ac:dyDescent="0.25">
      <c r="A58" s="42" t="s">
        <v>79</v>
      </c>
      <c r="B58" s="43" t="s">
        <v>80</v>
      </c>
      <c r="C58" s="43" t="s">
        <v>81</v>
      </c>
      <c r="D58" s="44" t="s">
        <v>275</v>
      </c>
      <c r="E58" s="45">
        <v>4433.3589000000002</v>
      </c>
      <c r="F58" s="45">
        <v>4433.3589000000002</v>
      </c>
      <c r="G58" s="45">
        <v>8750402.6908999998</v>
      </c>
      <c r="H58" s="46">
        <v>5.0664627178935223E-4</v>
      </c>
      <c r="I58" s="47">
        <v>6.0797552614722267E-3</v>
      </c>
    </row>
    <row r="59" spans="1:9" x14ac:dyDescent="0.25">
      <c r="A59" s="48" t="s">
        <v>114</v>
      </c>
      <c r="B59" s="49" t="s">
        <v>115</v>
      </c>
      <c r="C59" s="49" t="s">
        <v>230</v>
      </c>
      <c r="D59" s="50" t="s">
        <v>275</v>
      </c>
      <c r="E59" s="51">
        <v>43726.152999999998</v>
      </c>
      <c r="F59" s="51">
        <v>43726.152999999998</v>
      </c>
      <c r="G59" s="51">
        <v>52646020.961300001</v>
      </c>
      <c r="H59" s="52">
        <v>8.3056900030760189E-4</v>
      </c>
      <c r="I59" s="53">
        <v>9.9668280036912232E-3</v>
      </c>
    </row>
    <row r="60" spans="1:9" x14ac:dyDescent="0.25">
      <c r="A60" s="42" t="s">
        <v>146</v>
      </c>
      <c r="B60" s="43" t="s">
        <v>147</v>
      </c>
      <c r="C60" s="43" t="s">
        <v>226</v>
      </c>
      <c r="D60" s="44" t="s">
        <v>275</v>
      </c>
      <c r="E60" s="45">
        <v>1569.3565000000001</v>
      </c>
      <c r="F60" s="45">
        <v>1569.3565000000001</v>
      </c>
      <c r="G60" s="45">
        <v>13561843.767200001</v>
      </c>
      <c r="H60" s="46">
        <v>1.1571852079549593E-4</v>
      </c>
      <c r="I60" s="47">
        <v>1.3886222495459511E-3</v>
      </c>
    </row>
    <row r="61" spans="1:9" x14ac:dyDescent="0.25">
      <c r="A61" s="48" t="s">
        <v>90</v>
      </c>
      <c r="B61" s="49" t="s">
        <v>91</v>
      </c>
      <c r="C61" s="49" t="s">
        <v>81</v>
      </c>
      <c r="D61" s="50" t="s">
        <v>275</v>
      </c>
      <c r="E61" s="51">
        <v>59679.658199999998</v>
      </c>
      <c r="F61" s="51">
        <v>59679.658199999998</v>
      </c>
      <c r="G61" s="51">
        <v>82764117.152400002</v>
      </c>
      <c r="H61" s="52">
        <v>7.2108131220813016E-4</v>
      </c>
      <c r="I61" s="53">
        <v>8.6529757464975619E-3</v>
      </c>
    </row>
    <row r="62" spans="1:9" x14ac:dyDescent="0.25">
      <c r="A62" s="42" t="s">
        <v>98</v>
      </c>
      <c r="B62" s="43" t="s">
        <v>99</v>
      </c>
      <c r="C62" s="43" t="s">
        <v>81</v>
      </c>
      <c r="D62" s="44" t="s">
        <v>275</v>
      </c>
      <c r="E62" s="45">
        <v>49305.024100000002</v>
      </c>
      <c r="F62" s="45">
        <v>49305.024100000002</v>
      </c>
      <c r="G62" s="45">
        <v>3225217.2486</v>
      </c>
      <c r="H62" s="46">
        <v>1.5287349750284975E-2</v>
      </c>
      <c r="I62" s="47">
        <v>0.18344819700341969</v>
      </c>
    </row>
    <row r="63" spans="1:9" x14ac:dyDescent="0.25">
      <c r="A63" s="48" t="s">
        <v>120</v>
      </c>
      <c r="B63" s="49" t="s">
        <v>268</v>
      </c>
      <c r="C63" s="49" t="s">
        <v>143</v>
      </c>
      <c r="D63" s="50" t="s">
        <v>275</v>
      </c>
      <c r="E63" s="51">
        <v>52362.227700000003</v>
      </c>
      <c r="F63" s="51">
        <v>52362.227700000003</v>
      </c>
      <c r="G63" s="51">
        <v>47227073.301899999</v>
      </c>
      <c r="H63" s="52">
        <v>1.1087332760443026E-3</v>
      </c>
      <c r="I63" s="53">
        <v>1.3304799312531632E-2</v>
      </c>
    </row>
    <row r="64" spans="1:9" x14ac:dyDescent="0.25">
      <c r="A64" s="42" t="s">
        <v>106</v>
      </c>
      <c r="B64" s="43" t="s">
        <v>107</v>
      </c>
      <c r="C64" s="43" t="s">
        <v>143</v>
      </c>
      <c r="D64" s="44" t="s">
        <v>275</v>
      </c>
      <c r="E64" s="45">
        <v>86725.645999999993</v>
      </c>
      <c r="F64" s="45">
        <v>86725.645999999993</v>
      </c>
      <c r="G64" s="45">
        <v>70829809.591299996</v>
      </c>
      <c r="H64" s="46">
        <v>1.2244229724803959E-3</v>
      </c>
      <c r="I64" s="47">
        <v>1.469307566976475E-2</v>
      </c>
    </row>
    <row r="65" spans="1:9" x14ac:dyDescent="0.25">
      <c r="A65" s="48" t="s">
        <v>54</v>
      </c>
      <c r="B65" s="49" t="s">
        <v>55</v>
      </c>
      <c r="C65" s="49" t="s">
        <v>143</v>
      </c>
      <c r="D65" s="50" t="s">
        <v>275</v>
      </c>
      <c r="E65" s="51">
        <v>26101.208600000002</v>
      </c>
      <c r="F65" s="51">
        <v>26101.208600000002</v>
      </c>
      <c r="G65" s="51">
        <v>54438891.821000002</v>
      </c>
      <c r="H65" s="52">
        <v>4.7945885242894242E-4</v>
      </c>
      <c r="I65" s="53">
        <v>5.753506229147309E-3</v>
      </c>
    </row>
    <row r="66" spans="1:9" x14ac:dyDescent="0.25">
      <c r="A66" s="42" t="s">
        <v>183</v>
      </c>
      <c r="B66" s="43" t="s">
        <v>231</v>
      </c>
      <c r="C66" s="43" t="s">
        <v>230</v>
      </c>
      <c r="D66" s="44" t="s">
        <v>275</v>
      </c>
      <c r="E66" s="45">
        <v>5967.9331000000002</v>
      </c>
      <c r="F66" s="45">
        <v>5967.9331000000002</v>
      </c>
      <c r="G66" s="45">
        <v>21146315.013099998</v>
      </c>
      <c r="H66" s="46">
        <v>2.8222094943269817E-4</v>
      </c>
      <c r="I66" s="47">
        <v>3.386651393192378E-3</v>
      </c>
    </row>
    <row r="67" spans="1:9" x14ac:dyDescent="0.25">
      <c r="A67" s="48" t="s">
        <v>94</v>
      </c>
      <c r="B67" s="49" t="s">
        <v>95</v>
      </c>
      <c r="C67" s="49" t="s">
        <v>152</v>
      </c>
      <c r="D67" s="50" t="s">
        <v>275</v>
      </c>
      <c r="E67" s="51">
        <v>121726.7654</v>
      </c>
      <c r="F67" s="51">
        <v>121726.7654</v>
      </c>
      <c r="G67" s="51">
        <v>27487051.8292</v>
      </c>
      <c r="H67" s="52">
        <v>4.4285129651732034E-3</v>
      </c>
      <c r="I67" s="53">
        <v>5.3142155582078437E-2</v>
      </c>
    </row>
    <row r="68" spans="1:9" x14ac:dyDescent="0.25">
      <c r="A68" s="42" t="s">
        <v>205</v>
      </c>
      <c r="B68" s="43" t="s">
        <v>250</v>
      </c>
      <c r="C68" s="43" t="s">
        <v>152</v>
      </c>
      <c r="D68" s="44" t="s">
        <v>275</v>
      </c>
      <c r="E68" s="45">
        <v>1811.7628</v>
      </c>
      <c r="F68" s="45">
        <v>1811.7628</v>
      </c>
      <c r="G68" s="45">
        <v>4689600.1432999996</v>
      </c>
      <c r="H68" s="46">
        <v>3.8633630685730279E-4</v>
      </c>
      <c r="I68" s="47">
        <v>4.6360356822876337E-3</v>
      </c>
    </row>
    <row r="69" spans="1:9" x14ac:dyDescent="0.25">
      <c r="A69" s="48" t="s">
        <v>269</v>
      </c>
      <c r="B69" s="49" t="s">
        <v>270</v>
      </c>
      <c r="C69" s="49" t="s">
        <v>81</v>
      </c>
      <c r="D69" s="50" t="s">
        <v>275</v>
      </c>
      <c r="E69" s="51">
        <v>38285.563800000004</v>
      </c>
      <c r="F69" s="51">
        <v>38285.563800000004</v>
      </c>
      <c r="G69" s="51">
        <v>26100600.275800001</v>
      </c>
      <c r="H69" s="52">
        <v>1.4668461029801556E-3</v>
      </c>
      <c r="I69" s="53">
        <v>1.7602153235761867E-2</v>
      </c>
    </row>
    <row r="70" spans="1:9" x14ac:dyDescent="0.25">
      <c r="A70" s="42" t="s">
        <v>148</v>
      </c>
      <c r="B70" s="43" t="s">
        <v>149</v>
      </c>
      <c r="C70" s="43" t="s">
        <v>226</v>
      </c>
      <c r="D70" s="44" t="s">
        <v>275</v>
      </c>
      <c r="E70" s="45">
        <v>3047.0882999999999</v>
      </c>
      <c r="F70" s="45">
        <v>3047.0882999999999</v>
      </c>
      <c r="G70" s="45">
        <v>5070281.1507999999</v>
      </c>
      <c r="H70" s="46">
        <v>6.0097028337752515E-4</v>
      </c>
      <c r="I70" s="47">
        <v>7.2116434005303019E-3</v>
      </c>
    </row>
    <row r="71" spans="1:9" x14ac:dyDescent="0.25">
      <c r="A71" s="48" t="s">
        <v>102</v>
      </c>
      <c r="B71" s="49" t="s">
        <v>271</v>
      </c>
      <c r="C71" s="49" t="s">
        <v>152</v>
      </c>
      <c r="D71" s="50" t="s">
        <v>275</v>
      </c>
      <c r="E71" s="51">
        <v>1310.2052000000001</v>
      </c>
      <c r="F71" s="51">
        <v>1310.2052000000001</v>
      </c>
      <c r="G71" s="51">
        <v>4975205.1498999996</v>
      </c>
      <c r="H71" s="52">
        <v>2.6334696972773775E-4</v>
      </c>
      <c r="I71" s="53">
        <v>3.1601636367328528E-3</v>
      </c>
    </row>
    <row r="72" spans="1:9" x14ac:dyDescent="0.25">
      <c r="A72" s="42" t="s">
        <v>86</v>
      </c>
      <c r="B72" s="43" t="s">
        <v>87</v>
      </c>
      <c r="C72" s="43" t="s">
        <v>152</v>
      </c>
      <c r="D72" s="44" t="s">
        <v>275</v>
      </c>
      <c r="E72" s="45">
        <v>95836.386499999993</v>
      </c>
      <c r="F72" s="45">
        <v>95836.386499999993</v>
      </c>
      <c r="G72" s="45">
        <v>42183139.613200001</v>
      </c>
      <c r="H72" s="46">
        <v>2.2719121283710886E-3</v>
      </c>
      <c r="I72" s="47">
        <v>2.7262945540453061E-2</v>
      </c>
    </row>
    <row r="73" spans="1:9" x14ac:dyDescent="0.25">
      <c r="A73" s="48" t="s">
        <v>124</v>
      </c>
      <c r="B73" s="49" t="s">
        <v>125</v>
      </c>
      <c r="C73" s="49" t="s">
        <v>152</v>
      </c>
      <c r="D73" s="50" t="s">
        <v>275</v>
      </c>
      <c r="E73" s="51">
        <v>33761.686499999996</v>
      </c>
      <c r="F73" s="51">
        <v>33761.686499999996</v>
      </c>
      <c r="G73" s="51">
        <v>17695885.331300002</v>
      </c>
      <c r="H73" s="52">
        <v>1.9078834354946481E-3</v>
      </c>
      <c r="I73" s="53">
        <v>2.2894601225935778E-2</v>
      </c>
    </row>
    <row r="74" spans="1:9" x14ac:dyDescent="0.25">
      <c r="A74" s="42" t="s">
        <v>200</v>
      </c>
      <c r="B74" s="43" t="s">
        <v>244</v>
      </c>
      <c r="C74" s="43" t="s">
        <v>230</v>
      </c>
      <c r="D74" s="44" t="s">
        <v>275</v>
      </c>
      <c r="E74" s="45">
        <v>1791.598</v>
      </c>
      <c r="F74" s="45">
        <v>1791.598</v>
      </c>
      <c r="G74" s="45">
        <v>13662472.6019</v>
      </c>
      <c r="H74" s="46">
        <v>1.3113277897815127E-4</v>
      </c>
      <c r="I74" s="47">
        <v>1.5735933477378154E-3</v>
      </c>
    </row>
    <row r="75" spans="1:9" x14ac:dyDescent="0.25">
      <c r="A75" s="48" t="s">
        <v>63</v>
      </c>
      <c r="B75" s="49" t="s">
        <v>64</v>
      </c>
      <c r="C75" s="49" t="s">
        <v>143</v>
      </c>
      <c r="D75" s="50" t="s">
        <v>275</v>
      </c>
      <c r="E75" s="51">
        <v>86220.856199999995</v>
      </c>
      <c r="F75" s="51">
        <v>86220.856199999995</v>
      </c>
      <c r="G75" s="51">
        <v>63199648.726899989</v>
      </c>
      <c r="H75" s="52">
        <v>1.3642616365255424E-3</v>
      </c>
      <c r="I75" s="53">
        <v>1.6371139638306508E-2</v>
      </c>
    </row>
    <row r="76" spans="1:9" x14ac:dyDescent="0.25">
      <c r="A76" s="42" t="s">
        <v>61</v>
      </c>
      <c r="B76" s="43" t="s">
        <v>62</v>
      </c>
      <c r="C76" s="43" t="s">
        <v>226</v>
      </c>
      <c r="D76" s="44" t="s">
        <v>275</v>
      </c>
      <c r="E76" s="45">
        <v>105.46</v>
      </c>
      <c r="F76" s="45">
        <v>105.46</v>
      </c>
      <c r="G76" s="45">
        <v>20202830.489700001</v>
      </c>
      <c r="H76" s="46">
        <v>5.2200606273347006E-6</v>
      </c>
      <c r="I76" s="47">
        <v>6.2640727528016411E-5</v>
      </c>
    </row>
    <row r="77" spans="1:9" x14ac:dyDescent="0.25">
      <c r="A77" s="48" t="s">
        <v>76</v>
      </c>
      <c r="B77" s="49" t="s">
        <v>77</v>
      </c>
      <c r="C77" s="49" t="s">
        <v>152</v>
      </c>
      <c r="D77" s="50" t="s">
        <v>275</v>
      </c>
      <c r="E77" s="51">
        <v>13924.6018</v>
      </c>
      <c r="F77" s="51">
        <v>13924.6018</v>
      </c>
      <c r="G77" s="51">
        <v>13084892.123600001</v>
      </c>
      <c r="H77" s="52">
        <v>1.0641739854228905E-3</v>
      </c>
      <c r="I77" s="53">
        <v>1.2770087825074685E-2</v>
      </c>
    </row>
    <row r="78" spans="1:9" x14ac:dyDescent="0.25">
      <c r="A78" s="42" t="s">
        <v>195</v>
      </c>
      <c r="B78" s="43" t="s">
        <v>225</v>
      </c>
      <c r="C78" s="43" t="s">
        <v>226</v>
      </c>
      <c r="D78" s="44" t="s">
        <v>275</v>
      </c>
      <c r="E78" s="45">
        <v>12747.9997</v>
      </c>
      <c r="F78" s="45">
        <v>12747.9997</v>
      </c>
      <c r="G78" s="45">
        <v>58563280.691399999</v>
      </c>
      <c r="H78" s="46">
        <v>2.1767905673139725E-4</v>
      </c>
      <c r="I78" s="47">
        <v>2.6121486807767669E-3</v>
      </c>
    </row>
    <row r="79" spans="1:9" x14ac:dyDescent="0.25">
      <c r="A79" s="48" t="s">
        <v>204</v>
      </c>
      <c r="B79" s="49" t="s">
        <v>89</v>
      </c>
      <c r="C79" s="49" t="s">
        <v>152</v>
      </c>
      <c r="D79" s="50" t="s">
        <v>275</v>
      </c>
      <c r="E79" s="51">
        <v>911.11080000000004</v>
      </c>
      <c r="F79" s="51">
        <v>911.11080000000004</v>
      </c>
      <c r="G79" s="51">
        <v>4916563.0809000004</v>
      </c>
      <c r="H79" s="52">
        <v>1.8531457544794012E-4</v>
      </c>
      <c r="I79" s="53">
        <v>2.2237749053752812E-3</v>
      </c>
    </row>
    <row r="80" spans="1:9" x14ac:dyDescent="0.25">
      <c r="A80" s="42" t="s">
        <v>116</v>
      </c>
      <c r="B80" s="43" t="s">
        <v>117</v>
      </c>
      <c r="C80" s="43" t="s">
        <v>143</v>
      </c>
      <c r="D80" s="44" t="s">
        <v>275</v>
      </c>
      <c r="E80" s="45">
        <v>48443.249300000003</v>
      </c>
      <c r="F80" s="45">
        <v>48443.249300000003</v>
      </c>
      <c r="G80" s="45">
        <v>71512807.1954</v>
      </c>
      <c r="H80" s="46">
        <v>6.7740662406993405E-4</v>
      </c>
      <c r="I80" s="47">
        <v>8.128879488839209E-3</v>
      </c>
    </row>
    <row r="81" spans="1:9" x14ac:dyDescent="0.25">
      <c r="A81" s="48" t="s">
        <v>112</v>
      </c>
      <c r="B81" s="49" t="s">
        <v>113</v>
      </c>
      <c r="C81" s="49" t="s">
        <v>81</v>
      </c>
      <c r="D81" s="50" t="s">
        <v>275</v>
      </c>
      <c r="E81" s="51">
        <v>35164.161699999997</v>
      </c>
      <c r="F81" s="51">
        <v>35164.161699999997</v>
      </c>
      <c r="G81" s="51">
        <v>64551982.176100001</v>
      </c>
      <c r="H81" s="52">
        <v>5.447417804161454E-4</v>
      </c>
      <c r="I81" s="53">
        <v>6.5369013649937448E-3</v>
      </c>
    </row>
    <row r="82" spans="1:9" x14ac:dyDescent="0.25">
      <c r="A82" s="42" t="s">
        <v>122</v>
      </c>
      <c r="B82" s="43" t="s">
        <v>123</v>
      </c>
      <c r="C82" s="43" t="s">
        <v>152</v>
      </c>
      <c r="D82" s="44" t="s">
        <v>275</v>
      </c>
      <c r="E82" s="45">
        <v>100804.7887</v>
      </c>
      <c r="F82" s="45">
        <v>100804.7887</v>
      </c>
      <c r="G82" s="45">
        <v>103731657.0878</v>
      </c>
      <c r="H82" s="46">
        <v>9.7178423183462068E-4</v>
      </c>
      <c r="I82" s="47">
        <v>1.1661410782015448E-2</v>
      </c>
    </row>
    <row r="83" spans="1:9" x14ac:dyDescent="0.25">
      <c r="A83" s="48" t="s">
        <v>193</v>
      </c>
      <c r="B83" s="49" t="s">
        <v>232</v>
      </c>
      <c r="C83" s="49" t="s">
        <v>230</v>
      </c>
      <c r="D83" s="50" t="s">
        <v>275</v>
      </c>
      <c r="E83" s="51">
        <v>6475.2975999999999</v>
      </c>
      <c r="F83" s="51">
        <v>6475.2975999999999</v>
      </c>
      <c r="G83" s="51">
        <v>36214603.047799997</v>
      </c>
      <c r="H83" s="52">
        <v>1.7880349513849962E-4</v>
      </c>
      <c r="I83" s="53">
        <v>2.1456419416619956E-3</v>
      </c>
    </row>
    <row r="84" spans="1:9" x14ac:dyDescent="0.25">
      <c r="A84" s="42" t="s">
        <v>203</v>
      </c>
      <c r="B84" s="43" t="s">
        <v>156</v>
      </c>
      <c r="C84" s="43" t="s">
        <v>152</v>
      </c>
      <c r="D84" s="44" t="s">
        <v>275</v>
      </c>
      <c r="E84" s="45">
        <v>1698.7319</v>
      </c>
      <c r="F84" s="45">
        <v>1698.7319</v>
      </c>
      <c r="G84" s="45">
        <v>5262477.5675999997</v>
      </c>
      <c r="H84" s="46">
        <v>3.2280078692567652E-4</v>
      </c>
      <c r="I84" s="47">
        <v>3.873609443108118E-3</v>
      </c>
    </row>
    <row r="85" spans="1:9" x14ac:dyDescent="0.25">
      <c r="A85" s="48" t="s">
        <v>197</v>
      </c>
      <c r="B85" s="49" t="s">
        <v>272</v>
      </c>
      <c r="C85" s="49" t="s">
        <v>67</v>
      </c>
      <c r="D85" s="50" t="s">
        <v>275</v>
      </c>
      <c r="E85" s="51">
        <v>3139.5450999999998</v>
      </c>
      <c r="F85" s="51">
        <v>3139.5450999999998</v>
      </c>
      <c r="G85" s="51">
        <v>24766338.781599998</v>
      </c>
      <c r="H85" s="52">
        <v>1.267666217314489E-4</v>
      </c>
      <c r="I85" s="53">
        <v>1.5211994607773867E-3</v>
      </c>
    </row>
    <row r="86" spans="1:9" x14ac:dyDescent="0.25">
      <c r="A86" s="42" t="s">
        <v>59</v>
      </c>
      <c r="B86" s="43" t="s">
        <v>60</v>
      </c>
      <c r="C86" s="43" t="s">
        <v>143</v>
      </c>
      <c r="D86" s="44" t="s">
        <v>275</v>
      </c>
      <c r="E86" s="45">
        <v>26728.34</v>
      </c>
      <c r="F86" s="45">
        <v>26728.34</v>
      </c>
      <c r="G86" s="45">
        <v>42538467.560199998</v>
      </c>
      <c r="H86" s="46">
        <v>2.4674993252038648E-4</v>
      </c>
      <c r="I86" s="47">
        <v>2.9609991902446375E-3</v>
      </c>
    </row>
    <row r="87" spans="1:9" x14ac:dyDescent="0.25">
      <c r="A87" s="48" t="s">
        <v>198</v>
      </c>
      <c r="B87" s="49" t="s">
        <v>242</v>
      </c>
      <c r="C87" s="49" t="s">
        <v>226</v>
      </c>
      <c r="D87" s="50" t="s">
        <v>275</v>
      </c>
      <c r="E87" s="51">
        <v>3458.9605000000001</v>
      </c>
      <c r="F87" s="51">
        <v>3458.9605000000001</v>
      </c>
      <c r="G87" s="51">
        <v>30278912.852499999</v>
      </c>
      <c r="H87" s="52">
        <v>1.1423661466479661E-4</v>
      </c>
      <c r="I87" s="53">
        <v>1.3708393759775594E-3</v>
      </c>
    </row>
    <row r="88" spans="1:9" x14ac:dyDescent="0.25">
      <c r="A88" s="42" t="s">
        <v>202</v>
      </c>
      <c r="B88" s="43" t="s">
        <v>273</v>
      </c>
      <c r="C88" s="43" t="s">
        <v>143</v>
      </c>
      <c r="D88" s="44" t="s">
        <v>275</v>
      </c>
      <c r="E88" s="45">
        <v>297.55990000000003</v>
      </c>
      <c r="F88" s="45">
        <v>297.55990000000003</v>
      </c>
      <c r="G88" s="45">
        <v>1444491.1836999999</v>
      </c>
      <c r="H88" s="46">
        <v>2.0599634207376299E-4</v>
      </c>
      <c r="I88" s="47">
        <v>2.4719561048851561E-3</v>
      </c>
    </row>
    <row r="89" spans="1:9" x14ac:dyDescent="0.25">
      <c r="A89" s="48" t="s">
        <v>70</v>
      </c>
      <c r="B89" s="49" t="s">
        <v>71</v>
      </c>
      <c r="C89" s="49" t="s">
        <v>152</v>
      </c>
      <c r="D89" s="50" t="s">
        <v>275</v>
      </c>
      <c r="E89" s="51">
        <v>20829.273300000001</v>
      </c>
      <c r="F89" s="51">
        <v>20829.273300000001</v>
      </c>
      <c r="G89" s="51">
        <v>12883822.6138</v>
      </c>
      <c r="H89" s="52">
        <v>1.6166997889034535E-3</v>
      </c>
      <c r="I89" s="53">
        <v>1.940039746684144E-2</v>
      </c>
    </row>
    <row r="90" spans="1:9" x14ac:dyDescent="0.25">
      <c r="A90" s="42" t="s">
        <v>192</v>
      </c>
      <c r="B90" s="43" t="s">
        <v>243</v>
      </c>
      <c r="C90" s="43" t="s">
        <v>230</v>
      </c>
      <c r="D90" s="44" t="s">
        <v>275</v>
      </c>
      <c r="E90" s="45">
        <v>7656.4857000000002</v>
      </c>
      <c r="F90" s="45">
        <v>7656.4857000000002</v>
      </c>
      <c r="G90" s="45">
        <v>73484686.161500007</v>
      </c>
      <c r="H90" s="46">
        <v>1.0419158194638077E-4</v>
      </c>
      <c r="I90" s="47">
        <v>1.2502989833565693E-3</v>
      </c>
    </row>
    <row r="91" spans="1:9" x14ac:dyDescent="0.25">
      <c r="A91" s="48" t="s">
        <v>72</v>
      </c>
      <c r="B91" s="49" t="s">
        <v>73</v>
      </c>
      <c r="C91" s="49" t="s">
        <v>67</v>
      </c>
      <c r="D91" s="50" t="s">
        <v>275</v>
      </c>
      <c r="E91" s="51">
        <v>99259.705300000001</v>
      </c>
      <c r="F91" s="51">
        <v>99259.705300000001</v>
      </c>
      <c r="G91" s="51">
        <v>161485435.82229999</v>
      </c>
      <c r="H91" s="52">
        <v>6.1466660937291133E-4</v>
      </c>
      <c r="I91" s="53">
        <v>7.375999312474936E-3</v>
      </c>
    </row>
    <row r="92" spans="1:9" x14ac:dyDescent="0.25">
      <c r="A92" s="42" t="s">
        <v>133</v>
      </c>
      <c r="B92" s="43" t="s">
        <v>134</v>
      </c>
      <c r="C92" s="43" t="s">
        <v>241</v>
      </c>
      <c r="D92" s="44" t="s">
        <v>275</v>
      </c>
      <c r="E92" s="45">
        <v>4273.0285000000003</v>
      </c>
      <c r="F92" s="45">
        <v>4273.0285000000003</v>
      </c>
      <c r="G92" s="45">
        <v>4674850.9168999996</v>
      </c>
      <c r="H92" s="46">
        <v>9.1404593985075001E-4</v>
      </c>
      <c r="I92" s="47">
        <v>1.0968551278209001E-2</v>
      </c>
    </row>
    <row r="93" spans="1:9" x14ac:dyDescent="0.25">
      <c r="A93" s="48" t="s">
        <v>188</v>
      </c>
      <c r="B93" s="49" t="s">
        <v>233</v>
      </c>
      <c r="C93" s="49" t="s">
        <v>226</v>
      </c>
      <c r="D93" s="50" t="s">
        <v>275</v>
      </c>
      <c r="E93" s="51">
        <v>6388.5883999999996</v>
      </c>
      <c r="F93" s="51">
        <v>6388.5883999999996</v>
      </c>
      <c r="G93" s="51">
        <v>43328213.055699997</v>
      </c>
      <c r="H93" s="52">
        <v>1.4744638537913477E-4</v>
      </c>
      <c r="I93" s="53">
        <v>1.7693566245496172E-3</v>
      </c>
    </row>
    <row r="94" spans="1:9" x14ac:dyDescent="0.25">
      <c r="A94" s="42" t="s">
        <v>118</v>
      </c>
      <c r="B94" s="43" t="s">
        <v>119</v>
      </c>
      <c r="C94" s="43" t="s">
        <v>143</v>
      </c>
      <c r="D94" s="44" t="s">
        <v>275</v>
      </c>
      <c r="E94" s="45">
        <v>17259.9823</v>
      </c>
      <c r="F94" s="45">
        <v>17259.9823</v>
      </c>
      <c r="G94" s="45">
        <v>36399580.101300001</v>
      </c>
      <c r="H94" s="46">
        <v>4.7418080790947266E-4</v>
      </c>
      <c r="I94" s="47">
        <v>5.6901696949136719E-3</v>
      </c>
    </row>
    <row r="95" spans="1:9" x14ac:dyDescent="0.25">
      <c r="A95" s="48" t="s">
        <v>194</v>
      </c>
      <c r="B95" s="49" t="s">
        <v>246</v>
      </c>
      <c r="C95" s="49" t="s">
        <v>230</v>
      </c>
      <c r="D95" s="50" t="s">
        <v>275</v>
      </c>
      <c r="E95" s="51">
        <v>23046.903600000001</v>
      </c>
      <c r="F95" s="51">
        <v>23046.903600000001</v>
      </c>
      <c r="G95" s="51">
        <v>67381994.881799996</v>
      </c>
      <c r="H95" s="52">
        <v>3.4203356015844247E-4</v>
      </c>
      <c r="I95" s="53">
        <v>4.1044027219013096E-3</v>
      </c>
    </row>
    <row r="96" spans="1:9" x14ac:dyDescent="0.25">
      <c r="A96" s="42" t="s">
        <v>57</v>
      </c>
      <c r="B96" s="43" t="s">
        <v>58</v>
      </c>
      <c r="C96" s="43" t="s">
        <v>230</v>
      </c>
      <c r="D96" s="44" t="s">
        <v>275</v>
      </c>
      <c r="E96" s="45">
        <v>22156.467100000002</v>
      </c>
      <c r="F96" s="45">
        <v>22156.467100000002</v>
      </c>
      <c r="G96" s="45">
        <v>8802362.1161000002</v>
      </c>
      <c r="H96" s="46">
        <v>2.5171047052784407E-3</v>
      </c>
      <c r="I96" s="47">
        <v>3.0205256463341289E-2</v>
      </c>
    </row>
    <row r="97" spans="1:9" x14ac:dyDescent="0.25">
      <c r="A97" s="48" t="s">
        <v>157</v>
      </c>
      <c r="B97" s="49" t="s">
        <v>158</v>
      </c>
      <c r="C97" s="49" t="s">
        <v>152</v>
      </c>
      <c r="D97" s="50" t="s">
        <v>275</v>
      </c>
      <c r="E97" s="51">
        <v>1836.8954000000001</v>
      </c>
      <c r="F97" s="51">
        <v>1836.8954000000001</v>
      </c>
      <c r="G97" s="51">
        <v>5469076.6255999999</v>
      </c>
      <c r="H97" s="52">
        <v>3.3586938449568316E-4</v>
      </c>
      <c r="I97" s="53">
        <v>4.0304326139481983E-3</v>
      </c>
    </row>
    <row r="98" spans="1:9" x14ac:dyDescent="0.25">
      <c r="A98" s="42" t="s">
        <v>74</v>
      </c>
      <c r="B98" s="43" t="s">
        <v>75</v>
      </c>
      <c r="C98" s="43" t="s">
        <v>67</v>
      </c>
      <c r="D98" s="44" t="s">
        <v>275</v>
      </c>
      <c r="E98" s="45">
        <v>4378.0591000000004</v>
      </c>
      <c r="F98" s="45">
        <v>4378.0591000000004</v>
      </c>
      <c r="G98" s="45">
        <v>38036457.060199998</v>
      </c>
      <c r="H98" s="46">
        <v>1.1510165347605538E-4</v>
      </c>
      <c r="I98" s="47">
        <v>1.3812198417126646E-3</v>
      </c>
    </row>
    <row r="99" spans="1:9" x14ac:dyDescent="0.25">
      <c r="A99" s="48" t="s">
        <v>96</v>
      </c>
      <c r="B99" s="49" t="s">
        <v>97</v>
      </c>
      <c r="C99" s="49" t="s">
        <v>81</v>
      </c>
      <c r="D99" s="50" t="s">
        <v>275</v>
      </c>
      <c r="E99" s="51">
        <v>25742.05</v>
      </c>
      <c r="F99" s="51">
        <v>25742.05</v>
      </c>
      <c r="G99" s="51">
        <v>19956433.732500002</v>
      </c>
      <c r="H99" s="52">
        <v>1.289912333288179E-3</v>
      </c>
      <c r="I99" s="53">
        <v>1.5478947999458148E-2</v>
      </c>
    </row>
    <row r="100" spans="1:9" x14ac:dyDescent="0.25">
      <c r="A100" s="42" t="s">
        <v>196</v>
      </c>
      <c r="B100" s="43" t="s">
        <v>245</v>
      </c>
      <c r="C100" s="43" t="s">
        <v>143</v>
      </c>
      <c r="D100" s="44" t="s">
        <v>275</v>
      </c>
      <c r="E100" s="45">
        <v>1.8011999999999999</v>
      </c>
      <c r="F100" s="45">
        <v>1.8011999999999999</v>
      </c>
      <c r="G100" s="45">
        <v>17616.912199999999</v>
      </c>
      <c r="H100" s="46">
        <v>1.0224266202564148E-4</v>
      </c>
      <c r="I100" s="47">
        <v>1.2269119443076978E-3</v>
      </c>
    </row>
    <row r="101" spans="1:9" x14ac:dyDescent="0.25">
      <c r="A101" s="48" t="s">
        <v>100</v>
      </c>
      <c r="B101" s="49" t="s">
        <v>100</v>
      </c>
      <c r="C101" s="49" t="s">
        <v>152</v>
      </c>
      <c r="D101" s="50" t="s">
        <v>276</v>
      </c>
      <c r="E101" s="51">
        <v>86.196299999999994</v>
      </c>
      <c r="F101" s="51">
        <v>86.196299999999994</v>
      </c>
      <c r="G101" s="51">
        <v>300531.78529999999</v>
      </c>
      <c r="H101" s="52">
        <v>2.868125909342874E-4</v>
      </c>
      <c r="I101" s="53">
        <v>3.4417510912114488E-3</v>
      </c>
    </row>
    <row r="102" spans="1:9" x14ac:dyDescent="0.25">
      <c r="A102" s="42" t="s">
        <v>190</v>
      </c>
      <c r="B102" s="43" t="s">
        <v>234</v>
      </c>
      <c r="C102" s="43" t="s">
        <v>143</v>
      </c>
      <c r="D102" s="44" t="s">
        <v>276</v>
      </c>
      <c r="E102" s="45">
        <v>1030.0835</v>
      </c>
      <c r="F102" s="45">
        <v>1030.0835</v>
      </c>
      <c r="G102" s="45">
        <v>8216340.1746999994</v>
      </c>
      <c r="H102" s="46">
        <v>1.2537011346875143E-4</v>
      </c>
      <c r="I102" s="47">
        <v>1.5044413616250173E-3</v>
      </c>
    </row>
    <row r="103" spans="1:9" x14ac:dyDescent="0.25">
      <c r="A103" s="48" t="s">
        <v>65</v>
      </c>
      <c r="B103" s="49" t="s">
        <v>66</v>
      </c>
      <c r="C103" s="49" t="s">
        <v>67</v>
      </c>
      <c r="D103" s="50" t="s">
        <v>276</v>
      </c>
      <c r="E103" s="51">
        <v>36582.7673</v>
      </c>
      <c r="F103" s="51">
        <v>36582.7673</v>
      </c>
      <c r="G103" s="51">
        <v>202384046.794</v>
      </c>
      <c r="H103" s="52">
        <v>1.8075914519703415E-4</v>
      </c>
      <c r="I103" s="53">
        <v>2.1691097423644098E-3</v>
      </c>
    </row>
    <row r="104" spans="1:9" x14ac:dyDescent="0.25">
      <c r="A104" s="42" t="s">
        <v>131</v>
      </c>
      <c r="B104" s="43" t="s">
        <v>132</v>
      </c>
      <c r="C104" s="43" t="s">
        <v>67</v>
      </c>
      <c r="D104" s="44" t="s">
        <v>276</v>
      </c>
      <c r="E104" s="45">
        <v>8180.3694999999998</v>
      </c>
      <c r="F104" s="45">
        <v>8180.3694999999998</v>
      </c>
      <c r="G104" s="45">
        <v>27533506.506000001</v>
      </c>
      <c r="H104" s="46">
        <v>2.9710598242244822E-4</v>
      </c>
      <c r="I104" s="47">
        <v>3.5652717890693785E-3</v>
      </c>
    </row>
    <row r="105" spans="1:9" x14ac:dyDescent="0.25">
      <c r="A105" s="48" t="s">
        <v>82</v>
      </c>
      <c r="B105" s="49" t="s">
        <v>83</v>
      </c>
      <c r="C105" s="49" t="s">
        <v>230</v>
      </c>
      <c r="D105" s="50" t="s">
        <v>276</v>
      </c>
      <c r="E105" s="51">
        <v>8831.0511999999999</v>
      </c>
      <c r="F105" s="51">
        <v>8831.0511999999999</v>
      </c>
      <c r="G105" s="51">
        <v>49914566.593800001</v>
      </c>
      <c r="H105" s="52">
        <v>1.7692332724966351E-4</v>
      </c>
      <c r="I105" s="53">
        <v>2.1230799269959621E-3</v>
      </c>
    </row>
    <row r="106" spans="1:9" x14ac:dyDescent="0.25">
      <c r="A106" s="42" t="s">
        <v>68</v>
      </c>
      <c r="B106" s="43" t="s">
        <v>69</v>
      </c>
      <c r="C106" s="43" t="s">
        <v>143</v>
      </c>
      <c r="D106" s="44" t="s">
        <v>276</v>
      </c>
      <c r="E106" s="45">
        <v>17035.563900000001</v>
      </c>
      <c r="F106" s="45">
        <v>17035.563900000001</v>
      </c>
      <c r="G106" s="45">
        <v>57294790.989300005</v>
      </c>
      <c r="H106" s="46">
        <v>2.9733180985303621E-4</v>
      </c>
      <c r="I106" s="47">
        <v>3.5679817182364343E-3</v>
      </c>
    </row>
    <row r="107" spans="1:9" x14ac:dyDescent="0.25">
      <c r="A107" s="48" t="s">
        <v>79</v>
      </c>
      <c r="B107" s="49" t="s">
        <v>80</v>
      </c>
      <c r="C107" s="49" t="s">
        <v>81</v>
      </c>
      <c r="D107" s="50" t="s">
        <v>276</v>
      </c>
      <c r="E107" s="51">
        <v>4370.9443000000001</v>
      </c>
      <c r="F107" s="51">
        <v>4370.9443000000001</v>
      </c>
      <c r="G107" s="51">
        <v>9281666.2205999997</v>
      </c>
      <c r="H107" s="52">
        <v>4.7092237493942627E-4</v>
      </c>
      <c r="I107" s="53">
        <v>5.6510684992731154E-3</v>
      </c>
    </row>
    <row r="108" spans="1:9" x14ac:dyDescent="0.25">
      <c r="A108" s="42" t="s">
        <v>114</v>
      </c>
      <c r="B108" s="43" t="s">
        <v>115</v>
      </c>
      <c r="C108" s="43" t="s">
        <v>230</v>
      </c>
      <c r="D108" s="44" t="s">
        <v>276</v>
      </c>
      <c r="E108" s="45">
        <v>9846.8636000000006</v>
      </c>
      <c r="F108" s="45">
        <v>9846.8636000000006</v>
      </c>
      <c r="G108" s="45">
        <v>55202532.092800006</v>
      </c>
      <c r="H108" s="46">
        <v>1.7837702776833883E-4</v>
      </c>
      <c r="I108" s="47">
        <v>2.1405243332200661E-3</v>
      </c>
    </row>
    <row r="109" spans="1:9" x14ac:dyDescent="0.25">
      <c r="A109" s="48" t="s">
        <v>146</v>
      </c>
      <c r="B109" s="49" t="s">
        <v>147</v>
      </c>
      <c r="C109" s="49" t="s">
        <v>226</v>
      </c>
      <c r="D109" s="50" t="s">
        <v>276</v>
      </c>
      <c r="E109" s="51">
        <v>861.25919999999996</v>
      </c>
      <c r="F109" s="51">
        <v>861.25919999999996</v>
      </c>
      <c r="G109" s="51">
        <v>14296218.934</v>
      </c>
      <c r="H109" s="52">
        <v>6.0243845171656489E-5</v>
      </c>
      <c r="I109" s="53">
        <v>7.229261420598779E-4</v>
      </c>
    </row>
    <row r="110" spans="1:9" x14ac:dyDescent="0.25">
      <c r="A110" s="42" t="s">
        <v>90</v>
      </c>
      <c r="B110" s="43" t="s">
        <v>91</v>
      </c>
      <c r="C110" s="43" t="s">
        <v>81</v>
      </c>
      <c r="D110" s="44" t="s">
        <v>276</v>
      </c>
      <c r="E110" s="45">
        <v>38847.697699999997</v>
      </c>
      <c r="F110" s="45">
        <v>38847.697699999997</v>
      </c>
      <c r="G110" s="45">
        <v>85544022.535699993</v>
      </c>
      <c r="H110" s="46">
        <v>4.5412521586517317E-4</v>
      </c>
      <c r="I110" s="47">
        <v>5.4495025903820785E-3</v>
      </c>
    </row>
    <row r="111" spans="1:9" x14ac:dyDescent="0.25">
      <c r="A111" s="48" t="s">
        <v>98</v>
      </c>
      <c r="B111" s="49" t="s">
        <v>99</v>
      </c>
      <c r="C111" s="49" t="s">
        <v>81</v>
      </c>
      <c r="D111" s="50" t="s">
        <v>276</v>
      </c>
      <c r="E111" s="51">
        <v>1615.3893</v>
      </c>
      <c r="F111" s="51">
        <v>1615.3893</v>
      </c>
      <c r="G111" s="51">
        <v>13361518.148499997</v>
      </c>
      <c r="H111" s="52">
        <v>1.2089863457479555E-4</v>
      </c>
      <c r="I111" s="53">
        <v>1.4507836148975467E-3</v>
      </c>
    </row>
    <row r="112" spans="1:9" x14ac:dyDescent="0.25">
      <c r="A112" s="42" t="s">
        <v>120</v>
      </c>
      <c r="B112" s="43" t="s">
        <v>268</v>
      </c>
      <c r="C112" s="43" t="s">
        <v>143</v>
      </c>
      <c r="D112" s="44" t="s">
        <v>276</v>
      </c>
      <c r="E112" s="45">
        <v>28042.501199999999</v>
      </c>
      <c r="F112" s="45">
        <v>28042.501199999999</v>
      </c>
      <c r="G112" s="45">
        <v>46833399.7839</v>
      </c>
      <c r="H112" s="46">
        <v>5.9877141803487473E-4</v>
      </c>
      <c r="I112" s="47">
        <v>7.1852570164184972E-3</v>
      </c>
    </row>
    <row r="113" spans="1:9" x14ac:dyDescent="0.25">
      <c r="A113" s="48" t="s">
        <v>106</v>
      </c>
      <c r="B113" s="49" t="s">
        <v>107</v>
      </c>
      <c r="C113" s="49" t="s">
        <v>143</v>
      </c>
      <c r="D113" s="50" t="s">
        <v>276</v>
      </c>
      <c r="E113" s="51">
        <v>82425.732300000003</v>
      </c>
      <c r="F113" s="51">
        <v>82425.732300000003</v>
      </c>
      <c r="G113" s="51">
        <v>72523479.519800007</v>
      </c>
      <c r="H113" s="52">
        <v>1.1365385782062005E-3</v>
      </c>
      <c r="I113" s="53">
        <v>1.3638462938474406E-2</v>
      </c>
    </row>
    <row r="114" spans="1:9" x14ac:dyDescent="0.25">
      <c r="A114" s="42" t="s">
        <v>206</v>
      </c>
      <c r="B114" s="43" t="s">
        <v>251</v>
      </c>
      <c r="C114" s="43" t="s">
        <v>81</v>
      </c>
      <c r="D114" s="44" t="s">
        <v>276</v>
      </c>
      <c r="E114" s="45">
        <v>216.15090000000001</v>
      </c>
      <c r="F114" s="45">
        <v>216.15090000000001</v>
      </c>
      <c r="G114" s="45">
        <v>3118227.7831000001</v>
      </c>
      <c r="H114" s="46">
        <v>6.9318508792552878E-5</v>
      </c>
      <c r="I114" s="47">
        <v>8.3182210551063459E-4</v>
      </c>
    </row>
    <row r="115" spans="1:9" x14ac:dyDescent="0.25">
      <c r="A115" s="48" t="s">
        <v>54</v>
      </c>
      <c r="B115" s="49" t="s">
        <v>55</v>
      </c>
      <c r="C115" s="49" t="s">
        <v>143</v>
      </c>
      <c r="D115" s="50" t="s">
        <v>276</v>
      </c>
      <c r="E115" s="51">
        <v>26430.433700000001</v>
      </c>
      <c r="F115" s="51">
        <v>26430.433700000001</v>
      </c>
      <c r="G115" s="51">
        <v>55687696.899599999</v>
      </c>
      <c r="H115" s="52">
        <v>4.7461890456076391E-4</v>
      </c>
      <c r="I115" s="53">
        <v>5.6954268547291667E-3</v>
      </c>
    </row>
    <row r="116" spans="1:9" x14ac:dyDescent="0.25">
      <c r="A116" s="42" t="s">
        <v>183</v>
      </c>
      <c r="B116" s="43" t="s">
        <v>231</v>
      </c>
      <c r="C116" s="43" t="s">
        <v>230</v>
      </c>
      <c r="D116" s="44" t="s">
        <v>276</v>
      </c>
      <c r="E116" s="45">
        <v>21486.462500000001</v>
      </c>
      <c r="F116" s="45">
        <v>21486.462500000001</v>
      </c>
      <c r="G116" s="45">
        <v>20974482.658399999</v>
      </c>
      <c r="H116" s="46">
        <v>1.0244096529072177E-3</v>
      </c>
      <c r="I116" s="47">
        <v>1.2292915834886613E-2</v>
      </c>
    </row>
    <row r="117" spans="1:9" x14ac:dyDescent="0.25">
      <c r="A117" s="48" t="s">
        <v>94</v>
      </c>
      <c r="B117" s="49" t="s">
        <v>95</v>
      </c>
      <c r="C117" s="49" t="s">
        <v>152</v>
      </c>
      <c r="D117" s="50" t="s">
        <v>276</v>
      </c>
      <c r="E117" s="51">
        <v>25329.3923</v>
      </c>
      <c r="F117" s="51">
        <v>25329.3923</v>
      </c>
      <c r="G117" s="51">
        <v>25666299.353700001</v>
      </c>
      <c r="H117" s="52">
        <v>9.8687356330349075E-4</v>
      </c>
      <c r="I117" s="53">
        <v>1.1842482759641889E-2</v>
      </c>
    </row>
    <row r="118" spans="1:9" x14ac:dyDescent="0.25">
      <c r="A118" s="42" t="s">
        <v>170</v>
      </c>
      <c r="B118" s="43" t="s">
        <v>171</v>
      </c>
      <c r="C118" s="43" t="s">
        <v>81</v>
      </c>
      <c r="D118" s="44" t="s">
        <v>276</v>
      </c>
      <c r="E118" s="45">
        <v>1.746</v>
      </c>
      <c r="F118" s="45">
        <v>1.746</v>
      </c>
      <c r="G118" s="45">
        <v>25316.9172</v>
      </c>
      <c r="H118" s="46">
        <v>6.8965742795888276E-5</v>
      </c>
      <c r="I118" s="47">
        <v>8.2758891355065936E-4</v>
      </c>
    </row>
    <row r="119" spans="1:9" x14ac:dyDescent="0.25">
      <c r="A119" s="48" t="s">
        <v>205</v>
      </c>
      <c r="B119" s="49" t="s">
        <v>250</v>
      </c>
      <c r="C119" s="49" t="s">
        <v>152</v>
      </c>
      <c r="D119" s="50" t="s">
        <v>276</v>
      </c>
      <c r="E119" s="51">
        <v>1505.9702</v>
      </c>
      <c r="F119" s="51">
        <v>1505.9702</v>
      </c>
      <c r="G119" s="51">
        <v>5409150.8861999996</v>
      </c>
      <c r="H119" s="52">
        <v>2.7841157173893593E-4</v>
      </c>
      <c r="I119" s="53">
        <v>3.3409388608672311E-3</v>
      </c>
    </row>
    <row r="120" spans="1:9" x14ac:dyDescent="0.25">
      <c r="A120" s="42" t="s">
        <v>269</v>
      </c>
      <c r="B120" s="43" t="s">
        <v>270</v>
      </c>
      <c r="C120" s="43" t="s">
        <v>81</v>
      </c>
      <c r="D120" s="44" t="s">
        <v>276</v>
      </c>
      <c r="E120" s="45">
        <v>19218.616699999999</v>
      </c>
      <c r="F120" s="45">
        <v>19218.616699999999</v>
      </c>
      <c r="G120" s="45">
        <v>26333478.739599999</v>
      </c>
      <c r="H120" s="46">
        <v>7.2981685747045835E-4</v>
      </c>
      <c r="I120" s="47">
        <v>8.7578022896455006E-3</v>
      </c>
    </row>
    <row r="121" spans="1:9" x14ac:dyDescent="0.25">
      <c r="A121" s="48" t="s">
        <v>148</v>
      </c>
      <c r="B121" s="49" t="s">
        <v>149</v>
      </c>
      <c r="C121" s="49" t="s">
        <v>226</v>
      </c>
      <c r="D121" s="50" t="s">
        <v>276</v>
      </c>
      <c r="E121" s="51">
        <v>8853.2075000000004</v>
      </c>
      <c r="F121" s="51">
        <v>8853.2075000000004</v>
      </c>
      <c r="G121" s="51">
        <v>5405869.6898999996</v>
      </c>
      <c r="H121" s="52">
        <v>1.637702720903687E-3</v>
      </c>
      <c r="I121" s="53">
        <v>1.9652432650844244E-2</v>
      </c>
    </row>
    <row r="122" spans="1:9" x14ac:dyDescent="0.25">
      <c r="A122" s="42" t="s">
        <v>102</v>
      </c>
      <c r="B122" s="43" t="s">
        <v>271</v>
      </c>
      <c r="C122" s="43" t="s">
        <v>152</v>
      </c>
      <c r="D122" s="44" t="s">
        <v>276</v>
      </c>
      <c r="E122" s="45">
        <v>1664.9612</v>
      </c>
      <c r="F122" s="45">
        <v>1664.9612</v>
      </c>
      <c r="G122" s="45">
        <v>6441300.7302999999</v>
      </c>
      <c r="H122" s="46">
        <v>2.5848214044222326E-4</v>
      </c>
      <c r="I122" s="47">
        <v>3.1017856853066792E-3</v>
      </c>
    </row>
    <row r="123" spans="1:9" x14ac:dyDescent="0.25">
      <c r="A123" s="48" t="s">
        <v>86</v>
      </c>
      <c r="B123" s="49" t="s">
        <v>87</v>
      </c>
      <c r="C123" s="49" t="s">
        <v>152</v>
      </c>
      <c r="D123" s="50" t="s">
        <v>276</v>
      </c>
      <c r="E123" s="51">
        <v>106187.98850000001</v>
      </c>
      <c r="F123" s="51">
        <v>106187.98850000001</v>
      </c>
      <c r="G123" s="51">
        <v>45318292.906999998</v>
      </c>
      <c r="H123" s="52">
        <v>2.3431594989227387E-3</v>
      </c>
      <c r="I123" s="53">
        <v>2.8117913987072862E-2</v>
      </c>
    </row>
    <row r="124" spans="1:9" x14ac:dyDescent="0.25">
      <c r="A124" s="42" t="s">
        <v>124</v>
      </c>
      <c r="B124" s="43" t="s">
        <v>125</v>
      </c>
      <c r="C124" s="43" t="s">
        <v>152</v>
      </c>
      <c r="D124" s="44" t="s">
        <v>276</v>
      </c>
      <c r="E124" s="45">
        <v>13013.079400000001</v>
      </c>
      <c r="F124" s="45">
        <v>13013.079400000001</v>
      </c>
      <c r="G124" s="45">
        <v>18583064.978</v>
      </c>
      <c r="H124" s="46">
        <v>7.0026550600806926E-4</v>
      </c>
      <c r="I124" s="47">
        <v>8.403186072096832E-3</v>
      </c>
    </row>
    <row r="125" spans="1:9" x14ac:dyDescent="0.25">
      <c r="A125" s="48" t="s">
        <v>200</v>
      </c>
      <c r="B125" s="49" t="s">
        <v>244</v>
      </c>
      <c r="C125" s="49" t="s">
        <v>230</v>
      </c>
      <c r="D125" s="50" t="s">
        <v>276</v>
      </c>
      <c r="E125" s="51">
        <v>1864.1855</v>
      </c>
      <c r="F125" s="51">
        <v>1864.1855</v>
      </c>
      <c r="G125" s="51">
        <v>13214467.145099999</v>
      </c>
      <c r="H125" s="52">
        <v>1.4107156039895642E-4</v>
      </c>
      <c r="I125" s="53">
        <v>1.6928587247874772E-3</v>
      </c>
    </row>
    <row r="126" spans="1:9" x14ac:dyDescent="0.25">
      <c r="A126" s="42" t="s">
        <v>63</v>
      </c>
      <c r="B126" s="43" t="s">
        <v>64</v>
      </c>
      <c r="C126" s="43" t="s">
        <v>143</v>
      </c>
      <c r="D126" s="44" t="s">
        <v>276</v>
      </c>
      <c r="E126" s="45">
        <v>33028.943200000002</v>
      </c>
      <c r="F126" s="45">
        <v>33028.943200000002</v>
      </c>
      <c r="G126" s="45">
        <v>64514000.890999995</v>
      </c>
      <c r="H126" s="46">
        <v>5.1196550739124433E-4</v>
      </c>
      <c r="I126" s="47">
        <v>6.143586088694932E-3</v>
      </c>
    </row>
    <row r="127" spans="1:9" x14ac:dyDescent="0.25">
      <c r="A127" s="48" t="s">
        <v>61</v>
      </c>
      <c r="B127" s="49" t="s">
        <v>62</v>
      </c>
      <c r="C127" s="49" t="s">
        <v>226</v>
      </c>
      <c r="D127" s="50" t="s">
        <v>276</v>
      </c>
      <c r="E127" s="51">
        <v>118.0849</v>
      </c>
      <c r="F127" s="51">
        <v>118.0849</v>
      </c>
      <c r="G127" s="51">
        <v>20528628.147700001</v>
      </c>
      <c r="H127" s="52">
        <v>5.7522060972803028E-6</v>
      </c>
      <c r="I127" s="53">
        <v>6.9026473167363634E-5</v>
      </c>
    </row>
    <row r="128" spans="1:9" x14ac:dyDescent="0.25">
      <c r="A128" s="42" t="s">
        <v>76</v>
      </c>
      <c r="B128" s="43" t="s">
        <v>77</v>
      </c>
      <c r="C128" s="43" t="s">
        <v>152</v>
      </c>
      <c r="D128" s="44" t="s">
        <v>276</v>
      </c>
      <c r="E128" s="45">
        <v>6742.6034</v>
      </c>
      <c r="F128" s="45">
        <v>6742.6034</v>
      </c>
      <c r="G128" s="45">
        <v>14767774.801000001</v>
      </c>
      <c r="H128" s="46">
        <v>4.5657544828916428E-4</v>
      </c>
      <c r="I128" s="47">
        <v>5.4789053794699711E-3</v>
      </c>
    </row>
    <row r="129" spans="1:9" x14ac:dyDescent="0.25">
      <c r="A129" s="48" t="s">
        <v>195</v>
      </c>
      <c r="B129" s="49" t="s">
        <v>225</v>
      </c>
      <c r="C129" s="49" t="s">
        <v>226</v>
      </c>
      <c r="D129" s="50" t="s">
        <v>276</v>
      </c>
      <c r="E129" s="51">
        <v>11757.585499999999</v>
      </c>
      <c r="F129" s="51">
        <v>11757.585499999999</v>
      </c>
      <c r="G129" s="51">
        <v>57824115.480599992</v>
      </c>
      <c r="H129" s="52">
        <v>2.0333359883290686E-4</v>
      </c>
      <c r="I129" s="53">
        <v>2.4400031859948823E-3</v>
      </c>
    </row>
    <row r="130" spans="1:9" x14ac:dyDescent="0.25">
      <c r="A130" s="42" t="s">
        <v>204</v>
      </c>
      <c r="B130" s="43" t="s">
        <v>89</v>
      </c>
      <c r="C130" s="43" t="s">
        <v>152</v>
      </c>
      <c r="D130" s="44" t="s">
        <v>276</v>
      </c>
      <c r="E130" s="45">
        <v>2849.1605</v>
      </c>
      <c r="F130" s="45">
        <v>2849.1605</v>
      </c>
      <c r="G130" s="45">
        <v>5782473.1169999996</v>
      </c>
      <c r="H130" s="46">
        <v>4.9272351852768675E-4</v>
      </c>
      <c r="I130" s="47">
        <v>5.912682222332241E-3</v>
      </c>
    </row>
    <row r="131" spans="1:9" x14ac:dyDescent="0.25">
      <c r="A131" s="48" t="s">
        <v>116</v>
      </c>
      <c r="B131" s="49" t="s">
        <v>117</v>
      </c>
      <c r="C131" s="49" t="s">
        <v>143</v>
      </c>
      <c r="D131" s="50" t="s">
        <v>276</v>
      </c>
      <c r="E131" s="51">
        <v>73127.104000000007</v>
      </c>
      <c r="F131" s="51">
        <v>73127.104000000007</v>
      </c>
      <c r="G131" s="51">
        <v>72243573.271400005</v>
      </c>
      <c r="H131" s="52">
        <v>1.012229886875623E-3</v>
      </c>
      <c r="I131" s="53">
        <v>1.2146758642507475E-2</v>
      </c>
    </row>
    <row r="132" spans="1:9" x14ac:dyDescent="0.25">
      <c r="A132" s="42" t="s">
        <v>112</v>
      </c>
      <c r="B132" s="43" t="s">
        <v>113</v>
      </c>
      <c r="C132" s="43" t="s">
        <v>81</v>
      </c>
      <c r="D132" s="44" t="s">
        <v>276</v>
      </c>
      <c r="E132" s="45">
        <v>124289.8701</v>
      </c>
      <c r="F132" s="45">
        <v>124289.8701</v>
      </c>
      <c r="G132" s="45">
        <v>63795750.004799999</v>
      </c>
      <c r="H132" s="46">
        <v>1.9482468673955305E-3</v>
      </c>
      <c r="I132" s="47">
        <v>2.3378962408746366E-2</v>
      </c>
    </row>
    <row r="133" spans="1:9" x14ac:dyDescent="0.25">
      <c r="A133" s="48" t="s">
        <v>122</v>
      </c>
      <c r="B133" s="49" t="s">
        <v>123</v>
      </c>
      <c r="C133" s="49" t="s">
        <v>152</v>
      </c>
      <c r="D133" s="50" t="s">
        <v>276</v>
      </c>
      <c r="E133" s="51">
        <v>47307.1394</v>
      </c>
      <c r="F133" s="51">
        <v>47307.1394</v>
      </c>
      <c r="G133" s="51">
        <v>92060720.482500002</v>
      </c>
      <c r="H133" s="52">
        <v>5.1386888080017477E-4</v>
      </c>
      <c r="I133" s="53">
        <v>6.1664265696020973E-3</v>
      </c>
    </row>
    <row r="134" spans="1:9" x14ac:dyDescent="0.25">
      <c r="A134" s="42" t="s">
        <v>193</v>
      </c>
      <c r="B134" s="43" t="s">
        <v>232</v>
      </c>
      <c r="C134" s="43" t="s">
        <v>230</v>
      </c>
      <c r="D134" s="44" t="s">
        <v>276</v>
      </c>
      <c r="E134" s="45">
        <v>7444.6680999999999</v>
      </c>
      <c r="F134" s="45">
        <v>7444.6680999999999</v>
      </c>
      <c r="G134" s="45">
        <v>33946394.160099998</v>
      </c>
      <c r="H134" s="46">
        <v>2.1930659453516668E-4</v>
      </c>
      <c r="I134" s="47">
        <v>2.6316791344220001E-3</v>
      </c>
    </row>
    <row r="135" spans="1:9" x14ac:dyDescent="0.25">
      <c r="A135" s="48" t="s">
        <v>203</v>
      </c>
      <c r="B135" s="49" t="s">
        <v>156</v>
      </c>
      <c r="C135" s="49" t="s">
        <v>152</v>
      </c>
      <c r="D135" s="50" t="s">
        <v>276</v>
      </c>
      <c r="E135" s="51">
        <v>2216.4938000000002</v>
      </c>
      <c r="F135" s="51">
        <v>2216.4938000000002</v>
      </c>
      <c r="G135" s="51">
        <v>6798863.3451000005</v>
      </c>
      <c r="H135" s="52">
        <v>3.2600946474346283E-4</v>
      </c>
      <c r="I135" s="53">
        <v>3.912113576921554E-3</v>
      </c>
    </row>
    <row r="136" spans="1:9" x14ac:dyDescent="0.25">
      <c r="A136" s="42" t="s">
        <v>197</v>
      </c>
      <c r="B136" s="43" t="s">
        <v>272</v>
      </c>
      <c r="C136" s="43" t="s">
        <v>67</v>
      </c>
      <c r="D136" s="44" t="s">
        <v>276</v>
      </c>
      <c r="E136" s="45">
        <v>2222.0457999999999</v>
      </c>
      <c r="F136" s="45">
        <v>2222.0457999999999</v>
      </c>
      <c r="G136" s="45">
        <v>24086784.004000001</v>
      </c>
      <c r="H136" s="46">
        <v>9.2251659649996988E-5</v>
      </c>
      <c r="I136" s="47">
        <v>1.107019915799964E-3</v>
      </c>
    </row>
    <row r="137" spans="1:9" x14ac:dyDescent="0.25">
      <c r="A137" s="48" t="s">
        <v>59</v>
      </c>
      <c r="B137" s="49" t="s">
        <v>60</v>
      </c>
      <c r="C137" s="49" t="s">
        <v>143</v>
      </c>
      <c r="D137" s="50" t="s">
        <v>276</v>
      </c>
      <c r="E137" s="51">
        <v>12701.8904</v>
      </c>
      <c r="F137" s="51">
        <v>12701.8904</v>
      </c>
      <c r="G137" s="51">
        <v>42927935.978200004</v>
      </c>
      <c r="H137" s="52">
        <v>2.9588868205660695E-4</v>
      </c>
      <c r="I137" s="53">
        <v>3.5506641846792834E-3</v>
      </c>
    </row>
    <row r="138" spans="1:9" x14ac:dyDescent="0.25">
      <c r="A138" s="42" t="s">
        <v>198</v>
      </c>
      <c r="B138" s="43" t="s">
        <v>242</v>
      </c>
      <c r="C138" s="43" t="s">
        <v>226</v>
      </c>
      <c r="D138" s="44" t="s">
        <v>276</v>
      </c>
      <c r="E138" s="45">
        <v>3934.6493999999998</v>
      </c>
      <c r="F138" s="45">
        <v>3934.6493999999998</v>
      </c>
      <c r="G138" s="45">
        <v>30549130.6415</v>
      </c>
      <c r="H138" s="46">
        <v>1.2879742622380575E-4</v>
      </c>
      <c r="I138" s="47">
        <v>1.5455691146856691E-3</v>
      </c>
    </row>
    <row r="139" spans="1:9" x14ac:dyDescent="0.25">
      <c r="A139" s="48" t="s">
        <v>202</v>
      </c>
      <c r="B139" s="49" t="s">
        <v>273</v>
      </c>
      <c r="C139" s="49" t="s">
        <v>143</v>
      </c>
      <c r="D139" s="50" t="s">
        <v>276</v>
      </c>
      <c r="E139" s="51">
        <v>285.47219999999999</v>
      </c>
      <c r="F139" s="51">
        <v>285.47219999999999</v>
      </c>
      <c r="G139" s="51">
        <v>1454120.89</v>
      </c>
      <c r="H139" s="52">
        <v>1.9631944081348009E-4</v>
      </c>
      <c r="I139" s="53">
        <v>2.3558332897617613E-3</v>
      </c>
    </row>
    <row r="140" spans="1:9" x14ac:dyDescent="0.25">
      <c r="A140" s="42" t="s">
        <v>70</v>
      </c>
      <c r="B140" s="43" t="s">
        <v>71</v>
      </c>
      <c r="C140" s="43" t="s">
        <v>152</v>
      </c>
      <c r="D140" s="44" t="s">
        <v>276</v>
      </c>
      <c r="E140" s="45">
        <v>19006.513999999999</v>
      </c>
      <c r="F140" s="45">
        <v>19006.513999999999</v>
      </c>
      <c r="G140" s="45">
        <v>15897119.736200001</v>
      </c>
      <c r="H140" s="46">
        <v>1.1955948194011187E-3</v>
      </c>
      <c r="I140" s="47">
        <v>1.4347137832813425E-2</v>
      </c>
    </row>
    <row r="141" spans="1:9" x14ac:dyDescent="0.25">
      <c r="A141" s="48" t="s">
        <v>192</v>
      </c>
      <c r="B141" s="49" t="s">
        <v>243</v>
      </c>
      <c r="C141" s="49" t="s">
        <v>230</v>
      </c>
      <c r="D141" s="50" t="s">
        <v>276</v>
      </c>
      <c r="E141" s="51">
        <v>12408.340200000001</v>
      </c>
      <c r="F141" s="51">
        <v>12408.340200000001</v>
      </c>
      <c r="G141" s="51">
        <v>72778771.181799993</v>
      </c>
      <c r="H141" s="52">
        <v>1.7049395034445143E-4</v>
      </c>
      <c r="I141" s="53">
        <v>2.0459274041334172E-3</v>
      </c>
    </row>
    <row r="142" spans="1:9" x14ac:dyDescent="0.25">
      <c r="A142" s="42" t="s">
        <v>72</v>
      </c>
      <c r="B142" s="43" t="s">
        <v>73</v>
      </c>
      <c r="C142" s="43" t="s">
        <v>67</v>
      </c>
      <c r="D142" s="44" t="s">
        <v>276</v>
      </c>
      <c r="E142" s="45">
        <v>66418.720199999996</v>
      </c>
      <c r="F142" s="45">
        <v>66418.720199999996</v>
      </c>
      <c r="G142" s="45">
        <v>153690302.68529999</v>
      </c>
      <c r="H142" s="46">
        <v>4.3215947291092656E-4</v>
      </c>
      <c r="I142" s="47">
        <v>5.1859136749311183E-3</v>
      </c>
    </row>
    <row r="143" spans="1:9" x14ac:dyDescent="0.25">
      <c r="A143" s="48" t="s">
        <v>133</v>
      </c>
      <c r="B143" s="49" t="s">
        <v>134</v>
      </c>
      <c r="C143" s="49" t="s">
        <v>241</v>
      </c>
      <c r="D143" s="50" t="s">
        <v>276</v>
      </c>
      <c r="E143" s="51">
        <v>1401.8405</v>
      </c>
      <c r="F143" s="51">
        <v>1401.8405</v>
      </c>
      <c r="G143" s="51">
        <v>5212981.5769999996</v>
      </c>
      <c r="H143" s="52">
        <v>2.6891338081550258E-4</v>
      </c>
      <c r="I143" s="53">
        <v>3.2269605697860309E-3</v>
      </c>
    </row>
    <row r="144" spans="1:9" x14ac:dyDescent="0.25">
      <c r="A144" s="42" t="s">
        <v>188</v>
      </c>
      <c r="B144" s="43" t="s">
        <v>233</v>
      </c>
      <c r="C144" s="43" t="s">
        <v>226</v>
      </c>
      <c r="D144" s="44" t="s">
        <v>276</v>
      </c>
      <c r="E144" s="45">
        <v>5241.7448999999997</v>
      </c>
      <c r="F144" s="45">
        <v>5241.7448999999997</v>
      </c>
      <c r="G144" s="45">
        <v>42604716.362400003</v>
      </c>
      <c r="H144" s="46">
        <v>1.2303203371695259E-4</v>
      </c>
      <c r="I144" s="47">
        <v>1.4763844046034311E-3</v>
      </c>
    </row>
    <row r="145" spans="1:9" x14ac:dyDescent="0.25">
      <c r="A145" s="48" t="s">
        <v>118</v>
      </c>
      <c r="B145" s="49" t="s">
        <v>119</v>
      </c>
      <c r="C145" s="49" t="s">
        <v>143</v>
      </c>
      <c r="D145" s="50" t="s">
        <v>276</v>
      </c>
      <c r="E145" s="51">
        <v>12534.5728</v>
      </c>
      <c r="F145" s="51">
        <v>12534.5728</v>
      </c>
      <c r="G145" s="51">
        <v>37915234.644000001</v>
      </c>
      <c r="H145" s="52">
        <v>3.3059462555597207E-4</v>
      </c>
      <c r="I145" s="53">
        <v>3.9671355066716648E-3</v>
      </c>
    </row>
    <row r="146" spans="1:9" x14ac:dyDescent="0.25">
      <c r="A146" s="42" t="s">
        <v>194</v>
      </c>
      <c r="B146" s="43" t="s">
        <v>246</v>
      </c>
      <c r="C146" s="43" t="s">
        <v>230</v>
      </c>
      <c r="D146" s="44" t="s">
        <v>276</v>
      </c>
      <c r="E146" s="45">
        <v>24796.1806</v>
      </c>
      <c r="F146" s="45">
        <v>24796.1806</v>
      </c>
      <c r="G146" s="45">
        <v>63982176.577299997</v>
      </c>
      <c r="H146" s="46">
        <v>3.875482505669766E-4</v>
      </c>
      <c r="I146" s="47">
        <v>4.6505790068037192E-3</v>
      </c>
    </row>
    <row r="147" spans="1:9" x14ac:dyDescent="0.25">
      <c r="A147" s="48" t="s">
        <v>57</v>
      </c>
      <c r="B147" s="49" t="s">
        <v>58</v>
      </c>
      <c r="C147" s="49" t="s">
        <v>230</v>
      </c>
      <c r="D147" s="50" t="s">
        <v>276</v>
      </c>
      <c r="E147" s="51">
        <v>6172.7683999999999</v>
      </c>
      <c r="F147" s="51">
        <v>6172.7683999999999</v>
      </c>
      <c r="G147" s="51">
        <v>9676339.2653999999</v>
      </c>
      <c r="H147" s="52">
        <v>6.3792393287326831E-4</v>
      </c>
      <c r="I147" s="53">
        <v>7.6550871944792197E-3</v>
      </c>
    </row>
    <row r="148" spans="1:9" x14ac:dyDescent="0.25">
      <c r="A148" s="42" t="s">
        <v>157</v>
      </c>
      <c r="B148" s="43" t="s">
        <v>158</v>
      </c>
      <c r="C148" s="43" t="s">
        <v>152</v>
      </c>
      <c r="D148" s="44" t="s">
        <v>276</v>
      </c>
      <c r="E148" s="45">
        <v>1307.7088000000001</v>
      </c>
      <c r="F148" s="45">
        <v>1307.7088000000001</v>
      </c>
      <c r="G148" s="45">
        <v>5666950.0492000002</v>
      </c>
      <c r="H148" s="46">
        <v>2.307606011428685E-4</v>
      </c>
      <c r="I148" s="47">
        <v>2.7691272137144217E-3</v>
      </c>
    </row>
    <row r="149" spans="1:9" x14ac:dyDescent="0.25">
      <c r="A149" s="48" t="s">
        <v>74</v>
      </c>
      <c r="B149" s="49" t="s">
        <v>75</v>
      </c>
      <c r="C149" s="49" t="s">
        <v>67</v>
      </c>
      <c r="D149" s="50" t="s">
        <v>276</v>
      </c>
      <c r="E149" s="51">
        <v>987.99950000000001</v>
      </c>
      <c r="F149" s="51">
        <v>987.99950000000001</v>
      </c>
      <c r="G149" s="51">
        <v>40584960.911899999</v>
      </c>
      <c r="H149" s="52">
        <v>2.4343980573116846E-5</v>
      </c>
      <c r="I149" s="53">
        <v>2.9212776687740217E-4</v>
      </c>
    </row>
    <row r="150" spans="1:9" x14ac:dyDescent="0.25">
      <c r="A150" s="42" t="s">
        <v>96</v>
      </c>
      <c r="B150" s="43" t="s">
        <v>97</v>
      </c>
      <c r="C150" s="43" t="s">
        <v>81</v>
      </c>
      <c r="D150" s="44" t="s">
        <v>276</v>
      </c>
      <c r="E150" s="45">
        <v>11870.072099999999</v>
      </c>
      <c r="F150" s="45">
        <v>11870.072099999999</v>
      </c>
      <c r="G150" s="45">
        <v>19509552.746300001</v>
      </c>
      <c r="H150" s="46">
        <v>6.0842358891344478E-4</v>
      </c>
      <c r="I150" s="47">
        <v>7.3010830669613374E-3</v>
      </c>
    </row>
    <row r="151" spans="1:9" x14ac:dyDescent="0.25">
      <c r="A151" s="48" t="s">
        <v>196</v>
      </c>
      <c r="B151" s="49" t="s">
        <v>245</v>
      </c>
      <c r="C151" s="49" t="s">
        <v>143</v>
      </c>
      <c r="D151" s="50" t="s">
        <v>276</v>
      </c>
      <c r="E151" s="51">
        <v>1.3816999999999999</v>
      </c>
      <c r="F151" s="51">
        <v>1.3816999999999999</v>
      </c>
      <c r="G151" s="51">
        <v>12799.8069</v>
      </c>
      <c r="H151" s="52">
        <v>1.0794694098080494E-4</v>
      </c>
      <c r="I151" s="53">
        <v>1.2953632917696593E-3</v>
      </c>
    </row>
    <row r="152" spans="1:9" x14ac:dyDescent="0.25">
      <c r="A152" s="42" t="s">
        <v>100</v>
      </c>
      <c r="B152" s="43" t="s">
        <v>100</v>
      </c>
      <c r="C152" s="43" t="s">
        <v>152</v>
      </c>
      <c r="D152" s="54" t="s">
        <v>277</v>
      </c>
      <c r="E152" s="45">
        <v>1425.1038000000001</v>
      </c>
      <c r="F152" s="45">
        <v>1425.1038000000001</v>
      </c>
      <c r="G152" s="45">
        <v>561211.81200000003</v>
      </c>
      <c r="H152" s="46">
        <v>2.5393332241553036E-3</v>
      </c>
      <c r="I152" s="47">
        <v>3.0471998689863646E-2</v>
      </c>
    </row>
    <row r="153" spans="1:9" x14ac:dyDescent="0.25">
      <c r="A153" s="48" t="s">
        <v>190</v>
      </c>
      <c r="B153" s="49" t="s">
        <v>234</v>
      </c>
      <c r="C153" s="49" t="s">
        <v>143</v>
      </c>
      <c r="D153" s="55" t="s">
        <v>277</v>
      </c>
      <c r="E153" s="51">
        <v>1151.8307</v>
      </c>
      <c r="F153" s="51">
        <v>1151.8307</v>
      </c>
      <c r="G153" s="51">
        <v>8363767.7589999996</v>
      </c>
      <c r="H153" s="52">
        <v>1.3771672447032612E-4</v>
      </c>
      <c r="I153" s="53">
        <v>1.6526006936439133E-3</v>
      </c>
    </row>
    <row r="154" spans="1:9" x14ac:dyDescent="0.25">
      <c r="A154" s="42" t="s">
        <v>65</v>
      </c>
      <c r="B154" s="43" t="s">
        <v>66</v>
      </c>
      <c r="C154" s="43" t="s">
        <v>67</v>
      </c>
      <c r="D154" s="54" t="s">
        <v>277</v>
      </c>
      <c r="E154" s="45">
        <v>40824.143300000003</v>
      </c>
      <c r="F154" s="45">
        <v>40824.143300000003</v>
      </c>
      <c r="G154" s="45">
        <v>212869556.84369999</v>
      </c>
      <c r="H154" s="46">
        <v>1.917800924909861E-4</v>
      </c>
      <c r="I154" s="47">
        <v>2.3013611098918331E-3</v>
      </c>
    </row>
    <row r="155" spans="1:9" x14ac:dyDescent="0.25">
      <c r="A155" s="48" t="s">
        <v>131</v>
      </c>
      <c r="B155" s="49" t="s">
        <v>132</v>
      </c>
      <c r="C155" s="49" t="s">
        <v>67</v>
      </c>
      <c r="D155" s="55" t="s">
        <v>277</v>
      </c>
      <c r="E155" s="51">
        <v>72696.982900000003</v>
      </c>
      <c r="F155" s="51">
        <v>72696.982900000003</v>
      </c>
      <c r="G155" s="51">
        <v>36998507.127400003</v>
      </c>
      <c r="H155" s="52">
        <v>1.9648625997172402E-3</v>
      </c>
      <c r="I155" s="53">
        <v>2.3578351196606881E-2</v>
      </c>
    </row>
    <row r="156" spans="1:9" x14ac:dyDescent="0.25">
      <c r="A156" s="42" t="s">
        <v>82</v>
      </c>
      <c r="B156" s="43" t="s">
        <v>83</v>
      </c>
      <c r="C156" s="43" t="s">
        <v>230</v>
      </c>
      <c r="D156" s="54" t="s">
        <v>277</v>
      </c>
      <c r="E156" s="45">
        <v>29378.158100000001</v>
      </c>
      <c r="F156" s="45">
        <v>29378.158100000001</v>
      </c>
      <c r="G156" s="45">
        <v>50517593.774800003</v>
      </c>
      <c r="H156" s="46">
        <v>5.8154310023085238E-4</v>
      </c>
      <c r="I156" s="47">
        <v>6.9785172027702286E-3</v>
      </c>
    </row>
    <row r="157" spans="1:9" x14ac:dyDescent="0.25">
      <c r="A157" s="48" t="s">
        <v>68</v>
      </c>
      <c r="B157" s="49" t="s">
        <v>69</v>
      </c>
      <c r="C157" s="49" t="s">
        <v>143</v>
      </c>
      <c r="D157" s="55" t="s">
        <v>277</v>
      </c>
      <c r="E157" s="51">
        <v>18953.0681</v>
      </c>
      <c r="F157" s="51">
        <v>18953.0681</v>
      </c>
      <c r="G157" s="51">
        <v>58643032.857300006</v>
      </c>
      <c r="H157" s="52">
        <v>3.2319385912593852E-4</v>
      </c>
      <c r="I157" s="53">
        <v>3.8783263095112622E-3</v>
      </c>
    </row>
    <row r="158" spans="1:9" x14ac:dyDescent="0.25">
      <c r="A158" s="42" t="s">
        <v>79</v>
      </c>
      <c r="B158" s="43" t="s">
        <v>80</v>
      </c>
      <c r="C158" s="43" t="s">
        <v>81</v>
      </c>
      <c r="D158" s="54" t="s">
        <v>277</v>
      </c>
      <c r="E158" s="45">
        <v>52667.958400000003</v>
      </c>
      <c r="F158" s="45">
        <v>52667.958400000003</v>
      </c>
      <c r="G158" s="45">
        <v>9821291.4871999994</v>
      </c>
      <c r="H158" s="46">
        <v>5.3626306141755066E-3</v>
      </c>
      <c r="I158" s="47">
        <v>6.4351567370106083E-2</v>
      </c>
    </row>
    <row r="159" spans="1:9" x14ac:dyDescent="0.25">
      <c r="A159" s="48" t="s">
        <v>114</v>
      </c>
      <c r="B159" s="49" t="s">
        <v>115</v>
      </c>
      <c r="C159" s="49" t="s">
        <v>81</v>
      </c>
      <c r="D159" s="55" t="s">
        <v>277</v>
      </c>
      <c r="E159" s="51">
        <v>15495.154200000001</v>
      </c>
      <c r="F159" s="51">
        <v>15495.154200000001</v>
      </c>
      <c r="G159" s="51">
        <v>57397008.122199997</v>
      </c>
      <c r="H159" s="52">
        <v>2.6996449304483503E-4</v>
      </c>
      <c r="I159" s="53">
        <v>3.2395739165380203E-3</v>
      </c>
    </row>
    <row r="160" spans="1:9" x14ac:dyDescent="0.25">
      <c r="A160" s="42" t="s">
        <v>146</v>
      </c>
      <c r="B160" s="43" t="s">
        <v>147</v>
      </c>
      <c r="C160" s="43" t="s">
        <v>226</v>
      </c>
      <c r="D160" s="54" t="s">
        <v>277</v>
      </c>
      <c r="E160" s="45">
        <v>944.19309999999996</v>
      </c>
      <c r="F160" s="45">
        <v>944.19309999999996</v>
      </c>
      <c r="G160" s="45">
        <v>14553024.655499998</v>
      </c>
      <c r="H160" s="46">
        <v>6.487950940447028E-5</v>
      </c>
      <c r="I160" s="47">
        <v>7.7855411285364341E-4</v>
      </c>
    </row>
    <row r="161" spans="1:9" x14ac:dyDescent="0.25">
      <c r="A161" s="48" t="s">
        <v>90</v>
      </c>
      <c r="B161" s="49" t="s">
        <v>91</v>
      </c>
      <c r="C161" s="49" t="s">
        <v>81</v>
      </c>
      <c r="D161" s="55" t="s">
        <v>277</v>
      </c>
      <c r="E161" s="51">
        <v>38221.309699999998</v>
      </c>
      <c r="F161" s="51">
        <v>38221.309699999998</v>
      </c>
      <c r="G161" s="51">
        <v>85850238.951700002</v>
      </c>
      <c r="H161" s="52">
        <v>4.4520912424604429E-4</v>
      </c>
      <c r="I161" s="53">
        <v>5.3425094909525317E-3</v>
      </c>
    </row>
    <row r="162" spans="1:9" x14ac:dyDescent="0.25">
      <c r="A162" s="42" t="s">
        <v>98</v>
      </c>
      <c r="B162" s="43" t="s">
        <v>99</v>
      </c>
      <c r="C162" s="43" t="s">
        <v>81</v>
      </c>
      <c r="D162" s="54" t="s">
        <v>277</v>
      </c>
      <c r="E162" s="45">
        <v>-469.36590000000001</v>
      </c>
      <c r="F162" s="45">
        <v>-469.36590000000001</v>
      </c>
      <c r="G162" s="45">
        <v>14523513.98</v>
      </c>
      <c r="H162" s="46">
        <v>-3.2317654022735345E-5</v>
      </c>
      <c r="I162" s="47">
        <v>-3.8781184827282411E-4</v>
      </c>
    </row>
    <row r="163" spans="1:9" x14ac:dyDescent="0.25">
      <c r="A163" s="48" t="s">
        <v>120</v>
      </c>
      <c r="B163" s="49" t="s">
        <v>268</v>
      </c>
      <c r="C163" s="49" t="s">
        <v>143</v>
      </c>
      <c r="D163" s="55" t="s">
        <v>277</v>
      </c>
      <c r="E163" s="51">
        <v>127119.9584</v>
      </c>
      <c r="F163" s="51">
        <v>127119.9584</v>
      </c>
      <c r="G163" s="51">
        <v>48226190.885499999</v>
      </c>
      <c r="H163" s="52">
        <v>2.6359112354905211E-3</v>
      </c>
      <c r="I163" s="53">
        <v>3.1630934825886255E-2</v>
      </c>
    </row>
    <row r="164" spans="1:9" x14ac:dyDescent="0.25">
      <c r="A164" s="42" t="s">
        <v>106</v>
      </c>
      <c r="B164" s="43" t="s">
        <v>107</v>
      </c>
      <c r="C164" s="43" t="s">
        <v>143</v>
      </c>
      <c r="D164" s="54" t="s">
        <v>277</v>
      </c>
      <c r="E164" s="45">
        <v>93542.861600000004</v>
      </c>
      <c r="F164" s="45">
        <v>93542.861600000004</v>
      </c>
      <c r="G164" s="45">
        <v>72954871.071899995</v>
      </c>
      <c r="H164" s="46">
        <v>1.2822017258835219E-3</v>
      </c>
      <c r="I164" s="47">
        <v>1.5386420710602262E-2</v>
      </c>
    </row>
    <row r="165" spans="1:9" x14ac:dyDescent="0.25">
      <c r="A165" s="48" t="s">
        <v>206</v>
      </c>
      <c r="B165" s="49" t="s">
        <v>251</v>
      </c>
      <c r="C165" s="49" t="s">
        <v>230</v>
      </c>
      <c r="D165" s="55" t="s">
        <v>277</v>
      </c>
      <c r="E165" s="51">
        <v>768.62840000000006</v>
      </c>
      <c r="F165" s="51">
        <v>768.62840000000006</v>
      </c>
      <c r="G165" s="51">
        <v>5099667.57</v>
      </c>
      <c r="H165" s="52">
        <v>1.5072127534775762E-4</v>
      </c>
      <c r="I165" s="53">
        <v>1.8086553041730914E-3</v>
      </c>
    </row>
    <row r="166" spans="1:9" x14ac:dyDescent="0.25">
      <c r="A166" s="42" t="s">
        <v>54</v>
      </c>
      <c r="B166" s="43" t="s">
        <v>55</v>
      </c>
      <c r="C166" s="43" t="s">
        <v>143</v>
      </c>
      <c r="D166" s="54" t="s">
        <v>277</v>
      </c>
      <c r="E166" s="45">
        <v>11978.5273</v>
      </c>
      <c r="F166" s="45">
        <v>11978.5273</v>
      </c>
      <c r="G166" s="45">
        <v>56563764.080799997</v>
      </c>
      <c r="H166" s="46">
        <v>2.1177033556127835E-4</v>
      </c>
      <c r="I166" s="47">
        <v>2.5412440267353403E-3</v>
      </c>
    </row>
    <row r="167" spans="1:9" x14ac:dyDescent="0.25">
      <c r="A167" s="48" t="s">
        <v>183</v>
      </c>
      <c r="B167" s="49" t="s">
        <v>231</v>
      </c>
      <c r="C167" s="49" t="s">
        <v>230</v>
      </c>
      <c r="D167" s="55" t="s">
        <v>277</v>
      </c>
      <c r="E167" s="51">
        <v>11271.967199999999</v>
      </c>
      <c r="F167" s="51">
        <v>11271.967199999999</v>
      </c>
      <c r="G167" s="51">
        <v>21908528.426100001</v>
      </c>
      <c r="H167" s="52">
        <v>5.1450133850941418E-4</v>
      </c>
      <c r="I167" s="53">
        <v>6.1740160621129702E-3</v>
      </c>
    </row>
    <row r="168" spans="1:9" x14ac:dyDescent="0.25">
      <c r="A168" s="42" t="s">
        <v>94</v>
      </c>
      <c r="B168" s="43" t="s">
        <v>95</v>
      </c>
      <c r="C168" s="43" t="s">
        <v>152</v>
      </c>
      <c r="D168" s="54" t="s">
        <v>277</v>
      </c>
      <c r="E168" s="45">
        <v>69891.283800000005</v>
      </c>
      <c r="F168" s="45">
        <v>69891.283800000005</v>
      </c>
      <c r="G168" s="45">
        <v>56675451.067199998</v>
      </c>
      <c r="H168" s="46">
        <v>1.2331844296595014E-3</v>
      </c>
      <c r="I168" s="47">
        <v>1.4798213155914015E-2</v>
      </c>
    </row>
    <row r="169" spans="1:9" x14ac:dyDescent="0.25">
      <c r="A169" s="48" t="s">
        <v>170</v>
      </c>
      <c r="B169" s="49" t="s">
        <v>171</v>
      </c>
      <c r="C169" s="49" t="s">
        <v>81</v>
      </c>
      <c r="D169" s="55" t="s">
        <v>277</v>
      </c>
      <c r="E169" s="51">
        <v>6808.3265000000001</v>
      </c>
      <c r="F169" s="51">
        <v>6808.3265000000001</v>
      </c>
      <c r="G169" s="51">
        <v>1999433.6543000001</v>
      </c>
      <c r="H169" s="52">
        <v>3.4051274896558592E-3</v>
      </c>
      <c r="I169" s="53">
        <v>4.0861529875870314E-2</v>
      </c>
    </row>
    <row r="170" spans="1:9" x14ac:dyDescent="0.25">
      <c r="A170" s="42" t="s">
        <v>205</v>
      </c>
      <c r="B170" s="43" t="s">
        <v>250</v>
      </c>
      <c r="C170" s="43" t="s">
        <v>152</v>
      </c>
      <c r="D170" s="54" t="s">
        <v>277</v>
      </c>
      <c r="E170" s="45">
        <v>2243.4703</v>
      </c>
      <c r="F170" s="45">
        <v>2243.4703</v>
      </c>
      <c r="G170" s="45">
        <v>5853115.9162999997</v>
      </c>
      <c r="H170" s="46">
        <v>3.832950401259423E-4</v>
      </c>
      <c r="I170" s="47">
        <v>4.5995404815113074E-3</v>
      </c>
    </row>
    <row r="171" spans="1:9" x14ac:dyDescent="0.25">
      <c r="A171" s="48" t="s">
        <v>269</v>
      </c>
      <c r="B171" s="49" t="s">
        <v>270</v>
      </c>
      <c r="C171" s="49" t="s">
        <v>81</v>
      </c>
      <c r="D171" s="55" t="s">
        <v>277</v>
      </c>
      <c r="E171" s="51">
        <v>34427.535600000003</v>
      </c>
      <c r="F171" s="51">
        <v>34427.535600000003</v>
      </c>
      <c r="G171" s="51">
        <v>27499954.184999999</v>
      </c>
      <c r="H171" s="52">
        <v>1.2519124711407226E-3</v>
      </c>
      <c r="I171" s="53">
        <v>1.502294965368867E-2</v>
      </c>
    </row>
    <row r="172" spans="1:9" x14ac:dyDescent="0.25">
      <c r="A172" s="42" t="s">
        <v>148</v>
      </c>
      <c r="B172" s="43" t="s">
        <v>149</v>
      </c>
      <c r="C172" s="43" t="s">
        <v>226</v>
      </c>
      <c r="D172" s="54" t="s">
        <v>277</v>
      </c>
      <c r="E172" s="45">
        <v>1838.5413000000001</v>
      </c>
      <c r="F172" s="45">
        <v>1838.5413000000001</v>
      </c>
      <c r="G172" s="45">
        <v>5560498.2411000002</v>
      </c>
      <c r="H172" s="46">
        <v>3.3064326617542321E-4</v>
      </c>
      <c r="I172" s="47">
        <v>3.967719194105079E-3</v>
      </c>
    </row>
    <row r="173" spans="1:9" x14ac:dyDescent="0.25">
      <c r="A173" s="48" t="s">
        <v>102</v>
      </c>
      <c r="B173" s="49" t="s">
        <v>271</v>
      </c>
      <c r="C173" s="49" t="s">
        <v>152</v>
      </c>
      <c r="D173" s="55" t="s">
        <v>277</v>
      </c>
      <c r="E173" s="51">
        <v>7584.4727999999996</v>
      </c>
      <c r="F173" s="51">
        <v>7584.4727999999996</v>
      </c>
      <c r="G173" s="51">
        <v>20407632.763599999</v>
      </c>
      <c r="H173" s="52">
        <v>3.7164882805653076E-4</v>
      </c>
      <c r="I173" s="53">
        <v>4.4597859366783694E-3</v>
      </c>
    </row>
    <row r="174" spans="1:9" x14ac:dyDescent="0.25">
      <c r="A174" s="42" t="s">
        <v>86</v>
      </c>
      <c r="B174" s="43" t="s">
        <v>87</v>
      </c>
      <c r="C174" s="43" t="s">
        <v>152</v>
      </c>
      <c r="D174" s="54" t="s">
        <v>277</v>
      </c>
      <c r="E174" s="45">
        <v>69544.833599999998</v>
      </c>
      <c r="F174" s="45">
        <v>69544.833599999998</v>
      </c>
      <c r="G174" s="45">
        <v>100143298.9535</v>
      </c>
      <c r="H174" s="46">
        <v>6.9445319184354077E-4</v>
      </c>
      <c r="I174" s="47">
        <v>8.3334383021224888E-3</v>
      </c>
    </row>
    <row r="175" spans="1:9" x14ac:dyDescent="0.25">
      <c r="A175" s="48" t="s">
        <v>124</v>
      </c>
      <c r="B175" s="49" t="s">
        <v>125</v>
      </c>
      <c r="C175" s="49" t="s">
        <v>152</v>
      </c>
      <c r="D175" s="55" t="s">
        <v>277</v>
      </c>
      <c r="E175" s="51">
        <v>32248.120500000001</v>
      </c>
      <c r="F175" s="51">
        <v>32248.120500000001</v>
      </c>
      <c r="G175" s="51">
        <v>37058329.402900003</v>
      </c>
      <c r="H175" s="52">
        <v>8.7019898143267133E-4</v>
      </c>
      <c r="I175" s="53">
        <v>1.0442387777192056E-2</v>
      </c>
    </row>
    <row r="176" spans="1:9" x14ac:dyDescent="0.25">
      <c r="A176" s="42" t="s">
        <v>200</v>
      </c>
      <c r="B176" s="43" t="s">
        <v>244</v>
      </c>
      <c r="C176" s="43" t="s">
        <v>230</v>
      </c>
      <c r="D176" s="54" t="s">
        <v>277</v>
      </c>
      <c r="E176" s="45">
        <v>14564.8686</v>
      </c>
      <c r="F176" s="45">
        <v>14564.8686</v>
      </c>
      <c r="G176" s="45">
        <v>16447657.124200001</v>
      </c>
      <c r="H176" s="46">
        <v>8.8552846706478399E-4</v>
      </c>
      <c r="I176" s="47">
        <v>1.0626341604777408E-2</v>
      </c>
    </row>
    <row r="177" spans="1:9" x14ac:dyDescent="0.25">
      <c r="A177" s="48" t="s">
        <v>63</v>
      </c>
      <c r="B177" s="49" t="s">
        <v>64</v>
      </c>
      <c r="C177" s="49" t="s">
        <v>143</v>
      </c>
      <c r="D177" s="55" t="s">
        <v>277</v>
      </c>
      <c r="E177" s="51">
        <v>18774.917700000002</v>
      </c>
      <c r="F177" s="51">
        <v>18774.917700000002</v>
      </c>
      <c r="G177" s="51">
        <v>62759727.166500002</v>
      </c>
      <c r="H177" s="52">
        <v>2.9915550222502736E-4</v>
      </c>
      <c r="I177" s="53">
        <v>3.5898660267003283E-3</v>
      </c>
    </row>
    <row r="178" spans="1:9" x14ac:dyDescent="0.25">
      <c r="A178" s="42" t="s">
        <v>61</v>
      </c>
      <c r="B178" s="43" t="s">
        <v>62</v>
      </c>
      <c r="C178" s="43" t="s">
        <v>226</v>
      </c>
      <c r="D178" s="54" t="s">
        <v>277</v>
      </c>
      <c r="E178" s="45">
        <v>95.578199999999995</v>
      </c>
      <c r="F178" s="45">
        <v>95.578199999999995</v>
      </c>
      <c r="G178" s="45">
        <v>21023912.422600001</v>
      </c>
      <c r="H178" s="46">
        <v>4.5461661977461732E-6</v>
      </c>
      <c r="I178" s="47">
        <v>5.4553994372954079E-5</v>
      </c>
    </row>
    <row r="179" spans="1:9" x14ac:dyDescent="0.25">
      <c r="A179" s="48" t="s">
        <v>76</v>
      </c>
      <c r="B179" s="49" t="s">
        <v>77</v>
      </c>
      <c r="C179" s="49" t="s">
        <v>152</v>
      </c>
      <c r="D179" s="55" t="s">
        <v>277</v>
      </c>
      <c r="E179" s="51">
        <v>22632.796399999999</v>
      </c>
      <c r="F179" s="51">
        <v>22632.796399999999</v>
      </c>
      <c r="G179" s="51">
        <v>29677305.770100001</v>
      </c>
      <c r="H179" s="52">
        <v>7.6262975403928448E-4</v>
      </c>
      <c r="I179" s="53">
        <v>9.1515570484714138E-3</v>
      </c>
    </row>
    <row r="180" spans="1:9" x14ac:dyDescent="0.25">
      <c r="A180" s="42" t="s">
        <v>195</v>
      </c>
      <c r="B180" s="43" t="s">
        <v>225</v>
      </c>
      <c r="C180" s="43" t="s">
        <v>226</v>
      </c>
      <c r="D180" s="54" t="s">
        <v>277</v>
      </c>
      <c r="E180" s="45">
        <v>16196.245000000001</v>
      </c>
      <c r="F180" s="45">
        <v>16196.245000000001</v>
      </c>
      <c r="G180" s="45">
        <v>56555093.505900003</v>
      </c>
      <c r="H180" s="46">
        <v>2.8637995264405952E-4</v>
      </c>
      <c r="I180" s="47">
        <v>3.436559431728714E-3</v>
      </c>
    </row>
    <row r="181" spans="1:9" x14ac:dyDescent="0.25">
      <c r="A181" s="48" t="s">
        <v>204</v>
      </c>
      <c r="B181" s="49" t="s">
        <v>89</v>
      </c>
      <c r="C181" s="49" t="s">
        <v>152</v>
      </c>
      <c r="D181" s="55" t="s">
        <v>277</v>
      </c>
      <c r="E181" s="51">
        <v>5534.5208000000002</v>
      </c>
      <c r="F181" s="51">
        <v>5534.5208000000002</v>
      </c>
      <c r="G181" s="51">
        <v>6693008.1942000007</v>
      </c>
      <c r="H181" s="52">
        <v>8.2691080593567511E-4</v>
      </c>
      <c r="I181" s="53">
        <v>9.9229296712281014E-3</v>
      </c>
    </row>
    <row r="182" spans="1:9" x14ac:dyDescent="0.25">
      <c r="A182" s="42" t="s">
        <v>116</v>
      </c>
      <c r="B182" s="43" t="s">
        <v>117</v>
      </c>
      <c r="C182" s="43" t="s">
        <v>143</v>
      </c>
      <c r="D182" s="54" t="s">
        <v>277</v>
      </c>
      <c r="E182" s="45">
        <v>47461.407399999996</v>
      </c>
      <c r="F182" s="45">
        <v>47461.407399999996</v>
      </c>
      <c r="G182" s="45">
        <v>70719585.469999999</v>
      </c>
      <c r="H182" s="46">
        <v>6.7112111990720905E-4</v>
      </c>
      <c r="I182" s="47">
        <v>8.0534534388865091E-3</v>
      </c>
    </row>
    <row r="183" spans="1:9" x14ac:dyDescent="0.25">
      <c r="A183" s="48" t="s">
        <v>112</v>
      </c>
      <c r="B183" s="49" t="s">
        <v>113</v>
      </c>
      <c r="C183" s="49" t="s">
        <v>81</v>
      </c>
      <c r="D183" s="55" t="s">
        <v>277</v>
      </c>
      <c r="E183" s="51">
        <v>51174.9931</v>
      </c>
      <c r="F183" s="51">
        <v>51174.9931</v>
      </c>
      <c r="G183" s="51">
        <v>66378329.461199999</v>
      </c>
      <c r="H183" s="52">
        <v>7.7095934042620371E-4</v>
      </c>
      <c r="I183" s="53">
        <v>9.2515120851144449E-3</v>
      </c>
    </row>
    <row r="184" spans="1:9" x14ac:dyDescent="0.25">
      <c r="A184" s="42" t="s">
        <v>122</v>
      </c>
      <c r="B184" s="43" t="s">
        <v>123</v>
      </c>
      <c r="C184" s="43" t="s">
        <v>152</v>
      </c>
      <c r="D184" s="54" t="s">
        <v>277</v>
      </c>
      <c r="E184" s="45">
        <v>83489.8171</v>
      </c>
      <c r="F184" s="45">
        <v>83489.8171</v>
      </c>
      <c r="G184" s="45">
        <v>88490607.982700005</v>
      </c>
      <c r="H184" s="46">
        <v>9.434878910123698E-4</v>
      </c>
      <c r="I184" s="47">
        <v>1.1321854692148439E-2</v>
      </c>
    </row>
    <row r="185" spans="1:9" x14ac:dyDescent="0.25">
      <c r="A185" s="48" t="s">
        <v>203</v>
      </c>
      <c r="B185" s="49" t="s">
        <v>156</v>
      </c>
      <c r="C185" s="49" t="s">
        <v>152</v>
      </c>
      <c r="D185" s="55" t="s">
        <v>277</v>
      </c>
      <c r="E185" s="51">
        <v>3736.7442000000001</v>
      </c>
      <c r="F185" s="51">
        <v>3736.7442000000001</v>
      </c>
      <c r="G185" s="51">
        <v>7250915.025799999</v>
      </c>
      <c r="H185" s="52">
        <v>5.1534795080400517E-4</v>
      </c>
      <c r="I185" s="53">
        <v>6.1841754096480621E-3</v>
      </c>
    </row>
    <row r="186" spans="1:9" x14ac:dyDescent="0.25">
      <c r="A186" s="42" t="s">
        <v>197</v>
      </c>
      <c r="B186" s="43" t="s">
        <v>272</v>
      </c>
      <c r="C186" s="43" t="s">
        <v>67</v>
      </c>
      <c r="D186" s="54" t="s">
        <v>277</v>
      </c>
      <c r="E186" s="45">
        <v>5329.7887000000001</v>
      </c>
      <c r="F186" s="45">
        <v>5329.7887000000001</v>
      </c>
      <c r="G186" s="45">
        <v>22848154.154899999</v>
      </c>
      <c r="H186" s="46">
        <v>2.3326999038375177E-4</v>
      </c>
      <c r="I186" s="47">
        <v>2.7992398846050214E-3</v>
      </c>
    </row>
    <row r="187" spans="1:9" x14ac:dyDescent="0.25">
      <c r="A187" s="48" t="s">
        <v>59</v>
      </c>
      <c r="B187" s="49" t="s">
        <v>60</v>
      </c>
      <c r="C187" s="49" t="s">
        <v>143</v>
      </c>
      <c r="D187" s="55" t="s">
        <v>277</v>
      </c>
      <c r="E187" s="51">
        <v>16300.367899999999</v>
      </c>
      <c r="F187" s="51">
        <v>16300.367899999999</v>
      </c>
      <c r="G187" s="51">
        <v>41621077.056100003</v>
      </c>
      <c r="H187" s="52">
        <v>3.9163733985137249E-4</v>
      </c>
      <c r="I187" s="53">
        <v>4.6996480782164696E-3</v>
      </c>
    </row>
    <row r="188" spans="1:9" x14ac:dyDescent="0.25">
      <c r="A188" s="42" t="s">
        <v>198</v>
      </c>
      <c r="B188" s="43" t="s">
        <v>242</v>
      </c>
      <c r="C188" s="43" t="s">
        <v>226</v>
      </c>
      <c r="D188" s="54" t="s">
        <v>277</v>
      </c>
      <c r="E188" s="45">
        <v>5117.4944999999998</v>
      </c>
      <c r="F188" s="45">
        <v>5117.4944999999998</v>
      </c>
      <c r="G188" s="45">
        <v>28029691.861499999</v>
      </c>
      <c r="H188" s="46">
        <v>1.8257405487318614E-4</v>
      </c>
      <c r="I188" s="47">
        <v>2.190888658478234E-3</v>
      </c>
    </row>
    <row r="189" spans="1:9" x14ac:dyDescent="0.25">
      <c r="A189" s="48" t="s">
        <v>202</v>
      </c>
      <c r="B189" s="49" t="s">
        <v>273</v>
      </c>
      <c r="C189" s="49" t="s">
        <v>143</v>
      </c>
      <c r="D189" s="55" t="s">
        <v>277</v>
      </c>
      <c r="E189" s="51">
        <v>303.83960000000002</v>
      </c>
      <c r="F189" s="51">
        <v>303.83960000000002</v>
      </c>
      <c r="G189" s="51">
        <v>1472033.7171</v>
      </c>
      <c r="H189" s="52">
        <v>2.0640804383107705E-4</v>
      </c>
      <c r="I189" s="53">
        <v>2.4768965259729246E-3</v>
      </c>
    </row>
    <row r="190" spans="1:9" x14ac:dyDescent="0.25">
      <c r="A190" s="42" t="s">
        <v>70</v>
      </c>
      <c r="B190" s="43" t="s">
        <v>71</v>
      </c>
      <c r="C190" s="43" t="s">
        <v>152</v>
      </c>
      <c r="D190" s="54" t="s">
        <v>277</v>
      </c>
      <c r="E190" s="45">
        <v>22795.950400000002</v>
      </c>
      <c r="F190" s="45">
        <v>22795.950400000002</v>
      </c>
      <c r="G190" s="45">
        <v>31117973.793499999</v>
      </c>
      <c r="H190" s="46">
        <v>7.3256538331431076E-4</v>
      </c>
      <c r="I190" s="47">
        <v>8.7907845997717282E-3</v>
      </c>
    </row>
    <row r="191" spans="1:9" x14ac:dyDescent="0.25">
      <c r="A191" s="48" t="s">
        <v>72</v>
      </c>
      <c r="B191" s="49" t="s">
        <v>73</v>
      </c>
      <c r="C191" s="49" t="s">
        <v>67</v>
      </c>
      <c r="D191" s="55" t="s">
        <v>277</v>
      </c>
      <c r="E191" s="51">
        <v>58227.548799999997</v>
      </c>
      <c r="F191" s="51">
        <v>58227.548799999997</v>
      </c>
      <c r="G191" s="51">
        <v>159191619.30430001</v>
      </c>
      <c r="H191" s="52">
        <v>3.6577018975286708E-4</v>
      </c>
      <c r="I191" s="53">
        <v>4.3892422770344048E-3</v>
      </c>
    </row>
    <row r="192" spans="1:9" x14ac:dyDescent="0.25">
      <c r="A192" s="42" t="s">
        <v>133</v>
      </c>
      <c r="B192" s="43" t="s">
        <v>134</v>
      </c>
      <c r="C192" s="43" t="s">
        <v>241</v>
      </c>
      <c r="D192" s="54" t="s">
        <v>277</v>
      </c>
      <c r="E192" s="45">
        <v>1444.0881999999999</v>
      </c>
      <c r="F192" s="45">
        <v>1444.0881999999999</v>
      </c>
      <c r="G192" s="45">
        <v>5230635.3638000004</v>
      </c>
      <c r="H192" s="46">
        <v>2.7608275086315434E-4</v>
      </c>
      <c r="I192" s="47">
        <v>3.3129930103578519E-3</v>
      </c>
    </row>
    <row r="193" spans="1:9" x14ac:dyDescent="0.25">
      <c r="A193" s="48" t="s">
        <v>188</v>
      </c>
      <c r="B193" s="49" t="s">
        <v>233</v>
      </c>
      <c r="C193" s="49" t="s">
        <v>226</v>
      </c>
      <c r="D193" s="55" t="s">
        <v>277</v>
      </c>
      <c r="E193" s="51">
        <v>5860.4431999999997</v>
      </c>
      <c r="F193" s="51">
        <v>5860.4431999999997</v>
      </c>
      <c r="G193" s="51">
        <v>40988695.451499999</v>
      </c>
      <c r="H193" s="52">
        <v>1.429770607589692E-4</v>
      </c>
      <c r="I193" s="53">
        <v>1.7157247291076302E-3</v>
      </c>
    </row>
    <row r="194" spans="1:9" x14ac:dyDescent="0.25">
      <c r="A194" s="42" t="s">
        <v>118</v>
      </c>
      <c r="B194" s="43" t="s">
        <v>119</v>
      </c>
      <c r="C194" s="43" t="s">
        <v>143</v>
      </c>
      <c r="D194" s="54" t="s">
        <v>277</v>
      </c>
      <c r="E194" s="45">
        <v>15699.2943</v>
      </c>
      <c r="F194" s="45">
        <v>15699.2943</v>
      </c>
      <c r="G194" s="45">
        <v>40610312.167800002</v>
      </c>
      <c r="H194" s="46">
        <v>3.8658393550710014E-4</v>
      </c>
      <c r="I194" s="47">
        <v>4.6390072260852015E-3</v>
      </c>
    </row>
    <row r="195" spans="1:9" x14ac:dyDescent="0.25">
      <c r="A195" s="48" t="s">
        <v>57</v>
      </c>
      <c r="B195" s="49" t="s">
        <v>58</v>
      </c>
      <c r="C195" s="49" t="s">
        <v>230</v>
      </c>
      <c r="D195" s="55" t="s">
        <v>277</v>
      </c>
      <c r="E195" s="51">
        <v>3205.7894999999999</v>
      </c>
      <c r="F195" s="51">
        <v>3205.7894999999999</v>
      </c>
      <c r="G195" s="51">
        <v>10889596.170600001</v>
      </c>
      <c r="H195" s="52">
        <v>2.9439011784983076E-4</v>
      </c>
      <c r="I195" s="53">
        <v>3.5326814141979691E-3</v>
      </c>
    </row>
    <row r="196" spans="1:9" x14ac:dyDescent="0.25">
      <c r="A196" s="42" t="s">
        <v>157</v>
      </c>
      <c r="B196" s="43" t="s">
        <v>158</v>
      </c>
      <c r="C196" s="43" t="s">
        <v>152</v>
      </c>
      <c r="D196" s="54" t="s">
        <v>277</v>
      </c>
      <c r="E196" s="45">
        <v>2904.0583999999999</v>
      </c>
      <c r="F196" s="45">
        <v>2904.0583999999999</v>
      </c>
      <c r="G196" s="45">
        <v>6405293.4020999996</v>
      </c>
      <c r="H196" s="46">
        <v>4.5338413366792746E-4</v>
      </c>
      <c r="I196" s="47">
        <v>5.4406096040151295E-3</v>
      </c>
    </row>
    <row r="197" spans="1:9" x14ac:dyDescent="0.25">
      <c r="A197" s="48" t="s">
        <v>74</v>
      </c>
      <c r="B197" s="49" t="s">
        <v>75</v>
      </c>
      <c r="C197" s="49" t="s">
        <v>67</v>
      </c>
      <c r="D197" s="55" t="s">
        <v>277</v>
      </c>
      <c r="E197" s="51">
        <v>798.61890000000005</v>
      </c>
      <c r="F197" s="51">
        <v>798.61890000000005</v>
      </c>
      <c r="G197" s="51">
        <v>42585813.158</v>
      </c>
      <c r="H197" s="52">
        <v>1.8753167798792512E-5</v>
      </c>
      <c r="I197" s="53">
        <v>2.2503801358551015E-4</v>
      </c>
    </row>
    <row r="198" spans="1:9" x14ac:dyDescent="0.25">
      <c r="A198" s="42" t="s">
        <v>96</v>
      </c>
      <c r="B198" s="43" t="s">
        <v>97</v>
      </c>
      <c r="C198" s="43" t="s">
        <v>81</v>
      </c>
      <c r="D198" s="54" t="s">
        <v>277</v>
      </c>
      <c r="E198" s="45">
        <v>7361.3878000000004</v>
      </c>
      <c r="F198" s="45">
        <v>7361.3878000000004</v>
      </c>
      <c r="G198" s="45">
        <v>20269342.1646</v>
      </c>
      <c r="H198" s="46">
        <v>3.6317842681922436E-4</v>
      </c>
      <c r="I198" s="47">
        <v>4.3581411218306925E-3</v>
      </c>
    </row>
    <row r="199" spans="1:9" x14ac:dyDescent="0.25">
      <c r="A199" s="48" t="s">
        <v>196</v>
      </c>
      <c r="B199" s="49" t="s">
        <v>245</v>
      </c>
      <c r="C199" s="49" t="s">
        <v>143</v>
      </c>
      <c r="D199" s="55" t="s">
        <v>277</v>
      </c>
      <c r="E199" s="51">
        <v>1.1606000000000001</v>
      </c>
      <c r="F199" s="51">
        <v>1.1606000000000001</v>
      </c>
      <c r="G199" s="51">
        <v>12931.277</v>
      </c>
      <c r="H199" s="52">
        <v>8.9751383409387953E-5</v>
      </c>
      <c r="I199" s="53">
        <v>1.0770166009126554E-3</v>
      </c>
    </row>
    <row r="200" spans="1:9" x14ac:dyDescent="0.25">
      <c r="A200" s="42" t="s">
        <v>100</v>
      </c>
      <c r="B200" s="43" t="s">
        <v>100</v>
      </c>
      <c r="C200" s="43" t="s">
        <v>152</v>
      </c>
      <c r="D200" s="44" t="s">
        <v>278</v>
      </c>
      <c r="E200" s="45">
        <v>32.561700000000002</v>
      </c>
      <c r="F200" s="45">
        <v>32.561700000000002</v>
      </c>
      <c r="G200" s="45">
        <v>60096.787900000003</v>
      </c>
      <c r="H200" s="46">
        <v>5.4182097143331675E-4</v>
      </c>
      <c r="I200" s="47">
        <v>6.501851657199801E-3</v>
      </c>
    </row>
    <row r="201" spans="1:9" x14ac:dyDescent="0.25">
      <c r="A201" s="48" t="s">
        <v>190</v>
      </c>
      <c r="B201" s="49" t="s">
        <v>234</v>
      </c>
      <c r="C201" s="49" t="s">
        <v>143</v>
      </c>
      <c r="D201" s="50" t="s">
        <v>278</v>
      </c>
      <c r="E201" s="51">
        <v>1911.3036999999999</v>
      </c>
      <c r="F201" s="51">
        <v>1911.3036999999999</v>
      </c>
      <c r="G201" s="51">
        <v>7610251.0492000002</v>
      </c>
      <c r="H201" s="52">
        <v>2.5114857415918214E-4</v>
      </c>
      <c r="I201" s="53">
        <v>3.0137828899101859E-3</v>
      </c>
    </row>
    <row r="202" spans="1:9" x14ac:dyDescent="0.25">
      <c r="A202" s="42" t="s">
        <v>65</v>
      </c>
      <c r="B202" s="43" t="s">
        <v>66</v>
      </c>
      <c r="C202" s="43" t="s">
        <v>67</v>
      </c>
      <c r="D202" s="44" t="s">
        <v>278</v>
      </c>
      <c r="E202" s="45">
        <v>55689.188499999997</v>
      </c>
      <c r="F202" s="45">
        <v>55689.188499999997</v>
      </c>
      <c r="G202" s="45">
        <v>211082645.07420003</v>
      </c>
      <c r="H202" s="46">
        <v>2.638264670239662E-4</v>
      </c>
      <c r="I202" s="47">
        <v>3.1659176042875947E-3</v>
      </c>
    </row>
    <row r="203" spans="1:9" x14ac:dyDescent="0.25">
      <c r="A203" s="48" t="s">
        <v>131</v>
      </c>
      <c r="B203" s="49" t="s">
        <v>132</v>
      </c>
      <c r="C203" s="49" t="s">
        <v>67</v>
      </c>
      <c r="D203" s="50" t="s">
        <v>278</v>
      </c>
      <c r="E203" s="51">
        <v>115205.3048</v>
      </c>
      <c r="F203" s="51">
        <v>115205.3048</v>
      </c>
      <c r="G203" s="51">
        <v>38793465.4802</v>
      </c>
      <c r="H203" s="52">
        <v>2.9697090315068718E-3</v>
      </c>
      <c r="I203" s="53">
        <v>3.5636508378082465E-2</v>
      </c>
    </row>
    <row r="204" spans="1:9" x14ac:dyDescent="0.25">
      <c r="A204" s="42" t="s">
        <v>82</v>
      </c>
      <c r="B204" s="43" t="s">
        <v>83</v>
      </c>
      <c r="C204" s="43" t="s">
        <v>230</v>
      </c>
      <c r="D204" s="44" t="s">
        <v>278</v>
      </c>
      <c r="E204" s="45">
        <v>65822.0677</v>
      </c>
      <c r="F204" s="45">
        <v>65822.0677</v>
      </c>
      <c r="G204" s="45">
        <v>51618151.365699999</v>
      </c>
      <c r="H204" s="46">
        <v>1.2751728986508887E-3</v>
      </c>
      <c r="I204" s="47">
        <v>1.5302074783810665E-2</v>
      </c>
    </row>
    <row r="205" spans="1:9" x14ac:dyDescent="0.25">
      <c r="A205" s="48" t="s">
        <v>68</v>
      </c>
      <c r="B205" s="49" t="s">
        <v>69</v>
      </c>
      <c r="C205" s="49" t="s">
        <v>143</v>
      </c>
      <c r="D205" s="50" t="s">
        <v>278</v>
      </c>
      <c r="E205" s="51">
        <v>15392.663500000001</v>
      </c>
      <c r="F205" s="51">
        <v>15392.663500000001</v>
      </c>
      <c r="G205" s="51">
        <v>58982520.593900003</v>
      </c>
      <c r="H205" s="52">
        <v>2.6096991693488116E-4</v>
      </c>
      <c r="I205" s="53">
        <v>3.1316390032185741E-3</v>
      </c>
    </row>
    <row r="206" spans="1:9" x14ac:dyDescent="0.25">
      <c r="A206" s="42" t="s">
        <v>79</v>
      </c>
      <c r="B206" s="43" t="s">
        <v>80</v>
      </c>
      <c r="C206" s="43" t="s">
        <v>81</v>
      </c>
      <c r="D206" s="44" t="s">
        <v>278</v>
      </c>
      <c r="E206" s="45">
        <v>37935.1368</v>
      </c>
      <c r="F206" s="45">
        <v>37935.1368</v>
      </c>
      <c r="G206" s="45">
        <v>10257222.455399999</v>
      </c>
      <c r="H206" s="46">
        <v>3.6983829652664627E-3</v>
      </c>
      <c r="I206" s="47">
        <v>4.4380595583197555E-2</v>
      </c>
    </row>
    <row r="207" spans="1:9" x14ac:dyDescent="0.25">
      <c r="A207" s="48" t="s">
        <v>114</v>
      </c>
      <c r="B207" s="49" t="s">
        <v>115</v>
      </c>
      <c r="C207" s="49" t="s">
        <v>226</v>
      </c>
      <c r="D207" s="50" t="s">
        <v>278</v>
      </c>
      <c r="E207" s="51">
        <v>8467.2309999999998</v>
      </c>
      <c r="F207" s="51">
        <v>8467.2309999999998</v>
      </c>
      <c r="G207" s="51">
        <v>57853094.1074</v>
      </c>
      <c r="H207" s="52">
        <v>1.4635744432754471E-4</v>
      </c>
      <c r="I207" s="53">
        <v>1.7562893319305365E-3</v>
      </c>
    </row>
    <row r="208" spans="1:9" x14ac:dyDescent="0.25">
      <c r="A208" s="42" t="s">
        <v>146</v>
      </c>
      <c r="B208" s="43" t="s">
        <v>147</v>
      </c>
      <c r="C208" s="43" t="s">
        <v>226</v>
      </c>
      <c r="D208" s="44" t="s">
        <v>278</v>
      </c>
      <c r="E208" s="45">
        <v>1238.2297000000001</v>
      </c>
      <c r="F208" s="45">
        <v>1238.2297000000001</v>
      </c>
      <c r="G208" s="45">
        <v>15363804.210100001</v>
      </c>
      <c r="H208" s="46">
        <v>8.0593952062081155E-5</v>
      </c>
      <c r="I208" s="47">
        <v>9.6712742474497392E-4</v>
      </c>
    </row>
    <row r="209" spans="1:9" x14ac:dyDescent="0.25">
      <c r="A209" s="48" t="s">
        <v>90</v>
      </c>
      <c r="B209" s="49" t="s">
        <v>91</v>
      </c>
      <c r="C209" s="49" t="s">
        <v>81</v>
      </c>
      <c r="D209" s="50" t="s">
        <v>278</v>
      </c>
      <c r="E209" s="51">
        <v>59792.9202</v>
      </c>
      <c r="F209" s="51">
        <v>59792.9202</v>
      </c>
      <c r="G209" s="51">
        <v>83868869.762400001</v>
      </c>
      <c r="H209" s="52">
        <v>7.1293342058135491E-4</v>
      </c>
      <c r="I209" s="53">
        <v>8.5552010469762581E-3</v>
      </c>
    </row>
    <row r="210" spans="1:9" x14ac:dyDescent="0.25">
      <c r="A210" s="42" t="s">
        <v>98</v>
      </c>
      <c r="B210" s="43" t="s">
        <v>99</v>
      </c>
      <c r="C210" s="43" t="s">
        <v>81</v>
      </c>
      <c r="D210" s="44" t="s">
        <v>278</v>
      </c>
      <c r="E210" s="45">
        <v>51513.777399999999</v>
      </c>
      <c r="F210" s="45">
        <v>51513.777399999999</v>
      </c>
      <c r="G210" s="45">
        <v>14972826.5112</v>
      </c>
      <c r="H210" s="46">
        <v>3.440484491119067E-3</v>
      </c>
      <c r="I210" s="47">
        <v>4.1285813893428808E-2</v>
      </c>
    </row>
    <row r="211" spans="1:9" x14ac:dyDescent="0.25">
      <c r="A211" s="48" t="s">
        <v>120</v>
      </c>
      <c r="B211" s="49" t="s">
        <v>268</v>
      </c>
      <c r="C211" s="49" t="s">
        <v>143</v>
      </c>
      <c r="D211" s="50" t="s">
        <v>278</v>
      </c>
      <c r="E211" s="51">
        <v>23942.005900000004</v>
      </c>
      <c r="F211" s="51">
        <v>23942.005900000004</v>
      </c>
      <c r="G211" s="51">
        <v>49071940.857699998</v>
      </c>
      <c r="H211" s="52">
        <v>4.878960457143444E-4</v>
      </c>
      <c r="I211" s="53">
        <v>5.8547525485721326E-3</v>
      </c>
    </row>
    <row r="212" spans="1:9" x14ac:dyDescent="0.25">
      <c r="A212" s="42" t="s">
        <v>106</v>
      </c>
      <c r="B212" s="43" t="s">
        <v>107</v>
      </c>
      <c r="C212" s="43" t="s">
        <v>143</v>
      </c>
      <c r="D212" s="44" t="s">
        <v>278</v>
      </c>
      <c r="E212" s="45">
        <v>110699.1859</v>
      </c>
      <c r="F212" s="45">
        <v>110699.1859</v>
      </c>
      <c r="G212" s="45">
        <v>73053695.791500002</v>
      </c>
      <c r="H212" s="46">
        <v>1.5153126026086711E-3</v>
      </c>
      <c r="I212" s="47">
        <v>1.8183751231304054E-2</v>
      </c>
    </row>
    <row r="213" spans="1:9" x14ac:dyDescent="0.25">
      <c r="A213" s="48" t="s">
        <v>206</v>
      </c>
      <c r="B213" s="49" t="s">
        <v>251</v>
      </c>
      <c r="C213" s="49" t="s">
        <v>230</v>
      </c>
      <c r="D213" s="50" t="s">
        <v>278</v>
      </c>
      <c r="E213" s="51">
        <v>640.12969999999996</v>
      </c>
      <c r="F213" s="51">
        <v>640.12969999999996</v>
      </c>
      <c r="G213" s="51">
        <v>5163033.6952</v>
      </c>
      <c r="H213" s="52">
        <v>1.2398325050543823E-4</v>
      </c>
      <c r="I213" s="53">
        <v>1.4877990060652587E-3</v>
      </c>
    </row>
    <row r="214" spans="1:9" x14ac:dyDescent="0.25">
      <c r="A214" s="42" t="s">
        <v>54</v>
      </c>
      <c r="B214" s="43" t="s">
        <v>55</v>
      </c>
      <c r="C214" s="43" t="s">
        <v>143</v>
      </c>
      <c r="D214" s="44" t="s">
        <v>278</v>
      </c>
      <c r="E214" s="45">
        <v>13657.895500000001</v>
      </c>
      <c r="F214" s="45">
        <v>13657.895500000001</v>
      </c>
      <c r="G214" s="45">
        <v>55132210.3257</v>
      </c>
      <c r="H214" s="46">
        <v>2.4772987368571625E-4</v>
      </c>
      <c r="I214" s="47">
        <v>2.972758484228595E-3</v>
      </c>
    </row>
    <row r="215" spans="1:9" x14ac:dyDescent="0.25">
      <c r="A215" s="48" t="s">
        <v>183</v>
      </c>
      <c r="B215" s="49" t="s">
        <v>231</v>
      </c>
      <c r="C215" s="49" t="s">
        <v>230</v>
      </c>
      <c r="D215" s="50" t="s">
        <v>278</v>
      </c>
      <c r="E215" s="51">
        <v>1323.135</v>
      </c>
      <c r="F215" s="51">
        <v>1323.135</v>
      </c>
      <c r="G215" s="51">
        <v>0</v>
      </c>
      <c r="H215" s="52">
        <v>0</v>
      </c>
      <c r="I215" s="53">
        <v>0</v>
      </c>
    </row>
    <row r="216" spans="1:9" x14ac:dyDescent="0.25">
      <c r="A216" s="42" t="s">
        <v>94</v>
      </c>
      <c r="B216" s="43" t="s">
        <v>95</v>
      </c>
      <c r="C216" s="43" t="s">
        <v>152</v>
      </c>
      <c r="D216" s="44" t="s">
        <v>278</v>
      </c>
      <c r="E216" s="45">
        <v>43343.760199999997</v>
      </c>
      <c r="F216" s="45">
        <v>43343.760199999997</v>
      </c>
      <c r="G216" s="45">
        <v>74523542.157199994</v>
      </c>
      <c r="H216" s="46">
        <v>5.8161164841803487E-4</v>
      </c>
      <c r="I216" s="47">
        <v>6.9793397810164184E-3</v>
      </c>
    </row>
    <row r="217" spans="1:9" x14ac:dyDescent="0.25">
      <c r="A217" s="48" t="s">
        <v>170</v>
      </c>
      <c r="B217" s="49" t="s">
        <v>171</v>
      </c>
      <c r="C217" s="49" t="s">
        <v>81</v>
      </c>
      <c r="D217" s="50" t="s">
        <v>278</v>
      </c>
      <c r="E217" s="51">
        <v>14282.7161</v>
      </c>
      <c r="F217" s="51">
        <v>14282.7161</v>
      </c>
      <c r="G217" s="51">
        <v>2236355.906</v>
      </c>
      <c r="H217" s="52">
        <v>6.3866024462744886E-3</v>
      </c>
      <c r="I217" s="53">
        <v>7.6639229355293867E-2</v>
      </c>
    </row>
    <row r="218" spans="1:9" x14ac:dyDescent="0.25">
      <c r="A218" s="42" t="s">
        <v>205</v>
      </c>
      <c r="B218" s="43" t="s">
        <v>250</v>
      </c>
      <c r="C218" s="43" t="s">
        <v>152</v>
      </c>
      <c r="D218" s="44" t="s">
        <v>278</v>
      </c>
      <c r="E218" s="45">
        <v>13026.903</v>
      </c>
      <c r="F218" s="45">
        <v>13026.903</v>
      </c>
      <c r="G218" s="45">
        <v>16421266.769099997</v>
      </c>
      <c r="H218" s="46">
        <v>7.9329464548452537E-4</v>
      </c>
      <c r="I218" s="47">
        <v>9.5195357458143053E-3</v>
      </c>
    </row>
    <row r="219" spans="1:9" x14ac:dyDescent="0.25">
      <c r="A219" s="48" t="s">
        <v>269</v>
      </c>
      <c r="B219" s="49" t="s">
        <v>270</v>
      </c>
      <c r="C219" s="49" t="s">
        <v>81</v>
      </c>
      <c r="D219" s="50" t="s">
        <v>278</v>
      </c>
      <c r="E219" s="51">
        <v>34391.750599999999</v>
      </c>
      <c r="F219" s="51">
        <v>34391.750599999999</v>
      </c>
      <c r="G219" s="51">
        <v>17326033.928599998</v>
      </c>
      <c r="H219" s="52">
        <v>1.9849753695350735E-3</v>
      </c>
      <c r="I219" s="53">
        <v>2.3819704434420882E-2</v>
      </c>
    </row>
    <row r="220" spans="1:9" x14ac:dyDescent="0.25">
      <c r="A220" s="42" t="s">
        <v>148</v>
      </c>
      <c r="B220" s="43" t="s">
        <v>149</v>
      </c>
      <c r="C220" s="43" t="s">
        <v>226</v>
      </c>
      <c r="D220" s="44" t="s">
        <v>278</v>
      </c>
      <c r="E220" s="45">
        <v>7859.4588000000003</v>
      </c>
      <c r="F220" s="45">
        <v>7859.4588000000003</v>
      </c>
      <c r="G220" s="45">
        <v>10357926.596000001</v>
      </c>
      <c r="H220" s="46">
        <v>7.5878687951265716E-4</v>
      </c>
      <c r="I220" s="47">
        <v>9.1054425541518859E-3</v>
      </c>
    </row>
    <row r="221" spans="1:9" x14ac:dyDescent="0.25">
      <c r="A221" s="48" t="s">
        <v>102</v>
      </c>
      <c r="B221" s="49" t="s">
        <v>271</v>
      </c>
      <c r="C221" s="49" t="s">
        <v>152</v>
      </c>
      <c r="D221" s="50" t="s">
        <v>278</v>
      </c>
      <c r="E221" s="51">
        <v>46655.671799999996</v>
      </c>
      <c r="F221" s="51">
        <v>46655.671799999996</v>
      </c>
      <c r="G221" s="51">
        <v>27726675.537799999</v>
      </c>
      <c r="H221" s="52">
        <v>1.6826998150713723E-3</v>
      </c>
      <c r="I221" s="53">
        <v>2.0192397780856467E-2</v>
      </c>
    </row>
    <row r="222" spans="1:9" x14ac:dyDescent="0.25">
      <c r="A222" s="42" t="s">
        <v>86</v>
      </c>
      <c r="B222" s="43" t="s">
        <v>87</v>
      </c>
      <c r="C222" s="43" t="s">
        <v>152</v>
      </c>
      <c r="D222" s="44" t="s">
        <v>278</v>
      </c>
      <c r="E222" s="45">
        <v>152716.3009</v>
      </c>
      <c r="F222" s="45">
        <v>152716.3009</v>
      </c>
      <c r="G222" s="45">
        <v>85742738.668200001</v>
      </c>
      <c r="H222" s="46">
        <v>1.7810989393628846E-3</v>
      </c>
      <c r="I222" s="47">
        <v>2.1373187272354616E-2</v>
      </c>
    </row>
    <row r="223" spans="1:9" x14ac:dyDescent="0.25">
      <c r="A223" s="48" t="s">
        <v>124</v>
      </c>
      <c r="B223" s="49" t="s">
        <v>125</v>
      </c>
      <c r="C223" s="49" t="s">
        <v>152</v>
      </c>
      <c r="D223" s="50" t="s">
        <v>278</v>
      </c>
      <c r="E223" s="51">
        <v>46993.869500000001</v>
      </c>
      <c r="F223" s="51">
        <v>46993.869500000001</v>
      </c>
      <c r="G223" s="51">
        <v>48137645.107699998</v>
      </c>
      <c r="H223" s="52">
        <v>9.7623947733336365E-4</v>
      </c>
      <c r="I223" s="53">
        <v>1.1714873728000364E-2</v>
      </c>
    </row>
    <row r="224" spans="1:9" x14ac:dyDescent="0.25">
      <c r="A224" s="42" t="s">
        <v>200</v>
      </c>
      <c r="B224" s="43" t="s">
        <v>244</v>
      </c>
      <c r="C224" s="43" t="s">
        <v>230</v>
      </c>
      <c r="D224" s="44" t="s">
        <v>278</v>
      </c>
      <c r="E224" s="45">
        <v>4196.5853999999999</v>
      </c>
      <c r="F224" s="45">
        <v>4196.5853999999999</v>
      </c>
      <c r="G224" s="45">
        <v>17394684.663699999</v>
      </c>
      <c r="H224" s="46">
        <v>2.4125676786527903E-4</v>
      </c>
      <c r="I224" s="47">
        <v>2.8950812143833486E-3</v>
      </c>
    </row>
    <row r="225" spans="1:9" x14ac:dyDescent="0.25">
      <c r="A225" s="48" t="s">
        <v>63</v>
      </c>
      <c r="B225" s="49" t="s">
        <v>64</v>
      </c>
      <c r="C225" s="49" t="s">
        <v>143</v>
      </c>
      <c r="D225" s="50" t="s">
        <v>278</v>
      </c>
      <c r="E225" s="51">
        <v>14005.827300000001</v>
      </c>
      <c r="F225" s="51">
        <v>14005.827300000001</v>
      </c>
      <c r="G225" s="51">
        <v>64238731.349900007</v>
      </c>
      <c r="H225" s="52">
        <v>2.1802776931742447E-4</v>
      </c>
      <c r="I225" s="53">
        <v>2.6163332318090938E-3</v>
      </c>
    </row>
    <row r="226" spans="1:9" x14ac:dyDescent="0.25">
      <c r="A226" s="42" t="s">
        <v>61</v>
      </c>
      <c r="B226" s="43" t="s">
        <v>62</v>
      </c>
      <c r="C226" s="43" t="s">
        <v>226</v>
      </c>
      <c r="D226" s="44" t="s">
        <v>278</v>
      </c>
      <c r="E226" s="45">
        <v>18730.344700000001</v>
      </c>
      <c r="F226" s="45">
        <v>18730.344700000001</v>
      </c>
      <c r="G226" s="45">
        <v>20682094.387600001</v>
      </c>
      <c r="H226" s="46">
        <v>9.0563094573390139E-4</v>
      </c>
      <c r="I226" s="47">
        <v>1.0867571348806816E-2</v>
      </c>
    </row>
    <row r="227" spans="1:9" x14ac:dyDescent="0.25">
      <c r="A227" s="48" t="s">
        <v>76</v>
      </c>
      <c r="B227" s="49" t="s">
        <v>77</v>
      </c>
      <c r="C227" s="49" t="s">
        <v>152</v>
      </c>
      <c r="D227" s="50" t="s">
        <v>278</v>
      </c>
      <c r="E227" s="51">
        <v>38960.191400000003</v>
      </c>
      <c r="F227" s="51">
        <v>38960.191400000003</v>
      </c>
      <c r="G227" s="51">
        <v>35384842.396600001</v>
      </c>
      <c r="H227" s="52">
        <v>1.101041823595731E-3</v>
      </c>
      <c r="I227" s="53">
        <v>1.3212501883148771E-2</v>
      </c>
    </row>
    <row r="228" spans="1:9" x14ac:dyDescent="0.25">
      <c r="A228" s="42" t="s">
        <v>204</v>
      </c>
      <c r="B228" s="43" t="s">
        <v>89</v>
      </c>
      <c r="C228" s="43" t="s">
        <v>152</v>
      </c>
      <c r="D228" s="44" t="s">
        <v>278</v>
      </c>
      <c r="E228" s="45">
        <v>8254.5272999999997</v>
      </c>
      <c r="F228" s="45">
        <v>8254.5272999999997</v>
      </c>
      <c r="G228" s="45">
        <v>17032284.877</v>
      </c>
      <c r="H228" s="46">
        <v>4.8464004445737755E-4</v>
      </c>
      <c r="I228" s="47">
        <v>5.8156805334885304E-3</v>
      </c>
    </row>
    <row r="229" spans="1:9" x14ac:dyDescent="0.25">
      <c r="A229" s="48" t="s">
        <v>116</v>
      </c>
      <c r="B229" s="49" t="s">
        <v>117</v>
      </c>
      <c r="C229" s="49" t="s">
        <v>143</v>
      </c>
      <c r="D229" s="50" t="s">
        <v>278</v>
      </c>
      <c r="E229" s="51">
        <v>81497.994900000005</v>
      </c>
      <c r="F229" s="51">
        <v>81497.994900000005</v>
      </c>
      <c r="G229" s="51">
        <v>73011952.937700003</v>
      </c>
      <c r="H229" s="52">
        <v>1.1162281191073058E-3</v>
      </c>
      <c r="I229" s="53">
        <v>1.3394737429287668E-2</v>
      </c>
    </row>
    <row r="230" spans="1:9" x14ac:dyDescent="0.25">
      <c r="A230" s="42" t="s">
        <v>112</v>
      </c>
      <c r="B230" s="43" t="s">
        <v>113</v>
      </c>
      <c r="C230" s="43" t="s">
        <v>81</v>
      </c>
      <c r="D230" s="44" t="s">
        <v>278</v>
      </c>
      <c r="E230" s="45">
        <v>69241.854699999996</v>
      </c>
      <c r="F230" s="45">
        <v>69241.854699999996</v>
      </c>
      <c r="G230" s="45">
        <v>67313774.527500004</v>
      </c>
      <c r="H230" s="46">
        <v>1.0286431742393574E-3</v>
      </c>
      <c r="I230" s="47">
        <v>1.2343718090872289E-2</v>
      </c>
    </row>
    <row r="231" spans="1:9" x14ac:dyDescent="0.25">
      <c r="A231" s="48" t="s">
        <v>122</v>
      </c>
      <c r="B231" s="49" t="s">
        <v>123</v>
      </c>
      <c r="C231" s="49" t="s">
        <v>152</v>
      </c>
      <c r="D231" s="50" t="s">
        <v>278</v>
      </c>
      <c r="E231" s="51">
        <v>63562.964399999997</v>
      </c>
      <c r="F231" s="51">
        <v>63562.964399999997</v>
      </c>
      <c r="G231" s="51">
        <v>100053134.6584</v>
      </c>
      <c r="H231" s="52">
        <v>6.3529208372147233E-4</v>
      </c>
      <c r="I231" s="53">
        <v>7.6235050046576675E-3</v>
      </c>
    </row>
    <row r="232" spans="1:9" x14ac:dyDescent="0.25">
      <c r="A232" s="42" t="s">
        <v>203</v>
      </c>
      <c r="B232" s="43" t="s">
        <v>156</v>
      </c>
      <c r="C232" s="43" t="s">
        <v>152</v>
      </c>
      <c r="D232" s="44" t="s">
        <v>278</v>
      </c>
      <c r="E232" s="45">
        <v>6446.9645</v>
      </c>
      <c r="F232" s="45">
        <v>6446.9645</v>
      </c>
      <c r="G232" s="45">
        <v>17554570.281500001</v>
      </c>
      <c r="H232" s="46">
        <v>3.6725276646584602E-4</v>
      </c>
      <c r="I232" s="47">
        <v>4.407033197590152E-3</v>
      </c>
    </row>
    <row r="233" spans="1:9" x14ac:dyDescent="0.25">
      <c r="A233" s="48" t="s">
        <v>197</v>
      </c>
      <c r="B233" s="49" t="s">
        <v>272</v>
      </c>
      <c r="C233" s="49" t="s">
        <v>67</v>
      </c>
      <c r="D233" s="50" t="s">
        <v>278</v>
      </c>
      <c r="E233" s="51">
        <v>3800.8506000000002</v>
      </c>
      <c r="F233" s="51">
        <v>3800.8506000000002</v>
      </c>
      <c r="G233" s="51">
        <v>17834784.749899998</v>
      </c>
      <c r="H233" s="52">
        <v>2.1311446441882692E-4</v>
      </c>
      <c r="I233" s="53">
        <v>2.5573735730259231E-3</v>
      </c>
    </row>
    <row r="234" spans="1:9" x14ac:dyDescent="0.25">
      <c r="A234" s="42" t="s">
        <v>59</v>
      </c>
      <c r="B234" s="43" t="s">
        <v>60</v>
      </c>
      <c r="C234" s="43" t="s">
        <v>143</v>
      </c>
      <c r="D234" s="44" t="s">
        <v>278</v>
      </c>
      <c r="E234" s="45">
        <v>12925.038500000001</v>
      </c>
      <c r="F234" s="45">
        <v>12925.038500000001</v>
      </c>
      <c r="G234" s="45">
        <v>41348784.662600003</v>
      </c>
      <c r="H234" s="46">
        <v>3.1258569279523968E-4</v>
      </c>
      <c r="I234" s="47">
        <v>3.7510283135428761E-3</v>
      </c>
    </row>
    <row r="235" spans="1:9" x14ac:dyDescent="0.25">
      <c r="A235" s="48" t="s">
        <v>202</v>
      </c>
      <c r="B235" s="49" t="s">
        <v>273</v>
      </c>
      <c r="C235" s="49" t="s">
        <v>143</v>
      </c>
      <c r="D235" s="50" t="s">
        <v>278</v>
      </c>
      <c r="E235" s="51">
        <v>322.22559999999999</v>
      </c>
      <c r="F235" s="51">
        <v>322.22559999999999</v>
      </c>
      <c r="G235" s="51">
        <v>1484943.2201</v>
      </c>
      <c r="H235" s="52">
        <v>2.1699523297483419E-4</v>
      </c>
      <c r="I235" s="53">
        <v>2.6039427956980102E-3</v>
      </c>
    </row>
    <row r="236" spans="1:9" x14ac:dyDescent="0.25">
      <c r="A236" s="42" t="s">
        <v>70</v>
      </c>
      <c r="B236" s="43" t="s">
        <v>71</v>
      </c>
      <c r="C236" s="43" t="s">
        <v>152</v>
      </c>
      <c r="D236" s="44" t="s">
        <v>278</v>
      </c>
      <c r="E236" s="45">
        <v>44437.8537</v>
      </c>
      <c r="F236" s="45">
        <v>44437.8537</v>
      </c>
      <c r="G236" s="45">
        <v>39028132.174999997</v>
      </c>
      <c r="H236" s="46">
        <v>1.1386108231042961E-3</v>
      </c>
      <c r="I236" s="47">
        <v>1.3663329877251553E-2</v>
      </c>
    </row>
    <row r="237" spans="1:9" x14ac:dyDescent="0.25">
      <c r="A237" s="48" t="s">
        <v>72</v>
      </c>
      <c r="B237" s="49" t="s">
        <v>73</v>
      </c>
      <c r="C237" s="49" t="s">
        <v>67</v>
      </c>
      <c r="D237" s="50" t="s">
        <v>278</v>
      </c>
      <c r="E237" s="51">
        <v>56536.746099999997</v>
      </c>
      <c r="F237" s="51">
        <v>56536.746099999997</v>
      </c>
      <c r="G237" s="51">
        <v>177979408.23719999</v>
      </c>
      <c r="H237" s="52">
        <v>3.1765891717457166E-4</v>
      </c>
      <c r="I237" s="53">
        <v>3.8119070060948597E-3</v>
      </c>
    </row>
    <row r="238" spans="1:9" x14ac:dyDescent="0.25">
      <c r="A238" s="42" t="s">
        <v>133</v>
      </c>
      <c r="B238" s="43" t="s">
        <v>134</v>
      </c>
      <c r="C238" s="43" t="s">
        <v>241</v>
      </c>
      <c r="D238" s="44" t="s">
        <v>278</v>
      </c>
      <c r="E238" s="45">
        <v>2216.5796999999998</v>
      </c>
      <c r="F238" s="45">
        <v>2216.5796999999998</v>
      </c>
      <c r="G238" s="45">
        <v>5503012.9983000001</v>
      </c>
      <c r="H238" s="46">
        <v>4.0279383324821319E-4</v>
      </c>
      <c r="I238" s="47">
        <v>4.8335259989785578E-3</v>
      </c>
    </row>
    <row r="239" spans="1:9" x14ac:dyDescent="0.25">
      <c r="A239" s="48" t="s">
        <v>118</v>
      </c>
      <c r="B239" s="49" t="s">
        <v>119</v>
      </c>
      <c r="C239" s="49" t="s">
        <v>143</v>
      </c>
      <c r="D239" s="50" t="s">
        <v>278</v>
      </c>
      <c r="E239" s="51">
        <v>60816.970699999998</v>
      </c>
      <c r="F239" s="51">
        <v>60816.970699999998</v>
      </c>
      <c r="G239" s="51">
        <v>41931020.900600001</v>
      </c>
      <c r="H239" s="52">
        <v>1.4504051986754694E-3</v>
      </c>
      <c r="I239" s="53">
        <v>1.7404862384105633E-2</v>
      </c>
    </row>
    <row r="240" spans="1:9" x14ac:dyDescent="0.25">
      <c r="A240" s="42" t="s">
        <v>57</v>
      </c>
      <c r="B240" s="43" t="s">
        <v>58</v>
      </c>
      <c r="C240" s="43" t="s">
        <v>230</v>
      </c>
      <c r="D240" s="44" t="s">
        <v>278</v>
      </c>
      <c r="E240" s="45">
        <v>4411.5788000000002</v>
      </c>
      <c r="F240" s="45">
        <v>4411.5788000000002</v>
      </c>
      <c r="G240" s="45">
        <v>10877714.831</v>
      </c>
      <c r="H240" s="46">
        <v>4.0556117424843716E-4</v>
      </c>
      <c r="I240" s="47">
        <v>4.8667340909812461E-3</v>
      </c>
    </row>
    <row r="241" spans="1:9" x14ac:dyDescent="0.25">
      <c r="A241" s="48" t="s">
        <v>157</v>
      </c>
      <c r="B241" s="49" t="s">
        <v>158</v>
      </c>
      <c r="C241" s="49" t="s">
        <v>152</v>
      </c>
      <c r="D241" s="50" t="s">
        <v>278</v>
      </c>
      <c r="E241" s="51">
        <v>3969.9958000000001</v>
      </c>
      <c r="F241" s="51">
        <v>3969.9958000000001</v>
      </c>
      <c r="G241" s="51">
        <v>5929806.2956999997</v>
      </c>
      <c r="H241" s="52">
        <v>6.6949839539933093E-4</v>
      </c>
      <c r="I241" s="53">
        <v>8.0339807447919707E-3</v>
      </c>
    </row>
    <row r="242" spans="1:9" x14ac:dyDescent="0.25">
      <c r="A242" s="42" t="s">
        <v>74</v>
      </c>
      <c r="B242" s="43" t="s">
        <v>75</v>
      </c>
      <c r="C242" s="43" t="s">
        <v>67</v>
      </c>
      <c r="D242" s="44" t="s">
        <v>278</v>
      </c>
      <c r="E242" s="45">
        <v>634.11220000000003</v>
      </c>
      <c r="F242" s="45">
        <v>634.11220000000003</v>
      </c>
      <c r="G242" s="45">
        <v>43535149.794699997</v>
      </c>
      <c r="H242" s="46">
        <v>1.4565522410978297E-5</v>
      </c>
      <c r="I242" s="47">
        <v>1.7478626893173958E-4</v>
      </c>
    </row>
    <row r="243" spans="1:9" x14ac:dyDescent="0.25">
      <c r="A243" s="48" t="s">
        <v>96</v>
      </c>
      <c r="B243" s="49" t="s">
        <v>97</v>
      </c>
      <c r="C243" s="49" t="s">
        <v>81</v>
      </c>
      <c r="D243" s="50" t="s">
        <v>278</v>
      </c>
      <c r="E243" s="51">
        <v>30723.616399999999</v>
      </c>
      <c r="F243" s="51">
        <v>30723.616399999999</v>
      </c>
      <c r="G243" s="51">
        <v>20328472.335200001</v>
      </c>
      <c r="H243" s="52">
        <v>1.5113588415987447E-3</v>
      </c>
      <c r="I243" s="53">
        <v>1.8136306099184936E-2</v>
      </c>
    </row>
    <row r="244" spans="1:9" x14ac:dyDescent="0.25">
      <c r="A244" s="42" t="s">
        <v>196</v>
      </c>
      <c r="B244" s="43" t="s">
        <v>245</v>
      </c>
      <c r="C244" s="43" t="s">
        <v>143</v>
      </c>
      <c r="D244" s="44" t="s">
        <v>278</v>
      </c>
      <c r="E244" s="45">
        <v>1.2342</v>
      </c>
      <c r="F244" s="45">
        <v>1.2342</v>
      </c>
      <c r="G244" s="45">
        <v>12986.097599999999</v>
      </c>
      <c r="H244" s="46">
        <v>9.5040098882361715E-5</v>
      </c>
      <c r="I244" s="47">
        <v>1.1404811865883405E-3</v>
      </c>
    </row>
    <row r="245" spans="1:9" x14ac:dyDescent="0.25">
      <c r="A245" s="48" t="s">
        <v>100</v>
      </c>
      <c r="B245" s="49" t="s">
        <v>100</v>
      </c>
      <c r="C245" s="49" t="s">
        <v>152</v>
      </c>
      <c r="D245" s="50" t="s">
        <v>279</v>
      </c>
      <c r="E245" s="51">
        <v>400.78070000000002</v>
      </c>
      <c r="F245" s="51">
        <v>400.78070000000002</v>
      </c>
      <c r="G245" s="51">
        <v>8916.2940660000004</v>
      </c>
      <c r="H245" s="56">
        <v>4.4949246518043233E-4</v>
      </c>
      <c r="I245" s="57">
        <v>5.3939095821651881E-3</v>
      </c>
    </row>
    <row r="246" spans="1:9" x14ac:dyDescent="0.25">
      <c r="A246" s="42" t="s">
        <v>207</v>
      </c>
      <c r="B246" s="43" t="s">
        <v>129</v>
      </c>
      <c r="C246" s="43" t="s">
        <v>67</v>
      </c>
      <c r="D246" s="44" t="s">
        <v>279</v>
      </c>
      <c r="E246" s="45">
        <v>125373.8101</v>
      </c>
      <c r="F246" s="45">
        <v>125373.8101</v>
      </c>
      <c r="G246" s="45">
        <v>1614532.8896079999</v>
      </c>
      <c r="H246" s="58">
        <v>7.7653302021267652E-4</v>
      </c>
      <c r="I246" s="59">
        <v>9.3183962425521186E-3</v>
      </c>
    </row>
    <row r="247" spans="1:9" x14ac:dyDescent="0.25">
      <c r="A247" s="48" t="s">
        <v>190</v>
      </c>
      <c r="B247" s="49" t="s">
        <v>234</v>
      </c>
      <c r="C247" s="49" t="s">
        <v>143</v>
      </c>
      <c r="D247" s="50" t="s">
        <v>279</v>
      </c>
      <c r="E247" s="51">
        <v>4542.8806999999997</v>
      </c>
      <c r="F247" s="51">
        <v>4542.8806999999997</v>
      </c>
      <c r="G247" s="51">
        <v>83266.094318000003</v>
      </c>
      <c r="H247" s="56">
        <v>5.4558589990427167E-4</v>
      </c>
      <c r="I247" s="57">
        <v>6.54703079885126E-3</v>
      </c>
    </row>
    <row r="248" spans="1:9" x14ac:dyDescent="0.25">
      <c r="A248" s="42" t="s">
        <v>65</v>
      </c>
      <c r="B248" s="43" t="s">
        <v>66</v>
      </c>
      <c r="C248" s="43" t="s">
        <v>67</v>
      </c>
      <c r="D248" s="44" t="s">
        <v>279</v>
      </c>
      <c r="E248" s="45">
        <v>61826.887900000002</v>
      </c>
      <c r="F248" s="45">
        <v>61826.887900000002</v>
      </c>
      <c r="G248" s="45">
        <v>2191702.7814930002</v>
      </c>
      <c r="H248" s="58">
        <v>2.8209522031031589E-4</v>
      </c>
      <c r="I248" s="59">
        <v>3.3851426437237907E-3</v>
      </c>
    </row>
    <row r="249" spans="1:9" x14ac:dyDescent="0.25">
      <c r="A249" s="48" t="s">
        <v>131</v>
      </c>
      <c r="B249" s="49" t="s">
        <v>132</v>
      </c>
      <c r="C249" s="49" t="s">
        <v>67</v>
      </c>
      <c r="D249" s="50" t="s">
        <v>279</v>
      </c>
      <c r="E249" s="51">
        <v>65905.000400000004</v>
      </c>
      <c r="F249" s="51">
        <v>65905.000400000004</v>
      </c>
      <c r="G249" s="51">
        <v>409937.58608599997</v>
      </c>
      <c r="H249" s="56">
        <v>1.6076837703331241E-3</v>
      </c>
      <c r="I249" s="57">
        <v>1.9292205243997489E-2</v>
      </c>
    </row>
    <row r="250" spans="1:9" x14ac:dyDescent="0.25">
      <c r="A250" s="42" t="s">
        <v>82</v>
      </c>
      <c r="B250" s="43" t="s">
        <v>83</v>
      </c>
      <c r="C250" s="43" t="s">
        <v>230</v>
      </c>
      <c r="D250" s="44" t="s">
        <v>279</v>
      </c>
      <c r="E250" s="45">
        <v>47830.525399999999</v>
      </c>
      <c r="F250" s="45">
        <v>47830.525399999999</v>
      </c>
      <c r="G250" s="45">
        <v>517338.85451099998</v>
      </c>
      <c r="H250" s="58">
        <v>9.2454925785944418E-4</v>
      </c>
      <c r="I250" s="59">
        <v>1.1094591094313331E-2</v>
      </c>
    </row>
    <row r="251" spans="1:9" x14ac:dyDescent="0.25">
      <c r="A251" s="48" t="s">
        <v>68</v>
      </c>
      <c r="B251" s="49" t="s">
        <v>69</v>
      </c>
      <c r="C251" s="49" t="s">
        <v>143</v>
      </c>
      <c r="D251" s="50" t="s">
        <v>279</v>
      </c>
      <c r="E251" s="51">
        <v>29555.426899999999</v>
      </c>
      <c r="F251" s="51">
        <v>29555.426899999999</v>
      </c>
      <c r="G251" s="51">
        <v>594120.85486700002</v>
      </c>
      <c r="H251" s="56">
        <v>4.9746489553234552E-4</v>
      </c>
      <c r="I251" s="57">
        <v>5.9695787463881463E-3</v>
      </c>
    </row>
    <row r="252" spans="1:9" x14ac:dyDescent="0.25">
      <c r="A252" s="42" t="s">
        <v>79</v>
      </c>
      <c r="B252" s="43" t="s">
        <v>80</v>
      </c>
      <c r="C252" s="43" t="s">
        <v>81</v>
      </c>
      <c r="D252" s="44" t="s">
        <v>279</v>
      </c>
      <c r="E252" s="45">
        <v>16793.179100000001</v>
      </c>
      <c r="F252" s="45">
        <v>16793.179100000001</v>
      </c>
      <c r="G252" s="45">
        <v>108390.69353399999</v>
      </c>
      <c r="H252" s="58">
        <v>1.5493192775570088E-3</v>
      </c>
      <c r="I252" s="59">
        <v>1.8591831330684105E-2</v>
      </c>
    </row>
    <row r="253" spans="1:9" x14ac:dyDescent="0.25">
      <c r="A253" s="48" t="s">
        <v>114</v>
      </c>
      <c r="B253" s="49" t="s">
        <v>115</v>
      </c>
      <c r="C253" s="49" t="s">
        <v>226</v>
      </c>
      <c r="D253" s="50" t="s">
        <v>279</v>
      </c>
      <c r="E253" s="51">
        <v>10777.33</v>
      </c>
      <c r="F253" s="51">
        <v>10777.33</v>
      </c>
      <c r="G253" s="51">
        <v>570951.08870299999</v>
      </c>
      <c r="H253" s="56">
        <v>1.8876100270659438E-4</v>
      </c>
      <c r="I253" s="57">
        <v>2.2651320324791327E-3</v>
      </c>
    </row>
    <row r="254" spans="1:9" x14ac:dyDescent="0.25">
      <c r="A254" s="42" t="s">
        <v>146</v>
      </c>
      <c r="B254" s="43" t="s">
        <v>147</v>
      </c>
      <c r="C254" s="43" t="s">
        <v>226</v>
      </c>
      <c r="D254" s="44" t="s">
        <v>279</v>
      </c>
      <c r="E254" s="45">
        <v>1295.9775</v>
      </c>
      <c r="F254" s="45">
        <v>1295.9775</v>
      </c>
      <c r="G254" s="45">
        <v>155165.80579800002</v>
      </c>
      <c r="H254" s="58">
        <v>8.3522106777001281E-5</v>
      </c>
      <c r="I254" s="59">
        <v>1.0022652813240153E-3</v>
      </c>
    </row>
    <row r="255" spans="1:9" x14ac:dyDescent="0.25">
      <c r="A255" s="48" t="s">
        <v>90</v>
      </c>
      <c r="B255" s="49" t="s">
        <v>91</v>
      </c>
      <c r="C255" s="49" t="s">
        <v>81</v>
      </c>
      <c r="D255" s="50" t="s">
        <v>279</v>
      </c>
      <c r="E255" s="51">
        <v>30041.9797</v>
      </c>
      <c r="F255" s="51">
        <v>30041.9797</v>
      </c>
      <c r="G255" s="51">
        <v>839826.39101100003</v>
      </c>
      <c r="H255" s="56">
        <v>3.5771654739064415E-4</v>
      </c>
      <c r="I255" s="57">
        <v>4.2925985686877296E-3</v>
      </c>
    </row>
    <row r="256" spans="1:9" x14ac:dyDescent="0.25">
      <c r="A256" s="42" t="s">
        <v>98</v>
      </c>
      <c r="B256" s="43" t="s">
        <v>99</v>
      </c>
      <c r="C256" s="43" t="s">
        <v>81</v>
      </c>
      <c r="D256" s="44" t="s">
        <v>279</v>
      </c>
      <c r="E256" s="45">
        <v>2115.8989999999999</v>
      </c>
      <c r="F256" s="45">
        <v>2115.8989999999999</v>
      </c>
      <c r="G256" s="45">
        <v>157841.017223</v>
      </c>
      <c r="H256" s="58">
        <v>1.3405254459369253E-4</v>
      </c>
      <c r="I256" s="59">
        <v>1.6086305351243103E-3</v>
      </c>
    </row>
    <row r="257" spans="1:9" x14ac:dyDescent="0.25">
      <c r="A257" s="48" t="s">
        <v>120</v>
      </c>
      <c r="B257" s="49" t="s">
        <v>268</v>
      </c>
      <c r="C257" s="49" t="s">
        <v>143</v>
      </c>
      <c r="D257" s="50" t="s">
        <v>279</v>
      </c>
      <c r="E257" s="51">
        <v>27370.1113</v>
      </c>
      <c r="F257" s="51">
        <v>27370.1113</v>
      </c>
      <c r="G257" s="51">
        <v>505363.91443499998</v>
      </c>
      <c r="H257" s="56">
        <v>5.4159211843607705E-4</v>
      </c>
      <c r="I257" s="57">
        <v>6.4991054212329251E-3</v>
      </c>
    </row>
    <row r="258" spans="1:9" x14ac:dyDescent="0.25">
      <c r="A258" s="42" t="s">
        <v>106</v>
      </c>
      <c r="B258" s="43" t="s">
        <v>107</v>
      </c>
      <c r="C258" s="43" t="s">
        <v>143</v>
      </c>
      <c r="D258" s="44" t="s">
        <v>279</v>
      </c>
      <c r="E258" s="45">
        <v>100339.00930000001</v>
      </c>
      <c r="F258" s="45">
        <v>100339.00930000001</v>
      </c>
      <c r="G258" s="45">
        <v>707340.75329400005</v>
      </c>
      <c r="H258" s="58">
        <v>1.4185385025920452E-3</v>
      </c>
      <c r="I258" s="59">
        <v>1.7022462031104545E-2</v>
      </c>
    </row>
    <row r="259" spans="1:9" x14ac:dyDescent="0.25">
      <c r="A259" s="48" t="s">
        <v>206</v>
      </c>
      <c r="B259" s="49" t="s">
        <v>251</v>
      </c>
      <c r="C259" s="49" t="s">
        <v>230</v>
      </c>
      <c r="D259" s="50" t="s">
        <v>279</v>
      </c>
      <c r="E259" s="51">
        <v>352.23309999999998</v>
      </c>
      <c r="F259" s="51">
        <v>352.23309999999998</v>
      </c>
      <c r="G259" s="51">
        <v>50415.649132999999</v>
      </c>
      <c r="H259" s="56">
        <v>6.9865826594989284E-5</v>
      </c>
      <c r="I259" s="57">
        <v>8.3838991913987135E-4</v>
      </c>
    </row>
    <row r="260" spans="1:9" x14ac:dyDescent="0.25">
      <c r="A260" s="42" t="s">
        <v>54</v>
      </c>
      <c r="B260" s="43" t="s">
        <v>55</v>
      </c>
      <c r="C260" s="43" t="s">
        <v>143</v>
      </c>
      <c r="D260" s="44" t="s">
        <v>279</v>
      </c>
      <c r="E260" s="45">
        <v>18085.406900000002</v>
      </c>
      <c r="F260" s="45">
        <v>18085.406900000002</v>
      </c>
      <c r="G260" s="45">
        <v>548909.96154100006</v>
      </c>
      <c r="H260" s="58">
        <v>3.2947856965880805E-4</v>
      </c>
      <c r="I260" s="59">
        <v>3.9537428359056968E-3</v>
      </c>
    </row>
    <row r="261" spans="1:9" x14ac:dyDescent="0.25">
      <c r="A261" s="48" t="s">
        <v>94</v>
      </c>
      <c r="B261" s="49" t="s">
        <v>95</v>
      </c>
      <c r="C261" s="49" t="s">
        <v>152</v>
      </c>
      <c r="D261" s="50" t="s">
        <v>279</v>
      </c>
      <c r="E261" s="51">
        <v>127145.87420000001</v>
      </c>
      <c r="F261" s="51">
        <v>127145.87420000001</v>
      </c>
      <c r="G261" s="51">
        <v>632990.13665400003</v>
      </c>
      <c r="H261" s="56">
        <v>2.0086549037256081E-3</v>
      </c>
      <c r="I261" s="57">
        <v>2.4103858844707296E-2</v>
      </c>
    </row>
    <row r="262" spans="1:9" x14ac:dyDescent="0.25">
      <c r="A262" s="42" t="s">
        <v>170</v>
      </c>
      <c r="B262" s="43" t="s">
        <v>171</v>
      </c>
      <c r="C262" s="43" t="s">
        <v>81</v>
      </c>
      <c r="D262" s="44" t="s">
        <v>279</v>
      </c>
      <c r="E262" s="45">
        <v>13135.125599999999</v>
      </c>
      <c r="F262" s="45">
        <v>13135.125599999999</v>
      </c>
      <c r="G262" s="45">
        <v>21490.720758000003</v>
      </c>
      <c r="H262" s="58">
        <v>6.1119986378820722E-3</v>
      </c>
      <c r="I262" s="59">
        <v>7.334398365458486E-2</v>
      </c>
    </row>
    <row r="263" spans="1:9" x14ac:dyDescent="0.25">
      <c r="A263" s="48" t="s">
        <v>205</v>
      </c>
      <c r="B263" s="49" t="s">
        <v>250</v>
      </c>
      <c r="C263" s="49" t="s">
        <v>152</v>
      </c>
      <c r="D263" s="50" t="s">
        <v>279</v>
      </c>
      <c r="E263" s="51">
        <v>2347.7033000000001</v>
      </c>
      <c r="F263" s="51">
        <v>2347.7033000000001</v>
      </c>
      <c r="G263" s="51">
        <v>159856.983266</v>
      </c>
      <c r="H263" s="56">
        <v>1.4686273017509979E-4</v>
      </c>
      <c r="I263" s="57">
        <v>1.7623527621011975E-3</v>
      </c>
    </row>
    <row r="264" spans="1:9" x14ac:dyDescent="0.25">
      <c r="A264" s="42" t="s">
        <v>148</v>
      </c>
      <c r="B264" s="43" t="s">
        <v>149</v>
      </c>
      <c r="C264" s="43" t="s">
        <v>226</v>
      </c>
      <c r="D264" s="44" t="s">
        <v>279</v>
      </c>
      <c r="E264" s="45">
        <v>2773.5425</v>
      </c>
      <c r="F264" s="45">
        <v>2773.5425</v>
      </c>
      <c r="G264" s="45">
        <v>104444.84179400001</v>
      </c>
      <c r="H264" s="58">
        <v>2.6555093122457394E-4</v>
      </c>
      <c r="I264" s="59">
        <v>3.1866111746948872E-3</v>
      </c>
    </row>
    <row r="265" spans="1:9" x14ac:dyDescent="0.25">
      <c r="A265" s="48" t="s">
        <v>102</v>
      </c>
      <c r="B265" s="49" t="s">
        <v>271</v>
      </c>
      <c r="C265" s="49" t="s">
        <v>152</v>
      </c>
      <c r="D265" s="50" t="s">
        <v>279</v>
      </c>
      <c r="E265" s="51">
        <v>6988.9151000000002</v>
      </c>
      <c r="F265" s="51">
        <v>6988.9151000000002</v>
      </c>
      <c r="G265" s="51">
        <v>237609.51310899999</v>
      </c>
      <c r="H265" s="56">
        <v>2.9413448176184487E-4</v>
      </c>
      <c r="I265" s="57">
        <v>3.5296137811421384E-3</v>
      </c>
    </row>
    <row r="266" spans="1:9" x14ac:dyDescent="0.25">
      <c r="A266" s="42" t="s">
        <v>86</v>
      </c>
      <c r="B266" s="43" t="s">
        <v>87</v>
      </c>
      <c r="C266" s="43" t="s">
        <v>152</v>
      </c>
      <c r="D266" s="44" t="s">
        <v>279</v>
      </c>
      <c r="E266" s="45">
        <v>63709.877200000003</v>
      </c>
      <c r="F266" s="45">
        <v>63709.877200000003</v>
      </c>
      <c r="G266" s="45">
        <v>795460.44325299992</v>
      </c>
      <c r="H266" s="58">
        <v>8.0091823220600775E-4</v>
      </c>
      <c r="I266" s="59">
        <v>9.611018786472093E-3</v>
      </c>
    </row>
    <row r="267" spans="1:9" x14ac:dyDescent="0.25">
      <c r="A267" s="48" t="s">
        <v>124</v>
      </c>
      <c r="B267" s="49" t="s">
        <v>125</v>
      </c>
      <c r="C267" s="49" t="s">
        <v>152</v>
      </c>
      <c r="D267" s="50" t="s">
        <v>279</v>
      </c>
      <c r="E267" s="51">
        <v>44657.099099999999</v>
      </c>
      <c r="F267" s="51">
        <v>44657.099099999999</v>
      </c>
      <c r="G267" s="51">
        <v>423803.287962</v>
      </c>
      <c r="H267" s="56">
        <v>1.0537223369537459E-3</v>
      </c>
      <c r="I267" s="57">
        <v>1.264466804344495E-2</v>
      </c>
    </row>
    <row r="268" spans="1:9" x14ac:dyDescent="0.25">
      <c r="A268" s="42" t="s">
        <v>200</v>
      </c>
      <c r="B268" s="43" t="s">
        <v>244</v>
      </c>
      <c r="C268" s="43" t="s">
        <v>230</v>
      </c>
      <c r="D268" s="44" t="s">
        <v>279</v>
      </c>
      <c r="E268" s="45">
        <v>7489.3271000000004</v>
      </c>
      <c r="F268" s="45">
        <v>7489.3271000000004</v>
      </c>
      <c r="G268" s="45">
        <v>174483.78839</v>
      </c>
      <c r="H268" s="58">
        <v>4.2922767605550386E-4</v>
      </c>
      <c r="I268" s="59">
        <v>5.1507321126660465E-3</v>
      </c>
    </row>
    <row r="269" spans="1:9" x14ac:dyDescent="0.25">
      <c r="A269" s="48" t="s">
        <v>63</v>
      </c>
      <c r="B269" s="49" t="s">
        <v>64</v>
      </c>
      <c r="C269" s="49" t="s">
        <v>143</v>
      </c>
      <c r="D269" s="50" t="s">
        <v>279</v>
      </c>
      <c r="E269" s="51">
        <v>22814.743200000001</v>
      </c>
      <c r="F269" s="51">
        <v>22814.743200000001</v>
      </c>
      <c r="G269" s="51">
        <v>647528.33060099999</v>
      </c>
      <c r="H269" s="56">
        <v>3.5233583029216061E-4</v>
      </c>
      <c r="I269" s="57">
        <v>4.2280299635059273E-3</v>
      </c>
    </row>
    <row r="270" spans="1:9" x14ac:dyDescent="0.25">
      <c r="A270" s="42" t="s">
        <v>61</v>
      </c>
      <c r="B270" s="43" t="s">
        <v>62</v>
      </c>
      <c r="C270" s="43" t="s">
        <v>226</v>
      </c>
      <c r="D270" s="44" t="s">
        <v>279</v>
      </c>
      <c r="E270" s="45">
        <v>9450.7787000000008</v>
      </c>
      <c r="F270" s="45">
        <v>9450.7787000000008</v>
      </c>
      <c r="G270" s="45">
        <v>225879.17627500001</v>
      </c>
      <c r="H270" s="58">
        <v>4.1839973280644553E-4</v>
      </c>
      <c r="I270" s="59">
        <v>5.0207967936773462E-3</v>
      </c>
    </row>
    <row r="271" spans="1:9" x14ac:dyDescent="0.25">
      <c r="A271" s="48" t="s">
        <v>76</v>
      </c>
      <c r="B271" s="49" t="s">
        <v>77</v>
      </c>
      <c r="C271" s="49" t="s">
        <v>152</v>
      </c>
      <c r="D271" s="50" t="s">
        <v>279</v>
      </c>
      <c r="E271" s="51">
        <v>42947.670700000002</v>
      </c>
      <c r="F271" s="51">
        <v>42947.670700000002</v>
      </c>
      <c r="G271" s="51">
        <v>344735.58182099997</v>
      </c>
      <c r="H271" s="56">
        <v>1.2458148495475031E-3</v>
      </c>
      <c r="I271" s="57">
        <v>1.4949778194570038E-2</v>
      </c>
    </row>
    <row r="272" spans="1:9" x14ac:dyDescent="0.25">
      <c r="A272" s="42" t="s">
        <v>163</v>
      </c>
      <c r="B272" s="43" t="s">
        <v>164</v>
      </c>
      <c r="C272" s="43" t="s">
        <v>67</v>
      </c>
      <c r="D272" s="44" t="s">
        <v>279</v>
      </c>
      <c r="E272" s="45">
        <v>798.99099999999999</v>
      </c>
      <c r="F272" s="45">
        <v>798.99099999999999</v>
      </c>
      <c r="G272" s="45">
        <v>9724.1353820000004</v>
      </c>
      <c r="H272" s="58">
        <v>8.2165762673253571E-4</v>
      </c>
      <c r="I272" s="59">
        <v>9.859891520790429E-3</v>
      </c>
    </row>
    <row r="273" spans="1:9" x14ac:dyDescent="0.25">
      <c r="A273" s="48" t="s">
        <v>204</v>
      </c>
      <c r="B273" s="49" t="s">
        <v>89</v>
      </c>
      <c r="C273" s="49" t="s">
        <v>152</v>
      </c>
      <c r="D273" s="50" t="s">
        <v>279</v>
      </c>
      <c r="E273" s="51">
        <v>7563.7383</v>
      </c>
      <c r="F273" s="51">
        <v>7563.7383</v>
      </c>
      <c r="G273" s="51">
        <v>164540.61963</v>
      </c>
      <c r="H273" s="56">
        <v>4.5968821054694358E-4</v>
      </c>
      <c r="I273" s="57">
        <v>5.5162585265633229E-3</v>
      </c>
    </row>
    <row r="274" spans="1:9" x14ac:dyDescent="0.25">
      <c r="A274" s="42" t="s">
        <v>116</v>
      </c>
      <c r="B274" s="43" t="s">
        <v>117</v>
      </c>
      <c r="C274" s="43" t="s">
        <v>143</v>
      </c>
      <c r="D274" s="44" t="s">
        <v>279</v>
      </c>
      <c r="E274" s="45">
        <v>53820.161399999997</v>
      </c>
      <c r="F274" s="45">
        <v>53820.161399999997</v>
      </c>
      <c r="G274" s="45">
        <v>742063.00968600006</v>
      </c>
      <c r="H274" s="58">
        <v>7.2527751279198929E-4</v>
      </c>
      <c r="I274" s="59">
        <v>8.7033301535038715E-3</v>
      </c>
    </row>
    <row r="275" spans="1:9" x14ac:dyDescent="0.25">
      <c r="A275" s="48" t="s">
        <v>112</v>
      </c>
      <c r="B275" s="49" t="s">
        <v>113</v>
      </c>
      <c r="C275" s="49" t="s">
        <v>81</v>
      </c>
      <c r="D275" s="50" t="s">
        <v>279</v>
      </c>
      <c r="E275" s="51">
        <v>40559.7408</v>
      </c>
      <c r="F275" s="51">
        <v>40559.7408</v>
      </c>
      <c r="G275" s="51">
        <v>699519.525288</v>
      </c>
      <c r="H275" s="56">
        <v>5.7982285459867754E-4</v>
      </c>
      <c r="I275" s="57">
        <v>6.9578742551841301E-3</v>
      </c>
    </row>
    <row r="276" spans="1:9" x14ac:dyDescent="0.25">
      <c r="A276" s="42" t="s">
        <v>122</v>
      </c>
      <c r="B276" s="43" t="s">
        <v>123</v>
      </c>
      <c r="C276" s="43" t="s">
        <v>152</v>
      </c>
      <c r="D276" s="44" t="s">
        <v>279</v>
      </c>
      <c r="E276" s="45">
        <v>43497.805800000002</v>
      </c>
      <c r="F276" s="45">
        <v>43497.805800000002</v>
      </c>
      <c r="G276" s="45">
        <v>1055274.035168</v>
      </c>
      <c r="H276" s="58">
        <v>4.1219440970207452E-4</v>
      </c>
      <c r="I276" s="59">
        <v>4.9463329164248938E-3</v>
      </c>
    </row>
    <row r="277" spans="1:9" x14ac:dyDescent="0.25">
      <c r="A277" s="48" t="s">
        <v>203</v>
      </c>
      <c r="B277" s="49" t="s">
        <v>156</v>
      </c>
      <c r="C277" s="49" t="s">
        <v>152</v>
      </c>
      <c r="D277" s="50" t="s">
        <v>279</v>
      </c>
      <c r="E277" s="51">
        <v>3583.5617999999999</v>
      </c>
      <c r="F277" s="51">
        <v>3583.5617999999999</v>
      </c>
      <c r="G277" s="51">
        <v>172965.76922400002</v>
      </c>
      <c r="H277" s="56">
        <v>2.071832950575957E-4</v>
      </c>
      <c r="I277" s="57">
        <v>2.4861995406911487E-3</v>
      </c>
    </row>
    <row r="278" spans="1:9" x14ac:dyDescent="0.25">
      <c r="A278" s="42" t="s">
        <v>197</v>
      </c>
      <c r="B278" s="43" t="s">
        <v>272</v>
      </c>
      <c r="C278" s="43" t="s">
        <v>67</v>
      </c>
      <c r="D278" s="44" t="s">
        <v>279</v>
      </c>
      <c r="E278" s="45">
        <v>2219.1547999999998</v>
      </c>
      <c r="F278" s="45">
        <v>2219.1547999999998</v>
      </c>
      <c r="G278" s="45">
        <v>112643.40318199999</v>
      </c>
      <c r="H278" s="58">
        <v>1.9700708051358063E-4</v>
      </c>
      <c r="I278" s="59">
        <v>2.3640849661629676E-3</v>
      </c>
    </row>
    <row r="279" spans="1:9" x14ac:dyDescent="0.25">
      <c r="A279" s="48" t="s">
        <v>59</v>
      </c>
      <c r="B279" s="49" t="s">
        <v>60</v>
      </c>
      <c r="C279" s="49" t="s">
        <v>143</v>
      </c>
      <c r="D279" s="50" t="s">
        <v>279</v>
      </c>
      <c r="E279" s="51">
        <v>28062.165700000001</v>
      </c>
      <c r="F279" s="51">
        <v>28062.165700000001</v>
      </c>
      <c r="G279" s="51">
        <v>413745.99701300001</v>
      </c>
      <c r="H279" s="56">
        <v>6.7824621634027032E-4</v>
      </c>
      <c r="I279" s="57">
        <v>8.1389545960832439E-3</v>
      </c>
    </row>
    <row r="280" spans="1:9" x14ac:dyDescent="0.25">
      <c r="A280" s="42" t="s">
        <v>202</v>
      </c>
      <c r="B280" s="43" t="s">
        <v>273</v>
      </c>
      <c r="C280" s="43" t="s">
        <v>143</v>
      </c>
      <c r="D280" s="44" t="s">
        <v>279</v>
      </c>
      <c r="E280" s="45">
        <v>309.94510000000002</v>
      </c>
      <c r="F280" s="45">
        <v>309.94510000000002</v>
      </c>
      <c r="G280" s="45">
        <v>14953.680983</v>
      </c>
      <c r="H280" s="58">
        <v>2.0727010316213057E-4</v>
      </c>
      <c r="I280" s="59">
        <v>2.4872412379455667E-3</v>
      </c>
    </row>
    <row r="281" spans="1:9" x14ac:dyDescent="0.25">
      <c r="A281" s="48" t="s">
        <v>70</v>
      </c>
      <c r="B281" s="49" t="s">
        <v>71</v>
      </c>
      <c r="C281" s="49" t="s">
        <v>152</v>
      </c>
      <c r="D281" s="50" t="s">
        <v>279</v>
      </c>
      <c r="E281" s="51">
        <v>46379.520700000001</v>
      </c>
      <c r="F281" s="51">
        <v>46379.520700000001</v>
      </c>
      <c r="G281" s="51">
        <v>385757.83679099998</v>
      </c>
      <c r="H281" s="56">
        <v>1.2022962666375587E-3</v>
      </c>
      <c r="I281" s="57">
        <v>1.4427555199650704E-2</v>
      </c>
    </row>
    <row r="282" spans="1:9" x14ac:dyDescent="0.25">
      <c r="A282" s="42" t="s">
        <v>72</v>
      </c>
      <c r="B282" s="43" t="s">
        <v>73</v>
      </c>
      <c r="C282" s="43" t="s">
        <v>67</v>
      </c>
      <c r="D282" s="44" t="s">
        <v>279</v>
      </c>
      <c r="E282" s="45">
        <v>87112.689199999993</v>
      </c>
      <c r="F282" s="45">
        <v>87112.689199999993</v>
      </c>
      <c r="G282" s="45">
        <v>1729666.8038299999</v>
      </c>
      <c r="H282" s="58">
        <v>5.0363855632256131E-4</v>
      </c>
      <c r="I282" s="59">
        <v>6.0436626758707361E-3</v>
      </c>
    </row>
    <row r="283" spans="1:9" x14ac:dyDescent="0.25">
      <c r="A283" s="48" t="s">
        <v>133</v>
      </c>
      <c r="B283" s="49" t="s">
        <v>134</v>
      </c>
      <c r="C283" s="49" t="s">
        <v>241</v>
      </c>
      <c r="D283" s="50" t="s">
        <v>279</v>
      </c>
      <c r="E283" s="51">
        <v>5777.1704</v>
      </c>
      <c r="F283" s="51">
        <v>5777.1704</v>
      </c>
      <c r="G283" s="51">
        <v>62529.920038999997</v>
      </c>
      <c r="H283" s="56">
        <v>9.2390497163546211E-4</v>
      </c>
      <c r="I283" s="57">
        <v>1.1086859659625546E-2</v>
      </c>
    </row>
    <row r="284" spans="1:9" x14ac:dyDescent="0.25">
      <c r="A284" s="42" t="s">
        <v>118</v>
      </c>
      <c r="B284" s="43" t="s">
        <v>119</v>
      </c>
      <c r="C284" s="43" t="s">
        <v>143</v>
      </c>
      <c r="D284" s="44" t="s">
        <v>279</v>
      </c>
      <c r="E284" s="45">
        <v>14482.5468</v>
      </c>
      <c r="F284" s="45">
        <v>14482.5468</v>
      </c>
      <c r="G284" s="45">
        <v>417357.00610600004</v>
      </c>
      <c r="H284" s="58">
        <v>3.4700619824557904E-4</v>
      </c>
      <c r="I284" s="59">
        <v>4.1640743789469487E-3</v>
      </c>
    </row>
    <row r="285" spans="1:9" x14ac:dyDescent="0.25">
      <c r="A285" s="48" t="s">
        <v>57</v>
      </c>
      <c r="B285" s="49" t="s">
        <v>58</v>
      </c>
      <c r="C285" s="49" t="s">
        <v>230</v>
      </c>
      <c r="D285" s="50" t="s">
        <v>279</v>
      </c>
      <c r="E285" s="51">
        <v>4481.9602999999997</v>
      </c>
      <c r="F285" s="51">
        <v>4481.9602999999997</v>
      </c>
      <c r="G285" s="51">
        <v>108725.30008</v>
      </c>
      <c r="H285" s="56">
        <v>4.1222790801241074E-4</v>
      </c>
      <c r="I285" s="57">
        <v>4.9467348961489289E-3</v>
      </c>
    </row>
    <row r="286" spans="1:9" x14ac:dyDescent="0.25">
      <c r="A286" s="42" t="s">
        <v>157</v>
      </c>
      <c r="B286" s="43" t="s">
        <v>158</v>
      </c>
      <c r="C286" s="43" t="s">
        <v>152</v>
      </c>
      <c r="D286" s="44" t="s">
        <v>279</v>
      </c>
      <c r="E286" s="45">
        <v>1643.9052999999999</v>
      </c>
      <c r="F286" s="45">
        <v>1643.9052999999999</v>
      </c>
      <c r="G286" s="45">
        <v>66969.700727000003</v>
      </c>
      <c r="H286" s="58">
        <v>2.4547000839996748E-4</v>
      </c>
      <c r="I286" s="59">
        <v>2.9456401007996098E-3</v>
      </c>
    </row>
    <row r="287" spans="1:9" x14ac:dyDescent="0.25">
      <c r="A287" s="48" t="s">
        <v>74</v>
      </c>
      <c r="B287" s="49" t="s">
        <v>75</v>
      </c>
      <c r="C287" s="49" t="s">
        <v>67</v>
      </c>
      <c r="D287" s="50" t="s">
        <v>279</v>
      </c>
      <c r="E287" s="51">
        <v>661.42439999999999</v>
      </c>
      <c r="F287" s="51">
        <v>661.42439999999999</v>
      </c>
      <c r="G287" s="51">
        <v>441140.29960100004</v>
      </c>
      <c r="H287" s="56">
        <v>1.499351568193251E-5</v>
      </c>
      <c r="I287" s="57">
        <v>1.7992218818319012E-4</v>
      </c>
    </row>
    <row r="288" spans="1:9" x14ac:dyDescent="0.25">
      <c r="A288" s="42" t="s">
        <v>96</v>
      </c>
      <c r="B288" s="43" t="s">
        <v>97</v>
      </c>
      <c r="C288" s="43" t="s">
        <v>81</v>
      </c>
      <c r="D288" s="44" t="s">
        <v>279</v>
      </c>
      <c r="E288" s="45">
        <v>33709.547200000001</v>
      </c>
      <c r="F288" s="45">
        <v>33709.547200000001</v>
      </c>
      <c r="G288" s="45">
        <v>266803.57281899999</v>
      </c>
      <c r="H288" s="58">
        <v>1.2634593624002411E-3</v>
      </c>
      <c r="I288" s="59">
        <v>1.5161512348802893E-2</v>
      </c>
    </row>
    <row r="289" spans="1:9" x14ac:dyDescent="0.25">
      <c r="A289" s="48" t="s">
        <v>196</v>
      </c>
      <c r="B289" s="49" t="s">
        <v>245</v>
      </c>
      <c r="C289" s="49" t="s">
        <v>143</v>
      </c>
      <c r="D289" s="50" t="s">
        <v>279</v>
      </c>
      <c r="E289" s="51">
        <v>1.1788000000000001</v>
      </c>
      <c r="F289" s="51">
        <v>1.1788000000000001</v>
      </c>
      <c r="G289" s="51">
        <v>131.435453</v>
      </c>
      <c r="H289" s="52">
        <v>0</v>
      </c>
      <c r="I289" s="53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9840-89F4-4316-8C19-FD2BDD2895DD}">
  <dimension ref="A1:I273"/>
  <sheetViews>
    <sheetView workbookViewId="0">
      <selection activeCell="F1" sqref="F1"/>
    </sheetView>
  </sheetViews>
  <sheetFormatPr defaultRowHeight="15" x14ac:dyDescent="0.25"/>
  <cols>
    <col min="1" max="1" width="27.5703125" bestFit="1" customWidth="1"/>
    <col min="2" max="2" width="24.85546875" bestFit="1" customWidth="1"/>
    <col min="3" max="3" width="13.5703125" bestFit="1" customWidth="1"/>
    <col min="4" max="4" width="8" bestFit="1" customWidth="1"/>
    <col min="5" max="5" width="16.140625" bestFit="1" customWidth="1"/>
    <col min="6" max="6" width="18.140625" bestFit="1" customWidth="1"/>
    <col min="7" max="7" width="30.5703125" bestFit="1" customWidth="1"/>
    <col min="8" max="8" width="8.140625" bestFit="1" customWidth="1"/>
    <col min="9" max="9" width="14.7109375" bestFit="1" customWidth="1"/>
  </cols>
  <sheetData>
    <row r="1" spans="1:9" x14ac:dyDescent="0.25">
      <c r="A1" s="37" t="s">
        <v>260</v>
      </c>
      <c r="B1" s="38" t="s">
        <v>187</v>
      </c>
      <c r="C1" s="38" t="s">
        <v>40</v>
      </c>
      <c r="D1" s="39" t="s">
        <v>221</v>
      </c>
      <c r="E1" s="38" t="s">
        <v>261</v>
      </c>
      <c r="F1" s="40" t="s">
        <v>262</v>
      </c>
      <c r="G1" s="38" t="s">
        <v>263</v>
      </c>
      <c r="H1" s="38" t="s">
        <v>264</v>
      </c>
      <c r="I1" s="41" t="s">
        <v>265</v>
      </c>
    </row>
    <row r="2" spans="1:9" x14ac:dyDescent="0.25">
      <c r="A2" s="42" t="s">
        <v>100</v>
      </c>
      <c r="B2" s="43" t="s">
        <v>100</v>
      </c>
      <c r="C2" s="43" t="s">
        <v>152</v>
      </c>
      <c r="D2" s="44" t="s">
        <v>280</v>
      </c>
      <c r="E2" s="45">
        <v>531.83820000000003</v>
      </c>
      <c r="F2" s="45">
        <v>531.83820000000003</v>
      </c>
      <c r="G2" s="45">
        <v>25045.737416</v>
      </c>
      <c r="H2" s="46">
        <v>2.1234679225705095E-4</v>
      </c>
      <c r="I2" s="47">
        <v>2.5481615070846115E-3</v>
      </c>
    </row>
    <row r="3" spans="1:9" x14ac:dyDescent="0.25">
      <c r="A3" s="48" t="s">
        <v>207</v>
      </c>
      <c r="B3" s="49" t="s">
        <v>129</v>
      </c>
      <c r="C3" s="49" t="s">
        <v>67</v>
      </c>
      <c r="D3" s="50" t="s">
        <v>280</v>
      </c>
      <c r="E3" s="51">
        <v>120038.3603</v>
      </c>
      <c r="F3" s="51">
        <v>120038.3603</v>
      </c>
      <c r="G3" s="51">
        <v>1645803.64815</v>
      </c>
      <c r="H3" s="52">
        <v>7.2936015444449666E-4</v>
      </c>
      <c r="I3" s="53">
        <v>8.7523218533339595E-3</v>
      </c>
    </row>
    <row r="4" spans="1:9" x14ac:dyDescent="0.25">
      <c r="A4" s="42" t="s">
        <v>190</v>
      </c>
      <c r="B4" s="43" t="s">
        <v>234</v>
      </c>
      <c r="C4" s="43" t="s">
        <v>143</v>
      </c>
      <c r="D4" s="44" t="s">
        <v>280</v>
      </c>
      <c r="E4" s="45">
        <v>4491.473</v>
      </c>
      <c r="F4" s="45">
        <v>4491.473</v>
      </c>
      <c r="G4" s="45">
        <v>94618.062730999998</v>
      </c>
      <c r="H4" s="46">
        <v>4.7469509207446976E-4</v>
      </c>
      <c r="I4" s="47">
        <v>5.6963411048936369E-3</v>
      </c>
    </row>
    <row r="5" spans="1:9" x14ac:dyDescent="0.25">
      <c r="A5" s="48" t="s">
        <v>65</v>
      </c>
      <c r="B5" s="49" t="s">
        <v>66</v>
      </c>
      <c r="C5" s="49" t="s">
        <v>67</v>
      </c>
      <c r="D5" s="50" t="s">
        <v>280</v>
      </c>
      <c r="E5" s="51">
        <v>115441.5126</v>
      </c>
      <c r="F5" s="51">
        <v>115441.5126</v>
      </c>
      <c r="G5" s="51">
        <v>2611322.3876200002</v>
      </c>
      <c r="H5" s="52">
        <v>4.4208066053925721E-4</v>
      </c>
      <c r="I5" s="53">
        <v>5.3049679264710863E-3</v>
      </c>
    </row>
    <row r="6" spans="1:9" x14ac:dyDescent="0.25">
      <c r="A6" s="42" t="s">
        <v>131</v>
      </c>
      <c r="B6" s="43" t="s">
        <v>132</v>
      </c>
      <c r="C6" s="43" t="s">
        <v>67</v>
      </c>
      <c r="D6" s="44" t="s">
        <v>280</v>
      </c>
      <c r="E6" s="45">
        <v>170042.99460000001</v>
      </c>
      <c r="F6" s="45">
        <v>170042.99460000001</v>
      </c>
      <c r="G6" s="45">
        <v>441556.24081600003</v>
      </c>
      <c r="H6" s="46">
        <v>3.8509928947161741E-3</v>
      </c>
      <c r="I6" s="47">
        <v>4.6211914736594091E-2</v>
      </c>
    </row>
    <row r="7" spans="1:9" x14ac:dyDescent="0.25">
      <c r="A7" s="48" t="s">
        <v>82</v>
      </c>
      <c r="B7" s="49" t="s">
        <v>83</v>
      </c>
      <c r="C7" s="49" t="s">
        <v>226</v>
      </c>
      <c r="D7" s="50" t="s">
        <v>280</v>
      </c>
      <c r="E7" s="51">
        <v>27104.804100000001</v>
      </c>
      <c r="F7" s="51">
        <v>27104.804100000001</v>
      </c>
      <c r="G7" s="51">
        <v>592261.34519599995</v>
      </c>
      <c r="H7" s="52">
        <v>4.5764938603295264E-4</v>
      </c>
      <c r="I7" s="53">
        <v>5.4917926323954317E-3</v>
      </c>
    </row>
    <row r="8" spans="1:9" x14ac:dyDescent="0.25">
      <c r="A8" s="42" t="s">
        <v>68</v>
      </c>
      <c r="B8" s="43" t="s">
        <v>69</v>
      </c>
      <c r="C8" s="43" t="s">
        <v>143</v>
      </c>
      <c r="D8" s="44" t="s">
        <v>280</v>
      </c>
      <c r="E8" s="45">
        <v>23539.173200000001</v>
      </c>
      <c r="F8" s="45">
        <v>23539.173200000001</v>
      </c>
      <c r="G8" s="45">
        <v>595013.41741400003</v>
      </c>
      <c r="H8" s="46">
        <v>3.9560743524581483E-4</v>
      </c>
      <c r="I8" s="47">
        <v>4.7472892229497785E-3</v>
      </c>
    </row>
    <row r="9" spans="1:9" x14ac:dyDescent="0.25">
      <c r="A9" s="48" t="s">
        <v>79</v>
      </c>
      <c r="B9" s="49" t="s">
        <v>80</v>
      </c>
      <c r="C9" s="49" t="s">
        <v>81</v>
      </c>
      <c r="D9" s="50" t="s">
        <v>280</v>
      </c>
      <c r="E9" s="51">
        <v>17884.498200000002</v>
      </c>
      <c r="F9" s="51">
        <v>17884.498200000002</v>
      </c>
      <c r="G9" s="51">
        <v>107603.334573</v>
      </c>
      <c r="H9" s="52">
        <v>1.6620765769918445E-3</v>
      </c>
      <c r="I9" s="53">
        <v>1.9944918923902134E-2</v>
      </c>
    </row>
    <row r="10" spans="1:9" x14ac:dyDescent="0.25">
      <c r="A10" s="42" t="s">
        <v>114</v>
      </c>
      <c r="B10" s="43" t="s">
        <v>115</v>
      </c>
      <c r="C10" s="43" t="s">
        <v>226</v>
      </c>
      <c r="D10" s="44" t="s">
        <v>280</v>
      </c>
      <c r="E10" s="45">
        <v>18143.642400000001</v>
      </c>
      <c r="F10" s="45">
        <v>18143.642400000001</v>
      </c>
      <c r="G10" s="45">
        <v>570077.88056700001</v>
      </c>
      <c r="H10" s="46">
        <v>3.1826603028263989E-4</v>
      </c>
      <c r="I10" s="47">
        <v>3.8191923633916786E-3</v>
      </c>
    </row>
    <row r="11" spans="1:9" x14ac:dyDescent="0.25">
      <c r="A11" s="48" t="s">
        <v>146</v>
      </c>
      <c r="B11" s="49" t="s">
        <v>147</v>
      </c>
      <c r="C11" s="49" t="s">
        <v>81</v>
      </c>
      <c r="D11" s="50" t="s">
        <v>280</v>
      </c>
      <c r="E11" s="51">
        <v>1404.0079000000001</v>
      </c>
      <c r="F11" s="51">
        <v>1404.0079000000001</v>
      </c>
      <c r="G11" s="51">
        <v>157803.78092700001</v>
      </c>
      <c r="H11" s="52">
        <v>8.8971752878943609E-5</v>
      </c>
      <c r="I11" s="53">
        <v>1.0676610345473232E-3</v>
      </c>
    </row>
    <row r="12" spans="1:9" x14ac:dyDescent="0.25">
      <c r="A12" s="42" t="s">
        <v>45</v>
      </c>
      <c r="B12" s="43" t="s">
        <v>45</v>
      </c>
      <c r="C12" s="43" t="s">
        <v>152</v>
      </c>
      <c r="D12" s="44" t="s">
        <v>280</v>
      </c>
      <c r="E12" s="45">
        <v>3099.1127999999999</v>
      </c>
      <c r="F12" s="45">
        <v>3099.1127999999999</v>
      </c>
      <c r="G12" s="45">
        <v>141434.17138800002</v>
      </c>
      <c r="H12" s="46">
        <v>2.1912051165472055E-4</v>
      </c>
      <c r="I12" s="47">
        <v>2.6294461398566468E-3</v>
      </c>
    </row>
    <row r="13" spans="1:9" x14ac:dyDescent="0.25">
      <c r="A13" s="48" t="s">
        <v>90</v>
      </c>
      <c r="B13" s="49" t="s">
        <v>91</v>
      </c>
      <c r="C13" s="49" t="s">
        <v>81</v>
      </c>
      <c r="D13" s="50" t="s">
        <v>280</v>
      </c>
      <c r="E13" s="51">
        <v>40965.817799999997</v>
      </c>
      <c r="F13" s="51">
        <v>40965.817799999997</v>
      </c>
      <c r="G13" s="51">
        <v>822597.35664599994</v>
      </c>
      <c r="H13" s="52">
        <v>4.9800570678990648E-4</v>
      </c>
      <c r="I13" s="53">
        <v>5.9760684814788778E-3</v>
      </c>
    </row>
    <row r="14" spans="1:9" x14ac:dyDescent="0.25">
      <c r="A14" s="42" t="s">
        <v>98</v>
      </c>
      <c r="B14" s="43" t="s">
        <v>99</v>
      </c>
      <c r="C14" s="43" t="s">
        <v>81</v>
      </c>
      <c r="D14" s="44" t="s">
        <v>280</v>
      </c>
      <c r="E14" s="45">
        <v>41759.052199999998</v>
      </c>
      <c r="F14" s="45">
        <v>41759.052199999998</v>
      </c>
      <c r="G14" s="45">
        <v>181566.27405900002</v>
      </c>
      <c r="H14" s="46">
        <v>2.2999344132837345E-3</v>
      </c>
      <c r="I14" s="47">
        <v>2.7599212959404814E-2</v>
      </c>
    </row>
    <row r="15" spans="1:9" x14ac:dyDescent="0.25">
      <c r="A15" s="48" t="s">
        <v>120</v>
      </c>
      <c r="B15" s="49" t="s">
        <v>268</v>
      </c>
      <c r="C15" s="49" t="s">
        <v>143</v>
      </c>
      <c r="D15" s="50" t="s">
        <v>280</v>
      </c>
      <c r="E15" s="51">
        <v>28375.873200000002</v>
      </c>
      <c r="F15" s="51">
        <v>28375.873200000002</v>
      </c>
      <c r="G15" s="51">
        <v>526495.84266000008</v>
      </c>
      <c r="H15" s="52">
        <v>5.3895721296938221E-4</v>
      </c>
      <c r="I15" s="53">
        <v>6.4674865556325865E-3</v>
      </c>
    </row>
    <row r="16" spans="1:9" x14ac:dyDescent="0.25">
      <c r="A16" s="42" t="s">
        <v>106</v>
      </c>
      <c r="B16" s="43" t="s">
        <v>107</v>
      </c>
      <c r="C16" s="43" t="s">
        <v>143</v>
      </c>
      <c r="D16" s="44" t="s">
        <v>280</v>
      </c>
      <c r="E16" s="45">
        <v>88061.7503</v>
      </c>
      <c r="F16" s="45">
        <v>88061.7503</v>
      </c>
      <c r="G16" s="45">
        <v>758931.43000400008</v>
      </c>
      <c r="H16" s="46">
        <v>1.1603386922522877E-3</v>
      </c>
      <c r="I16" s="47">
        <v>1.3924064307027452E-2</v>
      </c>
    </row>
    <row r="17" spans="1:9" x14ac:dyDescent="0.25">
      <c r="A17" s="48" t="s">
        <v>206</v>
      </c>
      <c r="B17" s="49" t="s">
        <v>251</v>
      </c>
      <c r="C17" s="49" t="s">
        <v>226</v>
      </c>
      <c r="D17" s="50" t="s">
        <v>280</v>
      </c>
      <c r="E17" s="51">
        <v>394.37830000000002</v>
      </c>
      <c r="F17" s="51">
        <v>394.37830000000002</v>
      </c>
      <c r="G17" s="51">
        <v>48253.498224000003</v>
      </c>
      <c r="H17" s="52">
        <v>8.1730509603518596E-5</v>
      </c>
      <c r="I17" s="53">
        <v>9.807661152422232E-4</v>
      </c>
    </row>
    <row r="18" spans="1:9" x14ac:dyDescent="0.25">
      <c r="A18" s="42" t="s">
        <v>54</v>
      </c>
      <c r="B18" s="43" t="s">
        <v>55</v>
      </c>
      <c r="C18" s="43" t="s">
        <v>143</v>
      </c>
      <c r="D18" s="44" t="s">
        <v>280</v>
      </c>
      <c r="E18" s="45">
        <v>30915.989399999999</v>
      </c>
      <c r="F18" s="45">
        <v>30915.989399999999</v>
      </c>
      <c r="G18" s="45">
        <v>553423.44826099998</v>
      </c>
      <c r="H18" s="46">
        <v>5.5863172218571615E-4</v>
      </c>
      <c r="I18" s="47">
        <v>6.7035806662285938E-3</v>
      </c>
    </row>
    <row r="19" spans="1:9" x14ac:dyDescent="0.25">
      <c r="A19" s="48" t="s">
        <v>94</v>
      </c>
      <c r="B19" s="49" t="s">
        <v>95</v>
      </c>
      <c r="C19" s="49" t="s">
        <v>152</v>
      </c>
      <c r="D19" s="50" t="s">
        <v>280</v>
      </c>
      <c r="E19" s="51">
        <v>76710.657299999992</v>
      </c>
      <c r="F19" s="51">
        <v>76710.657299999992</v>
      </c>
      <c r="G19" s="51">
        <v>561461.07819000003</v>
      </c>
      <c r="H19" s="52">
        <v>1.3662684784365568E-3</v>
      </c>
      <c r="I19" s="53">
        <v>1.6395221741238683E-2</v>
      </c>
    </row>
    <row r="20" spans="1:9" x14ac:dyDescent="0.25">
      <c r="A20" s="42" t="s">
        <v>170</v>
      </c>
      <c r="B20" s="43" t="s">
        <v>171</v>
      </c>
      <c r="C20" s="43" t="s">
        <v>81</v>
      </c>
      <c r="D20" s="44" t="s">
        <v>280</v>
      </c>
      <c r="E20" s="45">
        <v>6049.3846000000003</v>
      </c>
      <c r="F20" s="45">
        <v>6049.3846000000003</v>
      </c>
      <c r="G20" s="45">
        <v>29009.914810999999</v>
      </c>
      <c r="H20" s="46">
        <v>2.0852817526048682E-3</v>
      </c>
      <c r="I20" s="47">
        <v>2.5023381031258417E-2</v>
      </c>
    </row>
    <row r="21" spans="1:9" x14ac:dyDescent="0.25">
      <c r="A21" s="48" t="s">
        <v>148</v>
      </c>
      <c r="B21" s="49" t="s">
        <v>149</v>
      </c>
      <c r="C21" s="49" t="s">
        <v>226</v>
      </c>
      <c r="D21" s="50" t="s">
        <v>280</v>
      </c>
      <c r="E21" s="51">
        <v>12479.5101</v>
      </c>
      <c r="F21" s="51">
        <v>12479.5101</v>
      </c>
      <c r="G21" s="51">
        <v>103776.71477499999</v>
      </c>
      <c r="H21" s="52">
        <v>1.2025347041537239E-3</v>
      </c>
      <c r="I21" s="53">
        <v>1.4430416449844687E-2</v>
      </c>
    </row>
    <row r="22" spans="1:9" x14ac:dyDescent="0.25">
      <c r="A22" s="42" t="s">
        <v>102</v>
      </c>
      <c r="B22" s="43" t="s">
        <v>271</v>
      </c>
      <c r="C22" s="43" t="s">
        <v>152</v>
      </c>
      <c r="D22" s="44" t="s">
        <v>280</v>
      </c>
      <c r="E22" s="45">
        <v>6235.0320000000002</v>
      </c>
      <c r="F22" s="45">
        <v>6235.0320000000002</v>
      </c>
      <c r="G22" s="45">
        <v>217996.84140500001</v>
      </c>
      <c r="H22" s="46">
        <v>2.8601478626088904E-4</v>
      </c>
      <c r="I22" s="47">
        <v>3.4321774351306683E-3</v>
      </c>
    </row>
    <row r="23" spans="1:9" x14ac:dyDescent="0.25">
      <c r="A23" s="48" t="s">
        <v>86</v>
      </c>
      <c r="B23" s="49" t="s">
        <v>87</v>
      </c>
      <c r="C23" s="49" t="s">
        <v>152</v>
      </c>
      <c r="D23" s="50" t="s">
        <v>280</v>
      </c>
      <c r="E23" s="51">
        <v>80647.223700000002</v>
      </c>
      <c r="F23" s="51">
        <v>80647.223700000002</v>
      </c>
      <c r="G23" s="51">
        <v>763146.27912700002</v>
      </c>
      <c r="H23" s="52">
        <v>1.0567728089070456E-3</v>
      </c>
      <c r="I23" s="53">
        <v>1.2681273706884547E-2</v>
      </c>
    </row>
    <row r="24" spans="1:9" x14ac:dyDescent="0.25">
      <c r="A24" s="42" t="s">
        <v>124</v>
      </c>
      <c r="B24" s="43" t="s">
        <v>125</v>
      </c>
      <c r="C24" s="43" t="s">
        <v>152</v>
      </c>
      <c r="D24" s="44" t="s">
        <v>280</v>
      </c>
      <c r="E24" s="45">
        <v>31563.048999999999</v>
      </c>
      <c r="F24" s="45">
        <v>31563.048999999999</v>
      </c>
      <c r="G24" s="45">
        <v>461850.11249199999</v>
      </c>
      <c r="H24" s="46">
        <v>6.8340459699566978E-4</v>
      </c>
      <c r="I24" s="47">
        <v>8.2008551639480374E-3</v>
      </c>
    </row>
    <row r="25" spans="1:9" x14ac:dyDescent="0.25">
      <c r="A25" s="48" t="s">
        <v>200</v>
      </c>
      <c r="B25" s="49" t="s">
        <v>244</v>
      </c>
      <c r="C25" s="49" t="s">
        <v>226</v>
      </c>
      <c r="D25" s="50" t="s">
        <v>280</v>
      </c>
      <c r="E25" s="51">
        <v>4229.0275000000001</v>
      </c>
      <c r="F25" s="51">
        <v>4229.0275000000001</v>
      </c>
      <c r="G25" s="51">
        <v>10.754263000000002</v>
      </c>
      <c r="H25" s="52">
        <v>3.9324196367524205</v>
      </c>
      <c r="I25" s="53">
        <v>47.189035641029044</v>
      </c>
    </row>
    <row r="26" spans="1:9" x14ac:dyDescent="0.25">
      <c r="A26" s="42" t="s">
        <v>63</v>
      </c>
      <c r="B26" s="43" t="s">
        <v>64</v>
      </c>
      <c r="C26" s="43" t="s">
        <v>143</v>
      </c>
      <c r="D26" s="44" t="s">
        <v>280</v>
      </c>
      <c r="E26" s="45">
        <v>13656.745800000001</v>
      </c>
      <c r="F26" s="45">
        <v>13656.745800000001</v>
      </c>
      <c r="G26" s="45">
        <v>638168.03365800006</v>
      </c>
      <c r="H26" s="46">
        <v>2.1399921462250446E-4</v>
      </c>
      <c r="I26" s="47">
        <v>2.5679905754700536E-3</v>
      </c>
    </row>
    <row r="27" spans="1:9" x14ac:dyDescent="0.25">
      <c r="A27" s="48" t="s">
        <v>61</v>
      </c>
      <c r="B27" s="49" t="s">
        <v>62</v>
      </c>
      <c r="C27" s="49" t="s">
        <v>226</v>
      </c>
      <c r="D27" s="50" t="s">
        <v>280</v>
      </c>
      <c r="E27" s="51">
        <v>8286.7510000000002</v>
      </c>
      <c r="F27" s="51">
        <v>8286.7510000000002</v>
      </c>
      <c r="G27" s="51">
        <v>218029.54355599999</v>
      </c>
      <c r="H27" s="52">
        <v>3.8007468459757535E-4</v>
      </c>
      <c r="I27" s="53">
        <v>4.5608962151709037E-3</v>
      </c>
    </row>
    <row r="28" spans="1:9" x14ac:dyDescent="0.25">
      <c r="A28" s="42" t="s">
        <v>76</v>
      </c>
      <c r="B28" s="43" t="s">
        <v>77</v>
      </c>
      <c r="C28" s="43" t="s">
        <v>152</v>
      </c>
      <c r="D28" s="44" t="s">
        <v>280</v>
      </c>
      <c r="E28" s="45">
        <v>48078.768899999995</v>
      </c>
      <c r="F28" s="45">
        <v>48078.768899999995</v>
      </c>
      <c r="G28" s="45">
        <v>310133.05557700002</v>
      </c>
      <c r="H28" s="46">
        <v>1.5502626384198176E-3</v>
      </c>
      <c r="I28" s="47">
        <v>1.8603151661037813E-2</v>
      </c>
    </row>
    <row r="29" spans="1:9" x14ac:dyDescent="0.25">
      <c r="A29" s="48" t="s">
        <v>208</v>
      </c>
      <c r="B29" s="49" t="s">
        <v>164</v>
      </c>
      <c r="C29" s="49" t="s">
        <v>67</v>
      </c>
      <c r="D29" s="50" t="s">
        <v>280</v>
      </c>
      <c r="E29" s="51">
        <v>2794.9542999999999</v>
      </c>
      <c r="F29" s="51">
        <v>2794.9542999999999</v>
      </c>
      <c r="G29" s="51">
        <v>201197.625218</v>
      </c>
      <c r="H29" s="52">
        <v>1.389158692589753E-4</v>
      </c>
      <c r="I29" s="53">
        <v>1.6669904311077035E-3</v>
      </c>
    </row>
    <row r="30" spans="1:9" x14ac:dyDescent="0.25">
      <c r="A30" s="42" t="s">
        <v>163</v>
      </c>
      <c r="B30" s="43" t="s">
        <v>164</v>
      </c>
      <c r="C30" s="43" t="s">
        <v>67</v>
      </c>
      <c r="D30" s="44" t="s">
        <v>280</v>
      </c>
      <c r="E30" s="45">
        <v>23.575700000000001</v>
      </c>
      <c r="F30" s="45">
        <v>23.575700000000001</v>
      </c>
      <c r="G30" s="45">
        <v>9814.0129940000006</v>
      </c>
      <c r="H30" s="46">
        <v>2.4022487044202499E-5</v>
      </c>
      <c r="I30" s="47">
        <v>2.8826984453042998E-4</v>
      </c>
    </row>
    <row r="31" spans="1:9" x14ac:dyDescent="0.25">
      <c r="A31" s="48" t="s">
        <v>204</v>
      </c>
      <c r="B31" s="49" t="s">
        <v>89</v>
      </c>
      <c r="C31" s="49" t="s">
        <v>152</v>
      </c>
      <c r="D31" s="50" t="s">
        <v>280</v>
      </c>
      <c r="E31" s="51">
        <v>9999.4056999999993</v>
      </c>
      <c r="F31" s="51">
        <v>9999.4056999999993</v>
      </c>
      <c r="G31" s="51">
        <v>196182.22993500001</v>
      </c>
      <c r="H31" s="52">
        <v>5.09699869519938E-4</v>
      </c>
      <c r="I31" s="53">
        <v>6.116398434239256E-3</v>
      </c>
    </row>
    <row r="32" spans="1:9" x14ac:dyDescent="0.25">
      <c r="A32" s="42" t="s">
        <v>116</v>
      </c>
      <c r="B32" s="43" t="s">
        <v>117</v>
      </c>
      <c r="C32" s="43" t="s">
        <v>143</v>
      </c>
      <c r="D32" s="44" t="s">
        <v>280</v>
      </c>
      <c r="E32" s="45">
        <v>56734.591699999997</v>
      </c>
      <c r="F32" s="45">
        <v>56734.591699999997</v>
      </c>
      <c r="G32" s="45">
        <v>750424.20622799988</v>
      </c>
      <c r="H32" s="46">
        <v>7.5603360378226445E-4</v>
      </c>
      <c r="I32" s="47">
        <v>9.0724032453871738E-3</v>
      </c>
    </row>
    <row r="33" spans="1:9" x14ac:dyDescent="0.25">
      <c r="A33" s="48" t="s">
        <v>84</v>
      </c>
      <c r="B33" s="49" t="s">
        <v>85</v>
      </c>
      <c r="C33" s="49" t="s">
        <v>67</v>
      </c>
      <c r="D33" s="50" t="s">
        <v>280</v>
      </c>
      <c r="E33" s="51">
        <v>5445.4588999999996</v>
      </c>
      <c r="F33" s="51">
        <v>5445.4588999999996</v>
      </c>
      <c r="G33" s="51">
        <v>221374.77366799998</v>
      </c>
      <c r="H33" s="52">
        <v>2.4598371394234195E-4</v>
      </c>
      <c r="I33" s="53">
        <v>2.9518045673081034E-3</v>
      </c>
    </row>
    <row r="34" spans="1:9" x14ac:dyDescent="0.25">
      <c r="A34" s="42" t="s">
        <v>112</v>
      </c>
      <c r="B34" s="43" t="s">
        <v>113</v>
      </c>
      <c r="C34" s="43" t="s">
        <v>81</v>
      </c>
      <c r="D34" s="44" t="s">
        <v>280</v>
      </c>
      <c r="E34" s="45">
        <v>25893.3305</v>
      </c>
      <c r="F34" s="45">
        <v>25893.3305</v>
      </c>
      <c r="G34" s="45">
        <v>745915.71469400008</v>
      </c>
      <c r="H34" s="46">
        <v>3.4713480343583216E-4</v>
      </c>
      <c r="I34" s="47">
        <v>4.1656176412299857E-3</v>
      </c>
    </row>
    <row r="35" spans="1:9" x14ac:dyDescent="0.25">
      <c r="A35" s="48" t="s">
        <v>122</v>
      </c>
      <c r="B35" s="49" t="s">
        <v>123</v>
      </c>
      <c r="C35" s="49" t="s">
        <v>152</v>
      </c>
      <c r="D35" s="50" t="s">
        <v>280</v>
      </c>
      <c r="E35" s="51">
        <v>79295.222600000008</v>
      </c>
      <c r="F35" s="51">
        <v>79295.222600000008</v>
      </c>
      <c r="G35" s="51">
        <v>1028259.2360789999</v>
      </c>
      <c r="H35" s="52">
        <v>7.7115983808102504E-4</v>
      </c>
      <c r="I35" s="53">
        <v>9.2539180569723E-3</v>
      </c>
    </row>
    <row r="36" spans="1:9" x14ac:dyDescent="0.25">
      <c r="A36" s="42" t="s">
        <v>203</v>
      </c>
      <c r="B36" s="43" t="s">
        <v>156</v>
      </c>
      <c r="C36" s="43" t="s">
        <v>152</v>
      </c>
      <c r="D36" s="44" t="s">
        <v>280</v>
      </c>
      <c r="E36" s="45">
        <v>4063.5444000000002</v>
      </c>
      <c r="F36" s="45">
        <v>4063.5444000000002</v>
      </c>
      <c r="G36" s="45">
        <v>170379.36464099999</v>
      </c>
      <c r="H36" s="46">
        <v>2.3849979770508849E-4</v>
      </c>
      <c r="I36" s="47">
        <v>2.8619975724610619E-3</v>
      </c>
    </row>
    <row r="37" spans="1:9" x14ac:dyDescent="0.25">
      <c r="A37" s="48" t="s">
        <v>59</v>
      </c>
      <c r="B37" s="49" t="s">
        <v>60</v>
      </c>
      <c r="C37" s="49" t="s">
        <v>143</v>
      </c>
      <c r="D37" s="50" t="s">
        <v>280</v>
      </c>
      <c r="E37" s="51">
        <v>12699.742200000001</v>
      </c>
      <c r="F37" s="51">
        <v>12699.742200000001</v>
      </c>
      <c r="G37" s="51">
        <v>414381.16877499997</v>
      </c>
      <c r="H37" s="52">
        <v>3.0647488730106085E-4</v>
      </c>
      <c r="I37" s="53">
        <v>3.67769864761273E-3</v>
      </c>
    </row>
    <row r="38" spans="1:9" x14ac:dyDescent="0.25">
      <c r="A38" s="42" t="s">
        <v>70</v>
      </c>
      <c r="B38" s="43" t="s">
        <v>71</v>
      </c>
      <c r="C38" s="43" t="s">
        <v>152</v>
      </c>
      <c r="D38" s="44" t="s">
        <v>280</v>
      </c>
      <c r="E38" s="45">
        <v>33007.6351</v>
      </c>
      <c r="F38" s="45">
        <v>33007.6351</v>
      </c>
      <c r="G38" s="45">
        <v>309110.55848499999</v>
      </c>
      <c r="H38" s="46">
        <v>1.067826193378048E-3</v>
      </c>
      <c r="I38" s="47">
        <v>1.2813914320536576E-2</v>
      </c>
    </row>
    <row r="39" spans="1:9" x14ac:dyDescent="0.25">
      <c r="A39" s="48" t="s">
        <v>72</v>
      </c>
      <c r="B39" s="49" t="s">
        <v>73</v>
      </c>
      <c r="C39" s="49" t="s">
        <v>67</v>
      </c>
      <c r="D39" s="50" t="s">
        <v>280</v>
      </c>
      <c r="E39" s="51">
        <v>54799.251199999999</v>
      </c>
      <c r="F39" s="51">
        <v>54799.251199999999</v>
      </c>
      <c r="G39" s="51">
        <v>1754764.907345</v>
      </c>
      <c r="H39" s="52">
        <v>3.1228827845043093E-4</v>
      </c>
      <c r="I39" s="53">
        <v>3.7474593414051714E-3</v>
      </c>
    </row>
    <row r="40" spans="1:9" x14ac:dyDescent="0.25">
      <c r="A40" s="42" t="s">
        <v>133</v>
      </c>
      <c r="B40" s="43" t="s">
        <v>134</v>
      </c>
      <c r="C40" s="43" t="s">
        <v>241</v>
      </c>
      <c r="D40" s="44" t="s">
        <v>280</v>
      </c>
      <c r="E40" s="45">
        <v>5675.7582000000002</v>
      </c>
      <c r="F40" s="45">
        <v>5675.7582000000002</v>
      </c>
      <c r="G40" s="45">
        <v>66887.996540000007</v>
      </c>
      <c r="H40" s="46">
        <v>8.4854659932979363E-4</v>
      </c>
      <c r="I40" s="47">
        <v>1.0182559191957524E-2</v>
      </c>
    </row>
    <row r="41" spans="1:9" x14ac:dyDescent="0.25">
      <c r="A41" s="48" t="s">
        <v>118</v>
      </c>
      <c r="B41" s="49" t="s">
        <v>119</v>
      </c>
      <c r="C41" s="49" t="s">
        <v>143</v>
      </c>
      <c r="D41" s="50" t="s">
        <v>280</v>
      </c>
      <c r="E41" s="51">
        <v>18793.863499999999</v>
      </c>
      <c r="F41" s="51">
        <v>18793.863499999999</v>
      </c>
      <c r="G41" s="51">
        <v>409620.09479199996</v>
      </c>
      <c r="H41" s="52">
        <v>4.588120489924522E-4</v>
      </c>
      <c r="I41" s="53">
        <v>5.5057445879094259E-3</v>
      </c>
    </row>
    <row r="42" spans="1:9" x14ac:dyDescent="0.25">
      <c r="A42" s="42" t="s">
        <v>57</v>
      </c>
      <c r="B42" s="43" t="s">
        <v>58</v>
      </c>
      <c r="C42" s="43" t="s">
        <v>226</v>
      </c>
      <c r="D42" s="44" t="s">
        <v>280</v>
      </c>
      <c r="E42" s="45">
        <v>3691.8213000000001</v>
      </c>
      <c r="F42" s="45">
        <v>3691.8213000000001</v>
      </c>
      <c r="G42" s="45">
        <v>106744.30399900001</v>
      </c>
      <c r="H42" s="46">
        <v>3.4585651521364412E-4</v>
      </c>
      <c r="I42" s="47">
        <v>4.1502781825637292E-3</v>
      </c>
    </row>
    <row r="43" spans="1:9" x14ac:dyDescent="0.25">
      <c r="A43" s="48" t="s">
        <v>157</v>
      </c>
      <c r="B43" s="49" t="s">
        <v>158</v>
      </c>
      <c r="C43" s="49" t="s">
        <v>226</v>
      </c>
      <c r="D43" s="50" t="s">
        <v>280</v>
      </c>
      <c r="E43" s="51">
        <v>2200.3261000000002</v>
      </c>
      <c r="F43" s="51">
        <v>2200.3261000000002</v>
      </c>
      <c r="G43" s="51">
        <v>41874.754667000001</v>
      </c>
      <c r="H43" s="52">
        <v>5.254540874323017E-4</v>
      </c>
      <c r="I43" s="53">
        <v>6.3054490491876204E-3</v>
      </c>
    </row>
    <row r="44" spans="1:9" x14ac:dyDescent="0.25">
      <c r="A44" s="42" t="s">
        <v>74</v>
      </c>
      <c r="B44" s="43" t="s">
        <v>75</v>
      </c>
      <c r="C44" s="43" t="s">
        <v>67</v>
      </c>
      <c r="D44" s="44" t="s">
        <v>280</v>
      </c>
      <c r="E44" s="45">
        <v>1111.2835</v>
      </c>
      <c r="F44" s="45">
        <v>1111.2835</v>
      </c>
      <c r="G44" s="45">
        <v>470688.42168600002</v>
      </c>
      <c r="H44" s="46">
        <v>2.3609747952146274E-5</v>
      </c>
      <c r="I44" s="47">
        <v>2.8331697542575529E-4</v>
      </c>
    </row>
    <row r="45" spans="1:9" x14ac:dyDescent="0.25">
      <c r="A45" s="48" t="s">
        <v>96</v>
      </c>
      <c r="B45" s="49" t="s">
        <v>97</v>
      </c>
      <c r="C45" s="49" t="s">
        <v>81</v>
      </c>
      <c r="D45" s="50" t="s">
        <v>280</v>
      </c>
      <c r="E45" s="51">
        <v>104673.5968</v>
      </c>
      <c r="F45" s="51">
        <v>104673.5968</v>
      </c>
      <c r="G45" s="51">
        <v>294753.20192600001</v>
      </c>
      <c r="H45" s="52">
        <v>3.5512284893271179E-3</v>
      </c>
      <c r="I45" s="53">
        <v>4.2614741871925418E-2</v>
      </c>
    </row>
    <row r="46" spans="1:9" x14ac:dyDescent="0.25">
      <c r="A46" s="42" t="s">
        <v>196</v>
      </c>
      <c r="B46" s="43" t="s">
        <v>245</v>
      </c>
      <c r="C46" s="43" t="s">
        <v>143</v>
      </c>
      <c r="D46" s="44" t="s">
        <v>280</v>
      </c>
      <c r="E46" s="45">
        <v>1.2303999999999999</v>
      </c>
      <c r="F46" s="45">
        <v>1.2303999999999999</v>
      </c>
      <c r="G46" s="45">
        <v>117.875885</v>
      </c>
      <c r="H46" s="46">
        <v>1.043809766518402E-4</v>
      </c>
      <c r="I46" s="47">
        <v>1.2525717198220824E-3</v>
      </c>
    </row>
    <row r="47" spans="1:9" x14ac:dyDescent="0.25">
      <c r="A47" s="48" t="s">
        <v>100</v>
      </c>
      <c r="B47" s="49" t="s">
        <v>100</v>
      </c>
      <c r="C47" s="49" t="s">
        <v>152</v>
      </c>
      <c r="D47" s="50" t="s">
        <v>281</v>
      </c>
      <c r="E47" s="51">
        <v>5235.2806</v>
      </c>
      <c r="F47" s="60">
        <v>5235.2806</v>
      </c>
      <c r="G47" s="51">
        <v>366894.274339</v>
      </c>
      <c r="H47" s="52">
        <v>1.4269180431970296E-4</v>
      </c>
      <c r="I47" s="53">
        <v>1.7123016518364354E-3</v>
      </c>
    </row>
    <row r="48" spans="1:9" x14ac:dyDescent="0.25">
      <c r="A48" s="42" t="s">
        <v>128</v>
      </c>
      <c r="B48" s="43" t="s">
        <v>129</v>
      </c>
      <c r="C48" s="43" t="s">
        <v>67</v>
      </c>
      <c r="D48" s="44" t="s">
        <v>281</v>
      </c>
      <c r="E48" s="45">
        <v>153877.75830000002</v>
      </c>
      <c r="F48" s="61">
        <v>153877.75830000002</v>
      </c>
      <c r="G48" s="45">
        <v>1715464.4501589998</v>
      </c>
      <c r="H48" s="46">
        <v>8.9700348081091198E-4</v>
      </c>
      <c r="I48" s="47">
        <v>1.0764041769730944E-2</v>
      </c>
    </row>
    <row r="49" spans="1:9" x14ac:dyDescent="0.25">
      <c r="A49" s="48" t="s">
        <v>190</v>
      </c>
      <c r="B49" s="49" t="s">
        <v>234</v>
      </c>
      <c r="C49" s="49" t="s">
        <v>143</v>
      </c>
      <c r="D49" s="50" t="s">
        <v>281</v>
      </c>
      <c r="E49" s="51">
        <v>2040.4989</v>
      </c>
      <c r="F49" s="60">
        <v>2040.4989</v>
      </c>
      <c r="G49" s="51">
        <v>98829.904280999996</v>
      </c>
      <c r="H49" s="52">
        <v>2.0646573674687702E-4</v>
      </c>
      <c r="I49" s="53">
        <v>2.4775888409625242E-3</v>
      </c>
    </row>
    <row r="50" spans="1:9" x14ac:dyDescent="0.25">
      <c r="A50" s="42" t="s">
        <v>65</v>
      </c>
      <c r="B50" s="43" t="s">
        <v>66</v>
      </c>
      <c r="C50" s="43" t="s">
        <v>67</v>
      </c>
      <c r="D50" s="44" t="s">
        <v>281</v>
      </c>
      <c r="E50" s="45">
        <v>130738.0607</v>
      </c>
      <c r="F50" s="61">
        <v>130738.0607</v>
      </c>
      <c r="G50" s="45">
        <v>2507110.024067</v>
      </c>
      <c r="H50" s="46">
        <v>5.214691794336113E-4</v>
      </c>
      <c r="I50" s="47">
        <v>6.2576301532033356E-3</v>
      </c>
    </row>
    <row r="51" spans="1:9" x14ac:dyDescent="0.25">
      <c r="A51" s="48" t="s">
        <v>131</v>
      </c>
      <c r="B51" s="49" t="s">
        <v>132</v>
      </c>
      <c r="C51" s="49" t="s">
        <v>67</v>
      </c>
      <c r="D51" s="50" t="s">
        <v>281</v>
      </c>
      <c r="E51" s="51">
        <v>239118.50520000001</v>
      </c>
      <c r="F51" s="60">
        <v>239118.50520000001</v>
      </c>
      <c r="G51" s="51">
        <v>401178.11590499996</v>
      </c>
      <c r="H51" s="52">
        <v>5.960407502801671E-3</v>
      </c>
      <c r="I51" s="53">
        <v>7.1524890033620059E-2</v>
      </c>
    </row>
    <row r="52" spans="1:9" x14ac:dyDescent="0.25">
      <c r="A52" s="42" t="s">
        <v>82</v>
      </c>
      <c r="B52" s="43" t="s">
        <v>83</v>
      </c>
      <c r="C52" s="43" t="s">
        <v>226</v>
      </c>
      <c r="D52" s="44" t="s">
        <v>281</v>
      </c>
      <c r="E52" s="45">
        <v>84547.8462</v>
      </c>
      <c r="F52" s="61">
        <v>84547.8462</v>
      </c>
      <c r="G52" s="45">
        <v>597079.09497900004</v>
      </c>
      <c r="H52" s="46">
        <v>1.4160242237751372E-3</v>
      </c>
      <c r="I52" s="47">
        <v>1.6992290685301645E-2</v>
      </c>
    </row>
    <row r="53" spans="1:9" x14ac:dyDescent="0.25">
      <c r="A53" s="48" t="s">
        <v>68</v>
      </c>
      <c r="B53" s="49" t="s">
        <v>69</v>
      </c>
      <c r="C53" s="49" t="s">
        <v>143</v>
      </c>
      <c r="D53" s="50" t="s">
        <v>281</v>
      </c>
      <c r="E53" s="51">
        <v>17301.024300000001</v>
      </c>
      <c r="F53" s="60">
        <v>17301.024300000001</v>
      </c>
      <c r="G53" s="51">
        <v>592468.32434699999</v>
      </c>
      <c r="H53" s="52">
        <v>2.9201602160028805E-4</v>
      </c>
      <c r="I53" s="53">
        <v>3.5041922592034566E-3</v>
      </c>
    </row>
    <row r="54" spans="1:9" x14ac:dyDescent="0.25">
      <c r="A54" s="42" t="s">
        <v>79</v>
      </c>
      <c r="B54" s="43" t="s">
        <v>80</v>
      </c>
      <c r="C54" s="43" t="s">
        <v>81</v>
      </c>
      <c r="D54" s="44" t="s">
        <v>281</v>
      </c>
      <c r="E54" s="45">
        <v>17730.4931</v>
      </c>
      <c r="F54" s="61">
        <v>17730.4931</v>
      </c>
      <c r="G54" s="45">
        <v>120941.40469699999</v>
      </c>
      <c r="H54" s="46">
        <v>1.4660399508688534E-3</v>
      </c>
      <c r="I54" s="47">
        <v>1.7592479410426243E-2</v>
      </c>
    </row>
    <row r="55" spans="1:9" x14ac:dyDescent="0.25">
      <c r="A55" s="48" t="s">
        <v>114</v>
      </c>
      <c r="B55" s="49" t="s">
        <v>115</v>
      </c>
      <c r="C55" s="49" t="s">
        <v>226</v>
      </c>
      <c r="D55" s="50" t="s">
        <v>281</v>
      </c>
      <c r="E55" s="51">
        <v>18252.6273</v>
      </c>
      <c r="F55" s="60">
        <v>18252.6273</v>
      </c>
      <c r="G55" s="51">
        <v>565676.26179000002</v>
      </c>
      <c r="H55" s="52">
        <v>3.2266914015875833E-4</v>
      </c>
      <c r="I55" s="53">
        <v>3.8720296819051E-3</v>
      </c>
    </row>
    <row r="56" spans="1:9" x14ac:dyDescent="0.25">
      <c r="A56" s="42" t="s">
        <v>92</v>
      </c>
      <c r="B56" s="43" t="s">
        <v>282</v>
      </c>
      <c r="C56" s="43" t="s">
        <v>81</v>
      </c>
      <c r="D56" s="44" t="s">
        <v>281</v>
      </c>
      <c r="E56" s="45">
        <v>352.89839999999998</v>
      </c>
      <c r="F56" s="61">
        <v>352.89839999999998</v>
      </c>
      <c r="G56" s="45">
        <v>36497.794056999999</v>
      </c>
      <c r="H56" s="46">
        <v>9.669033680470252E-5</v>
      </c>
      <c r="I56" s="47">
        <v>1.1602840416564302E-3</v>
      </c>
    </row>
    <row r="57" spans="1:9" x14ac:dyDescent="0.25">
      <c r="A57" s="48" t="s">
        <v>146</v>
      </c>
      <c r="B57" s="49" t="s">
        <v>147</v>
      </c>
      <c r="C57" s="49" t="s">
        <v>226</v>
      </c>
      <c r="D57" s="50" t="s">
        <v>281</v>
      </c>
      <c r="E57" s="51">
        <v>1112.5878</v>
      </c>
      <c r="F57" s="60">
        <v>1112.5878</v>
      </c>
      <c r="G57" s="51">
        <v>166944.14227000001</v>
      </c>
      <c r="H57" s="52">
        <v>6.6644314970968165E-5</v>
      </c>
      <c r="I57" s="53">
        <v>7.9973177965161793E-4</v>
      </c>
    </row>
    <row r="58" spans="1:9" x14ac:dyDescent="0.25">
      <c r="A58" s="42" t="s">
        <v>45</v>
      </c>
      <c r="B58" s="43" t="s">
        <v>45</v>
      </c>
      <c r="C58" s="43" t="s">
        <v>152</v>
      </c>
      <c r="D58" s="44" t="s">
        <v>281</v>
      </c>
      <c r="E58" s="45">
        <v>2373.9956999999999</v>
      </c>
      <c r="F58" s="61">
        <v>2373.9956999999999</v>
      </c>
      <c r="G58" s="45">
        <v>140703.443332</v>
      </c>
      <c r="H58" s="46">
        <v>1.6872335486476934E-4</v>
      </c>
      <c r="I58" s="47">
        <v>2.024680258377232E-3</v>
      </c>
    </row>
    <row r="59" spans="1:9" x14ac:dyDescent="0.25">
      <c r="A59" s="48" t="s">
        <v>90</v>
      </c>
      <c r="B59" s="49" t="s">
        <v>91</v>
      </c>
      <c r="C59" s="49" t="s">
        <v>81</v>
      </c>
      <c r="D59" s="50" t="s">
        <v>281</v>
      </c>
      <c r="E59" s="51">
        <v>36560.788699999997</v>
      </c>
      <c r="F59" s="60">
        <v>36560.788699999997</v>
      </c>
      <c r="G59" s="51">
        <v>819950.87419400003</v>
      </c>
      <c r="H59" s="52">
        <v>4.4588998988431751E-4</v>
      </c>
      <c r="I59" s="53">
        <v>5.3506798786118106E-3</v>
      </c>
    </row>
    <row r="60" spans="1:9" x14ac:dyDescent="0.25">
      <c r="A60" s="42" t="s">
        <v>98</v>
      </c>
      <c r="B60" s="43" t="s">
        <v>99</v>
      </c>
      <c r="C60" s="43" t="s">
        <v>81</v>
      </c>
      <c r="D60" s="44" t="s">
        <v>281</v>
      </c>
      <c r="E60" s="45">
        <v>4184.5118000000002</v>
      </c>
      <c r="F60" s="61">
        <v>4184.5118000000002</v>
      </c>
      <c r="G60" s="45">
        <v>197983.32995400002</v>
      </c>
      <c r="H60" s="46">
        <v>2.1135677437955213E-4</v>
      </c>
      <c r="I60" s="47">
        <v>2.5362812925546255E-3</v>
      </c>
    </row>
    <row r="61" spans="1:9" x14ac:dyDescent="0.25">
      <c r="A61" s="48" t="s">
        <v>120</v>
      </c>
      <c r="B61" s="49" t="s">
        <v>268</v>
      </c>
      <c r="C61" s="49" t="s">
        <v>143</v>
      </c>
      <c r="D61" s="50" t="s">
        <v>281</v>
      </c>
      <c r="E61" s="51">
        <v>25636.536200000002</v>
      </c>
      <c r="F61" s="60">
        <v>25636.536200000002</v>
      </c>
      <c r="G61" s="51">
        <v>530648.18851800007</v>
      </c>
      <c r="H61" s="52">
        <v>4.8311737898508602E-4</v>
      </c>
      <c r="I61" s="53">
        <v>5.797408547821032E-3</v>
      </c>
    </row>
    <row r="62" spans="1:9" x14ac:dyDescent="0.25">
      <c r="A62" s="42" t="s">
        <v>106</v>
      </c>
      <c r="B62" s="43" t="s">
        <v>107</v>
      </c>
      <c r="C62" s="43" t="s">
        <v>143</v>
      </c>
      <c r="D62" s="44" t="s">
        <v>281</v>
      </c>
      <c r="E62" s="45">
        <v>114887.4158</v>
      </c>
      <c r="F62" s="61">
        <v>114887.4158</v>
      </c>
      <c r="G62" s="45">
        <v>761080.21633399988</v>
      </c>
      <c r="H62" s="46">
        <v>1.5095309710373773E-3</v>
      </c>
      <c r="I62" s="47">
        <v>1.8114371652448526E-2</v>
      </c>
    </row>
    <row r="63" spans="1:9" x14ac:dyDescent="0.25">
      <c r="A63" s="48" t="s">
        <v>206</v>
      </c>
      <c r="B63" s="49" t="s">
        <v>251</v>
      </c>
      <c r="C63" s="49" t="s">
        <v>226</v>
      </c>
      <c r="D63" s="50" t="s">
        <v>281</v>
      </c>
      <c r="E63" s="51">
        <v>381.67750000000001</v>
      </c>
      <c r="F63" s="60">
        <v>381.67750000000001</v>
      </c>
      <c r="G63" s="51">
        <v>49339.450349000006</v>
      </c>
      <c r="H63" s="52">
        <v>7.7357468982776318E-5</v>
      </c>
      <c r="I63" s="53">
        <v>9.2828962779331582E-4</v>
      </c>
    </row>
    <row r="64" spans="1:9" x14ac:dyDescent="0.25">
      <c r="A64" s="42" t="s">
        <v>54</v>
      </c>
      <c r="B64" s="43" t="s">
        <v>55</v>
      </c>
      <c r="C64" s="43" t="s">
        <v>143</v>
      </c>
      <c r="D64" s="44" t="s">
        <v>281</v>
      </c>
      <c r="E64" s="45">
        <v>36682.736900000004</v>
      </c>
      <c r="F64" s="61">
        <v>36682.736900000004</v>
      </c>
      <c r="G64" s="45">
        <v>575915.80932899995</v>
      </c>
      <c r="H64" s="46">
        <v>6.3694617000945139E-4</v>
      </c>
      <c r="I64" s="47">
        <v>7.6433540401134167E-3</v>
      </c>
    </row>
    <row r="65" spans="1:9" x14ac:dyDescent="0.25">
      <c r="A65" s="48" t="s">
        <v>94</v>
      </c>
      <c r="B65" s="49" t="s">
        <v>95</v>
      </c>
      <c r="C65" s="49" t="s">
        <v>152</v>
      </c>
      <c r="D65" s="50" t="s">
        <v>281</v>
      </c>
      <c r="E65" s="51">
        <v>51919.450499999999</v>
      </c>
      <c r="F65" s="60">
        <v>51919.450499999999</v>
      </c>
      <c r="G65" s="51">
        <v>536563.26523500006</v>
      </c>
      <c r="H65" s="52">
        <v>9.6762961357894483E-4</v>
      </c>
      <c r="I65" s="53">
        <v>1.1611555362947338E-2</v>
      </c>
    </row>
    <row r="66" spans="1:9" x14ac:dyDescent="0.25">
      <c r="A66" s="42" t="s">
        <v>170</v>
      </c>
      <c r="B66" s="43" t="s">
        <v>171</v>
      </c>
      <c r="C66" s="43" t="s">
        <v>81</v>
      </c>
      <c r="D66" s="44" t="s">
        <v>281</v>
      </c>
      <c r="E66" s="45">
        <v>1693.7941000000001</v>
      </c>
      <c r="F66" s="61">
        <v>1693.7941000000001</v>
      </c>
      <c r="G66" s="45">
        <v>41746.402853</v>
      </c>
      <c r="H66" s="46">
        <v>4.057341433618346E-4</v>
      </c>
      <c r="I66" s="47">
        <v>4.8688097203420152E-3</v>
      </c>
    </row>
    <row r="67" spans="1:9" x14ac:dyDescent="0.25">
      <c r="A67" s="48" t="s">
        <v>148</v>
      </c>
      <c r="B67" s="49" t="s">
        <v>149</v>
      </c>
      <c r="C67" s="49" t="s">
        <v>226</v>
      </c>
      <c r="D67" s="50" t="s">
        <v>281</v>
      </c>
      <c r="E67" s="51">
        <v>6630.9050999999999</v>
      </c>
      <c r="F67" s="60">
        <v>6630.9050999999999</v>
      </c>
      <c r="G67" s="51">
        <v>106230.915603</v>
      </c>
      <c r="H67" s="52">
        <v>6.2419730286243907E-4</v>
      </c>
      <c r="I67" s="53">
        <v>7.4903676343492688E-3</v>
      </c>
    </row>
    <row r="68" spans="1:9" x14ac:dyDescent="0.25">
      <c r="A68" s="42" t="s">
        <v>102</v>
      </c>
      <c r="B68" s="43" t="s">
        <v>271</v>
      </c>
      <c r="C68" s="43" t="s">
        <v>152</v>
      </c>
      <c r="D68" s="44" t="s">
        <v>281</v>
      </c>
      <c r="E68" s="45">
        <v>8308.3793999999998</v>
      </c>
      <c r="F68" s="61">
        <v>8308.3793999999998</v>
      </c>
      <c r="G68" s="45">
        <v>304222.79634399997</v>
      </c>
      <c r="H68" s="46">
        <v>2.7310180235820655E-4</v>
      </c>
      <c r="I68" s="47">
        <v>3.2772216282984786E-3</v>
      </c>
    </row>
    <row r="69" spans="1:9" x14ac:dyDescent="0.25">
      <c r="A69" s="48" t="s">
        <v>86</v>
      </c>
      <c r="B69" s="49" t="s">
        <v>87</v>
      </c>
      <c r="C69" s="49" t="s">
        <v>152</v>
      </c>
      <c r="D69" s="50" t="s">
        <v>281</v>
      </c>
      <c r="E69" s="51">
        <v>57123.55</v>
      </c>
      <c r="F69" s="60">
        <v>57123.55</v>
      </c>
      <c r="G69" s="51">
        <v>777743.99947400007</v>
      </c>
      <c r="H69" s="52">
        <v>7.3447754066419688E-4</v>
      </c>
      <c r="I69" s="53">
        <v>8.8137304879703626E-3</v>
      </c>
    </row>
    <row r="70" spans="1:9" x14ac:dyDescent="0.25">
      <c r="A70" s="42" t="s">
        <v>124</v>
      </c>
      <c r="B70" s="43" t="s">
        <v>125</v>
      </c>
      <c r="C70" s="43" t="s">
        <v>152</v>
      </c>
      <c r="D70" s="44" t="s">
        <v>281</v>
      </c>
      <c r="E70" s="45">
        <v>24848.175500000001</v>
      </c>
      <c r="F70" s="61">
        <v>24848.175500000001</v>
      </c>
      <c r="G70" s="45">
        <v>308092.97446</v>
      </c>
      <c r="H70" s="46">
        <v>8.065154859033004E-4</v>
      </c>
      <c r="I70" s="47">
        <v>9.6781858308396043E-3</v>
      </c>
    </row>
    <row r="71" spans="1:9" x14ac:dyDescent="0.25">
      <c r="A71" s="48" t="s">
        <v>63</v>
      </c>
      <c r="B71" s="49" t="s">
        <v>64</v>
      </c>
      <c r="C71" s="49" t="s">
        <v>226</v>
      </c>
      <c r="D71" s="50" t="s">
        <v>281</v>
      </c>
      <c r="E71" s="51">
        <v>17184.159599999999</v>
      </c>
      <c r="F71" s="60">
        <v>17184.159599999999</v>
      </c>
      <c r="G71" s="51">
        <v>556581.25982799998</v>
      </c>
      <c r="H71" s="52">
        <v>3.0874484716410342E-4</v>
      </c>
      <c r="I71" s="53">
        <v>3.704938165969241E-3</v>
      </c>
    </row>
    <row r="72" spans="1:9" x14ac:dyDescent="0.25">
      <c r="A72" s="42" t="s">
        <v>61</v>
      </c>
      <c r="B72" s="43" t="s">
        <v>62</v>
      </c>
      <c r="C72" s="43" t="s">
        <v>226</v>
      </c>
      <c r="D72" s="44" t="s">
        <v>281</v>
      </c>
      <c r="E72" s="45">
        <v>15862.870199999999</v>
      </c>
      <c r="F72" s="61">
        <v>15862.870199999999</v>
      </c>
      <c r="G72" s="45">
        <v>230115.90232999998</v>
      </c>
      <c r="H72" s="46">
        <v>6.8934263296813333E-4</v>
      </c>
      <c r="I72" s="47">
        <v>8.272111595617599E-3</v>
      </c>
    </row>
    <row r="73" spans="1:9" x14ac:dyDescent="0.25">
      <c r="A73" s="48" t="s">
        <v>76</v>
      </c>
      <c r="B73" s="49" t="s">
        <v>77</v>
      </c>
      <c r="C73" s="49" t="s">
        <v>152</v>
      </c>
      <c r="D73" s="50" t="s">
        <v>281</v>
      </c>
      <c r="E73" s="51">
        <v>13142.2798</v>
      </c>
      <c r="F73" s="60">
        <v>13142.2798</v>
      </c>
      <c r="G73" s="51">
        <v>261570.15383900001</v>
      </c>
      <c r="H73" s="52">
        <v>5.0243804987358195E-4</v>
      </c>
      <c r="I73" s="53">
        <v>6.0292565984829839E-3</v>
      </c>
    </row>
    <row r="74" spans="1:9" x14ac:dyDescent="0.25">
      <c r="A74" s="42" t="s">
        <v>163</v>
      </c>
      <c r="B74" s="43" t="s">
        <v>164</v>
      </c>
      <c r="C74" s="43" t="s">
        <v>67</v>
      </c>
      <c r="D74" s="44" t="s">
        <v>281</v>
      </c>
      <c r="E74" s="45">
        <v>6.3331999999999997</v>
      </c>
      <c r="F74" s="61">
        <v>6.3331999999999997</v>
      </c>
      <c r="G74" s="45">
        <v>9872.7645389999998</v>
      </c>
      <c r="H74" s="46">
        <v>6.4148192484305734E-6</v>
      </c>
      <c r="I74" s="47">
        <v>7.6977830981166885E-5</v>
      </c>
    </row>
    <row r="75" spans="1:9" x14ac:dyDescent="0.25">
      <c r="A75" s="48" t="s">
        <v>88</v>
      </c>
      <c r="B75" s="49" t="s">
        <v>89</v>
      </c>
      <c r="C75" s="49" t="s">
        <v>152</v>
      </c>
      <c r="D75" s="50" t="s">
        <v>281</v>
      </c>
      <c r="E75" s="51">
        <v>2507.6527999999998</v>
      </c>
      <c r="F75" s="60">
        <v>2507.6527999999998</v>
      </c>
      <c r="G75" s="51">
        <v>140754.87701699999</v>
      </c>
      <c r="H75" s="52">
        <v>1.7815743604373527E-4</v>
      </c>
      <c r="I75" s="53">
        <v>2.1378892325248232E-3</v>
      </c>
    </row>
    <row r="76" spans="1:9" x14ac:dyDescent="0.25">
      <c r="A76" s="42" t="s">
        <v>116</v>
      </c>
      <c r="B76" s="43" t="s">
        <v>117</v>
      </c>
      <c r="C76" s="43" t="s">
        <v>143</v>
      </c>
      <c r="D76" s="44" t="s">
        <v>281</v>
      </c>
      <c r="E76" s="45">
        <v>50134.961000000003</v>
      </c>
      <c r="F76" s="61">
        <v>50134.961000000003</v>
      </c>
      <c r="G76" s="45">
        <v>751707.44878400001</v>
      </c>
      <c r="H76" s="46">
        <v>6.6694777444471049E-4</v>
      </c>
      <c r="I76" s="47">
        <v>8.0033732933365263E-3</v>
      </c>
    </row>
    <row r="77" spans="1:9" x14ac:dyDescent="0.25">
      <c r="A77" s="48" t="s">
        <v>112</v>
      </c>
      <c r="B77" s="49" t="s">
        <v>113</v>
      </c>
      <c r="C77" s="49" t="s">
        <v>81</v>
      </c>
      <c r="D77" s="50" t="s">
        <v>281</v>
      </c>
      <c r="E77" s="51">
        <v>50000.685700000002</v>
      </c>
      <c r="F77" s="60">
        <v>50000.685700000002</v>
      </c>
      <c r="G77" s="51">
        <v>765782.33480499999</v>
      </c>
      <c r="H77" s="52">
        <v>6.5293600318858558E-4</v>
      </c>
      <c r="I77" s="53">
        <v>7.8352320382630274E-3</v>
      </c>
    </row>
    <row r="78" spans="1:9" x14ac:dyDescent="0.25">
      <c r="A78" s="42" t="s">
        <v>122</v>
      </c>
      <c r="B78" s="43" t="s">
        <v>123</v>
      </c>
      <c r="C78" s="43" t="s">
        <v>152</v>
      </c>
      <c r="D78" s="44" t="s">
        <v>281</v>
      </c>
      <c r="E78" s="45">
        <v>51168.495600000002</v>
      </c>
      <c r="F78" s="61">
        <v>51168.495600000002</v>
      </c>
      <c r="G78" s="45">
        <v>1061371.715607</v>
      </c>
      <c r="H78" s="46">
        <v>4.8209778767975428E-4</v>
      </c>
      <c r="I78" s="47">
        <v>5.7851734521570516E-3</v>
      </c>
    </row>
    <row r="79" spans="1:9" x14ac:dyDescent="0.25">
      <c r="A79" s="48" t="s">
        <v>203</v>
      </c>
      <c r="B79" s="49" t="s">
        <v>156</v>
      </c>
      <c r="C79" s="49" t="s">
        <v>152</v>
      </c>
      <c r="D79" s="50" t="s">
        <v>281</v>
      </c>
      <c r="E79" s="51">
        <v>173.31309999999999</v>
      </c>
      <c r="F79" s="60">
        <v>173.31309999999999</v>
      </c>
      <c r="G79" s="51">
        <v>523.80560400000002</v>
      </c>
      <c r="H79" s="52">
        <v>3.3087293964880909E-3</v>
      </c>
      <c r="I79" s="53">
        <v>3.9704752757857092E-2</v>
      </c>
    </row>
    <row r="80" spans="1:9" x14ac:dyDescent="0.25">
      <c r="A80" s="42" t="s">
        <v>155</v>
      </c>
      <c r="B80" s="43" t="s">
        <v>156</v>
      </c>
      <c r="C80" s="43" t="s">
        <v>152</v>
      </c>
      <c r="D80" s="44" t="s">
        <v>281</v>
      </c>
      <c r="E80" s="45">
        <v>2792.9063999999998</v>
      </c>
      <c r="F80" s="61">
        <v>2792.9063999999998</v>
      </c>
      <c r="G80" s="45">
        <v>110289.52787000001</v>
      </c>
      <c r="H80" s="46">
        <v>2.5323405167642412E-4</v>
      </c>
      <c r="I80" s="47">
        <v>3.0388086201170892E-3</v>
      </c>
    </row>
    <row r="81" spans="1:9" x14ac:dyDescent="0.25">
      <c r="A81" s="48" t="s">
        <v>197</v>
      </c>
      <c r="B81" s="49" t="s">
        <v>272</v>
      </c>
      <c r="C81" s="49" t="s">
        <v>67</v>
      </c>
      <c r="D81" s="50" t="s">
        <v>281</v>
      </c>
      <c r="E81" s="51">
        <v>1230.9944</v>
      </c>
      <c r="F81" s="60">
        <v>1230.9944</v>
      </c>
      <c r="G81" s="51">
        <v>30057.938750000001</v>
      </c>
      <c r="H81" s="52">
        <v>4.0954052446460587E-4</v>
      </c>
      <c r="I81" s="53">
        <v>4.9144862935752709E-3</v>
      </c>
    </row>
    <row r="82" spans="1:9" x14ac:dyDescent="0.25">
      <c r="A82" s="42" t="s">
        <v>59</v>
      </c>
      <c r="B82" s="43" t="s">
        <v>60</v>
      </c>
      <c r="C82" s="43" t="s">
        <v>143</v>
      </c>
      <c r="D82" s="44" t="s">
        <v>281</v>
      </c>
      <c r="E82" s="45">
        <v>16654.993600000002</v>
      </c>
      <c r="F82" s="61">
        <v>16654.993600000002</v>
      </c>
      <c r="G82" s="45">
        <v>395883.39157700003</v>
      </c>
      <c r="H82" s="46">
        <v>4.2070452952458796E-4</v>
      </c>
      <c r="I82" s="47">
        <v>5.0484543542950559E-3</v>
      </c>
    </row>
    <row r="83" spans="1:9" x14ac:dyDescent="0.25">
      <c r="A83" s="48" t="s">
        <v>70</v>
      </c>
      <c r="B83" s="49" t="s">
        <v>71</v>
      </c>
      <c r="C83" s="49" t="s">
        <v>152</v>
      </c>
      <c r="D83" s="50" t="s">
        <v>281</v>
      </c>
      <c r="E83" s="51">
        <v>30214.257399999999</v>
      </c>
      <c r="F83" s="60">
        <v>30214.257399999999</v>
      </c>
      <c r="G83" s="51">
        <v>260331.179018</v>
      </c>
      <c r="H83" s="52">
        <v>1.1606084800895441E-3</v>
      </c>
      <c r="I83" s="53">
        <v>1.3927301761074529E-2</v>
      </c>
    </row>
    <row r="84" spans="1:9" x14ac:dyDescent="0.25">
      <c r="A84" s="42" t="s">
        <v>72</v>
      </c>
      <c r="B84" s="43" t="s">
        <v>73</v>
      </c>
      <c r="C84" s="43" t="s">
        <v>67</v>
      </c>
      <c r="D84" s="44" t="s">
        <v>281</v>
      </c>
      <c r="E84" s="45">
        <v>116838.95699999999</v>
      </c>
      <c r="F84" s="61">
        <v>116838.95699999999</v>
      </c>
      <c r="G84" s="45">
        <v>1771871.681324</v>
      </c>
      <c r="H84" s="46">
        <v>6.5940981071887855E-4</v>
      </c>
      <c r="I84" s="47">
        <v>7.912917728626543E-3</v>
      </c>
    </row>
    <row r="85" spans="1:9" x14ac:dyDescent="0.25">
      <c r="A85" s="48" t="s">
        <v>133</v>
      </c>
      <c r="B85" s="49" t="s">
        <v>134</v>
      </c>
      <c r="C85" s="49" t="s">
        <v>241</v>
      </c>
      <c r="D85" s="50" t="s">
        <v>281</v>
      </c>
      <c r="E85" s="51">
        <v>2746.6075999999998</v>
      </c>
      <c r="F85" s="60">
        <v>2746.6075999999998</v>
      </c>
      <c r="G85" s="51">
        <v>173770.85449299999</v>
      </c>
      <c r="H85" s="52">
        <v>1.5805916406485998E-4</v>
      </c>
      <c r="I85" s="53">
        <v>1.8967099687783196E-3</v>
      </c>
    </row>
    <row r="86" spans="1:9" x14ac:dyDescent="0.25">
      <c r="A86" s="42" t="s">
        <v>118</v>
      </c>
      <c r="B86" s="43" t="s">
        <v>119</v>
      </c>
      <c r="C86" s="43" t="s">
        <v>143</v>
      </c>
      <c r="D86" s="44" t="s">
        <v>281</v>
      </c>
      <c r="E86" s="45">
        <v>26705.055499999999</v>
      </c>
      <c r="F86" s="61">
        <v>26705.055499999999</v>
      </c>
      <c r="G86" s="45">
        <v>359138.69705100002</v>
      </c>
      <c r="H86" s="46">
        <v>7.4358613313696214E-4</v>
      </c>
      <c r="I86" s="47">
        <v>8.9230335976435461E-3</v>
      </c>
    </row>
    <row r="87" spans="1:9" x14ac:dyDescent="0.25">
      <c r="A87" s="48" t="s">
        <v>283</v>
      </c>
      <c r="B87" s="49" t="s">
        <v>283</v>
      </c>
      <c r="C87" s="49" t="s">
        <v>81</v>
      </c>
      <c r="D87" s="50" t="s">
        <v>281</v>
      </c>
      <c r="E87" s="51">
        <v>1510.07</v>
      </c>
      <c r="F87" s="60">
        <v>1510.07</v>
      </c>
      <c r="G87" s="51">
        <v>0</v>
      </c>
      <c r="H87" s="52">
        <v>0</v>
      </c>
      <c r="I87" s="53">
        <v>0</v>
      </c>
    </row>
    <row r="88" spans="1:9" x14ac:dyDescent="0.25">
      <c r="A88" s="42" t="s">
        <v>57</v>
      </c>
      <c r="B88" s="43" t="s">
        <v>58</v>
      </c>
      <c r="C88" s="43" t="s">
        <v>226</v>
      </c>
      <c r="D88" s="44" t="s">
        <v>281</v>
      </c>
      <c r="E88" s="45">
        <v>3937.2847999999999</v>
      </c>
      <c r="F88" s="61">
        <v>3937.2847999999999</v>
      </c>
      <c r="G88" s="45">
        <v>110914.28822</v>
      </c>
      <c r="H88" s="46">
        <v>3.5498445359811011E-4</v>
      </c>
      <c r="I88" s="47">
        <v>4.2598134431773215E-3</v>
      </c>
    </row>
    <row r="89" spans="1:9" x14ac:dyDescent="0.25">
      <c r="A89" s="48" t="s">
        <v>157</v>
      </c>
      <c r="B89" s="49" t="s">
        <v>158</v>
      </c>
      <c r="C89" s="49" t="s">
        <v>226</v>
      </c>
      <c r="D89" s="50" t="s">
        <v>281</v>
      </c>
      <c r="E89" s="51">
        <v>1875.5863999999999</v>
      </c>
      <c r="F89" s="60">
        <v>1875.5863999999999</v>
      </c>
      <c r="G89" s="51">
        <v>40077.283678</v>
      </c>
      <c r="H89" s="52">
        <v>4.6799239565968468E-4</v>
      </c>
      <c r="I89" s="53">
        <v>5.6159087479162161E-3</v>
      </c>
    </row>
    <row r="90" spans="1:9" x14ac:dyDescent="0.25">
      <c r="A90" s="42" t="s">
        <v>74</v>
      </c>
      <c r="B90" s="43" t="s">
        <v>75</v>
      </c>
      <c r="C90" s="43" t="s">
        <v>67</v>
      </c>
      <c r="D90" s="44" t="s">
        <v>281</v>
      </c>
      <c r="E90" s="45">
        <v>17086.982100000001</v>
      </c>
      <c r="F90" s="61">
        <v>17086.982100000001</v>
      </c>
      <c r="G90" s="45">
        <v>499555.02683799999</v>
      </c>
      <c r="H90" s="46">
        <v>3.4204404283857026E-4</v>
      </c>
      <c r="I90" s="47">
        <v>4.1045285140628432E-3</v>
      </c>
    </row>
    <row r="91" spans="1:9" x14ac:dyDescent="0.25">
      <c r="A91" s="48" t="s">
        <v>96</v>
      </c>
      <c r="B91" s="49" t="s">
        <v>97</v>
      </c>
      <c r="C91" s="49" t="s">
        <v>81</v>
      </c>
      <c r="D91" s="50" t="s">
        <v>281</v>
      </c>
      <c r="E91" s="51">
        <v>19595.645400000001</v>
      </c>
      <c r="F91" s="60">
        <v>19595.645400000001</v>
      </c>
      <c r="G91" s="51">
        <v>211380.07742699998</v>
      </c>
      <c r="H91" s="52">
        <v>9.270336939282912E-4</v>
      </c>
      <c r="I91" s="53">
        <v>1.1124404327139494E-2</v>
      </c>
    </row>
    <row r="92" spans="1:9" x14ac:dyDescent="0.25">
      <c r="A92" s="42" t="s">
        <v>100</v>
      </c>
      <c r="B92" s="43" t="s">
        <v>100</v>
      </c>
      <c r="C92" s="43" t="s">
        <v>152</v>
      </c>
      <c r="D92" s="44" t="s">
        <v>284</v>
      </c>
      <c r="E92" s="45">
        <v>5309.5204999999996</v>
      </c>
      <c r="F92" s="45">
        <v>5309.5204999999996</v>
      </c>
      <c r="G92" s="45">
        <v>365518.91279500001</v>
      </c>
      <c r="H92" s="46">
        <v>1.4525980227397497E-4</v>
      </c>
      <c r="I92" s="47">
        <v>1.7431176272876996E-3</v>
      </c>
    </row>
    <row r="93" spans="1:9" x14ac:dyDescent="0.25">
      <c r="A93" s="48" t="s">
        <v>128</v>
      </c>
      <c r="B93" s="49" t="s">
        <v>129</v>
      </c>
      <c r="C93" s="49" t="s">
        <v>67</v>
      </c>
      <c r="D93" s="50" t="s">
        <v>284</v>
      </c>
      <c r="E93" s="51">
        <v>140135.35920000001</v>
      </c>
      <c r="F93" s="51">
        <v>140135.35920000001</v>
      </c>
      <c r="G93" s="51">
        <v>1833058.2916850001</v>
      </c>
      <c r="H93" s="52">
        <v>7.6448937731916607E-4</v>
      </c>
      <c r="I93" s="53">
        <v>9.1738725278299928E-3</v>
      </c>
    </row>
    <row r="94" spans="1:9" x14ac:dyDescent="0.25">
      <c r="A94" s="42" t="s">
        <v>190</v>
      </c>
      <c r="B94" s="43" t="s">
        <v>234</v>
      </c>
      <c r="C94" s="43" t="s">
        <v>226</v>
      </c>
      <c r="D94" s="44" t="s">
        <v>284</v>
      </c>
      <c r="E94" s="45">
        <v>2159.4016000000001</v>
      </c>
      <c r="F94" s="45">
        <v>2159.4016000000001</v>
      </c>
      <c r="G94" s="45">
        <v>104240.579465</v>
      </c>
      <c r="H94" s="46">
        <v>2.0715556370492401E-4</v>
      </c>
      <c r="I94" s="47">
        <v>2.4858667644590882E-3</v>
      </c>
    </row>
    <row r="95" spans="1:9" x14ac:dyDescent="0.25">
      <c r="A95" s="48" t="s">
        <v>65</v>
      </c>
      <c r="B95" s="49" t="s">
        <v>66</v>
      </c>
      <c r="C95" s="49" t="s">
        <v>67</v>
      </c>
      <c r="D95" s="50" t="s">
        <v>284</v>
      </c>
      <c r="E95" s="51">
        <v>128478.4121</v>
      </c>
      <c r="F95" s="51">
        <v>128478.4121</v>
      </c>
      <c r="G95" s="51">
        <v>2543327.110719</v>
      </c>
      <c r="H95" s="52">
        <v>5.0515881955773701E-4</v>
      </c>
      <c r="I95" s="53">
        <v>6.0619058346928437E-3</v>
      </c>
    </row>
    <row r="96" spans="1:9" x14ac:dyDescent="0.25">
      <c r="A96" s="42" t="s">
        <v>131</v>
      </c>
      <c r="B96" s="43" t="s">
        <v>132</v>
      </c>
      <c r="C96" s="43" t="s">
        <v>67</v>
      </c>
      <c r="D96" s="44" t="s">
        <v>284</v>
      </c>
      <c r="E96" s="45">
        <v>134474.39869999999</v>
      </c>
      <c r="F96" s="45">
        <v>134474.39869999999</v>
      </c>
      <c r="G96" s="45">
        <v>430910.77432999999</v>
      </c>
      <c r="H96" s="46">
        <v>3.1207017023207879E-3</v>
      </c>
      <c r="I96" s="47">
        <v>3.7448420427849453E-2</v>
      </c>
    </row>
    <row r="97" spans="1:9" x14ac:dyDescent="0.25">
      <c r="A97" s="48" t="s">
        <v>82</v>
      </c>
      <c r="B97" s="49" t="s">
        <v>83</v>
      </c>
      <c r="C97" s="49" t="s">
        <v>226</v>
      </c>
      <c r="D97" s="50" t="s">
        <v>284</v>
      </c>
      <c r="E97" s="51">
        <v>29054.140500000001</v>
      </c>
      <c r="F97" s="51">
        <v>29054.140500000001</v>
      </c>
      <c r="G97" s="51">
        <v>632790.84610099997</v>
      </c>
      <c r="H97" s="52">
        <v>4.5914286970204785E-4</v>
      </c>
      <c r="I97" s="53">
        <v>5.5097144364245742E-3</v>
      </c>
    </row>
    <row r="98" spans="1:9" x14ac:dyDescent="0.25">
      <c r="A98" s="42" t="s">
        <v>68</v>
      </c>
      <c r="B98" s="43" t="s">
        <v>69</v>
      </c>
      <c r="C98" s="43" t="s">
        <v>226</v>
      </c>
      <c r="D98" s="44" t="s">
        <v>284</v>
      </c>
      <c r="E98" s="45">
        <v>29419.995599999998</v>
      </c>
      <c r="F98" s="45">
        <v>29419.995599999998</v>
      </c>
      <c r="G98" s="45">
        <v>597567.96561199997</v>
      </c>
      <c r="H98" s="46">
        <v>4.9232886120107648E-4</v>
      </c>
      <c r="I98" s="47">
        <v>5.9079463344129182E-3</v>
      </c>
    </row>
    <row r="99" spans="1:9" x14ac:dyDescent="0.25">
      <c r="A99" s="48" t="s">
        <v>79</v>
      </c>
      <c r="B99" s="49" t="s">
        <v>80</v>
      </c>
      <c r="C99" s="49" t="s">
        <v>81</v>
      </c>
      <c r="D99" s="50" t="s">
        <v>284</v>
      </c>
      <c r="E99" s="51">
        <v>17586.743399999999</v>
      </c>
      <c r="F99" s="51">
        <v>17586.743399999999</v>
      </c>
      <c r="G99" s="51">
        <v>127068.880754</v>
      </c>
      <c r="H99" s="52">
        <v>1.3840322898607405E-3</v>
      </c>
      <c r="I99" s="53">
        <v>1.6608387478328886E-2</v>
      </c>
    </row>
    <row r="100" spans="1:9" x14ac:dyDescent="0.25">
      <c r="A100" s="42" t="s">
        <v>114</v>
      </c>
      <c r="B100" s="43" t="s">
        <v>115</v>
      </c>
      <c r="C100" s="43" t="s">
        <v>226</v>
      </c>
      <c r="D100" s="44" t="s">
        <v>284</v>
      </c>
      <c r="E100" s="45">
        <v>15176.516600000001</v>
      </c>
      <c r="F100" s="45">
        <v>15176.516600000001</v>
      </c>
      <c r="G100" s="45">
        <v>500788.444594</v>
      </c>
      <c r="H100" s="46">
        <v>3.030524518652568E-4</v>
      </c>
      <c r="I100" s="47">
        <v>3.6366294223830814E-3</v>
      </c>
    </row>
    <row r="101" spans="1:9" x14ac:dyDescent="0.25">
      <c r="A101" s="48" t="s">
        <v>92</v>
      </c>
      <c r="B101" s="49" t="s">
        <v>282</v>
      </c>
      <c r="C101" s="49" t="s">
        <v>81</v>
      </c>
      <c r="D101" s="50" t="s">
        <v>284</v>
      </c>
      <c r="E101" s="51">
        <v>8901.3302999999996</v>
      </c>
      <c r="F101" s="51">
        <v>8901.3302999999996</v>
      </c>
      <c r="G101" s="51">
        <v>39899.836647999997</v>
      </c>
      <c r="H101" s="52">
        <v>2.2309189830846551E-3</v>
      </c>
      <c r="I101" s="53">
        <v>2.6771027797015859E-2</v>
      </c>
    </row>
    <row r="102" spans="1:9" x14ac:dyDescent="0.25">
      <c r="A102" s="42" t="s">
        <v>146</v>
      </c>
      <c r="B102" s="43" t="s">
        <v>147</v>
      </c>
      <c r="C102" s="43" t="s">
        <v>226</v>
      </c>
      <c r="D102" s="44" t="s">
        <v>284</v>
      </c>
      <c r="E102" s="45">
        <v>4023.3058000000001</v>
      </c>
      <c r="F102" s="45">
        <v>4023.3058000000001</v>
      </c>
      <c r="G102" s="45">
        <v>174899.28181099999</v>
      </c>
      <c r="H102" s="46">
        <v>2.3003558152672534E-4</v>
      </c>
      <c r="I102" s="47">
        <v>2.7604269783207038E-3</v>
      </c>
    </row>
    <row r="103" spans="1:9" x14ac:dyDescent="0.25">
      <c r="A103" s="48" t="s">
        <v>45</v>
      </c>
      <c r="B103" s="49" t="s">
        <v>45</v>
      </c>
      <c r="C103" s="49" t="s">
        <v>152</v>
      </c>
      <c r="D103" s="50" t="s">
        <v>284</v>
      </c>
      <c r="E103" s="51">
        <v>3419.1709999999998</v>
      </c>
      <c r="F103" s="51">
        <v>3419.1709999999998</v>
      </c>
      <c r="G103" s="51">
        <v>150733.30721999999</v>
      </c>
      <c r="H103" s="52">
        <v>2.2683579781140293E-4</v>
      </c>
      <c r="I103" s="53">
        <v>2.7220295737368349E-3</v>
      </c>
    </row>
    <row r="104" spans="1:9" x14ac:dyDescent="0.25">
      <c r="A104" s="42" t="s">
        <v>90</v>
      </c>
      <c r="B104" s="43" t="s">
        <v>91</v>
      </c>
      <c r="C104" s="43" t="s">
        <v>81</v>
      </c>
      <c r="D104" s="44" t="s">
        <v>284</v>
      </c>
      <c r="E104" s="45">
        <v>54219.863599999997</v>
      </c>
      <c r="F104" s="45">
        <v>54219.863599999997</v>
      </c>
      <c r="G104" s="45">
        <v>824083.54146599991</v>
      </c>
      <c r="H104" s="46">
        <v>6.5794134783405333E-4</v>
      </c>
      <c r="I104" s="47">
        <v>7.8952961740086404E-3</v>
      </c>
    </row>
    <row r="105" spans="1:9" x14ac:dyDescent="0.25">
      <c r="A105" s="48" t="s">
        <v>285</v>
      </c>
      <c r="B105" s="49" t="s">
        <v>255</v>
      </c>
      <c r="C105" s="49" t="s">
        <v>67</v>
      </c>
      <c r="D105" s="50" t="s">
        <v>284</v>
      </c>
      <c r="E105" s="51">
        <v>15627.5</v>
      </c>
      <c r="F105" s="51">
        <v>15627.5</v>
      </c>
      <c r="G105" s="51">
        <v>0</v>
      </c>
      <c r="H105" s="52">
        <v>0</v>
      </c>
      <c r="I105" s="53">
        <v>0</v>
      </c>
    </row>
    <row r="106" spans="1:9" x14ac:dyDescent="0.25">
      <c r="A106" s="42" t="s">
        <v>98</v>
      </c>
      <c r="B106" s="43" t="s">
        <v>99</v>
      </c>
      <c r="C106" s="43" t="s">
        <v>81</v>
      </c>
      <c r="D106" s="44" t="s">
        <v>284</v>
      </c>
      <c r="E106" s="45">
        <v>31222.329899999997</v>
      </c>
      <c r="F106" s="45">
        <v>31222.329899999997</v>
      </c>
      <c r="G106" s="45">
        <v>211015.47118200001</v>
      </c>
      <c r="H106" s="46">
        <v>1.4796227842967429E-3</v>
      </c>
      <c r="I106" s="47">
        <v>1.7755473411560915E-2</v>
      </c>
    </row>
    <row r="107" spans="1:9" x14ac:dyDescent="0.25">
      <c r="A107" s="48" t="s">
        <v>120</v>
      </c>
      <c r="B107" s="49" t="s">
        <v>268</v>
      </c>
      <c r="C107" s="49" t="s">
        <v>67</v>
      </c>
      <c r="D107" s="50" t="s">
        <v>284</v>
      </c>
      <c r="E107" s="51">
        <v>27686.6518</v>
      </c>
      <c r="F107" s="51">
        <v>27686.6518</v>
      </c>
      <c r="G107" s="51">
        <v>532765.96480800002</v>
      </c>
      <c r="H107" s="52">
        <v>5.1967756254808447E-4</v>
      </c>
      <c r="I107" s="53">
        <v>6.2361307505770132E-3</v>
      </c>
    </row>
    <row r="108" spans="1:9" x14ac:dyDescent="0.25">
      <c r="A108" s="42" t="s">
        <v>106</v>
      </c>
      <c r="B108" s="43" t="s">
        <v>107</v>
      </c>
      <c r="C108" s="43" t="s">
        <v>226</v>
      </c>
      <c r="D108" s="44" t="s">
        <v>284</v>
      </c>
      <c r="E108" s="45">
        <v>96911.676099999997</v>
      </c>
      <c r="F108" s="45">
        <v>96911.676099999997</v>
      </c>
      <c r="G108" s="45">
        <v>759998.03140599991</v>
      </c>
      <c r="H108" s="46">
        <v>1.2751569358767014E-3</v>
      </c>
      <c r="I108" s="47">
        <v>1.5301883230520417E-2</v>
      </c>
    </row>
    <row r="109" spans="1:9" x14ac:dyDescent="0.25">
      <c r="A109" s="48" t="s">
        <v>206</v>
      </c>
      <c r="B109" s="49" t="s">
        <v>251</v>
      </c>
      <c r="C109" s="49" t="s">
        <v>226</v>
      </c>
      <c r="D109" s="50" t="s">
        <v>284</v>
      </c>
      <c r="E109" s="51">
        <v>22.209299999999999</v>
      </c>
      <c r="F109" s="51">
        <v>22.209299999999999</v>
      </c>
      <c r="G109" s="51">
        <v>0</v>
      </c>
      <c r="H109" s="52">
        <v>0</v>
      </c>
      <c r="I109" s="53">
        <v>0</v>
      </c>
    </row>
    <row r="110" spans="1:9" x14ac:dyDescent="0.25">
      <c r="A110" s="42" t="s">
        <v>54</v>
      </c>
      <c r="B110" s="43" t="s">
        <v>55</v>
      </c>
      <c r="C110" s="43" t="s">
        <v>152</v>
      </c>
      <c r="D110" s="44" t="s">
        <v>284</v>
      </c>
      <c r="E110" s="45">
        <v>38169.122499999998</v>
      </c>
      <c r="F110" s="45">
        <v>38169.122499999998</v>
      </c>
      <c r="G110" s="45">
        <v>594341.28762100008</v>
      </c>
      <c r="H110" s="46">
        <v>6.4220883345966892E-4</v>
      </c>
      <c r="I110" s="47">
        <v>7.706506001516027E-3</v>
      </c>
    </row>
    <row r="111" spans="1:9" x14ac:dyDescent="0.25">
      <c r="A111" s="48" t="s">
        <v>94</v>
      </c>
      <c r="B111" s="49" t="s">
        <v>95</v>
      </c>
      <c r="C111" s="49" t="s">
        <v>152</v>
      </c>
      <c r="D111" s="50" t="s">
        <v>284</v>
      </c>
      <c r="E111" s="51">
        <v>76636.887000000002</v>
      </c>
      <c r="F111" s="51">
        <v>76636.887000000002</v>
      </c>
      <c r="G111" s="51">
        <v>527484.23321500001</v>
      </c>
      <c r="H111" s="52">
        <v>1.4528754069652577E-3</v>
      </c>
      <c r="I111" s="53">
        <v>1.7434504883583092E-2</v>
      </c>
    </row>
    <row r="112" spans="1:9" x14ac:dyDescent="0.25">
      <c r="A112" s="42" t="s">
        <v>159</v>
      </c>
      <c r="B112" s="43" t="s">
        <v>159</v>
      </c>
      <c r="C112" s="43" t="s">
        <v>152</v>
      </c>
      <c r="D112" s="44" t="s">
        <v>284</v>
      </c>
      <c r="E112" s="45">
        <v>317.23219999999998</v>
      </c>
      <c r="F112" s="45">
        <v>317.23219999999998</v>
      </c>
      <c r="G112" s="45">
        <v>1411.4596059999999</v>
      </c>
      <c r="H112" s="46">
        <v>2.2475471395105588E-3</v>
      </c>
      <c r="I112" s="47">
        <v>2.6970565674126708E-2</v>
      </c>
    </row>
    <row r="113" spans="1:9" x14ac:dyDescent="0.25">
      <c r="A113" s="48" t="s">
        <v>170</v>
      </c>
      <c r="B113" s="49" t="s">
        <v>171</v>
      </c>
      <c r="C113" s="49" t="s">
        <v>81</v>
      </c>
      <c r="D113" s="50" t="s">
        <v>284</v>
      </c>
      <c r="E113" s="51">
        <v>1194.4627</v>
      </c>
      <c r="F113" s="51">
        <v>1194.4627</v>
      </c>
      <c r="G113" s="51">
        <v>53807.794029999997</v>
      </c>
      <c r="H113" s="52">
        <v>2.2198692987377246E-4</v>
      </c>
      <c r="I113" s="53">
        <v>2.6638431584852696E-3</v>
      </c>
    </row>
    <row r="114" spans="1:9" x14ac:dyDescent="0.25">
      <c r="A114" s="42" t="s">
        <v>148</v>
      </c>
      <c r="B114" s="43" t="s">
        <v>149</v>
      </c>
      <c r="C114" s="43" t="s">
        <v>226</v>
      </c>
      <c r="D114" s="44" t="s">
        <v>284</v>
      </c>
      <c r="E114" s="45">
        <v>5160.2190000000001</v>
      </c>
      <c r="F114" s="45">
        <v>5160.2190000000001</v>
      </c>
      <c r="G114" s="45">
        <v>92244.296490000008</v>
      </c>
      <c r="H114" s="46">
        <v>5.5940791966031279E-4</v>
      </c>
      <c r="I114" s="47">
        <v>6.7128950359237535E-3</v>
      </c>
    </row>
    <row r="115" spans="1:9" x14ac:dyDescent="0.25">
      <c r="A115" s="48" t="s">
        <v>137</v>
      </c>
      <c r="B115" s="49" t="s">
        <v>138</v>
      </c>
      <c r="C115" s="49" t="s">
        <v>152</v>
      </c>
      <c r="D115" s="50" t="s">
        <v>284</v>
      </c>
      <c r="E115" s="51">
        <v>43.866799999999998</v>
      </c>
      <c r="F115" s="51">
        <v>43.866799999999998</v>
      </c>
      <c r="G115" s="51">
        <v>2069.7130300000003</v>
      </c>
      <c r="H115" s="52">
        <v>2.1194629093097023E-4</v>
      </c>
      <c r="I115" s="53">
        <v>2.5433554911716426E-3</v>
      </c>
    </row>
    <row r="116" spans="1:9" x14ac:dyDescent="0.25">
      <c r="A116" s="42" t="s">
        <v>102</v>
      </c>
      <c r="B116" s="43" t="s">
        <v>271</v>
      </c>
      <c r="C116" s="43" t="s">
        <v>152</v>
      </c>
      <c r="D116" s="44" t="s">
        <v>284</v>
      </c>
      <c r="E116" s="45">
        <v>7985.5776999999998</v>
      </c>
      <c r="F116" s="45">
        <v>7985.5776999999998</v>
      </c>
      <c r="G116" s="45">
        <v>290099.11011800001</v>
      </c>
      <c r="H116" s="46">
        <v>2.7527067203866309E-4</v>
      </c>
      <c r="I116" s="47">
        <v>3.3032480644639571E-3</v>
      </c>
    </row>
    <row r="117" spans="1:9" x14ac:dyDescent="0.25">
      <c r="A117" s="48" t="s">
        <v>86</v>
      </c>
      <c r="B117" s="49" t="s">
        <v>87</v>
      </c>
      <c r="C117" s="49" t="s">
        <v>152</v>
      </c>
      <c r="D117" s="50" t="s">
        <v>284</v>
      </c>
      <c r="E117" s="51">
        <v>74562.141999999993</v>
      </c>
      <c r="F117" s="51">
        <v>74562.141999999993</v>
      </c>
      <c r="G117" s="51">
        <v>740724.47923199995</v>
      </c>
      <c r="H117" s="52">
        <v>1.0066110151686592E-3</v>
      </c>
      <c r="I117" s="53">
        <v>1.2079332182023911E-2</v>
      </c>
    </row>
    <row r="118" spans="1:9" x14ac:dyDescent="0.25">
      <c r="A118" s="42" t="s">
        <v>144</v>
      </c>
      <c r="B118" s="43" t="s">
        <v>286</v>
      </c>
      <c r="C118" s="43" t="s">
        <v>67</v>
      </c>
      <c r="D118" s="44" t="s">
        <v>284</v>
      </c>
      <c r="E118" s="45">
        <v>114.9134</v>
      </c>
      <c r="F118" s="45">
        <v>114.9134</v>
      </c>
      <c r="G118" s="45">
        <v>22232.319800000001</v>
      </c>
      <c r="H118" s="46">
        <v>5.1687543645355433E-5</v>
      </c>
      <c r="I118" s="47">
        <v>6.2025052374426522E-4</v>
      </c>
    </row>
    <row r="119" spans="1:9" x14ac:dyDescent="0.25">
      <c r="A119" s="48" t="s">
        <v>124</v>
      </c>
      <c r="B119" s="49" t="s">
        <v>125</v>
      </c>
      <c r="C119" s="49" t="s">
        <v>152</v>
      </c>
      <c r="D119" s="50" t="s">
        <v>284</v>
      </c>
      <c r="E119" s="51">
        <v>26564.558699999998</v>
      </c>
      <c r="F119" s="51">
        <v>26564.558699999998</v>
      </c>
      <c r="G119" s="51">
        <v>307351.89432900003</v>
      </c>
      <c r="H119" s="52">
        <v>8.6430437521769045E-4</v>
      </c>
      <c r="I119" s="53">
        <v>1.0371652502612285E-2</v>
      </c>
    </row>
    <row r="120" spans="1:9" x14ac:dyDescent="0.25">
      <c r="A120" s="42" t="s">
        <v>200</v>
      </c>
      <c r="B120" s="43" t="s">
        <v>244</v>
      </c>
      <c r="C120" s="43" t="s">
        <v>230</v>
      </c>
      <c r="D120" s="44" t="s">
        <v>284</v>
      </c>
      <c r="E120" s="45">
        <v>1396.31</v>
      </c>
      <c r="F120" s="45">
        <v>1396.31</v>
      </c>
      <c r="G120" s="45">
        <v>0</v>
      </c>
      <c r="H120" s="46">
        <v>0</v>
      </c>
      <c r="I120" s="47">
        <v>0</v>
      </c>
    </row>
    <row r="121" spans="1:9" x14ac:dyDescent="0.25">
      <c r="A121" s="48" t="s">
        <v>63</v>
      </c>
      <c r="B121" s="49" t="s">
        <v>64</v>
      </c>
      <c r="C121" s="49" t="s">
        <v>226</v>
      </c>
      <c r="D121" s="50" t="s">
        <v>284</v>
      </c>
      <c r="E121" s="51">
        <v>24955.1535</v>
      </c>
      <c r="F121" s="51">
        <v>24955.1535</v>
      </c>
      <c r="G121" s="51">
        <v>578912.89004700002</v>
      </c>
      <c r="H121" s="52">
        <v>4.3106923215985006E-4</v>
      </c>
      <c r="I121" s="53">
        <v>5.172830785918201E-3</v>
      </c>
    </row>
    <row r="122" spans="1:9" x14ac:dyDescent="0.25">
      <c r="A122" s="42" t="s">
        <v>61</v>
      </c>
      <c r="B122" s="43" t="s">
        <v>62</v>
      </c>
      <c r="C122" s="43" t="s">
        <v>226</v>
      </c>
      <c r="D122" s="44" t="s">
        <v>284</v>
      </c>
      <c r="E122" s="45">
        <v>15527.3243</v>
      </c>
      <c r="F122" s="45">
        <v>15527.3243</v>
      </c>
      <c r="G122" s="45">
        <v>231582.191353</v>
      </c>
      <c r="H122" s="46">
        <v>6.7048870248972428E-4</v>
      </c>
      <c r="I122" s="47">
        <v>8.0458644298766913E-3</v>
      </c>
    </row>
    <row r="123" spans="1:9" x14ac:dyDescent="0.25">
      <c r="A123" s="48" t="s">
        <v>76</v>
      </c>
      <c r="B123" s="49" t="s">
        <v>77</v>
      </c>
      <c r="C123" s="49" t="s">
        <v>152</v>
      </c>
      <c r="D123" s="50" t="s">
        <v>284</v>
      </c>
      <c r="E123" s="51">
        <v>27130.697099999998</v>
      </c>
      <c r="F123" s="51">
        <v>27130.697099999998</v>
      </c>
      <c r="G123" s="51">
        <v>248359.37127500001</v>
      </c>
      <c r="H123" s="52">
        <v>1.0923967539746703E-3</v>
      </c>
      <c r="I123" s="53">
        <v>1.3108761047696043E-2</v>
      </c>
    </row>
    <row r="124" spans="1:9" x14ac:dyDescent="0.25">
      <c r="A124" s="42" t="s">
        <v>163</v>
      </c>
      <c r="B124" s="43" t="s">
        <v>164</v>
      </c>
      <c r="C124" s="43" t="s">
        <v>67</v>
      </c>
      <c r="D124" s="44" t="s">
        <v>284</v>
      </c>
      <c r="E124" s="45">
        <v>6.6348000000000003</v>
      </c>
      <c r="F124" s="45">
        <v>6.6348000000000003</v>
      </c>
      <c r="G124" s="45">
        <v>9848.2545339999997</v>
      </c>
      <c r="H124" s="46">
        <v>6.737031396877582E-6</v>
      </c>
      <c r="I124" s="47">
        <v>8.0844376762530978E-5</v>
      </c>
    </row>
    <row r="125" spans="1:9" x14ac:dyDescent="0.25">
      <c r="A125" s="48" t="s">
        <v>88</v>
      </c>
      <c r="B125" s="49" t="s">
        <v>89</v>
      </c>
      <c r="C125" s="49" t="s">
        <v>152</v>
      </c>
      <c r="D125" s="50" t="s">
        <v>284</v>
      </c>
      <c r="E125" s="51">
        <v>8218.7813999999998</v>
      </c>
      <c r="F125" s="51">
        <v>8218.7813999999998</v>
      </c>
      <c r="G125" s="51">
        <v>153010.432696</v>
      </c>
      <c r="H125" s="52">
        <v>5.3713862873187304E-4</v>
      </c>
      <c r="I125" s="53">
        <v>6.4456635447824769E-3</v>
      </c>
    </row>
    <row r="126" spans="1:9" x14ac:dyDescent="0.25">
      <c r="A126" s="42" t="s">
        <v>116</v>
      </c>
      <c r="B126" s="43" t="s">
        <v>117</v>
      </c>
      <c r="C126" s="43" t="s">
        <v>152</v>
      </c>
      <c r="D126" s="44" t="s">
        <v>284</v>
      </c>
      <c r="E126" s="45">
        <v>64726.167099999999</v>
      </c>
      <c r="F126" s="45">
        <v>64726.167099999999</v>
      </c>
      <c r="G126" s="45">
        <v>754699.79138399998</v>
      </c>
      <c r="H126" s="46">
        <v>8.5764124806901631E-4</v>
      </c>
      <c r="I126" s="47">
        <v>1.0291694976828195E-2</v>
      </c>
    </row>
    <row r="127" spans="1:9" x14ac:dyDescent="0.25">
      <c r="A127" s="48" t="s">
        <v>84</v>
      </c>
      <c r="B127" s="49" t="s">
        <v>85</v>
      </c>
      <c r="C127" s="49" t="s">
        <v>67</v>
      </c>
      <c r="D127" s="50" t="s">
        <v>284</v>
      </c>
      <c r="E127" s="51">
        <v>35363.306299999997</v>
      </c>
      <c r="F127" s="51">
        <v>35363.306299999997</v>
      </c>
      <c r="G127" s="51">
        <v>587610.11018800002</v>
      </c>
      <c r="H127" s="52">
        <v>6.018158245896392E-4</v>
      </c>
      <c r="I127" s="53">
        <v>7.2217898950756709E-3</v>
      </c>
    </row>
    <row r="128" spans="1:9" x14ac:dyDescent="0.25">
      <c r="A128" s="42" t="s">
        <v>112</v>
      </c>
      <c r="B128" s="43" t="s">
        <v>113</v>
      </c>
      <c r="C128" s="43" t="s">
        <v>81</v>
      </c>
      <c r="D128" s="44" t="s">
        <v>284</v>
      </c>
      <c r="E128" s="45">
        <v>70014.273000000001</v>
      </c>
      <c r="F128" s="45">
        <v>70014.273000000001</v>
      </c>
      <c r="G128" s="45">
        <v>914846.519845</v>
      </c>
      <c r="H128" s="46">
        <v>7.6531168323034488E-4</v>
      </c>
      <c r="I128" s="47">
        <v>9.1837401987641381E-3</v>
      </c>
    </row>
    <row r="129" spans="1:9" x14ac:dyDescent="0.25">
      <c r="A129" s="48" t="s">
        <v>122</v>
      </c>
      <c r="B129" s="49" t="s">
        <v>123</v>
      </c>
      <c r="C129" s="49" t="s">
        <v>152</v>
      </c>
      <c r="D129" s="50" t="s">
        <v>284</v>
      </c>
      <c r="E129" s="51">
        <v>115309.06820000001</v>
      </c>
      <c r="F129" s="51">
        <v>115309.06820000001</v>
      </c>
      <c r="G129" s="51">
        <v>1063885.2900720001</v>
      </c>
      <c r="H129" s="52">
        <v>1.0838486938022829E-3</v>
      </c>
      <c r="I129" s="53">
        <v>1.3006184325627394E-2</v>
      </c>
    </row>
    <row r="130" spans="1:9" x14ac:dyDescent="0.25">
      <c r="A130" s="42" t="s">
        <v>155</v>
      </c>
      <c r="B130" s="43" t="s">
        <v>156</v>
      </c>
      <c r="C130" s="43" t="s">
        <v>152</v>
      </c>
      <c r="D130" s="44" t="s">
        <v>284</v>
      </c>
      <c r="E130" s="45">
        <v>3842.7316000000001</v>
      </c>
      <c r="F130" s="45">
        <v>3842.7316000000001</v>
      </c>
      <c r="G130" s="45">
        <v>144022.88710600001</v>
      </c>
      <c r="H130" s="46">
        <v>2.6681395417186519E-4</v>
      </c>
      <c r="I130" s="47">
        <v>3.2017674500623822E-3</v>
      </c>
    </row>
    <row r="131" spans="1:9" x14ac:dyDescent="0.25">
      <c r="A131" s="48" t="s">
        <v>59</v>
      </c>
      <c r="B131" s="49" t="s">
        <v>60</v>
      </c>
      <c r="C131" s="49" t="s">
        <v>226</v>
      </c>
      <c r="D131" s="50" t="s">
        <v>284</v>
      </c>
      <c r="E131" s="51">
        <v>15672.6659</v>
      </c>
      <c r="F131" s="51">
        <v>15672.6659</v>
      </c>
      <c r="G131" s="51">
        <v>394847.797792</v>
      </c>
      <c r="H131" s="52">
        <v>3.9692929750759632E-4</v>
      </c>
      <c r="I131" s="53">
        <v>4.7631515700911559E-3</v>
      </c>
    </row>
    <row r="132" spans="1:9" x14ac:dyDescent="0.25">
      <c r="A132" s="42" t="s">
        <v>50</v>
      </c>
      <c r="B132" s="43" t="s">
        <v>51</v>
      </c>
      <c r="C132" s="43" t="s">
        <v>152</v>
      </c>
      <c r="D132" s="44" t="s">
        <v>284</v>
      </c>
      <c r="E132" s="45">
        <v>58.721699999999998</v>
      </c>
      <c r="F132" s="45">
        <v>58.721699999999998</v>
      </c>
      <c r="G132" s="45">
        <v>4691.7179839999999</v>
      </c>
      <c r="H132" s="46">
        <v>1.2516033615033242E-4</v>
      </c>
      <c r="I132" s="47">
        <v>1.5019240338039891E-3</v>
      </c>
    </row>
    <row r="133" spans="1:9" x14ac:dyDescent="0.25">
      <c r="A133" s="48" t="s">
        <v>70</v>
      </c>
      <c r="B133" s="49" t="s">
        <v>71</v>
      </c>
      <c r="C133" s="49" t="s">
        <v>152</v>
      </c>
      <c r="D133" s="50" t="s">
        <v>284</v>
      </c>
      <c r="E133" s="51">
        <v>27108.141900000002</v>
      </c>
      <c r="F133" s="51">
        <v>27108.141900000002</v>
      </c>
      <c r="G133" s="51">
        <v>267462.20026900002</v>
      </c>
      <c r="H133" s="52">
        <v>1.0135317017782699E-3</v>
      </c>
      <c r="I133" s="53">
        <v>1.2162380421339238E-2</v>
      </c>
    </row>
    <row r="134" spans="1:9" x14ac:dyDescent="0.25">
      <c r="A134" s="42" t="s">
        <v>72</v>
      </c>
      <c r="B134" s="43" t="s">
        <v>73</v>
      </c>
      <c r="C134" s="43" t="s">
        <v>67</v>
      </c>
      <c r="D134" s="44" t="s">
        <v>284</v>
      </c>
      <c r="E134" s="45">
        <v>87155.893500000006</v>
      </c>
      <c r="F134" s="45">
        <v>87155.893500000006</v>
      </c>
      <c r="G134" s="45">
        <v>1782324.0621689998</v>
      </c>
      <c r="H134" s="46">
        <v>4.890013850451843E-4</v>
      </c>
      <c r="I134" s="47">
        <v>5.8680166205422116E-3</v>
      </c>
    </row>
    <row r="135" spans="1:9" x14ac:dyDescent="0.25">
      <c r="A135" s="48" t="s">
        <v>133</v>
      </c>
      <c r="B135" s="49" t="s">
        <v>134</v>
      </c>
      <c r="C135" s="49" t="s">
        <v>152</v>
      </c>
      <c r="D135" s="50" t="s">
        <v>284</v>
      </c>
      <c r="E135" s="51">
        <v>11326.4519</v>
      </c>
      <c r="F135" s="51">
        <v>11326.4519</v>
      </c>
      <c r="G135" s="51">
        <v>176592.67851900001</v>
      </c>
      <c r="H135" s="52">
        <v>6.4138853292161613E-4</v>
      </c>
      <c r="I135" s="53">
        <v>7.6966623950593931E-3</v>
      </c>
    </row>
    <row r="136" spans="1:9" x14ac:dyDescent="0.25">
      <c r="A136" s="42" t="s">
        <v>118</v>
      </c>
      <c r="B136" s="43" t="s">
        <v>119</v>
      </c>
      <c r="C136" s="43" t="s">
        <v>226</v>
      </c>
      <c r="D136" s="44" t="s">
        <v>284</v>
      </c>
      <c r="E136" s="45">
        <v>16539.750899999999</v>
      </c>
      <c r="F136" s="45">
        <v>16539.750899999999</v>
      </c>
      <c r="G136" s="45">
        <v>357584.91954199999</v>
      </c>
      <c r="H136" s="46">
        <v>4.6254050425796356E-4</v>
      </c>
      <c r="I136" s="47">
        <v>5.550486051095563E-3</v>
      </c>
    </row>
    <row r="137" spans="1:9" x14ac:dyDescent="0.25">
      <c r="A137" s="48" t="s">
        <v>57</v>
      </c>
      <c r="B137" s="49" t="s">
        <v>58</v>
      </c>
      <c r="C137" s="49" t="s">
        <v>226</v>
      </c>
      <c r="D137" s="50" t="s">
        <v>284</v>
      </c>
      <c r="E137" s="51">
        <v>4594.8415000000005</v>
      </c>
      <c r="F137" s="51">
        <v>4594.8415000000005</v>
      </c>
      <c r="G137" s="51">
        <v>112279.32836500001</v>
      </c>
      <c r="H137" s="52">
        <v>4.0923307673011657E-4</v>
      </c>
      <c r="I137" s="53">
        <v>4.9107969207613988E-3</v>
      </c>
    </row>
    <row r="138" spans="1:9" x14ac:dyDescent="0.25">
      <c r="A138" s="42" t="s">
        <v>157</v>
      </c>
      <c r="B138" s="43" t="s">
        <v>158</v>
      </c>
      <c r="C138" s="43" t="s">
        <v>226</v>
      </c>
      <c r="D138" s="44" t="s">
        <v>284</v>
      </c>
      <c r="E138" s="45">
        <v>388.26179999999999</v>
      </c>
      <c r="F138" s="45">
        <v>388.26179999999999</v>
      </c>
      <c r="G138" s="45">
        <v>0</v>
      </c>
      <c r="H138" s="46">
        <v>0</v>
      </c>
      <c r="I138" s="47">
        <v>0</v>
      </c>
    </row>
    <row r="139" spans="1:9" x14ac:dyDescent="0.25">
      <c r="A139" s="48" t="s">
        <v>74</v>
      </c>
      <c r="B139" s="49" t="s">
        <v>75</v>
      </c>
      <c r="C139" s="49" t="s">
        <v>67</v>
      </c>
      <c r="D139" s="50" t="s">
        <v>284</v>
      </c>
      <c r="E139" s="51">
        <v>9450.2433999999994</v>
      </c>
      <c r="F139" s="51">
        <v>9450.2433999999994</v>
      </c>
      <c r="G139" s="51">
        <v>581271.90676499996</v>
      </c>
      <c r="H139" s="52">
        <v>1.6257870524990982E-4</v>
      </c>
      <c r="I139" s="53">
        <v>0</v>
      </c>
    </row>
    <row r="140" spans="1:9" x14ac:dyDescent="0.25">
      <c r="A140" s="42" t="s">
        <v>96</v>
      </c>
      <c r="B140" s="43" t="s">
        <v>97</v>
      </c>
      <c r="C140" s="43" t="s">
        <v>81</v>
      </c>
      <c r="D140" s="44" t="s">
        <v>284</v>
      </c>
      <c r="E140" s="45">
        <v>18516.002899999999</v>
      </c>
      <c r="F140" s="45">
        <v>18516.002899999999</v>
      </c>
      <c r="G140" s="45">
        <v>204109.59825599997</v>
      </c>
      <c r="H140" s="46">
        <v>9.0715983266875615E-4</v>
      </c>
      <c r="I140" s="47">
        <v>1.0885917992025073E-2</v>
      </c>
    </row>
    <row r="141" spans="1:9" x14ac:dyDescent="0.25">
      <c r="A141" s="48" t="s">
        <v>100</v>
      </c>
      <c r="B141" s="49" t="s">
        <v>100</v>
      </c>
      <c r="C141" s="49" t="s">
        <v>52</v>
      </c>
      <c r="D141" s="50" t="s">
        <v>287</v>
      </c>
      <c r="E141" s="51">
        <v>3847.3697999999999</v>
      </c>
      <c r="F141" s="51">
        <v>3847.3697999999999</v>
      </c>
      <c r="G141" s="51">
        <v>144294.45869100001</v>
      </c>
      <c r="H141" s="52">
        <v>2.6663323282836293E-4</v>
      </c>
      <c r="I141" s="53">
        <v>3.199598793940355E-3</v>
      </c>
    </row>
    <row r="142" spans="1:9" x14ac:dyDescent="0.25">
      <c r="A142" s="42" t="s">
        <v>128</v>
      </c>
      <c r="B142" s="43" t="s">
        <v>129</v>
      </c>
      <c r="C142" s="43" t="s">
        <v>67</v>
      </c>
      <c r="D142" s="44" t="s">
        <v>287</v>
      </c>
      <c r="E142" s="45">
        <v>121966.3956</v>
      </c>
      <c r="F142" s="45">
        <v>121966.3956</v>
      </c>
      <c r="G142" s="45">
        <v>2118981.609993</v>
      </c>
      <c r="H142" s="46">
        <v>5.7558968433144128E-4</v>
      </c>
      <c r="I142" s="47">
        <v>6.9070762119772949E-3</v>
      </c>
    </row>
    <row r="143" spans="1:9" x14ac:dyDescent="0.25">
      <c r="A143" s="48" t="s">
        <v>190</v>
      </c>
      <c r="B143" s="49" t="s">
        <v>234</v>
      </c>
      <c r="C143" s="49" t="s">
        <v>226</v>
      </c>
      <c r="D143" s="50" t="s">
        <v>287</v>
      </c>
      <c r="E143" s="51">
        <v>968.79570000000001</v>
      </c>
      <c r="F143" s="51">
        <v>968.79570000000001</v>
      </c>
      <c r="G143" s="51">
        <v>102867.08784199999</v>
      </c>
      <c r="H143" s="52">
        <v>9.4179364879856819E-5</v>
      </c>
      <c r="I143" s="53">
        <v>1.1301523785582819E-3</v>
      </c>
    </row>
    <row r="144" spans="1:9" x14ac:dyDescent="0.25">
      <c r="A144" s="42" t="s">
        <v>65</v>
      </c>
      <c r="B144" s="43" t="s">
        <v>66</v>
      </c>
      <c r="C144" s="43" t="s">
        <v>67</v>
      </c>
      <c r="D144" s="44" t="s">
        <v>287</v>
      </c>
      <c r="E144" s="45">
        <v>52951.176500000001</v>
      </c>
      <c r="F144" s="45">
        <v>52951.176500000001</v>
      </c>
      <c r="G144" s="45">
        <v>2509701.3795670001</v>
      </c>
      <c r="H144" s="46">
        <v>2.1098596403184704E-4</v>
      </c>
      <c r="I144" s="47">
        <v>2.5318315683821643E-3</v>
      </c>
    </row>
    <row r="145" spans="1:9" x14ac:dyDescent="0.25">
      <c r="A145" s="48" t="s">
        <v>131</v>
      </c>
      <c r="B145" s="49" t="s">
        <v>132</v>
      </c>
      <c r="C145" s="49" t="s">
        <v>67</v>
      </c>
      <c r="D145" s="50" t="s">
        <v>287</v>
      </c>
      <c r="E145" s="51">
        <v>130266.0613</v>
      </c>
      <c r="F145" s="51">
        <v>130266.0613</v>
      </c>
      <c r="G145" s="51">
        <v>425966.35625800001</v>
      </c>
      <c r="H145" s="52">
        <v>3.0581302815638391E-3</v>
      </c>
      <c r="I145" s="53">
        <v>3.669756337876607E-2</v>
      </c>
    </row>
    <row r="146" spans="1:9" x14ac:dyDescent="0.25">
      <c r="A146" s="42" t="s">
        <v>82</v>
      </c>
      <c r="B146" s="43" t="s">
        <v>83</v>
      </c>
      <c r="C146" s="43" t="s">
        <v>226</v>
      </c>
      <c r="D146" s="44" t="s">
        <v>287</v>
      </c>
      <c r="E146" s="45">
        <v>25093.967400000001</v>
      </c>
      <c r="F146" s="45">
        <v>25093.967400000001</v>
      </c>
      <c r="G146" s="45">
        <v>636458.70552600001</v>
      </c>
      <c r="H146" s="46">
        <v>3.9427487097157612E-4</v>
      </c>
      <c r="I146" s="47">
        <v>4.7312984516589135E-3</v>
      </c>
    </row>
    <row r="147" spans="1:9" x14ac:dyDescent="0.25">
      <c r="A147" s="48" t="s">
        <v>68</v>
      </c>
      <c r="B147" s="49" t="s">
        <v>69</v>
      </c>
      <c r="C147" s="49" t="s">
        <v>226</v>
      </c>
      <c r="D147" s="50" t="s">
        <v>287</v>
      </c>
      <c r="E147" s="51">
        <v>23501.986000000001</v>
      </c>
      <c r="F147" s="51">
        <v>23501.986000000001</v>
      </c>
      <c r="G147" s="51">
        <v>592673.68611699995</v>
      </c>
      <c r="H147" s="52">
        <v>3.9654174886651647E-4</v>
      </c>
      <c r="I147" s="53">
        <v>4.7585009863981981E-3</v>
      </c>
    </row>
    <row r="148" spans="1:9" x14ac:dyDescent="0.25">
      <c r="A148" s="42" t="s">
        <v>79</v>
      </c>
      <c r="B148" s="43" t="s">
        <v>80</v>
      </c>
      <c r="C148" s="43" t="s">
        <v>81</v>
      </c>
      <c r="D148" s="44" t="s">
        <v>287</v>
      </c>
      <c r="E148" s="45">
        <v>8696.8491999999987</v>
      </c>
      <c r="F148" s="45">
        <v>8696.8491999999987</v>
      </c>
      <c r="G148" s="45">
        <v>129196.87761</v>
      </c>
      <c r="H148" s="46">
        <v>6.7314701104872923E-4</v>
      </c>
      <c r="I148" s="47">
        <v>8.0777641325847499E-3</v>
      </c>
    </row>
    <row r="149" spans="1:9" x14ac:dyDescent="0.25">
      <c r="A149" s="48" t="s">
        <v>114</v>
      </c>
      <c r="B149" s="49" t="s">
        <v>115</v>
      </c>
      <c r="C149" s="49" t="s">
        <v>226</v>
      </c>
      <c r="D149" s="50" t="s">
        <v>287</v>
      </c>
      <c r="E149" s="51">
        <v>11923.505800000001</v>
      </c>
      <c r="F149" s="51">
        <v>11923.505800000001</v>
      </c>
      <c r="G149" s="51">
        <v>506493.13203699997</v>
      </c>
      <c r="H149" s="52">
        <v>2.3541298086405193E-4</v>
      </c>
      <c r="I149" s="53">
        <v>2.8249557703686231E-3</v>
      </c>
    </row>
    <row r="150" spans="1:9" x14ac:dyDescent="0.25">
      <c r="A150" s="42" t="s">
        <v>92</v>
      </c>
      <c r="B150" s="43" t="s">
        <v>282</v>
      </c>
      <c r="C150" s="43" t="s">
        <v>81</v>
      </c>
      <c r="D150" s="44" t="s">
        <v>287</v>
      </c>
      <c r="E150" s="45">
        <v>2039.8085000000001</v>
      </c>
      <c r="F150" s="45">
        <v>2039.8085000000001</v>
      </c>
      <c r="G150" s="45">
        <v>41635.823650000006</v>
      </c>
      <c r="H150" s="46">
        <v>4.8991669220887384E-4</v>
      </c>
      <c r="I150" s="47">
        <v>5.8790003065064857E-3</v>
      </c>
    </row>
    <row r="151" spans="1:9" x14ac:dyDescent="0.25">
      <c r="A151" s="48" t="s">
        <v>146</v>
      </c>
      <c r="B151" s="49" t="s">
        <v>147</v>
      </c>
      <c r="C151" s="49" t="s">
        <v>226</v>
      </c>
      <c r="D151" s="50" t="s">
        <v>287</v>
      </c>
      <c r="E151" s="51">
        <v>1796.8615</v>
      </c>
      <c r="F151" s="51">
        <v>1796.8615</v>
      </c>
      <c r="G151" s="51">
        <v>180161.517899</v>
      </c>
      <c r="H151" s="52">
        <v>9.9736143486942375E-5</v>
      </c>
      <c r="I151" s="53">
        <v>1.1968337218433084E-3</v>
      </c>
    </row>
    <row r="152" spans="1:9" x14ac:dyDescent="0.25">
      <c r="A152" s="42" t="s">
        <v>90</v>
      </c>
      <c r="B152" s="43" t="s">
        <v>91</v>
      </c>
      <c r="C152" s="43" t="s">
        <v>81</v>
      </c>
      <c r="D152" s="44" t="s">
        <v>287</v>
      </c>
      <c r="E152" s="45">
        <v>180487.07630000002</v>
      </c>
      <c r="F152" s="45">
        <v>180487.07630000002</v>
      </c>
      <c r="G152" s="45">
        <v>794041.13681299996</v>
      </c>
      <c r="H152" s="46">
        <v>2.2730192169188018E-3</v>
      </c>
      <c r="I152" s="47">
        <v>2.7276230603025621E-2</v>
      </c>
    </row>
    <row r="153" spans="1:9" x14ac:dyDescent="0.25">
      <c r="A153" s="48" t="s">
        <v>98</v>
      </c>
      <c r="B153" s="49" t="s">
        <v>99</v>
      </c>
      <c r="C153" s="49" t="s">
        <v>81</v>
      </c>
      <c r="D153" s="50" t="s">
        <v>287</v>
      </c>
      <c r="E153" s="51">
        <v>15266.157300000001</v>
      </c>
      <c r="F153" s="51">
        <v>15266.157300000001</v>
      </c>
      <c r="G153" s="51">
        <v>224471.73681899998</v>
      </c>
      <c r="H153" s="52">
        <v>6.8009262619595087E-4</v>
      </c>
      <c r="I153" s="53">
        <v>8.1611115143514108E-3</v>
      </c>
    </row>
    <row r="154" spans="1:9" x14ac:dyDescent="0.25">
      <c r="A154" s="42" t="s">
        <v>120</v>
      </c>
      <c r="B154" s="43" t="s">
        <v>268</v>
      </c>
      <c r="C154" s="43" t="s">
        <v>67</v>
      </c>
      <c r="D154" s="44" t="s">
        <v>287</v>
      </c>
      <c r="E154" s="45">
        <v>29501.491599999998</v>
      </c>
      <c r="F154" s="45">
        <v>29501.491599999998</v>
      </c>
      <c r="G154" s="45">
        <v>539415.98705</v>
      </c>
      <c r="H154" s="46">
        <v>5.4691541052277748E-4</v>
      </c>
      <c r="I154" s="47">
        <v>6.5629849262733297E-3</v>
      </c>
    </row>
    <row r="155" spans="1:9" x14ac:dyDescent="0.25">
      <c r="A155" s="48" t="s">
        <v>106</v>
      </c>
      <c r="B155" s="49" t="s">
        <v>107</v>
      </c>
      <c r="C155" s="49" t="s">
        <v>226</v>
      </c>
      <c r="D155" s="50" t="s">
        <v>287</v>
      </c>
      <c r="E155" s="51">
        <v>101662.9387</v>
      </c>
      <c r="F155" s="51">
        <v>101662.9387</v>
      </c>
      <c r="G155" s="51">
        <v>745350.66052300006</v>
      </c>
      <c r="H155" s="52">
        <v>1.3639612075833519E-3</v>
      </c>
      <c r="I155" s="53">
        <v>1.6367534491000223E-2</v>
      </c>
    </row>
    <row r="156" spans="1:9" x14ac:dyDescent="0.25">
      <c r="A156" s="42" t="s">
        <v>45</v>
      </c>
      <c r="B156" s="43" t="s">
        <v>46</v>
      </c>
      <c r="C156" s="43" t="s">
        <v>52</v>
      </c>
      <c r="D156" s="44" t="s">
        <v>287</v>
      </c>
      <c r="E156" s="45">
        <v>3854.5162</v>
      </c>
      <c r="F156" s="45">
        <v>3854.5162</v>
      </c>
      <c r="G156" s="45">
        <v>150852.43758</v>
      </c>
      <c r="H156" s="46">
        <v>2.5551567225792256E-4</v>
      </c>
      <c r="I156" s="47">
        <v>3.0661880670950709E-3</v>
      </c>
    </row>
    <row r="157" spans="1:9" x14ac:dyDescent="0.25">
      <c r="A157" s="48" t="s">
        <v>54</v>
      </c>
      <c r="B157" s="49" t="s">
        <v>55</v>
      </c>
      <c r="C157" s="49" t="s">
        <v>52</v>
      </c>
      <c r="D157" s="50" t="s">
        <v>287</v>
      </c>
      <c r="E157" s="51">
        <v>36059.907599999999</v>
      </c>
      <c r="F157" s="51">
        <v>36059.907599999999</v>
      </c>
      <c r="G157" s="51">
        <v>589955.42709200003</v>
      </c>
      <c r="H157" s="52">
        <v>6.1123105143291907E-4</v>
      </c>
      <c r="I157" s="53">
        <v>7.3347726171950293E-3</v>
      </c>
    </row>
    <row r="158" spans="1:9" x14ac:dyDescent="0.25">
      <c r="A158" s="42" t="s">
        <v>94</v>
      </c>
      <c r="B158" s="43" t="s">
        <v>95</v>
      </c>
      <c r="C158" s="43" t="s">
        <v>52</v>
      </c>
      <c r="D158" s="44" t="s">
        <v>287</v>
      </c>
      <c r="E158" s="45">
        <v>105309.96679999999</v>
      </c>
      <c r="F158" s="45">
        <v>105309.96679999999</v>
      </c>
      <c r="G158" s="45">
        <v>483534.68998600001</v>
      </c>
      <c r="H158" s="46">
        <v>2.1779195780772024E-3</v>
      </c>
      <c r="I158" s="47">
        <v>2.6135034936926427E-2</v>
      </c>
    </row>
    <row r="159" spans="1:9" x14ac:dyDescent="0.25">
      <c r="A159" s="48" t="s">
        <v>170</v>
      </c>
      <c r="B159" s="49" t="s">
        <v>171</v>
      </c>
      <c r="C159" s="49" t="s">
        <v>81</v>
      </c>
      <c r="D159" s="50" t="s">
        <v>287</v>
      </c>
      <c r="E159" s="51">
        <v>1102.2811999999999</v>
      </c>
      <c r="F159" s="51">
        <v>1102.2811999999999</v>
      </c>
      <c r="G159" s="51">
        <v>51559.530634000002</v>
      </c>
      <c r="H159" s="52">
        <v>2.1378805944232557E-4</v>
      </c>
      <c r="I159" s="53">
        <v>2.5654567133079069E-3</v>
      </c>
    </row>
    <row r="160" spans="1:9" x14ac:dyDescent="0.25">
      <c r="A160" s="42" t="s">
        <v>148</v>
      </c>
      <c r="B160" s="43" t="s">
        <v>149</v>
      </c>
      <c r="C160" s="43" t="s">
        <v>226</v>
      </c>
      <c r="D160" s="44" t="s">
        <v>287</v>
      </c>
      <c r="E160" s="45">
        <v>3793.7882</v>
      </c>
      <c r="F160" s="45">
        <v>3793.7882</v>
      </c>
      <c r="G160" s="45">
        <v>91725.794859000001</v>
      </c>
      <c r="H160" s="46">
        <v>4.1360101657682817E-4</v>
      </c>
      <c r="I160" s="47">
        <v>4.9632121989219378E-3</v>
      </c>
    </row>
    <row r="161" spans="1:9" x14ac:dyDescent="0.25">
      <c r="A161" s="48" t="s">
        <v>137</v>
      </c>
      <c r="B161" s="49" t="s">
        <v>138</v>
      </c>
      <c r="C161" s="49" t="s">
        <v>52</v>
      </c>
      <c r="D161" s="50" t="s">
        <v>287</v>
      </c>
      <c r="E161" s="51">
        <v>128.03489999999999</v>
      </c>
      <c r="F161" s="51">
        <v>128.03489999999999</v>
      </c>
      <c r="G161" s="51">
        <v>2196.0805350000001</v>
      </c>
      <c r="H161" s="52">
        <v>5.8301550402840754E-4</v>
      </c>
      <c r="I161" s="53">
        <v>6.99618604834089E-3</v>
      </c>
    </row>
    <row r="162" spans="1:9" x14ac:dyDescent="0.25">
      <c r="A162" s="42" t="s">
        <v>102</v>
      </c>
      <c r="B162" s="43" t="s">
        <v>271</v>
      </c>
      <c r="C162" s="43" t="s">
        <v>52</v>
      </c>
      <c r="D162" s="44" t="s">
        <v>287</v>
      </c>
      <c r="E162" s="45">
        <v>18731.6538</v>
      </c>
      <c r="F162" s="45">
        <v>18731.6538</v>
      </c>
      <c r="G162" s="45">
        <v>197489.29927399999</v>
      </c>
      <c r="H162" s="46">
        <v>9.4848955709804744E-4</v>
      </c>
      <c r="I162" s="47">
        <v>1.1381874685176568E-2</v>
      </c>
    </row>
    <row r="163" spans="1:9" x14ac:dyDescent="0.25">
      <c r="A163" s="48" t="s">
        <v>86</v>
      </c>
      <c r="B163" s="49" t="s">
        <v>87</v>
      </c>
      <c r="C163" s="49" t="s">
        <v>52</v>
      </c>
      <c r="D163" s="50" t="s">
        <v>287</v>
      </c>
      <c r="E163" s="51">
        <v>125499.7359</v>
      </c>
      <c r="F163" s="51">
        <v>125499.7359</v>
      </c>
      <c r="G163" s="51">
        <v>736139.73761999991</v>
      </c>
      <c r="H163" s="52">
        <v>1.7048357735142913E-3</v>
      </c>
      <c r="I163" s="53">
        <v>2.0458029282171497E-2</v>
      </c>
    </row>
    <row r="164" spans="1:9" x14ac:dyDescent="0.25">
      <c r="A164" s="42" t="s">
        <v>144</v>
      </c>
      <c r="B164" s="43" t="s">
        <v>286</v>
      </c>
      <c r="C164" s="43" t="s">
        <v>67</v>
      </c>
      <c r="D164" s="44" t="s">
        <v>287</v>
      </c>
      <c r="E164" s="45">
        <v>743.52620000000002</v>
      </c>
      <c r="F164" s="45">
        <v>743.52620000000002</v>
      </c>
      <c r="G164" s="45">
        <v>21513.733963999999</v>
      </c>
      <c r="H164" s="46">
        <v>3.4560537061775488E-4</v>
      </c>
      <c r="I164" s="47">
        <v>4.1472644474130583E-3</v>
      </c>
    </row>
    <row r="165" spans="1:9" x14ac:dyDescent="0.25">
      <c r="A165" s="48" t="s">
        <v>124</v>
      </c>
      <c r="B165" s="49" t="s">
        <v>125</v>
      </c>
      <c r="C165" s="49" t="s">
        <v>52</v>
      </c>
      <c r="D165" s="50" t="s">
        <v>287</v>
      </c>
      <c r="E165" s="51">
        <v>80896.804700000008</v>
      </c>
      <c r="F165" s="51">
        <v>80896.804700000008</v>
      </c>
      <c r="G165" s="51">
        <v>322901.15269299998</v>
      </c>
      <c r="H165" s="52">
        <v>2.5053117347311883E-3</v>
      </c>
      <c r="I165" s="53">
        <v>3.0063740816774258E-2</v>
      </c>
    </row>
    <row r="166" spans="1:9" x14ac:dyDescent="0.25">
      <c r="A166" s="42" t="s">
        <v>63</v>
      </c>
      <c r="B166" s="43" t="s">
        <v>64</v>
      </c>
      <c r="C166" s="43" t="s">
        <v>226</v>
      </c>
      <c r="D166" s="44" t="s">
        <v>287</v>
      </c>
      <c r="E166" s="45">
        <v>27608.015100000001</v>
      </c>
      <c r="F166" s="45">
        <v>27608.015100000001</v>
      </c>
      <c r="G166" s="45">
        <v>625133.29100800003</v>
      </c>
      <c r="H166" s="46">
        <v>4.4163405624236216E-4</v>
      </c>
      <c r="I166" s="47">
        <v>5.2996086749083461E-3</v>
      </c>
    </row>
    <row r="167" spans="1:9" x14ac:dyDescent="0.25">
      <c r="A167" s="48" t="s">
        <v>61</v>
      </c>
      <c r="B167" s="49" t="s">
        <v>62</v>
      </c>
      <c r="C167" s="49" t="s">
        <v>226</v>
      </c>
      <c r="D167" s="50" t="s">
        <v>287</v>
      </c>
      <c r="E167" s="51">
        <v>29740.113400000002</v>
      </c>
      <c r="F167" s="51">
        <v>29740.113400000002</v>
      </c>
      <c r="G167" s="51">
        <v>238884.84571299999</v>
      </c>
      <c r="H167" s="52">
        <v>1.2449560503193342E-3</v>
      </c>
      <c r="I167" s="53">
        <v>1.4939472603832011E-2</v>
      </c>
    </row>
    <row r="168" spans="1:9" x14ac:dyDescent="0.25">
      <c r="A168" s="42" t="s">
        <v>76</v>
      </c>
      <c r="B168" s="43" t="s">
        <v>77</v>
      </c>
      <c r="C168" s="43" t="s">
        <v>52</v>
      </c>
      <c r="D168" s="44" t="s">
        <v>287</v>
      </c>
      <c r="E168" s="45">
        <v>21383.710299999999</v>
      </c>
      <c r="F168" s="45">
        <v>21383.710299999999</v>
      </c>
      <c r="G168" s="45">
        <v>280774.88389900001</v>
      </c>
      <c r="H168" s="46">
        <v>7.6159626541568164E-4</v>
      </c>
      <c r="I168" s="47">
        <v>9.1391551849881805E-3</v>
      </c>
    </row>
    <row r="169" spans="1:9" x14ac:dyDescent="0.25">
      <c r="A169" s="48" t="s">
        <v>163</v>
      </c>
      <c r="B169" s="49" t="s">
        <v>164</v>
      </c>
      <c r="C169" s="49" t="s">
        <v>67</v>
      </c>
      <c r="D169" s="50" t="s">
        <v>287</v>
      </c>
      <c r="E169" s="51">
        <v>4155.9296999999997</v>
      </c>
      <c r="F169" s="51">
        <v>4155.9296999999997</v>
      </c>
      <c r="G169" s="51">
        <v>9206.7870710000007</v>
      </c>
      <c r="H169" s="52">
        <v>4.5139848113687295E-3</v>
      </c>
      <c r="I169" s="53">
        <v>5.4167817736424755E-2</v>
      </c>
    </row>
    <row r="170" spans="1:9" x14ac:dyDescent="0.25">
      <c r="A170" s="42" t="s">
        <v>88</v>
      </c>
      <c r="B170" s="43" t="s">
        <v>89</v>
      </c>
      <c r="C170" s="43" t="s">
        <v>52</v>
      </c>
      <c r="D170" s="44" t="s">
        <v>287</v>
      </c>
      <c r="E170" s="45">
        <v>29873.364699999998</v>
      </c>
      <c r="F170" s="45">
        <v>29873.364699999998</v>
      </c>
      <c r="G170" s="45">
        <v>174709.71677499998</v>
      </c>
      <c r="H170" s="46">
        <v>1.7098857036367604E-3</v>
      </c>
      <c r="I170" s="47">
        <v>2.0518628443641124E-2</v>
      </c>
    </row>
    <row r="171" spans="1:9" x14ac:dyDescent="0.25">
      <c r="A171" s="48" t="s">
        <v>116</v>
      </c>
      <c r="B171" s="49" t="s">
        <v>117</v>
      </c>
      <c r="C171" s="49" t="s">
        <v>52</v>
      </c>
      <c r="D171" s="50" t="s">
        <v>287</v>
      </c>
      <c r="E171" s="51">
        <v>50847.318099999997</v>
      </c>
      <c r="F171" s="51">
        <v>50847.318099999997</v>
      </c>
      <c r="G171" s="51">
        <v>823001.57527099992</v>
      </c>
      <c r="H171" s="52">
        <v>6.178277129452258E-4</v>
      </c>
      <c r="I171" s="53">
        <v>7.4139325553427091E-3</v>
      </c>
    </row>
    <row r="172" spans="1:9" x14ac:dyDescent="0.25">
      <c r="A172" s="42" t="s">
        <v>84</v>
      </c>
      <c r="B172" s="43" t="s">
        <v>85</v>
      </c>
      <c r="C172" s="43" t="s">
        <v>67</v>
      </c>
      <c r="D172" s="44" t="s">
        <v>287</v>
      </c>
      <c r="E172" s="45">
        <v>6553.6872999999996</v>
      </c>
      <c r="F172" s="45">
        <v>6553.6872999999996</v>
      </c>
      <c r="G172" s="45">
        <v>580175.07040099998</v>
      </c>
      <c r="H172" s="46">
        <v>1.1296051199632351E-4</v>
      </c>
      <c r="I172" s="47">
        <v>1.3555261439558821E-3</v>
      </c>
    </row>
    <row r="173" spans="1:9" x14ac:dyDescent="0.25">
      <c r="A173" s="48" t="s">
        <v>112</v>
      </c>
      <c r="B173" s="49" t="s">
        <v>113</v>
      </c>
      <c r="C173" s="49" t="s">
        <v>81</v>
      </c>
      <c r="D173" s="50" t="s">
        <v>287</v>
      </c>
      <c r="E173" s="51">
        <v>60005.447899999999</v>
      </c>
      <c r="F173" s="51">
        <v>60005.447899999999</v>
      </c>
      <c r="G173" s="51">
        <v>763220.34358899994</v>
      </c>
      <c r="H173" s="52">
        <v>7.8621394730947318E-4</v>
      </c>
      <c r="I173" s="53">
        <v>9.4345673677136786E-3</v>
      </c>
    </row>
    <row r="174" spans="1:9" x14ac:dyDescent="0.25">
      <c r="A174" s="42" t="s">
        <v>122</v>
      </c>
      <c r="B174" s="43" t="s">
        <v>123</v>
      </c>
      <c r="C174" s="43" t="s">
        <v>52</v>
      </c>
      <c r="D174" s="44" t="s">
        <v>287</v>
      </c>
      <c r="E174" s="45">
        <v>193398.35370000001</v>
      </c>
      <c r="F174" s="45">
        <v>193398.35370000001</v>
      </c>
      <c r="G174" s="45">
        <v>1108678.9411160001</v>
      </c>
      <c r="H174" s="46">
        <v>1.7444036007874791E-3</v>
      </c>
      <c r="I174" s="47">
        <v>2.0932843209449749E-2</v>
      </c>
    </row>
    <row r="175" spans="1:9" x14ac:dyDescent="0.25">
      <c r="A175" s="48" t="s">
        <v>155</v>
      </c>
      <c r="B175" s="49" t="s">
        <v>156</v>
      </c>
      <c r="C175" s="49" t="s">
        <v>52</v>
      </c>
      <c r="D175" s="50" t="s">
        <v>287</v>
      </c>
      <c r="E175" s="51">
        <v>3467.3395</v>
      </c>
      <c r="F175" s="51">
        <v>3467.3395</v>
      </c>
      <c r="G175" s="51">
        <v>141937.963689</v>
      </c>
      <c r="H175" s="52">
        <v>2.4428556038730281E-4</v>
      </c>
      <c r="I175" s="53">
        <v>2.9314267246476336E-3</v>
      </c>
    </row>
    <row r="176" spans="1:9" x14ac:dyDescent="0.25">
      <c r="A176" s="42" t="s">
        <v>59</v>
      </c>
      <c r="B176" s="43" t="s">
        <v>60</v>
      </c>
      <c r="C176" s="43" t="s">
        <v>226</v>
      </c>
      <c r="D176" s="44" t="s">
        <v>287</v>
      </c>
      <c r="E176" s="45">
        <v>5599.7938000000004</v>
      </c>
      <c r="F176" s="45">
        <v>5599.7938000000004</v>
      </c>
      <c r="G176" s="45">
        <v>409192.17449100001</v>
      </c>
      <c r="H176" s="46">
        <v>1.3684997292447403E-4</v>
      </c>
      <c r="I176" s="47">
        <v>1.6421996750936884E-3</v>
      </c>
    </row>
    <row r="177" spans="1:9" x14ac:dyDescent="0.25">
      <c r="A177" s="48" t="s">
        <v>168</v>
      </c>
      <c r="B177" s="49" t="s">
        <v>288</v>
      </c>
      <c r="C177" s="49" t="s">
        <v>226</v>
      </c>
      <c r="D177" s="50" t="s">
        <v>287</v>
      </c>
      <c r="E177" s="51">
        <v>-2485.0680000000002</v>
      </c>
      <c r="F177" s="51">
        <v>-2485.0680000000002</v>
      </c>
      <c r="G177" s="51">
        <v>30533.848346000002</v>
      </c>
      <c r="H177" s="52">
        <v>-8.1387317177972066E-4</v>
      </c>
      <c r="I177" s="53">
        <v>-9.7664780613566475E-3</v>
      </c>
    </row>
    <row r="178" spans="1:9" x14ac:dyDescent="0.25">
      <c r="A178" s="42" t="s">
        <v>50</v>
      </c>
      <c r="B178" s="43" t="s">
        <v>51</v>
      </c>
      <c r="C178" s="43" t="s">
        <v>52</v>
      </c>
      <c r="D178" s="44" t="s">
        <v>287</v>
      </c>
      <c r="E178" s="45">
        <v>1613.4476</v>
      </c>
      <c r="F178" s="45">
        <v>1613.4476</v>
      </c>
      <c r="G178" s="45">
        <v>166193.555559</v>
      </c>
      <c r="H178" s="46">
        <v>9.7082440686288435E-5</v>
      </c>
      <c r="I178" s="47">
        <v>1.1649892882354613E-3</v>
      </c>
    </row>
    <row r="179" spans="1:9" x14ac:dyDescent="0.25">
      <c r="A179" s="48" t="s">
        <v>70</v>
      </c>
      <c r="B179" s="49" t="s">
        <v>71</v>
      </c>
      <c r="C179" s="49" t="s">
        <v>52</v>
      </c>
      <c r="D179" s="50" t="s">
        <v>287</v>
      </c>
      <c r="E179" s="51">
        <v>34293.451199999996</v>
      </c>
      <c r="F179" s="51">
        <v>34293.451199999996</v>
      </c>
      <c r="G179" s="51">
        <v>236606.87760699997</v>
      </c>
      <c r="H179" s="52">
        <v>1.4493852227305429E-3</v>
      </c>
      <c r="I179" s="53">
        <v>1.7392622672766513E-2</v>
      </c>
    </row>
    <row r="180" spans="1:9" x14ac:dyDescent="0.25">
      <c r="A180" s="42" t="s">
        <v>72</v>
      </c>
      <c r="B180" s="43" t="s">
        <v>73</v>
      </c>
      <c r="C180" s="43" t="s">
        <v>67</v>
      </c>
      <c r="D180" s="44" t="s">
        <v>287</v>
      </c>
      <c r="E180" s="45">
        <v>125173.36</v>
      </c>
      <c r="F180" s="45">
        <v>125173.36</v>
      </c>
      <c r="G180" s="45">
        <v>1759408.3466999999</v>
      </c>
      <c r="H180" s="46">
        <v>7.1145143897698095E-4</v>
      </c>
      <c r="I180" s="47">
        <v>8.5374172677237722E-3</v>
      </c>
    </row>
    <row r="181" spans="1:9" x14ac:dyDescent="0.25">
      <c r="A181" s="48" t="s">
        <v>133</v>
      </c>
      <c r="B181" s="49" t="s">
        <v>134</v>
      </c>
      <c r="C181" s="49" t="s">
        <v>52</v>
      </c>
      <c r="D181" s="50" t="s">
        <v>287</v>
      </c>
      <c r="E181" s="51">
        <v>7391.4105</v>
      </c>
      <c r="F181" s="51">
        <v>7391.4105</v>
      </c>
      <c r="G181" s="51">
        <v>181537.839916</v>
      </c>
      <c r="H181" s="52">
        <v>4.0715536239828041E-4</v>
      </c>
      <c r="I181" s="53">
        <v>4.8858643487793649E-3</v>
      </c>
    </row>
    <row r="182" spans="1:9" x14ac:dyDescent="0.25">
      <c r="A182" s="42" t="s">
        <v>118</v>
      </c>
      <c r="B182" s="43" t="s">
        <v>119</v>
      </c>
      <c r="C182" s="43" t="s">
        <v>226</v>
      </c>
      <c r="D182" s="44" t="s">
        <v>287</v>
      </c>
      <c r="E182" s="45">
        <v>21324.642</v>
      </c>
      <c r="F182" s="45">
        <v>21324.642</v>
      </c>
      <c r="G182" s="45">
        <v>366607.32862400002</v>
      </c>
      <c r="H182" s="46">
        <v>5.8167527856135663E-4</v>
      </c>
      <c r="I182" s="47">
        <v>6.98010334273628E-3</v>
      </c>
    </row>
    <row r="183" spans="1:9" x14ac:dyDescent="0.25">
      <c r="A183" s="48" t="s">
        <v>57</v>
      </c>
      <c r="B183" s="49" t="s">
        <v>58</v>
      </c>
      <c r="C183" s="49" t="s">
        <v>226</v>
      </c>
      <c r="D183" s="50" t="s">
        <v>287</v>
      </c>
      <c r="E183" s="51">
        <v>4628.5078999999996</v>
      </c>
      <c r="F183" s="51">
        <v>4628.5078999999996</v>
      </c>
      <c r="G183" s="51">
        <v>96978.231071000002</v>
      </c>
      <c r="H183" s="52">
        <v>4.7727287339478916E-4</v>
      </c>
      <c r="I183" s="53">
        <v>5.7272744807374699E-3</v>
      </c>
    </row>
    <row r="184" spans="1:9" x14ac:dyDescent="0.25">
      <c r="A184" s="42" t="s">
        <v>157</v>
      </c>
      <c r="B184" s="43" t="s">
        <v>158</v>
      </c>
      <c r="C184" s="43" t="s">
        <v>226</v>
      </c>
      <c r="D184" s="44" t="s">
        <v>287</v>
      </c>
      <c r="E184" s="45">
        <v>3326.92</v>
      </c>
      <c r="F184" s="45">
        <v>3326.92</v>
      </c>
      <c r="G184" s="45">
        <v>0</v>
      </c>
      <c r="H184" s="46">
        <v>0</v>
      </c>
      <c r="I184" s="47">
        <v>0</v>
      </c>
    </row>
    <row r="185" spans="1:9" x14ac:dyDescent="0.25">
      <c r="A185" s="48" t="s">
        <v>74</v>
      </c>
      <c r="B185" s="49" t="s">
        <v>75</v>
      </c>
      <c r="C185" s="49" t="s">
        <v>67</v>
      </c>
      <c r="D185" s="50" t="s">
        <v>287</v>
      </c>
      <c r="E185" s="51">
        <v>37108.102700000003</v>
      </c>
      <c r="F185" s="51">
        <v>37108.102700000003</v>
      </c>
      <c r="G185" s="51">
        <v>674842.01262299996</v>
      </c>
      <c r="H185" s="52">
        <v>5.4987837161718652E-4</v>
      </c>
      <c r="I185" s="53">
        <v>6.5985404594062387E-3</v>
      </c>
    </row>
    <row r="186" spans="1:9" x14ac:dyDescent="0.25">
      <c r="A186" s="42" t="s">
        <v>96</v>
      </c>
      <c r="B186" s="43" t="s">
        <v>97</v>
      </c>
      <c r="C186" s="43" t="s">
        <v>81</v>
      </c>
      <c r="D186" s="44" t="s">
        <v>287</v>
      </c>
      <c r="E186" s="45">
        <v>19835.091899999999</v>
      </c>
      <c r="F186" s="45">
        <v>19835.091899999999</v>
      </c>
      <c r="G186" s="45">
        <v>203800.23993900002</v>
      </c>
      <c r="H186" s="46">
        <v>9.7326145964974785E-4</v>
      </c>
      <c r="I186" s="47">
        <v>1.1679137515796974E-2</v>
      </c>
    </row>
    <row r="187" spans="1:9" x14ac:dyDescent="0.25">
      <c r="A187" s="48" t="s">
        <v>100</v>
      </c>
      <c r="B187" s="49" t="s">
        <v>100</v>
      </c>
      <c r="C187" s="49" t="s">
        <v>52</v>
      </c>
      <c r="D187" s="50" t="s">
        <v>289</v>
      </c>
      <c r="E187" s="51">
        <v>1357.1464000000001</v>
      </c>
      <c r="F187" s="51">
        <v>1357.1464000000001</v>
      </c>
      <c r="G187" s="51">
        <v>47996.754282000002</v>
      </c>
      <c r="H187" s="52">
        <v>2.8275795317871409E-4</v>
      </c>
      <c r="I187" s="53">
        <v>3.3930954381445689E-3</v>
      </c>
    </row>
    <row r="188" spans="1:9" x14ac:dyDescent="0.25">
      <c r="A188" s="42" t="s">
        <v>128</v>
      </c>
      <c r="B188" s="43" t="s">
        <v>129</v>
      </c>
      <c r="C188" s="43" t="s">
        <v>67</v>
      </c>
      <c r="D188" s="44" t="s">
        <v>289</v>
      </c>
      <c r="E188" s="45">
        <v>114868.7396</v>
      </c>
      <c r="F188" s="45">
        <v>114868.7396</v>
      </c>
      <c r="G188" s="45">
        <v>2128537.7988109998</v>
      </c>
      <c r="H188" s="46">
        <v>5.3966032298869966E-4</v>
      </c>
      <c r="I188" s="47">
        <v>6.4759238758643964E-3</v>
      </c>
    </row>
    <row r="189" spans="1:9" x14ac:dyDescent="0.25">
      <c r="A189" s="48" t="s">
        <v>65</v>
      </c>
      <c r="B189" s="49" t="s">
        <v>66</v>
      </c>
      <c r="C189" s="49" t="s">
        <v>67</v>
      </c>
      <c r="D189" s="50" t="s">
        <v>289</v>
      </c>
      <c r="E189" s="51">
        <v>91062.400999999998</v>
      </c>
      <c r="F189" s="51">
        <v>91062.400999999998</v>
      </c>
      <c r="G189" s="51">
        <v>2431522.887381</v>
      </c>
      <c r="H189" s="52">
        <v>3.7450768599625871E-4</v>
      </c>
      <c r="I189" s="53">
        <v>4.4940922319551043E-3</v>
      </c>
    </row>
    <row r="190" spans="1:9" x14ac:dyDescent="0.25">
      <c r="A190" s="42" t="s">
        <v>131</v>
      </c>
      <c r="B190" s="43" t="s">
        <v>132</v>
      </c>
      <c r="C190" s="43" t="s">
        <v>67</v>
      </c>
      <c r="D190" s="44" t="s">
        <v>289</v>
      </c>
      <c r="E190" s="45">
        <v>66753.710500000001</v>
      </c>
      <c r="F190" s="45">
        <v>66753.710500000001</v>
      </c>
      <c r="G190" s="45">
        <v>430957.96641200001</v>
      </c>
      <c r="H190" s="46">
        <v>1.5489610519505469E-3</v>
      </c>
      <c r="I190" s="47">
        <v>1.8587532623406563E-2</v>
      </c>
    </row>
    <row r="191" spans="1:9" x14ac:dyDescent="0.25">
      <c r="A191" s="48" t="s">
        <v>82</v>
      </c>
      <c r="B191" s="49" t="s">
        <v>83</v>
      </c>
      <c r="C191" s="49" t="s">
        <v>226</v>
      </c>
      <c r="D191" s="50" t="s">
        <v>289</v>
      </c>
      <c r="E191" s="51">
        <v>21210.251400000001</v>
      </c>
      <c r="F191" s="51">
        <v>21210.251400000001</v>
      </c>
      <c r="G191" s="51">
        <v>640572.80756700004</v>
      </c>
      <c r="H191" s="52">
        <v>3.3111382733463186E-4</v>
      </c>
      <c r="I191" s="53">
        <v>3.9733659280155823E-3</v>
      </c>
    </row>
    <row r="192" spans="1:9" x14ac:dyDescent="0.25">
      <c r="A192" s="42" t="s">
        <v>68</v>
      </c>
      <c r="B192" s="43" t="s">
        <v>69</v>
      </c>
      <c r="C192" s="43" t="s">
        <v>226</v>
      </c>
      <c r="D192" s="44" t="s">
        <v>289</v>
      </c>
      <c r="E192" s="45">
        <v>18149.2366</v>
      </c>
      <c r="F192" s="45">
        <v>18149.2366</v>
      </c>
      <c r="G192" s="45">
        <v>580197.99603499996</v>
      </c>
      <c r="H192" s="46">
        <v>3.1281108731897727E-4</v>
      </c>
      <c r="I192" s="47">
        <v>3.7537330478277274E-3</v>
      </c>
    </row>
    <row r="193" spans="1:9" x14ac:dyDescent="0.25">
      <c r="A193" s="48" t="s">
        <v>79</v>
      </c>
      <c r="B193" s="49" t="s">
        <v>80</v>
      </c>
      <c r="C193" s="49" t="s">
        <v>81</v>
      </c>
      <c r="D193" s="50" t="s">
        <v>289</v>
      </c>
      <c r="E193" s="51">
        <v>13808.4645</v>
      </c>
      <c r="F193" s="51">
        <v>13808.4645</v>
      </c>
      <c r="G193" s="51">
        <v>137358.36774300001</v>
      </c>
      <c r="H193" s="52">
        <v>1.0052874627802717E-3</v>
      </c>
      <c r="I193" s="53">
        <v>1.206344955336326E-2</v>
      </c>
    </row>
    <row r="194" spans="1:9" x14ac:dyDescent="0.25">
      <c r="A194" s="42" t="s">
        <v>114</v>
      </c>
      <c r="B194" s="43" t="s">
        <v>115</v>
      </c>
      <c r="C194" s="43" t="s">
        <v>226</v>
      </c>
      <c r="D194" s="44" t="s">
        <v>289</v>
      </c>
      <c r="E194" s="45">
        <v>10227.363499999999</v>
      </c>
      <c r="F194" s="45">
        <v>10227.363499999999</v>
      </c>
      <c r="G194" s="45">
        <v>518896.74847300001</v>
      </c>
      <c r="H194" s="46">
        <v>1.970982383315544E-4</v>
      </c>
      <c r="I194" s="47">
        <v>2.3651788599786529E-3</v>
      </c>
    </row>
    <row r="195" spans="1:9" x14ac:dyDescent="0.25">
      <c r="A195" s="48" t="s">
        <v>92</v>
      </c>
      <c r="B195" s="49" t="s">
        <v>282</v>
      </c>
      <c r="C195" s="49" t="s">
        <v>81</v>
      </c>
      <c r="D195" s="50" t="s">
        <v>289</v>
      </c>
      <c r="E195" s="51">
        <v>4770.8433999999997</v>
      </c>
      <c r="F195" s="51">
        <v>4770.8433999999997</v>
      </c>
      <c r="G195" s="51">
        <v>85637.031791999994</v>
      </c>
      <c r="H195" s="52">
        <v>5.5710050899331618E-4</v>
      </c>
      <c r="I195" s="53">
        <v>6.6852061079197937E-3</v>
      </c>
    </row>
    <row r="196" spans="1:9" x14ac:dyDescent="0.25">
      <c r="A196" s="42" t="s">
        <v>146</v>
      </c>
      <c r="B196" s="43" t="s">
        <v>147</v>
      </c>
      <c r="C196" s="43" t="s">
        <v>226</v>
      </c>
      <c r="D196" s="44" t="s">
        <v>289</v>
      </c>
      <c r="E196" s="45">
        <v>1152.7416000000001</v>
      </c>
      <c r="F196" s="45">
        <v>1152.7416000000001</v>
      </c>
      <c r="G196" s="45">
        <v>184618.49608100002</v>
      </c>
      <c r="H196" s="46">
        <v>6.2439117665341774E-5</v>
      </c>
      <c r="I196" s="47">
        <v>7.4926941198410124E-4</v>
      </c>
    </row>
    <row r="197" spans="1:9" x14ac:dyDescent="0.25">
      <c r="A197" s="48" t="s">
        <v>90</v>
      </c>
      <c r="B197" s="49" t="s">
        <v>91</v>
      </c>
      <c r="C197" s="49" t="s">
        <v>81</v>
      </c>
      <c r="D197" s="50" t="s">
        <v>289</v>
      </c>
      <c r="E197" s="51">
        <v>107482.1632</v>
      </c>
      <c r="F197" s="51">
        <v>107482.1632</v>
      </c>
      <c r="G197" s="51">
        <v>800790.32914599997</v>
      </c>
      <c r="H197" s="52">
        <v>1.3422010642239396E-3</v>
      </c>
      <c r="I197" s="53">
        <v>1.6106412770687275E-2</v>
      </c>
    </row>
    <row r="198" spans="1:9" x14ac:dyDescent="0.25">
      <c r="A198" s="42" t="s">
        <v>98</v>
      </c>
      <c r="B198" s="43" t="s">
        <v>99</v>
      </c>
      <c r="C198" s="43" t="s">
        <v>81</v>
      </c>
      <c r="D198" s="44" t="s">
        <v>289</v>
      </c>
      <c r="E198" s="45">
        <v>20306.384300000002</v>
      </c>
      <c r="F198" s="45">
        <v>20306.384300000002</v>
      </c>
      <c r="G198" s="45">
        <v>233157.09387800001</v>
      </c>
      <c r="H198" s="46">
        <v>8.7093143778097372E-4</v>
      </c>
      <c r="I198" s="47">
        <v>1.0451177253371684E-2</v>
      </c>
    </row>
    <row r="199" spans="1:9" x14ac:dyDescent="0.25">
      <c r="A199" s="48" t="s">
        <v>120</v>
      </c>
      <c r="B199" s="49" t="s">
        <v>268</v>
      </c>
      <c r="C199" s="49" t="s">
        <v>67</v>
      </c>
      <c r="D199" s="50" t="s">
        <v>289</v>
      </c>
      <c r="E199" s="51">
        <v>37332.078500000003</v>
      </c>
      <c r="F199" s="51">
        <v>37332.078500000003</v>
      </c>
      <c r="G199" s="51">
        <v>513529.86705200002</v>
      </c>
      <c r="H199" s="52">
        <v>7.2696995628142812E-4</v>
      </c>
      <c r="I199" s="53">
        <v>8.723639475377137E-3</v>
      </c>
    </row>
    <row r="200" spans="1:9" x14ac:dyDescent="0.25">
      <c r="A200" s="42" t="s">
        <v>106</v>
      </c>
      <c r="B200" s="43" t="s">
        <v>107</v>
      </c>
      <c r="C200" s="43" t="s">
        <v>226</v>
      </c>
      <c r="D200" s="44" t="s">
        <v>289</v>
      </c>
      <c r="E200" s="45">
        <v>86114.395300000004</v>
      </c>
      <c r="F200" s="45">
        <v>86114.395300000004</v>
      </c>
      <c r="G200" s="45">
        <v>751693.35976200004</v>
      </c>
      <c r="H200" s="46">
        <v>1.1456053746073452E-3</v>
      </c>
      <c r="I200" s="47">
        <v>1.3747264495288142E-2</v>
      </c>
    </row>
    <row r="201" spans="1:9" x14ac:dyDescent="0.25">
      <c r="A201" s="48" t="s">
        <v>45</v>
      </c>
      <c r="B201" s="49" t="s">
        <v>46</v>
      </c>
      <c r="C201" s="49" t="s">
        <v>52</v>
      </c>
      <c r="D201" s="50" t="s">
        <v>289</v>
      </c>
      <c r="E201" s="51">
        <v>6947.3850000000002</v>
      </c>
      <c r="F201" s="51">
        <v>6947.3850000000002</v>
      </c>
      <c r="G201" s="51">
        <v>234066.90007</v>
      </c>
      <c r="H201" s="52">
        <v>2.968119370112697E-4</v>
      </c>
      <c r="I201" s="53">
        <v>3.5617432441352364E-3</v>
      </c>
    </row>
    <row r="202" spans="1:9" x14ac:dyDescent="0.25">
      <c r="A202" s="42" t="s">
        <v>54</v>
      </c>
      <c r="B202" s="43" t="s">
        <v>55</v>
      </c>
      <c r="C202" s="43" t="s">
        <v>226</v>
      </c>
      <c r="D202" s="44" t="s">
        <v>289</v>
      </c>
      <c r="E202" s="45">
        <v>59547.886200000001</v>
      </c>
      <c r="F202" s="45">
        <v>59547.886200000001</v>
      </c>
      <c r="G202" s="45">
        <v>599521.19300600002</v>
      </c>
      <c r="H202" s="46">
        <v>9.9325740098405563E-4</v>
      </c>
      <c r="I202" s="47">
        <v>1.1919088811808667E-2</v>
      </c>
    </row>
    <row r="203" spans="1:9" x14ac:dyDescent="0.25">
      <c r="A203" s="48" t="s">
        <v>94</v>
      </c>
      <c r="B203" s="49" t="s">
        <v>95</v>
      </c>
      <c r="C203" s="49" t="s">
        <v>52</v>
      </c>
      <c r="D203" s="50" t="s">
        <v>289</v>
      </c>
      <c r="E203" s="51">
        <v>99301.150399999999</v>
      </c>
      <c r="F203" s="51">
        <v>99301.150399999999</v>
      </c>
      <c r="G203" s="51">
        <v>506883.69140600006</v>
      </c>
      <c r="H203" s="52">
        <v>1.9590519893144969E-3</v>
      </c>
      <c r="I203" s="53">
        <v>2.3508623871773965E-2</v>
      </c>
    </row>
    <row r="204" spans="1:9" x14ac:dyDescent="0.25">
      <c r="A204" s="42" t="s">
        <v>159</v>
      </c>
      <c r="B204" s="43" t="s">
        <v>159</v>
      </c>
      <c r="C204" s="43" t="s">
        <v>52</v>
      </c>
      <c r="D204" s="44" t="s">
        <v>289</v>
      </c>
      <c r="E204" s="45">
        <v>105.901</v>
      </c>
      <c r="F204" s="45">
        <v>105.901</v>
      </c>
      <c r="G204" s="45">
        <v>2372.9543060000001</v>
      </c>
      <c r="H204" s="46">
        <v>4.4628335123112135E-4</v>
      </c>
      <c r="I204" s="47">
        <v>5.3554002147734557E-3</v>
      </c>
    </row>
    <row r="205" spans="1:9" x14ac:dyDescent="0.25">
      <c r="A205" s="48" t="s">
        <v>135</v>
      </c>
      <c r="B205" s="49" t="s">
        <v>290</v>
      </c>
      <c r="C205" s="49" t="s">
        <v>226</v>
      </c>
      <c r="D205" s="50" t="s">
        <v>289</v>
      </c>
      <c r="E205" s="51">
        <v>230.43100000000001</v>
      </c>
      <c r="F205" s="51">
        <v>230.43100000000001</v>
      </c>
      <c r="G205" s="51">
        <v>45969.516584999998</v>
      </c>
      <c r="H205" s="52">
        <v>5.012691390259048E-5</v>
      </c>
      <c r="I205" s="53">
        <v>6.0152296683108574E-4</v>
      </c>
    </row>
    <row r="206" spans="1:9" x14ac:dyDescent="0.25">
      <c r="A206" s="42" t="s">
        <v>137</v>
      </c>
      <c r="B206" s="43" t="s">
        <v>138</v>
      </c>
      <c r="C206" s="43" t="s">
        <v>52</v>
      </c>
      <c r="D206" s="44" t="s">
        <v>289</v>
      </c>
      <c r="E206" s="45">
        <v>43.838099999999997</v>
      </c>
      <c r="F206" s="45">
        <v>43.838099999999997</v>
      </c>
      <c r="G206" s="45">
        <v>2267.7582320000001</v>
      </c>
      <c r="H206" s="46">
        <v>1.9331028934834E-4</v>
      </c>
      <c r="I206" s="47">
        <v>2.3197234721800799E-3</v>
      </c>
    </row>
    <row r="207" spans="1:9" x14ac:dyDescent="0.25">
      <c r="A207" s="48" t="s">
        <v>102</v>
      </c>
      <c r="B207" s="49" t="s">
        <v>271</v>
      </c>
      <c r="C207" s="49" t="s">
        <v>52</v>
      </c>
      <c r="D207" s="50" t="s">
        <v>289</v>
      </c>
      <c r="E207" s="51">
        <v>17855.97</v>
      </c>
      <c r="F207" s="51">
        <v>17855.97</v>
      </c>
      <c r="G207" s="51">
        <v>201642.27824000001</v>
      </c>
      <c r="H207" s="52">
        <v>8.8552709064055257E-4</v>
      </c>
      <c r="I207" s="53">
        <v>1.0626325087686631E-2</v>
      </c>
    </row>
    <row r="208" spans="1:9" x14ac:dyDescent="0.25">
      <c r="A208" s="42" t="s">
        <v>86</v>
      </c>
      <c r="B208" s="43" t="s">
        <v>87</v>
      </c>
      <c r="C208" s="43" t="s">
        <v>52</v>
      </c>
      <c r="D208" s="44" t="s">
        <v>289</v>
      </c>
      <c r="E208" s="45">
        <v>41417.052499999998</v>
      </c>
      <c r="F208" s="45">
        <v>41417.052499999998</v>
      </c>
      <c r="G208" s="45">
        <v>730756.10016200005</v>
      </c>
      <c r="H208" s="46">
        <v>5.6676984962312766E-4</v>
      </c>
      <c r="I208" s="47">
        <v>6.801238195477532E-3</v>
      </c>
    </row>
    <row r="209" spans="1:9" x14ac:dyDescent="0.25">
      <c r="A209" s="48" t="s">
        <v>144</v>
      </c>
      <c r="B209" s="49" t="s">
        <v>286</v>
      </c>
      <c r="C209" s="49" t="s">
        <v>67</v>
      </c>
      <c r="D209" s="50" t="s">
        <v>289</v>
      </c>
      <c r="E209" s="51">
        <v>328.90480000000002</v>
      </c>
      <c r="F209" s="51">
        <v>328.90480000000002</v>
      </c>
      <c r="G209" s="51">
        <v>21637.329596000003</v>
      </c>
      <c r="H209" s="52">
        <v>1.5200803710121565E-4</v>
      </c>
      <c r="I209" s="53">
        <v>1.8240964452145877E-3</v>
      </c>
    </row>
    <row r="210" spans="1:9" x14ac:dyDescent="0.25">
      <c r="A210" s="42" t="s">
        <v>124</v>
      </c>
      <c r="B210" s="43" t="s">
        <v>125</v>
      </c>
      <c r="C210" s="43" t="s">
        <v>52</v>
      </c>
      <c r="D210" s="44" t="s">
        <v>289</v>
      </c>
      <c r="E210" s="45">
        <v>43048.693899999998</v>
      </c>
      <c r="F210" s="45">
        <v>43048.693899999998</v>
      </c>
      <c r="G210" s="45">
        <v>352788.42662899999</v>
      </c>
      <c r="H210" s="46">
        <v>1.220241103466553E-3</v>
      </c>
      <c r="I210" s="47">
        <v>1.4642893241598636E-2</v>
      </c>
    </row>
    <row r="211" spans="1:9" x14ac:dyDescent="0.25">
      <c r="A211" s="48" t="s">
        <v>63</v>
      </c>
      <c r="B211" s="49" t="s">
        <v>64</v>
      </c>
      <c r="C211" s="49" t="s">
        <v>226</v>
      </c>
      <c r="D211" s="50" t="s">
        <v>289</v>
      </c>
      <c r="E211" s="51">
        <v>18111.422699999999</v>
      </c>
      <c r="F211" s="51">
        <v>18111.422699999999</v>
      </c>
      <c r="G211" s="51">
        <v>615888.60120200005</v>
      </c>
      <c r="H211" s="52">
        <v>2.9406978250048481E-4</v>
      </c>
      <c r="I211" s="53">
        <v>3.5288373900058175E-3</v>
      </c>
    </row>
    <row r="212" spans="1:9" x14ac:dyDescent="0.25">
      <c r="A212" s="42" t="s">
        <v>61</v>
      </c>
      <c r="B212" s="43" t="s">
        <v>62</v>
      </c>
      <c r="C212" s="43" t="s">
        <v>226</v>
      </c>
      <c r="D212" s="44" t="s">
        <v>289</v>
      </c>
      <c r="E212" s="45">
        <v>27330.432199999999</v>
      </c>
      <c r="F212" s="45">
        <v>27330.432199999999</v>
      </c>
      <c r="G212" s="45">
        <v>246802.510572</v>
      </c>
      <c r="H212" s="46">
        <v>1.1073806395509441E-3</v>
      </c>
      <c r="I212" s="47">
        <v>1.328856767461133E-2</v>
      </c>
    </row>
    <row r="213" spans="1:9" x14ac:dyDescent="0.25">
      <c r="A213" s="48" t="s">
        <v>76</v>
      </c>
      <c r="B213" s="49" t="s">
        <v>77</v>
      </c>
      <c r="C213" s="49" t="s">
        <v>52</v>
      </c>
      <c r="D213" s="50" t="s">
        <v>289</v>
      </c>
      <c r="E213" s="51">
        <v>30142.676500000001</v>
      </c>
      <c r="F213" s="51">
        <v>30142.676500000001</v>
      </c>
      <c r="G213" s="51">
        <v>301262.41331799998</v>
      </c>
      <c r="H213" s="52">
        <v>1.0005455432697027E-3</v>
      </c>
      <c r="I213" s="53">
        <v>1.2006546519236432E-2</v>
      </c>
    </row>
    <row r="214" spans="1:9" x14ac:dyDescent="0.25">
      <c r="A214" s="42" t="s">
        <v>163</v>
      </c>
      <c r="B214" s="43" t="s">
        <v>164</v>
      </c>
      <c r="C214" s="43" t="s">
        <v>67</v>
      </c>
      <c r="D214" s="44" t="s">
        <v>289</v>
      </c>
      <c r="E214" s="45">
        <v>529.90740000000005</v>
      </c>
      <c r="F214" s="45">
        <v>529.90740000000005</v>
      </c>
      <c r="G214" s="45">
        <v>9139.7037479999999</v>
      </c>
      <c r="H214" s="46">
        <v>5.7978618849211308E-4</v>
      </c>
      <c r="I214" s="47">
        <v>6.957434261905357E-3</v>
      </c>
    </row>
    <row r="215" spans="1:9" x14ac:dyDescent="0.25">
      <c r="A215" s="48" t="s">
        <v>88</v>
      </c>
      <c r="B215" s="49" t="s">
        <v>89</v>
      </c>
      <c r="C215" s="49" t="s">
        <v>52</v>
      </c>
      <c r="D215" s="50" t="s">
        <v>289</v>
      </c>
      <c r="E215" s="51">
        <v>40230.507400000002</v>
      </c>
      <c r="F215" s="51">
        <v>40230.507400000002</v>
      </c>
      <c r="G215" s="51">
        <v>240452.81198600002</v>
      </c>
      <c r="H215" s="52">
        <v>1.6731144488483821E-3</v>
      </c>
      <c r="I215" s="53">
        <v>2.0077373386180587E-2</v>
      </c>
    </row>
    <row r="216" spans="1:9" x14ac:dyDescent="0.25">
      <c r="A216" s="42" t="s">
        <v>116</v>
      </c>
      <c r="B216" s="43" t="s">
        <v>117</v>
      </c>
      <c r="C216" s="43" t="s">
        <v>52</v>
      </c>
      <c r="D216" s="44" t="s">
        <v>289</v>
      </c>
      <c r="E216" s="45">
        <v>67458.0052</v>
      </c>
      <c r="F216" s="45">
        <v>67458.0052</v>
      </c>
      <c r="G216" s="45">
        <v>833586.00718899991</v>
      </c>
      <c r="H216" s="46">
        <v>8.0925069060936339E-4</v>
      </c>
      <c r="I216" s="47">
        <v>9.7110082873123615E-3</v>
      </c>
    </row>
    <row r="217" spans="1:9" x14ac:dyDescent="0.25">
      <c r="A217" s="48" t="s">
        <v>84</v>
      </c>
      <c r="B217" s="49" t="s">
        <v>85</v>
      </c>
      <c r="C217" s="49" t="s">
        <v>67</v>
      </c>
      <c r="D217" s="50" t="s">
        <v>289</v>
      </c>
      <c r="E217" s="51">
        <v>27082.955399999999</v>
      </c>
      <c r="F217" s="51">
        <v>27082.955399999999</v>
      </c>
      <c r="G217" s="51">
        <v>625869.50912399997</v>
      </c>
      <c r="H217" s="52">
        <v>4.3272527268354601E-4</v>
      </c>
      <c r="I217" s="53">
        <v>5.1927032722025521E-3</v>
      </c>
    </row>
    <row r="218" spans="1:9" x14ac:dyDescent="0.25">
      <c r="A218" s="42" t="s">
        <v>112</v>
      </c>
      <c r="B218" s="43" t="s">
        <v>113</v>
      </c>
      <c r="C218" s="43" t="s">
        <v>81</v>
      </c>
      <c r="D218" s="44" t="s">
        <v>289</v>
      </c>
      <c r="E218" s="45">
        <v>41680.813300000002</v>
      </c>
      <c r="F218" s="45">
        <v>41680.813300000002</v>
      </c>
      <c r="G218" s="45">
        <v>744166.89429299999</v>
      </c>
      <c r="H218" s="46">
        <v>5.6010034334568316E-4</v>
      </c>
      <c r="I218" s="47">
        <v>6.7212041201481984E-3</v>
      </c>
    </row>
    <row r="219" spans="1:9" x14ac:dyDescent="0.25">
      <c r="A219" s="48" t="s">
        <v>122</v>
      </c>
      <c r="B219" s="49" t="s">
        <v>123</v>
      </c>
      <c r="C219" s="49" t="s">
        <v>52</v>
      </c>
      <c r="D219" s="50" t="s">
        <v>289</v>
      </c>
      <c r="E219" s="51">
        <v>88717.695900000006</v>
      </c>
      <c r="F219" s="51">
        <v>88717.695900000006</v>
      </c>
      <c r="G219" s="51">
        <v>1101186.0517770001</v>
      </c>
      <c r="H219" s="52">
        <v>8.0565582679543524E-4</v>
      </c>
      <c r="I219" s="53">
        <v>9.6678699215452229E-3</v>
      </c>
    </row>
    <row r="220" spans="1:9" x14ac:dyDescent="0.25">
      <c r="A220" s="42" t="s">
        <v>59</v>
      </c>
      <c r="B220" s="43" t="s">
        <v>60</v>
      </c>
      <c r="C220" s="43" t="s">
        <v>226</v>
      </c>
      <c r="D220" s="44" t="s">
        <v>289</v>
      </c>
      <c r="E220" s="45">
        <v>26554.538</v>
      </c>
      <c r="F220" s="45">
        <v>26554.538</v>
      </c>
      <c r="G220" s="45">
        <v>408901.66087399999</v>
      </c>
      <c r="H220" s="46">
        <v>6.4941135096495937E-4</v>
      </c>
      <c r="I220" s="47">
        <v>7.7929362115795129E-3</v>
      </c>
    </row>
    <row r="221" spans="1:9" x14ac:dyDescent="0.25">
      <c r="A221" s="48" t="s">
        <v>168</v>
      </c>
      <c r="B221" s="49" t="s">
        <v>288</v>
      </c>
      <c r="C221" s="49" t="s">
        <v>226</v>
      </c>
      <c r="D221" s="50" t="s">
        <v>289</v>
      </c>
      <c r="E221" s="51">
        <v>3791.48</v>
      </c>
      <c r="F221" s="51">
        <v>3791.48</v>
      </c>
      <c r="G221" s="51">
        <v>90.549832999999992</v>
      </c>
      <c r="H221" s="52">
        <v>0.41871750332217622</v>
      </c>
      <c r="I221" s="53">
        <v>0</v>
      </c>
    </row>
    <row r="222" spans="1:9" x14ac:dyDescent="0.25">
      <c r="A222" s="42" t="s">
        <v>50</v>
      </c>
      <c r="B222" s="43" t="s">
        <v>51</v>
      </c>
      <c r="C222" s="43" t="s">
        <v>52</v>
      </c>
      <c r="D222" s="44" t="s">
        <v>289</v>
      </c>
      <c r="E222" s="45">
        <v>5151.3788999999997</v>
      </c>
      <c r="F222" s="45">
        <v>5151.3788999999997</v>
      </c>
      <c r="G222" s="45">
        <v>258323.769554</v>
      </c>
      <c r="H222" s="46">
        <v>1.9941559806493749E-4</v>
      </c>
      <c r="I222" s="47">
        <v>2.3929871767792497E-3</v>
      </c>
    </row>
    <row r="223" spans="1:9" x14ac:dyDescent="0.25">
      <c r="A223" s="48" t="s">
        <v>70</v>
      </c>
      <c r="B223" s="49" t="s">
        <v>71</v>
      </c>
      <c r="C223" s="49" t="s">
        <v>52</v>
      </c>
      <c r="D223" s="50" t="s">
        <v>289</v>
      </c>
      <c r="E223" s="51">
        <v>30744.510300000002</v>
      </c>
      <c r="F223" s="51">
        <v>30744.510300000002</v>
      </c>
      <c r="G223" s="51">
        <v>292397.75724300003</v>
      </c>
      <c r="H223" s="52">
        <v>1.0514619055182928E-3</v>
      </c>
      <c r="I223" s="53">
        <v>1.2617542866219513E-2</v>
      </c>
    </row>
    <row r="224" spans="1:9" x14ac:dyDescent="0.25">
      <c r="A224" s="42" t="s">
        <v>72</v>
      </c>
      <c r="B224" s="43" t="s">
        <v>73</v>
      </c>
      <c r="C224" s="43" t="s">
        <v>67</v>
      </c>
      <c r="D224" s="44" t="s">
        <v>289</v>
      </c>
      <c r="E224" s="45">
        <v>72149.756399999998</v>
      </c>
      <c r="F224" s="45">
        <v>72149.756399999998</v>
      </c>
      <c r="G224" s="45">
        <v>1766077.9570460001</v>
      </c>
      <c r="H224" s="46">
        <v>4.0853098308683979E-4</v>
      </c>
      <c r="I224" s="47">
        <v>4.9023717970420773E-3</v>
      </c>
    </row>
    <row r="225" spans="1:9" x14ac:dyDescent="0.25">
      <c r="A225" s="48" t="s">
        <v>133</v>
      </c>
      <c r="B225" s="49" t="s">
        <v>134</v>
      </c>
      <c r="C225" s="49" t="s">
        <v>52</v>
      </c>
      <c r="D225" s="50" t="s">
        <v>289</v>
      </c>
      <c r="E225" s="51">
        <v>9888.4123</v>
      </c>
      <c r="F225" s="51">
        <v>9888.4123</v>
      </c>
      <c r="G225" s="51">
        <v>207162.50551199997</v>
      </c>
      <c r="H225" s="52">
        <v>4.7732635186859186E-4</v>
      </c>
      <c r="I225" s="53">
        <v>5.7279162224231021E-3</v>
      </c>
    </row>
    <row r="226" spans="1:9" x14ac:dyDescent="0.25">
      <c r="A226" s="42" t="s">
        <v>118</v>
      </c>
      <c r="B226" s="43" t="s">
        <v>119</v>
      </c>
      <c r="C226" s="43" t="s">
        <v>226</v>
      </c>
      <c r="D226" s="44" t="s">
        <v>289</v>
      </c>
      <c r="E226" s="45">
        <v>17578.951799999999</v>
      </c>
      <c r="F226" s="45">
        <v>17578.951799999999</v>
      </c>
      <c r="G226" s="45">
        <v>368182.60062299995</v>
      </c>
      <c r="H226" s="46">
        <v>4.7745199719527058E-4</v>
      </c>
      <c r="I226" s="47">
        <v>5.7294239663432467E-3</v>
      </c>
    </row>
    <row r="227" spans="1:9" x14ac:dyDescent="0.25">
      <c r="A227" s="48" t="s">
        <v>57</v>
      </c>
      <c r="B227" s="49" t="s">
        <v>58</v>
      </c>
      <c r="C227" s="49" t="s">
        <v>226</v>
      </c>
      <c r="D227" s="50" t="s">
        <v>289</v>
      </c>
      <c r="E227" s="51">
        <v>2339.0003000000002</v>
      </c>
      <c r="F227" s="51">
        <v>2339.0003000000002</v>
      </c>
      <c r="G227" s="51">
        <v>97054.764646000011</v>
      </c>
      <c r="H227" s="52">
        <v>2.4099798794333577E-4</v>
      </c>
      <c r="I227" s="53">
        <v>2.891975855320029E-3</v>
      </c>
    </row>
    <row r="228" spans="1:9" x14ac:dyDescent="0.25">
      <c r="A228" s="42" t="s">
        <v>74</v>
      </c>
      <c r="B228" s="43" t="s">
        <v>75</v>
      </c>
      <c r="C228" s="43" t="s">
        <v>67</v>
      </c>
      <c r="D228" s="44" t="s">
        <v>289</v>
      </c>
      <c r="E228" s="45">
        <v>24340.870599999998</v>
      </c>
      <c r="F228" s="45">
        <v>24340.870599999998</v>
      </c>
      <c r="G228" s="45">
        <v>713758.908452</v>
      </c>
      <c r="H228" s="46">
        <v>3.4102370298663546E-4</v>
      </c>
      <c r="I228" s="47">
        <v>4.0922844358396255E-3</v>
      </c>
    </row>
    <row r="229" spans="1:9" x14ac:dyDescent="0.25">
      <c r="A229" s="48" t="s">
        <v>96</v>
      </c>
      <c r="B229" s="49" t="s">
        <v>97</v>
      </c>
      <c r="C229" s="49" t="s">
        <v>81</v>
      </c>
      <c r="D229" s="50" t="s">
        <v>289</v>
      </c>
      <c r="E229" s="51">
        <v>16297.022999999999</v>
      </c>
      <c r="F229" s="51">
        <v>16297.022999999999</v>
      </c>
      <c r="G229" s="51">
        <v>222336.59262099999</v>
      </c>
      <c r="H229" s="52">
        <v>7.3298879000904165E-4</v>
      </c>
      <c r="I229" s="53">
        <v>8.7958654801084998E-3</v>
      </c>
    </row>
    <row r="230" spans="1:9" x14ac:dyDescent="0.25">
      <c r="A230" s="42" t="s">
        <v>100</v>
      </c>
      <c r="B230" s="43" t="s">
        <v>100</v>
      </c>
      <c r="C230" s="43" t="s">
        <v>52</v>
      </c>
      <c r="D230" s="44" t="s">
        <v>291</v>
      </c>
      <c r="E230" s="45">
        <v>2042.0092999999999</v>
      </c>
      <c r="F230" s="45">
        <v>2042.0092999999999</v>
      </c>
      <c r="G230" s="45">
        <v>50010.887424</v>
      </c>
      <c r="H230" s="46">
        <v>4.0831295047566961E-4</v>
      </c>
      <c r="I230" s="47">
        <v>4.8997554057080353E-3</v>
      </c>
    </row>
    <row r="231" spans="1:9" x14ac:dyDescent="0.25">
      <c r="A231" s="48" t="s">
        <v>128</v>
      </c>
      <c r="B231" s="49" t="s">
        <v>129</v>
      </c>
      <c r="C231" s="49" t="s">
        <v>67</v>
      </c>
      <c r="D231" s="50" t="s">
        <v>291</v>
      </c>
      <c r="E231" s="51">
        <v>135760.52000000002</v>
      </c>
      <c r="F231" s="51">
        <v>135760.52000000002</v>
      </c>
      <c r="G231" s="51">
        <v>2132319.2733760001</v>
      </c>
      <c r="H231" s="52">
        <v>6.3668007739317958E-4</v>
      </c>
      <c r="I231" s="53">
        <v>7.6401609287181545E-3</v>
      </c>
    </row>
    <row r="232" spans="1:9" x14ac:dyDescent="0.25">
      <c r="A232" s="42" t="s">
        <v>65</v>
      </c>
      <c r="B232" s="43" t="s">
        <v>66</v>
      </c>
      <c r="C232" s="43" t="s">
        <v>67</v>
      </c>
      <c r="D232" s="44" t="s">
        <v>291</v>
      </c>
      <c r="E232" s="45">
        <v>120799.39659999999</v>
      </c>
      <c r="F232" s="45">
        <v>120799.39659999999</v>
      </c>
      <c r="G232" s="45">
        <v>2461293.6090230001</v>
      </c>
      <c r="H232" s="46">
        <v>4.9079636885723192E-4</v>
      </c>
      <c r="I232" s="47">
        <v>5.8895564262867826E-3</v>
      </c>
    </row>
    <row r="233" spans="1:9" x14ac:dyDescent="0.25">
      <c r="A233" s="48" t="s">
        <v>131</v>
      </c>
      <c r="B233" s="49" t="s">
        <v>132</v>
      </c>
      <c r="C233" s="49" t="s">
        <v>67</v>
      </c>
      <c r="D233" s="50" t="s">
        <v>291</v>
      </c>
      <c r="E233" s="51">
        <v>7672.8867</v>
      </c>
      <c r="F233" s="51">
        <v>7672.8867</v>
      </c>
      <c r="G233" s="51">
        <v>427396.20396399999</v>
      </c>
      <c r="H233" s="52">
        <v>1.7952631840984474E-4</v>
      </c>
      <c r="I233" s="53">
        <v>2.1543158209181368E-3</v>
      </c>
    </row>
    <row r="234" spans="1:9" x14ac:dyDescent="0.25">
      <c r="A234" s="42" t="s">
        <v>82</v>
      </c>
      <c r="B234" s="43" t="s">
        <v>83</v>
      </c>
      <c r="C234" s="43" t="s">
        <v>226</v>
      </c>
      <c r="D234" s="44" t="s">
        <v>291</v>
      </c>
      <c r="E234" s="45">
        <v>18578.483</v>
      </c>
      <c r="F234" s="45">
        <v>18578.483</v>
      </c>
      <c r="G234" s="45">
        <v>658016.11548799998</v>
      </c>
      <c r="H234" s="46">
        <v>2.8234085097173899E-4</v>
      </c>
      <c r="I234" s="47">
        <v>3.3880902116608679E-3</v>
      </c>
    </row>
    <row r="235" spans="1:9" x14ac:dyDescent="0.25">
      <c r="A235" s="48" t="s">
        <v>68</v>
      </c>
      <c r="B235" s="49" t="s">
        <v>69</v>
      </c>
      <c r="C235" s="49" t="s">
        <v>226</v>
      </c>
      <c r="D235" s="50" t="s">
        <v>291</v>
      </c>
      <c r="E235" s="51">
        <v>27011.7389</v>
      </c>
      <c r="F235" s="51">
        <v>27011.7389</v>
      </c>
      <c r="G235" s="51">
        <v>625307.69457000005</v>
      </c>
      <c r="H235" s="52">
        <v>4.3197515614412727E-4</v>
      </c>
      <c r="I235" s="53">
        <v>5.1837018737295269E-3</v>
      </c>
    </row>
    <row r="236" spans="1:9" x14ac:dyDescent="0.25">
      <c r="A236" s="42" t="s">
        <v>79</v>
      </c>
      <c r="B236" s="43" t="s">
        <v>80</v>
      </c>
      <c r="C236" s="43" t="s">
        <v>81</v>
      </c>
      <c r="D236" s="44" t="s">
        <v>291</v>
      </c>
      <c r="E236" s="45">
        <v>34010.146399999998</v>
      </c>
      <c r="F236" s="45">
        <v>34010.146399999998</v>
      </c>
      <c r="G236" s="45">
        <v>138746.96378200001</v>
      </c>
      <c r="H236" s="46">
        <v>2.4512353620535386E-3</v>
      </c>
      <c r="I236" s="47">
        <v>2.9414824344642463E-2</v>
      </c>
    </row>
    <row r="237" spans="1:9" x14ac:dyDescent="0.25">
      <c r="A237" s="48" t="s">
        <v>114</v>
      </c>
      <c r="B237" s="49" t="s">
        <v>115</v>
      </c>
      <c r="C237" s="49" t="s">
        <v>226</v>
      </c>
      <c r="D237" s="50" t="s">
        <v>291</v>
      </c>
      <c r="E237" s="51">
        <v>8348.4457000000002</v>
      </c>
      <c r="F237" s="51">
        <v>8348.4457000000002</v>
      </c>
      <c r="G237" s="51">
        <v>528872.05938400002</v>
      </c>
      <c r="H237" s="52">
        <v>1.578537862205047E-4</v>
      </c>
      <c r="I237" s="53">
        <v>1.8942454346460563E-3</v>
      </c>
    </row>
    <row r="238" spans="1:9" x14ac:dyDescent="0.25">
      <c r="A238" s="42" t="s">
        <v>92</v>
      </c>
      <c r="B238" s="43" t="s">
        <v>282</v>
      </c>
      <c r="C238" s="43" t="s">
        <v>81</v>
      </c>
      <c r="D238" s="44" t="s">
        <v>291</v>
      </c>
      <c r="E238" s="45">
        <v>12738.993900000001</v>
      </c>
      <c r="F238" s="45">
        <v>12738.993900000001</v>
      </c>
      <c r="G238" s="45">
        <v>84039.416142999995</v>
      </c>
      <c r="H238" s="46">
        <v>1.5158356024658182E-3</v>
      </c>
      <c r="I238" s="47">
        <v>1.8190027229589817E-2</v>
      </c>
    </row>
    <row r="239" spans="1:9" x14ac:dyDescent="0.25">
      <c r="A239" s="48" t="s">
        <v>146</v>
      </c>
      <c r="B239" s="49" t="s">
        <v>147</v>
      </c>
      <c r="C239" s="49" t="s">
        <v>226</v>
      </c>
      <c r="D239" s="50" t="s">
        <v>291</v>
      </c>
      <c r="E239" s="51">
        <v>1850.1242999999999</v>
      </c>
      <c r="F239" s="51">
        <v>1850.1242999999999</v>
      </c>
      <c r="G239" s="51">
        <v>190845.68917199998</v>
      </c>
      <c r="H239" s="52">
        <v>9.6943468203390876E-5</v>
      </c>
      <c r="I239" s="53">
        <v>1.1633216184406905E-3</v>
      </c>
    </row>
    <row r="240" spans="1:9" x14ac:dyDescent="0.25">
      <c r="A240" s="42" t="s">
        <v>90</v>
      </c>
      <c r="B240" s="43" t="s">
        <v>91</v>
      </c>
      <c r="C240" s="43" t="s">
        <v>81</v>
      </c>
      <c r="D240" s="44" t="s">
        <v>291</v>
      </c>
      <c r="E240" s="45">
        <v>74295.549100000004</v>
      </c>
      <c r="F240" s="45">
        <v>74295.549100000004</v>
      </c>
      <c r="G240" s="45">
        <v>789423.07223299996</v>
      </c>
      <c r="H240" s="46">
        <v>9.4113729017121397E-4</v>
      </c>
      <c r="I240" s="47">
        <v>1.1293647482054567E-2</v>
      </c>
    </row>
    <row r="241" spans="1:9" x14ac:dyDescent="0.25">
      <c r="A241" s="48" t="s">
        <v>98</v>
      </c>
      <c r="B241" s="49" t="s">
        <v>99</v>
      </c>
      <c r="C241" s="49" t="s">
        <v>81</v>
      </c>
      <c r="D241" s="50" t="s">
        <v>291</v>
      </c>
      <c r="E241" s="51">
        <v>25084.7435</v>
      </c>
      <c r="F241" s="51">
        <v>25084.7435</v>
      </c>
      <c r="G241" s="51">
        <v>250216.62271699999</v>
      </c>
      <c r="H241" s="52">
        <v>1.0025210646525009E-3</v>
      </c>
      <c r="I241" s="53">
        <v>1.2030252775830011E-2</v>
      </c>
    </row>
    <row r="242" spans="1:9" x14ac:dyDescent="0.25">
      <c r="A242" s="42" t="s">
        <v>120</v>
      </c>
      <c r="B242" s="43" t="s">
        <v>268</v>
      </c>
      <c r="C242" s="43" t="s">
        <v>67</v>
      </c>
      <c r="D242" s="44" t="s">
        <v>291</v>
      </c>
      <c r="E242" s="45">
        <v>114947.33900000001</v>
      </c>
      <c r="F242" s="45">
        <v>114947.33900000001</v>
      </c>
      <c r="G242" s="45">
        <v>526584.64553099999</v>
      </c>
      <c r="H242" s="46">
        <v>2.1828843658000864E-3</v>
      </c>
      <c r="I242" s="47">
        <v>2.6194612389601038E-2</v>
      </c>
    </row>
    <row r="243" spans="1:9" x14ac:dyDescent="0.25">
      <c r="A243" s="48" t="s">
        <v>106</v>
      </c>
      <c r="B243" s="49" t="s">
        <v>107</v>
      </c>
      <c r="C243" s="49" t="s">
        <v>226</v>
      </c>
      <c r="D243" s="50" t="s">
        <v>291</v>
      </c>
      <c r="E243" s="51">
        <v>116660.4626</v>
      </c>
      <c r="F243" s="51">
        <v>116660.4626</v>
      </c>
      <c r="G243" s="51">
        <v>765107.14926900005</v>
      </c>
      <c r="H243" s="52">
        <v>1.5247598027473661E-3</v>
      </c>
      <c r="I243" s="53">
        <v>1.8297117632968395E-2</v>
      </c>
    </row>
    <row r="244" spans="1:9" x14ac:dyDescent="0.25">
      <c r="A244" s="42" t="s">
        <v>45</v>
      </c>
      <c r="B244" s="43" t="s">
        <v>46</v>
      </c>
      <c r="C244" s="43" t="s">
        <v>52</v>
      </c>
      <c r="D244" s="44" t="s">
        <v>291</v>
      </c>
      <c r="E244" s="45">
        <v>7225.0056000000004</v>
      </c>
      <c r="F244" s="45">
        <v>7225.0056000000004</v>
      </c>
      <c r="G244" s="45">
        <v>226882.92351399999</v>
      </c>
      <c r="H244" s="46">
        <v>3.1844642549989775E-4</v>
      </c>
      <c r="I244" s="47">
        <v>3.8213571059987732E-3</v>
      </c>
    </row>
    <row r="245" spans="1:9" x14ac:dyDescent="0.25">
      <c r="A245" s="48" t="s">
        <v>54</v>
      </c>
      <c r="B245" s="49" t="s">
        <v>55</v>
      </c>
      <c r="C245" s="49" t="s">
        <v>226</v>
      </c>
      <c r="D245" s="50" t="s">
        <v>291</v>
      </c>
      <c r="E245" s="51">
        <v>30101.630099999998</v>
      </c>
      <c r="F245" s="51">
        <v>30101.630099999998</v>
      </c>
      <c r="G245" s="51">
        <v>612024.53211099992</v>
      </c>
      <c r="H245" s="52">
        <v>4.9183698562169098E-4</v>
      </c>
      <c r="I245" s="53">
        <v>5.9020438274602922E-3</v>
      </c>
    </row>
    <row r="246" spans="1:9" x14ac:dyDescent="0.25">
      <c r="A246" s="42" t="s">
        <v>94</v>
      </c>
      <c r="B246" s="43" t="s">
        <v>95</v>
      </c>
      <c r="C246" s="43" t="s">
        <v>52</v>
      </c>
      <c r="D246" s="44" t="s">
        <v>291</v>
      </c>
      <c r="E246" s="45">
        <v>55914.630000000005</v>
      </c>
      <c r="F246" s="45">
        <v>55914.630000000005</v>
      </c>
      <c r="G246" s="45">
        <v>498981.453759</v>
      </c>
      <c r="H246" s="46">
        <v>1.1205753155508235E-3</v>
      </c>
      <c r="I246" s="47">
        <v>1.34469037866099E-2</v>
      </c>
    </row>
    <row r="247" spans="1:9" x14ac:dyDescent="0.25">
      <c r="A247" s="48" t="s">
        <v>159</v>
      </c>
      <c r="B247" s="49" t="s">
        <v>159</v>
      </c>
      <c r="C247" s="49" t="s">
        <v>52</v>
      </c>
      <c r="D247" s="50" t="s">
        <v>291</v>
      </c>
      <c r="E247" s="51">
        <v>2352.1282000000001</v>
      </c>
      <c r="F247" s="51">
        <v>2352.1282000000001</v>
      </c>
      <c r="G247" s="51">
        <v>2400.1985970000001</v>
      </c>
      <c r="H247" s="52">
        <v>9.7997232518172335E-3</v>
      </c>
      <c r="I247" s="53">
        <v>0.1175966790218068</v>
      </c>
    </row>
    <row r="248" spans="1:9" x14ac:dyDescent="0.25">
      <c r="A248" s="42" t="s">
        <v>135</v>
      </c>
      <c r="B248" s="43" t="s">
        <v>290</v>
      </c>
      <c r="C248" s="43" t="s">
        <v>226</v>
      </c>
      <c r="D248" s="44" t="s">
        <v>291</v>
      </c>
      <c r="E248" s="45">
        <v>1517.2592</v>
      </c>
      <c r="F248" s="45">
        <v>1517.2592</v>
      </c>
      <c r="G248" s="45">
        <v>168626.58223599999</v>
      </c>
      <c r="H248" s="46">
        <v>8.9977462620723233E-5</v>
      </c>
      <c r="I248" s="47">
        <v>1.0797295514486788E-3</v>
      </c>
    </row>
    <row r="249" spans="1:9" x14ac:dyDescent="0.25">
      <c r="A249" s="48" t="s">
        <v>137</v>
      </c>
      <c r="B249" s="49" t="s">
        <v>138</v>
      </c>
      <c r="C249" s="49" t="s">
        <v>52</v>
      </c>
      <c r="D249" s="50" t="s">
        <v>291</v>
      </c>
      <c r="E249" s="51">
        <v>50.621600000000001</v>
      </c>
      <c r="F249" s="51">
        <v>50.621600000000001</v>
      </c>
      <c r="G249" s="51">
        <v>2260.640942</v>
      </c>
      <c r="H249" s="52">
        <v>2.239258745584552E-4</v>
      </c>
      <c r="I249" s="53">
        <v>2.6871104947014625E-3</v>
      </c>
    </row>
    <row r="250" spans="1:9" x14ac:dyDescent="0.25">
      <c r="A250" s="42" t="s">
        <v>102</v>
      </c>
      <c r="B250" s="43" t="s">
        <v>271</v>
      </c>
      <c r="C250" s="43" t="s">
        <v>52</v>
      </c>
      <c r="D250" s="44" t="s">
        <v>291</v>
      </c>
      <c r="E250" s="45">
        <v>10455.9403</v>
      </c>
      <c r="F250" s="45">
        <v>10455.9403</v>
      </c>
      <c r="G250" s="45">
        <v>182785.136096</v>
      </c>
      <c r="H250" s="46">
        <v>5.720344948895882E-4</v>
      </c>
      <c r="I250" s="47">
        <v>6.8644139386750585E-3</v>
      </c>
    </row>
    <row r="251" spans="1:9" x14ac:dyDescent="0.25">
      <c r="A251" s="48" t="s">
        <v>86</v>
      </c>
      <c r="B251" s="49" t="s">
        <v>87</v>
      </c>
      <c r="C251" s="49" t="s">
        <v>52</v>
      </c>
      <c r="D251" s="50" t="s">
        <v>291</v>
      </c>
      <c r="E251" s="51">
        <v>55034.026700000002</v>
      </c>
      <c r="F251" s="51">
        <v>55034.026700000002</v>
      </c>
      <c r="G251" s="51">
        <v>685713.19001100003</v>
      </c>
      <c r="H251" s="52">
        <v>8.0258083848609013E-4</v>
      </c>
      <c r="I251" s="53">
        <v>9.6309700618330812E-3</v>
      </c>
    </row>
    <row r="252" spans="1:9" x14ac:dyDescent="0.25">
      <c r="A252" s="42" t="s">
        <v>144</v>
      </c>
      <c r="B252" s="43" t="s">
        <v>286</v>
      </c>
      <c r="C252" s="43" t="s">
        <v>67</v>
      </c>
      <c r="D252" s="44" t="s">
        <v>291</v>
      </c>
      <c r="E252" s="45">
        <v>136.4134</v>
      </c>
      <c r="F252" s="45">
        <v>136.4134</v>
      </c>
      <c r="G252" s="45">
        <v>51155.648005999996</v>
      </c>
      <c r="H252" s="46">
        <v>2.6666341903048555E-5</v>
      </c>
      <c r="I252" s="47">
        <v>3.1999610283658269E-4</v>
      </c>
    </row>
    <row r="253" spans="1:9" x14ac:dyDescent="0.25">
      <c r="A253" s="48" t="s">
        <v>124</v>
      </c>
      <c r="B253" s="49" t="s">
        <v>125</v>
      </c>
      <c r="C253" s="49" t="s">
        <v>52</v>
      </c>
      <c r="D253" s="50" t="s">
        <v>291</v>
      </c>
      <c r="E253" s="51">
        <v>19052.3266</v>
      </c>
      <c r="F253" s="51">
        <v>19052.3266</v>
      </c>
      <c r="G253" s="51">
        <v>312242.40520400001</v>
      </c>
      <c r="H253" s="52">
        <v>6.1017742249174585E-4</v>
      </c>
      <c r="I253" s="53">
        <v>7.3221290699009497E-3</v>
      </c>
    </row>
    <row r="254" spans="1:9" x14ac:dyDescent="0.25">
      <c r="A254" s="42" t="s">
        <v>63</v>
      </c>
      <c r="B254" s="43" t="s">
        <v>64</v>
      </c>
      <c r="C254" s="43" t="s">
        <v>226</v>
      </c>
      <c r="D254" s="44" t="s">
        <v>291</v>
      </c>
      <c r="E254" s="45">
        <v>40896.217000000004</v>
      </c>
      <c r="F254" s="45">
        <v>40896.217000000004</v>
      </c>
      <c r="G254" s="45">
        <v>615415.686537</v>
      </c>
      <c r="H254" s="46">
        <v>6.6452997371787409E-4</v>
      </c>
      <c r="I254" s="47">
        <v>7.9743596846144887E-3</v>
      </c>
    </row>
    <row r="255" spans="1:9" x14ac:dyDescent="0.25">
      <c r="A255" s="48" t="s">
        <v>61</v>
      </c>
      <c r="B255" s="49" t="s">
        <v>62</v>
      </c>
      <c r="C255" s="49" t="s">
        <v>226</v>
      </c>
      <c r="D255" s="50" t="s">
        <v>291</v>
      </c>
      <c r="E255" s="51">
        <v>17329.0396</v>
      </c>
      <c r="F255" s="51">
        <v>17329.0396</v>
      </c>
      <c r="G255" s="51">
        <v>239639.956362</v>
      </c>
      <c r="H255" s="52">
        <v>7.2312814035998087E-4</v>
      </c>
      <c r="I255" s="53">
        <v>8.67753768431977E-3</v>
      </c>
    </row>
    <row r="256" spans="1:9" x14ac:dyDescent="0.25">
      <c r="A256" s="42" t="s">
        <v>76</v>
      </c>
      <c r="B256" s="43" t="s">
        <v>77</v>
      </c>
      <c r="C256" s="43" t="s">
        <v>52</v>
      </c>
      <c r="D256" s="44" t="s">
        <v>291</v>
      </c>
      <c r="E256" s="45">
        <v>15147.9007</v>
      </c>
      <c r="F256" s="45">
        <v>15147.9007</v>
      </c>
      <c r="G256" s="45">
        <v>292117.38686099998</v>
      </c>
      <c r="H256" s="46">
        <v>5.1855525830812388E-4</v>
      </c>
      <c r="I256" s="47">
        <v>6.2226630996974862E-3</v>
      </c>
    </row>
    <row r="257" spans="1:9" x14ac:dyDescent="0.25">
      <c r="A257" s="48" t="s">
        <v>163</v>
      </c>
      <c r="B257" s="49" t="s">
        <v>164</v>
      </c>
      <c r="C257" s="49" t="s">
        <v>67</v>
      </c>
      <c r="D257" s="50" t="s">
        <v>291</v>
      </c>
      <c r="E257" s="51">
        <v>6.9180000000000001</v>
      </c>
      <c r="F257" s="51">
        <v>6.9180000000000001</v>
      </c>
      <c r="G257" s="51">
        <v>9216.7033670000001</v>
      </c>
      <c r="H257" s="52">
        <v>7.5059375619807767E-6</v>
      </c>
      <c r="I257" s="53">
        <v>9.007125074376932E-5</v>
      </c>
    </row>
    <row r="258" spans="1:9" x14ac:dyDescent="0.25">
      <c r="A258" s="42" t="s">
        <v>88</v>
      </c>
      <c r="B258" s="43" t="s">
        <v>89</v>
      </c>
      <c r="C258" s="43" t="s">
        <v>52</v>
      </c>
      <c r="D258" s="44" t="s">
        <v>291</v>
      </c>
      <c r="E258" s="45">
        <v>12047.5905</v>
      </c>
      <c r="F258" s="45">
        <v>12047.5905</v>
      </c>
      <c r="G258" s="45">
        <v>220506.61532400001</v>
      </c>
      <c r="H258" s="46">
        <v>5.4635959480389966E-4</v>
      </c>
      <c r="I258" s="47">
        <v>6.5563151376467959E-3</v>
      </c>
    </row>
    <row r="259" spans="1:9" x14ac:dyDescent="0.25">
      <c r="A259" s="48" t="s">
        <v>116</v>
      </c>
      <c r="B259" s="49" t="s">
        <v>117</v>
      </c>
      <c r="C259" s="49" t="s">
        <v>52</v>
      </c>
      <c r="D259" s="50" t="s">
        <v>291</v>
      </c>
      <c r="E259" s="51">
        <v>56701.082600000002</v>
      </c>
      <c r="F259" s="51">
        <v>56701.082600000002</v>
      </c>
      <c r="G259" s="51">
        <v>827178.66668500006</v>
      </c>
      <c r="H259" s="52">
        <v>6.8547564007223703E-4</v>
      </c>
      <c r="I259" s="53">
        <v>8.2257076808668443E-3</v>
      </c>
    </row>
    <row r="260" spans="1:9" x14ac:dyDescent="0.25">
      <c r="A260" s="42" t="s">
        <v>84</v>
      </c>
      <c r="B260" s="43" t="s">
        <v>85</v>
      </c>
      <c r="C260" s="43" t="s">
        <v>67</v>
      </c>
      <c r="D260" s="44" t="s">
        <v>291</v>
      </c>
      <c r="E260" s="45">
        <v>7662.5104000000001</v>
      </c>
      <c r="F260" s="45">
        <v>7662.5104000000001</v>
      </c>
      <c r="G260" s="45">
        <v>645405.97970600007</v>
      </c>
      <c r="H260" s="46">
        <v>1.1872388296573394E-4</v>
      </c>
      <c r="I260" s="47">
        <v>1.4246865955888073E-3</v>
      </c>
    </row>
    <row r="261" spans="1:9" x14ac:dyDescent="0.25">
      <c r="A261" s="48" t="s">
        <v>112</v>
      </c>
      <c r="B261" s="49" t="s">
        <v>113</v>
      </c>
      <c r="C261" s="49" t="s">
        <v>81</v>
      </c>
      <c r="D261" s="50" t="s">
        <v>291</v>
      </c>
      <c r="E261" s="51">
        <v>61572.429700000001</v>
      </c>
      <c r="F261" s="51">
        <v>61572.429700000001</v>
      </c>
      <c r="G261" s="51">
        <v>793513.09279000002</v>
      </c>
      <c r="H261" s="52">
        <v>7.7594724346022716E-4</v>
      </c>
      <c r="I261" s="53">
        <v>9.3113669215227259E-3</v>
      </c>
    </row>
    <row r="262" spans="1:9" x14ac:dyDescent="0.25">
      <c r="A262" s="42" t="s">
        <v>122</v>
      </c>
      <c r="B262" s="43" t="s">
        <v>123</v>
      </c>
      <c r="C262" s="43" t="s">
        <v>52</v>
      </c>
      <c r="D262" s="44" t="s">
        <v>291</v>
      </c>
      <c r="E262" s="45">
        <v>60571.6368</v>
      </c>
      <c r="F262" s="45">
        <v>60571.6368</v>
      </c>
      <c r="G262" s="45">
        <v>1142219.4424010001</v>
      </c>
      <c r="H262" s="46">
        <v>5.3029772171164866E-4</v>
      </c>
      <c r="I262" s="47">
        <v>6.363572660539784E-3</v>
      </c>
    </row>
    <row r="263" spans="1:9" x14ac:dyDescent="0.25">
      <c r="A263" s="48" t="s">
        <v>59</v>
      </c>
      <c r="B263" s="49" t="s">
        <v>60</v>
      </c>
      <c r="C263" s="49" t="s">
        <v>226</v>
      </c>
      <c r="D263" s="50" t="s">
        <v>291</v>
      </c>
      <c r="E263" s="51">
        <v>14285.4619</v>
      </c>
      <c r="F263" s="51">
        <v>14285.4619</v>
      </c>
      <c r="G263" s="51">
        <v>406674.50184500002</v>
      </c>
      <c r="H263" s="52">
        <v>3.5127508204202006E-4</v>
      </c>
      <c r="I263" s="53">
        <v>4.2153009845042402E-3</v>
      </c>
    </row>
    <row r="264" spans="1:9" x14ac:dyDescent="0.25">
      <c r="A264" s="42" t="s">
        <v>168</v>
      </c>
      <c r="B264" s="43" t="s">
        <v>288</v>
      </c>
      <c r="C264" s="43" t="s">
        <v>226</v>
      </c>
      <c r="D264" s="44" t="s">
        <v>291</v>
      </c>
      <c r="E264" s="45">
        <v>549.07709999999997</v>
      </c>
      <c r="F264" s="45">
        <v>549.07709999999997</v>
      </c>
      <c r="G264" s="45">
        <v>2656.4842739999999</v>
      </c>
      <c r="H264" s="46">
        <v>2.0669314905193371E-3</v>
      </c>
      <c r="I264" s="47">
        <v>2.4803177886232045E-2</v>
      </c>
    </row>
    <row r="265" spans="1:9" x14ac:dyDescent="0.25">
      <c r="A265" s="48" t="s">
        <v>50</v>
      </c>
      <c r="B265" s="49" t="s">
        <v>51</v>
      </c>
      <c r="C265" s="49" t="s">
        <v>52</v>
      </c>
      <c r="D265" s="50" t="s">
        <v>291</v>
      </c>
      <c r="E265" s="51">
        <v>5500.6057000000001</v>
      </c>
      <c r="F265" s="51">
        <v>5500.6057000000001</v>
      </c>
      <c r="G265" s="51">
        <v>247500.78594700003</v>
      </c>
      <c r="H265" s="52">
        <v>2.2224598919770314E-4</v>
      </c>
      <c r="I265" s="53">
        <v>2.6669518703724376E-3</v>
      </c>
    </row>
    <row r="266" spans="1:9" x14ac:dyDescent="0.25">
      <c r="A266" s="42" t="s">
        <v>70</v>
      </c>
      <c r="B266" s="43" t="s">
        <v>71</v>
      </c>
      <c r="C266" s="43" t="s">
        <v>52</v>
      </c>
      <c r="D266" s="44" t="s">
        <v>291</v>
      </c>
      <c r="E266" s="45">
        <v>23242.083599999998</v>
      </c>
      <c r="F266" s="45">
        <v>23242.083599999998</v>
      </c>
      <c r="G266" s="45">
        <v>284118.37240699999</v>
      </c>
      <c r="H266" s="46">
        <v>8.1804226186068944E-4</v>
      </c>
      <c r="I266" s="47">
        <v>9.8165071423282728E-3</v>
      </c>
    </row>
    <row r="267" spans="1:9" x14ac:dyDescent="0.25">
      <c r="A267" s="48" t="s">
        <v>72</v>
      </c>
      <c r="B267" s="49" t="s">
        <v>73</v>
      </c>
      <c r="C267" s="49" t="s">
        <v>67</v>
      </c>
      <c r="D267" s="50" t="s">
        <v>291</v>
      </c>
      <c r="E267" s="51">
        <v>119003.91310000001</v>
      </c>
      <c r="F267" s="51">
        <v>119003.91310000001</v>
      </c>
      <c r="G267" s="51">
        <v>1644866.5261260001</v>
      </c>
      <c r="H267" s="52">
        <v>7.2348674624851629E-4</v>
      </c>
      <c r="I267" s="53">
        <v>8.6818409549821954E-3</v>
      </c>
    </row>
    <row r="268" spans="1:9" x14ac:dyDescent="0.25">
      <c r="A268" s="42" t="s">
        <v>133</v>
      </c>
      <c r="B268" s="43" t="s">
        <v>134</v>
      </c>
      <c r="C268" s="43" t="s">
        <v>52</v>
      </c>
      <c r="D268" s="44" t="s">
        <v>291</v>
      </c>
      <c r="E268" s="45">
        <v>10163.8892</v>
      </c>
      <c r="F268" s="45">
        <v>10163.8892</v>
      </c>
      <c r="G268" s="45">
        <v>154355.750742</v>
      </c>
      <c r="H268" s="46">
        <v>6.5847168966114969E-4</v>
      </c>
      <c r="I268" s="47">
        <v>7.9016602759337962E-3</v>
      </c>
    </row>
    <row r="269" spans="1:9" x14ac:dyDescent="0.25">
      <c r="A269" s="48" t="s">
        <v>292</v>
      </c>
      <c r="B269" s="49" t="s">
        <v>127</v>
      </c>
      <c r="C269" s="49" t="s">
        <v>67</v>
      </c>
      <c r="D269" s="50" t="s">
        <v>291</v>
      </c>
      <c r="E269" s="51">
        <v>1831.1789000000001</v>
      </c>
      <c r="F269" s="51">
        <v>1831.1789000000001</v>
      </c>
      <c r="G269" s="51">
        <v>164790.57473300002</v>
      </c>
      <c r="H269" s="52">
        <v>1.1112157979708161E-4</v>
      </c>
      <c r="I269" s="53">
        <v>1.3334589575649794E-3</v>
      </c>
    </row>
    <row r="270" spans="1:9" x14ac:dyDescent="0.25">
      <c r="A270" s="42" t="s">
        <v>118</v>
      </c>
      <c r="B270" s="43" t="s">
        <v>119</v>
      </c>
      <c r="C270" s="43" t="s">
        <v>226</v>
      </c>
      <c r="D270" s="44" t="s">
        <v>291</v>
      </c>
      <c r="E270" s="45">
        <v>25945.8881</v>
      </c>
      <c r="F270" s="45">
        <v>25945.8881</v>
      </c>
      <c r="G270" s="45">
        <v>339695.51718999998</v>
      </c>
      <c r="H270" s="46">
        <v>7.6379836609641902E-4</v>
      </c>
      <c r="I270" s="47">
        <v>9.1655803931570273E-3</v>
      </c>
    </row>
    <row r="271" spans="1:9" x14ac:dyDescent="0.25">
      <c r="A271" s="48" t="s">
        <v>57</v>
      </c>
      <c r="B271" s="49" t="s">
        <v>58</v>
      </c>
      <c r="C271" s="49" t="s">
        <v>226</v>
      </c>
      <c r="D271" s="50" t="s">
        <v>291</v>
      </c>
      <c r="E271" s="51">
        <v>3068.9331999999999</v>
      </c>
      <c r="F271" s="51">
        <v>3068.9331999999999</v>
      </c>
      <c r="G271" s="51">
        <v>88412.975814999998</v>
      </c>
      <c r="H271" s="52">
        <v>3.4711343801181385E-4</v>
      </c>
      <c r="I271" s="53">
        <v>4.165361256141766E-3</v>
      </c>
    </row>
    <row r="272" spans="1:9" x14ac:dyDescent="0.25">
      <c r="A272" s="42" t="s">
        <v>74</v>
      </c>
      <c r="B272" s="43" t="s">
        <v>75</v>
      </c>
      <c r="C272" s="43" t="s">
        <v>67</v>
      </c>
      <c r="D272" s="44" t="s">
        <v>291</v>
      </c>
      <c r="E272" s="45">
        <v>27947.205999999998</v>
      </c>
      <c r="F272" s="45">
        <v>27947.205999999998</v>
      </c>
      <c r="G272" s="45">
        <v>689595.81691100006</v>
      </c>
      <c r="H272" s="46">
        <v>4.0526936670218943E-4</v>
      </c>
      <c r="I272" s="47">
        <v>4.8632324004262732E-3</v>
      </c>
    </row>
    <row r="273" spans="1:9" x14ac:dyDescent="0.25">
      <c r="A273" s="48" t="s">
        <v>96</v>
      </c>
      <c r="B273" s="49" t="s">
        <v>97</v>
      </c>
      <c r="C273" s="49" t="s">
        <v>81</v>
      </c>
      <c r="D273" s="50" t="s">
        <v>291</v>
      </c>
      <c r="E273" s="51">
        <v>15286.2824</v>
      </c>
      <c r="F273" s="51">
        <v>15286.2824</v>
      </c>
      <c r="G273" s="51">
        <v>220884.19469999999</v>
      </c>
      <c r="H273" s="52">
        <v>6.9204962449945727E-4</v>
      </c>
      <c r="I273" s="53">
        <v>8.3045954939934864E-3</v>
      </c>
    </row>
  </sheetData>
  <autoFilter ref="A1:I273" xr:uid="{47319840-89F4-4316-8C19-FD2BDD2895DD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AD59-52C3-41E4-AE6D-54B54314857F}">
  <dimension ref="A1:E573"/>
  <sheetViews>
    <sheetView workbookViewId="0">
      <selection activeCell="I18" sqref="I18"/>
    </sheetView>
  </sheetViews>
  <sheetFormatPr defaultRowHeight="15" x14ac:dyDescent="0.25"/>
  <cols>
    <col min="1" max="1" width="13.5703125" bestFit="1" customWidth="1"/>
    <col min="2" max="2" width="20.85546875" bestFit="1" customWidth="1"/>
    <col min="3" max="3" width="17.5703125" bestFit="1" customWidth="1"/>
    <col min="4" max="4" width="17.28515625" style="65" bestFit="1" customWidth="1"/>
    <col min="5" max="5" width="10.42578125" style="31" bestFit="1" customWidth="1"/>
  </cols>
  <sheetData>
    <row r="1" spans="1:5" x14ac:dyDescent="0.25">
      <c r="A1" s="36" t="s">
        <v>213</v>
      </c>
      <c r="B1" t="s">
        <v>219</v>
      </c>
      <c r="C1" t="s">
        <v>40</v>
      </c>
      <c r="D1" s="65" t="s">
        <v>220</v>
      </c>
      <c r="E1" s="31" t="s">
        <v>221</v>
      </c>
    </row>
    <row r="2" spans="1:5" x14ac:dyDescent="0.25">
      <c r="A2" t="s">
        <v>153</v>
      </c>
      <c r="B2" t="s">
        <v>154</v>
      </c>
      <c r="C2" t="s">
        <v>67</v>
      </c>
      <c r="D2">
        <v>33183.631200000193</v>
      </c>
      <c r="E2" s="31">
        <v>45658</v>
      </c>
    </row>
    <row r="3" spans="1:5" x14ac:dyDescent="0.25">
      <c r="A3" t="s">
        <v>201</v>
      </c>
      <c r="B3" t="s">
        <v>222</v>
      </c>
      <c r="C3" t="s">
        <v>67</v>
      </c>
      <c r="D3">
        <v>-52.980000000000004</v>
      </c>
      <c r="E3" s="31">
        <v>45658</v>
      </c>
    </row>
    <row r="4" spans="1:5" x14ac:dyDescent="0.25">
      <c r="A4" t="s">
        <v>202</v>
      </c>
      <c r="B4" t="s">
        <v>223</v>
      </c>
      <c r="C4" t="s">
        <v>224</v>
      </c>
      <c r="D4">
        <v>1396430.96</v>
      </c>
      <c r="E4" s="31">
        <v>45658</v>
      </c>
    </row>
    <row r="5" spans="1:5" x14ac:dyDescent="0.25">
      <c r="A5" t="s">
        <v>65</v>
      </c>
      <c r="B5" t="s">
        <v>66</v>
      </c>
      <c r="C5" t="s">
        <v>67</v>
      </c>
      <c r="D5" s="30">
        <v>-2092748.6399999992</v>
      </c>
      <c r="E5" s="31">
        <v>45658</v>
      </c>
    </row>
    <row r="6" spans="1:5" x14ac:dyDescent="0.25">
      <c r="A6" t="s">
        <v>195</v>
      </c>
      <c r="B6" t="s">
        <v>225</v>
      </c>
      <c r="C6" t="s">
        <v>226</v>
      </c>
      <c r="D6">
        <v>44471.710000000006</v>
      </c>
      <c r="E6" s="31">
        <v>45658</v>
      </c>
    </row>
    <row r="7" spans="1:5" x14ac:dyDescent="0.25">
      <c r="A7" t="s">
        <v>72</v>
      </c>
      <c r="B7" t="s">
        <v>73</v>
      </c>
      <c r="C7" t="s">
        <v>227</v>
      </c>
      <c r="D7">
        <v>-3491503.3756120009</v>
      </c>
      <c r="E7" s="31">
        <v>45658</v>
      </c>
    </row>
    <row r="8" spans="1:5" x14ac:dyDescent="0.25">
      <c r="A8" t="s">
        <v>120</v>
      </c>
      <c r="B8" t="s">
        <v>121</v>
      </c>
      <c r="C8" t="s">
        <v>227</v>
      </c>
      <c r="D8">
        <v>-583479.30000000005</v>
      </c>
      <c r="E8" s="31">
        <v>45658</v>
      </c>
    </row>
    <row r="9" spans="1:5" x14ac:dyDescent="0.25">
      <c r="A9" t="s">
        <v>63</v>
      </c>
      <c r="B9" t="s">
        <v>64</v>
      </c>
      <c r="C9" t="s">
        <v>227</v>
      </c>
      <c r="D9">
        <v>-5468651.0946690021</v>
      </c>
      <c r="E9" s="31">
        <v>45658</v>
      </c>
    </row>
    <row r="10" spans="1:5" x14ac:dyDescent="0.25">
      <c r="A10" t="s">
        <v>84</v>
      </c>
      <c r="B10" t="s">
        <v>85</v>
      </c>
      <c r="C10" t="s">
        <v>67</v>
      </c>
      <c r="D10">
        <v>56560.960000000006</v>
      </c>
      <c r="E10" s="31">
        <v>45658</v>
      </c>
    </row>
    <row r="11" spans="1:5" x14ac:dyDescent="0.25">
      <c r="A11" t="s">
        <v>82</v>
      </c>
      <c r="B11" t="s">
        <v>83</v>
      </c>
      <c r="C11" t="s">
        <v>228</v>
      </c>
      <c r="D11">
        <v>296455.47000000038</v>
      </c>
      <c r="E11" s="31">
        <v>45658</v>
      </c>
    </row>
    <row r="12" spans="1:5" x14ac:dyDescent="0.25">
      <c r="A12" t="s">
        <v>68</v>
      </c>
      <c r="B12" t="s">
        <v>69</v>
      </c>
      <c r="C12" t="s">
        <v>229</v>
      </c>
      <c r="D12">
        <v>-4747082.3900000006</v>
      </c>
      <c r="E12" s="31">
        <v>45658</v>
      </c>
    </row>
    <row r="13" spans="1:5" x14ac:dyDescent="0.25">
      <c r="A13" t="s">
        <v>116</v>
      </c>
      <c r="B13" t="s">
        <v>117</v>
      </c>
      <c r="C13" t="s">
        <v>143</v>
      </c>
      <c r="D13">
        <v>885332.18999999983</v>
      </c>
      <c r="E13" s="31">
        <v>45658</v>
      </c>
    </row>
    <row r="14" spans="1:5" x14ac:dyDescent="0.25">
      <c r="A14" t="s">
        <v>59</v>
      </c>
      <c r="B14" t="s">
        <v>60</v>
      </c>
      <c r="C14" t="s">
        <v>143</v>
      </c>
      <c r="D14">
        <v>-690909.91000000027</v>
      </c>
      <c r="E14" s="31">
        <v>45658</v>
      </c>
    </row>
    <row r="15" spans="1:5" x14ac:dyDescent="0.25">
      <c r="A15" t="s">
        <v>146</v>
      </c>
      <c r="B15" t="s">
        <v>147</v>
      </c>
      <c r="C15" t="s">
        <v>226</v>
      </c>
      <c r="D15">
        <v>-7981673.209999999</v>
      </c>
      <c r="E15" s="31">
        <v>45658</v>
      </c>
    </row>
    <row r="16" spans="1:5" x14ac:dyDescent="0.25">
      <c r="A16" t="s">
        <v>57</v>
      </c>
      <c r="B16" t="s">
        <v>58</v>
      </c>
      <c r="C16" t="s">
        <v>230</v>
      </c>
      <c r="D16">
        <v>127043.75999999998</v>
      </c>
      <c r="E16" s="31">
        <v>45658</v>
      </c>
    </row>
    <row r="17" spans="1:5" x14ac:dyDescent="0.25">
      <c r="A17" t="s">
        <v>183</v>
      </c>
      <c r="B17" t="s">
        <v>231</v>
      </c>
      <c r="C17" t="s">
        <v>230</v>
      </c>
      <c r="D17">
        <v>-282074.34999999998</v>
      </c>
      <c r="E17" s="31">
        <v>45658</v>
      </c>
    </row>
    <row r="18" spans="1:5" x14ac:dyDescent="0.25">
      <c r="A18" t="s">
        <v>106</v>
      </c>
      <c r="B18" t="s">
        <v>107</v>
      </c>
      <c r="C18" t="s">
        <v>143</v>
      </c>
      <c r="D18" s="65">
        <v>342714.7699999999</v>
      </c>
      <c r="E18" s="31">
        <v>45658</v>
      </c>
    </row>
    <row r="19" spans="1:5" x14ac:dyDescent="0.25">
      <c r="A19" t="s">
        <v>122</v>
      </c>
      <c r="B19" t="s">
        <v>123</v>
      </c>
      <c r="C19" t="s">
        <v>152</v>
      </c>
      <c r="D19">
        <v>2139588.87</v>
      </c>
      <c r="E19" s="31">
        <v>45658</v>
      </c>
    </row>
    <row r="20" spans="1:5" x14ac:dyDescent="0.25">
      <c r="A20" t="s">
        <v>148</v>
      </c>
      <c r="B20" t="s">
        <v>149</v>
      </c>
      <c r="C20" t="s">
        <v>226</v>
      </c>
      <c r="D20">
        <v>1178160.94</v>
      </c>
      <c r="E20" s="31">
        <v>45658</v>
      </c>
    </row>
    <row r="21" spans="1:5" x14ac:dyDescent="0.25">
      <c r="A21" t="s">
        <v>193</v>
      </c>
      <c r="B21" t="s">
        <v>232</v>
      </c>
      <c r="C21" t="s">
        <v>230</v>
      </c>
      <c r="D21">
        <v>328395.15999999992</v>
      </c>
      <c r="E21" s="31">
        <v>45658</v>
      </c>
    </row>
    <row r="22" spans="1:5" x14ac:dyDescent="0.25">
      <c r="A22" t="s">
        <v>188</v>
      </c>
      <c r="B22" t="s">
        <v>233</v>
      </c>
      <c r="C22" t="s">
        <v>226</v>
      </c>
      <c r="D22">
        <v>1004627.0416499999</v>
      </c>
      <c r="E22" s="31">
        <v>45658</v>
      </c>
    </row>
    <row r="23" spans="1:5" x14ac:dyDescent="0.25">
      <c r="A23" t="s">
        <v>190</v>
      </c>
      <c r="B23" t="s">
        <v>234</v>
      </c>
      <c r="C23" t="s">
        <v>235</v>
      </c>
      <c r="D23">
        <v>367185.28010199999</v>
      </c>
      <c r="E23" s="31">
        <v>45658</v>
      </c>
    </row>
    <row r="24" spans="1:5" x14ac:dyDescent="0.25">
      <c r="A24" t="s">
        <v>79</v>
      </c>
      <c r="B24" t="s">
        <v>80</v>
      </c>
      <c r="C24" t="s">
        <v>81</v>
      </c>
      <c r="D24">
        <v>-241040.77999999997</v>
      </c>
      <c r="E24" s="31">
        <v>45658</v>
      </c>
    </row>
    <row r="25" spans="1:5" x14ac:dyDescent="0.25">
      <c r="A25" t="s">
        <v>199</v>
      </c>
      <c r="B25" t="s">
        <v>236</v>
      </c>
      <c r="C25" t="s">
        <v>235</v>
      </c>
      <c r="D25">
        <v>-1711591.9030560001</v>
      </c>
      <c r="E25" s="31">
        <v>45658</v>
      </c>
    </row>
    <row r="26" spans="1:5" x14ac:dyDescent="0.25">
      <c r="A26" t="s">
        <v>94</v>
      </c>
      <c r="B26" t="s">
        <v>95</v>
      </c>
      <c r="C26" t="s">
        <v>152</v>
      </c>
      <c r="D26">
        <v>-1211704.9867480001</v>
      </c>
      <c r="E26" s="31">
        <v>45658</v>
      </c>
    </row>
    <row r="27" spans="1:5" x14ac:dyDescent="0.25">
      <c r="A27" t="s">
        <v>76</v>
      </c>
      <c r="B27" t="s">
        <v>77</v>
      </c>
      <c r="C27" t="s">
        <v>152</v>
      </c>
      <c r="D27">
        <v>-124455.71928099997</v>
      </c>
      <c r="E27" s="31">
        <v>45658</v>
      </c>
    </row>
    <row r="28" spans="1:5" x14ac:dyDescent="0.25">
      <c r="A28" t="s">
        <v>124</v>
      </c>
      <c r="B28" t="s">
        <v>125</v>
      </c>
      <c r="C28" t="s">
        <v>152</v>
      </c>
      <c r="D28">
        <v>91483.959125000023</v>
      </c>
      <c r="E28" s="31">
        <v>45658</v>
      </c>
    </row>
    <row r="29" spans="1:5" x14ac:dyDescent="0.25">
      <c r="A29" t="s">
        <v>157</v>
      </c>
      <c r="B29" t="s">
        <v>158</v>
      </c>
      <c r="C29" t="s">
        <v>152</v>
      </c>
      <c r="D29">
        <v>-3600</v>
      </c>
      <c r="E29" s="31">
        <v>45658</v>
      </c>
    </row>
    <row r="30" spans="1:5" x14ac:dyDescent="0.25">
      <c r="A30" t="s">
        <v>191</v>
      </c>
      <c r="B30" t="s">
        <v>237</v>
      </c>
      <c r="C30" t="s">
        <v>152</v>
      </c>
      <c r="D30">
        <v>-105165.15999999999</v>
      </c>
      <c r="E30" s="31">
        <v>45658</v>
      </c>
    </row>
    <row r="31" spans="1:5" x14ac:dyDescent="0.25">
      <c r="A31" t="s">
        <v>100</v>
      </c>
      <c r="B31" t="s">
        <v>238</v>
      </c>
      <c r="C31" t="s">
        <v>152</v>
      </c>
      <c r="D31">
        <v>470160.12000000005</v>
      </c>
      <c r="E31" s="31">
        <v>45658</v>
      </c>
    </row>
    <row r="32" spans="1:5" x14ac:dyDescent="0.25">
      <c r="A32" t="s">
        <v>114</v>
      </c>
      <c r="B32" t="s">
        <v>115</v>
      </c>
      <c r="C32" t="s">
        <v>224</v>
      </c>
      <c r="D32">
        <v>3838984.0700000003</v>
      </c>
      <c r="E32" s="31">
        <v>45658</v>
      </c>
    </row>
    <row r="33" spans="1:5" x14ac:dyDescent="0.25">
      <c r="A33" t="s">
        <v>189</v>
      </c>
      <c r="B33" t="s">
        <v>239</v>
      </c>
      <c r="C33" t="s">
        <v>152</v>
      </c>
      <c r="D33">
        <v>-5301.3624000000027</v>
      </c>
      <c r="E33" s="31">
        <v>45658</v>
      </c>
    </row>
    <row r="34" spans="1:5" x14ac:dyDescent="0.25">
      <c r="A34" t="s">
        <v>70</v>
      </c>
      <c r="B34" t="s">
        <v>71</v>
      </c>
      <c r="C34" t="s">
        <v>152</v>
      </c>
      <c r="D34">
        <v>-269887.89</v>
      </c>
      <c r="E34" s="31">
        <v>45658</v>
      </c>
    </row>
    <row r="35" spans="1:5" x14ac:dyDescent="0.25">
      <c r="A35" t="s">
        <v>98</v>
      </c>
      <c r="B35" t="s">
        <v>99</v>
      </c>
      <c r="C35" t="s">
        <v>81</v>
      </c>
      <c r="D35">
        <v>881148.99</v>
      </c>
      <c r="E35" s="31">
        <v>45658</v>
      </c>
    </row>
    <row r="36" spans="1:5" x14ac:dyDescent="0.25">
      <c r="A36" t="s">
        <v>133</v>
      </c>
      <c r="B36" t="s">
        <v>240</v>
      </c>
      <c r="C36" t="s">
        <v>241</v>
      </c>
      <c r="D36">
        <v>2341152.2799999998</v>
      </c>
      <c r="E36" s="31">
        <v>45658</v>
      </c>
    </row>
    <row r="37" spans="1:5" x14ac:dyDescent="0.25">
      <c r="A37" t="s">
        <v>131</v>
      </c>
      <c r="B37" t="s">
        <v>132</v>
      </c>
      <c r="C37" t="s">
        <v>67</v>
      </c>
      <c r="D37" s="30">
        <v>2106</v>
      </c>
      <c r="E37" s="31">
        <v>45658</v>
      </c>
    </row>
    <row r="38" spans="1:5" x14ac:dyDescent="0.25">
      <c r="A38" t="s">
        <v>74</v>
      </c>
      <c r="B38" t="s">
        <v>75</v>
      </c>
      <c r="C38" t="s">
        <v>67</v>
      </c>
      <c r="D38">
        <v>-772123.29</v>
      </c>
      <c r="E38" s="31">
        <v>45658</v>
      </c>
    </row>
    <row r="39" spans="1:5" x14ac:dyDescent="0.25">
      <c r="A39" t="s">
        <v>198</v>
      </c>
      <c r="B39" t="s">
        <v>242</v>
      </c>
      <c r="C39" t="s">
        <v>226</v>
      </c>
      <c r="D39">
        <v>190317.38999999998</v>
      </c>
      <c r="E39" s="31">
        <v>45658</v>
      </c>
    </row>
    <row r="40" spans="1:5" x14ac:dyDescent="0.25">
      <c r="A40" t="s">
        <v>192</v>
      </c>
      <c r="B40" t="s">
        <v>243</v>
      </c>
      <c r="C40" t="s">
        <v>230</v>
      </c>
      <c r="D40">
        <v>-178473.55000000002</v>
      </c>
      <c r="E40" s="31">
        <v>45658</v>
      </c>
    </row>
    <row r="41" spans="1:5" x14ac:dyDescent="0.25">
      <c r="A41" t="s">
        <v>200</v>
      </c>
      <c r="B41" t="s">
        <v>244</v>
      </c>
      <c r="C41" t="s">
        <v>230</v>
      </c>
      <c r="D41">
        <v>34466.791800000021</v>
      </c>
      <c r="E41" s="31">
        <v>45658</v>
      </c>
    </row>
    <row r="42" spans="1:5" x14ac:dyDescent="0.25">
      <c r="A42" t="s">
        <v>96</v>
      </c>
      <c r="B42" t="s">
        <v>97</v>
      </c>
      <c r="C42" t="s">
        <v>81</v>
      </c>
      <c r="D42">
        <v>170372.12000000011</v>
      </c>
      <c r="E42" s="31">
        <v>45658</v>
      </c>
    </row>
    <row r="43" spans="1:5" x14ac:dyDescent="0.25">
      <c r="A43" t="s">
        <v>90</v>
      </c>
      <c r="B43" t="s">
        <v>91</v>
      </c>
      <c r="C43" t="s">
        <v>81</v>
      </c>
      <c r="D43">
        <v>-186891.24</v>
      </c>
      <c r="E43" s="31">
        <v>45658</v>
      </c>
    </row>
    <row r="44" spans="1:5" x14ac:dyDescent="0.25">
      <c r="A44" t="s">
        <v>112</v>
      </c>
      <c r="B44" t="s">
        <v>113</v>
      </c>
      <c r="C44" t="s">
        <v>81</v>
      </c>
      <c r="D44" s="65">
        <v>-3156862.0799999996</v>
      </c>
      <c r="E44" s="31">
        <v>45658</v>
      </c>
    </row>
    <row r="45" spans="1:5" x14ac:dyDescent="0.25">
      <c r="A45" t="s">
        <v>102</v>
      </c>
      <c r="B45" t="s">
        <v>103</v>
      </c>
      <c r="C45" t="s">
        <v>152</v>
      </c>
      <c r="D45">
        <v>53934.789999999986</v>
      </c>
      <c r="E45" s="31">
        <v>45658</v>
      </c>
    </row>
    <row r="46" spans="1:5" x14ac:dyDescent="0.25">
      <c r="A46" t="s">
        <v>196</v>
      </c>
      <c r="B46" t="s">
        <v>245</v>
      </c>
      <c r="C46" t="s">
        <v>143</v>
      </c>
      <c r="D46">
        <v>-5813.11</v>
      </c>
      <c r="E46" s="31">
        <v>45658</v>
      </c>
    </row>
    <row r="47" spans="1:5" x14ac:dyDescent="0.25">
      <c r="A47" t="s">
        <v>194</v>
      </c>
      <c r="B47" t="s">
        <v>246</v>
      </c>
      <c r="C47" t="s">
        <v>230</v>
      </c>
      <c r="D47">
        <v>-85131.059999999881</v>
      </c>
      <c r="E47" s="31">
        <v>45658</v>
      </c>
    </row>
    <row r="48" spans="1:5" x14ac:dyDescent="0.25">
      <c r="A48" t="s">
        <v>54</v>
      </c>
      <c r="B48" t="s">
        <v>55</v>
      </c>
      <c r="C48" t="s">
        <v>227</v>
      </c>
      <c r="D48">
        <v>504972.06029900012</v>
      </c>
      <c r="E48" s="31">
        <v>45658</v>
      </c>
    </row>
    <row r="49" spans="1:5" x14ac:dyDescent="0.25">
      <c r="A49" t="s">
        <v>118</v>
      </c>
      <c r="B49" t="s">
        <v>119</v>
      </c>
      <c r="C49" t="s">
        <v>143</v>
      </c>
      <c r="D49">
        <v>-612654.61000000022</v>
      </c>
      <c r="E49" s="31">
        <v>45658</v>
      </c>
    </row>
    <row r="50" spans="1:5" x14ac:dyDescent="0.25">
      <c r="A50" t="s">
        <v>86</v>
      </c>
      <c r="B50" t="s">
        <v>87</v>
      </c>
      <c r="C50" t="s">
        <v>152</v>
      </c>
      <c r="D50" s="65">
        <v>-2971413.4699500003</v>
      </c>
      <c r="E50" s="31">
        <v>45658</v>
      </c>
    </row>
    <row r="51" spans="1:5" x14ac:dyDescent="0.25">
      <c r="A51" t="s">
        <v>203</v>
      </c>
      <c r="B51" t="s">
        <v>247</v>
      </c>
      <c r="C51" t="s">
        <v>247</v>
      </c>
      <c r="D51">
        <v>24650.22</v>
      </c>
      <c r="E51" s="31">
        <v>45658</v>
      </c>
    </row>
    <row r="52" spans="1:5" x14ac:dyDescent="0.25">
      <c r="A52" t="s">
        <v>197</v>
      </c>
      <c r="B52" t="s">
        <v>248</v>
      </c>
      <c r="C52" t="s">
        <v>224</v>
      </c>
      <c r="D52">
        <v>-1212659.7000000002</v>
      </c>
      <c r="E52" s="31">
        <v>45658</v>
      </c>
    </row>
    <row r="53" spans="1:5" x14ac:dyDescent="0.25">
      <c r="A53" t="s">
        <v>65</v>
      </c>
      <c r="B53" t="s">
        <v>66</v>
      </c>
      <c r="C53" t="s">
        <v>67</v>
      </c>
      <c r="D53" s="30">
        <v>-2613647.8289999994</v>
      </c>
      <c r="E53" s="31">
        <v>45689</v>
      </c>
    </row>
    <row r="54" spans="1:5" x14ac:dyDescent="0.25">
      <c r="A54" t="s">
        <v>195</v>
      </c>
      <c r="B54" t="s">
        <v>225</v>
      </c>
      <c r="C54" t="s">
        <v>226</v>
      </c>
      <c r="D54">
        <v>-284180.68</v>
      </c>
      <c r="E54" s="31">
        <v>45689</v>
      </c>
    </row>
    <row r="55" spans="1:5" x14ac:dyDescent="0.25">
      <c r="A55" t="s">
        <v>72</v>
      </c>
      <c r="B55" t="s">
        <v>73</v>
      </c>
      <c r="C55" t="s">
        <v>227</v>
      </c>
      <c r="D55">
        <v>639301.57051800028</v>
      </c>
      <c r="E55" s="31">
        <v>45689</v>
      </c>
    </row>
    <row r="56" spans="1:5" x14ac:dyDescent="0.25">
      <c r="A56" t="s">
        <v>120</v>
      </c>
      <c r="B56" t="s">
        <v>121</v>
      </c>
      <c r="C56" t="s">
        <v>227</v>
      </c>
      <c r="D56">
        <v>-386759.62999999995</v>
      </c>
      <c r="E56" s="31">
        <v>45689</v>
      </c>
    </row>
    <row r="57" spans="1:5" x14ac:dyDescent="0.25">
      <c r="A57" t="s">
        <v>63</v>
      </c>
      <c r="B57" t="s">
        <v>64</v>
      </c>
      <c r="C57" t="s">
        <v>227</v>
      </c>
      <c r="D57">
        <v>-4923104.6318000015</v>
      </c>
      <c r="E57" s="31">
        <v>45689</v>
      </c>
    </row>
    <row r="58" spans="1:5" x14ac:dyDescent="0.25">
      <c r="A58" t="s">
        <v>84</v>
      </c>
      <c r="B58" t="s">
        <v>85</v>
      </c>
      <c r="C58" t="s">
        <v>67</v>
      </c>
      <c r="D58">
        <v>242194.63999999996</v>
      </c>
      <c r="E58" s="31">
        <v>45689</v>
      </c>
    </row>
    <row r="59" spans="1:5" x14ac:dyDescent="0.25">
      <c r="A59" t="s">
        <v>108</v>
      </c>
      <c r="B59" t="s">
        <v>249</v>
      </c>
      <c r="C59" t="s">
        <v>227</v>
      </c>
      <c r="D59">
        <v>15147</v>
      </c>
      <c r="E59" s="31">
        <v>45689</v>
      </c>
    </row>
    <row r="60" spans="1:5" x14ac:dyDescent="0.25">
      <c r="A60" t="s">
        <v>82</v>
      </c>
      <c r="B60" t="s">
        <v>83</v>
      </c>
      <c r="C60" t="s">
        <v>228</v>
      </c>
      <c r="D60">
        <v>1207859.29</v>
      </c>
      <c r="E60" s="31">
        <v>45689</v>
      </c>
    </row>
    <row r="61" spans="1:5" x14ac:dyDescent="0.25">
      <c r="A61" t="s">
        <v>68</v>
      </c>
      <c r="B61" t="s">
        <v>69</v>
      </c>
      <c r="C61" t="s">
        <v>229</v>
      </c>
      <c r="D61">
        <v>3474539.8699999992</v>
      </c>
      <c r="E61" s="31">
        <v>45689</v>
      </c>
    </row>
    <row r="62" spans="1:5" x14ac:dyDescent="0.25">
      <c r="A62" t="s">
        <v>116</v>
      </c>
      <c r="B62" t="s">
        <v>117</v>
      </c>
      <c r="C62" t="s">
        <v>143</v>
      </c>
      <c r="D62">
        <v>-503465.51</v>
      </c>
      <c r="E62" s="31">
        <v>45689</v>
      </c>
    </row>
    <row r="63" spans="1:5" x14ac:dyDescent="0.25">
      <c r="A63" t="s">
        <v>59</v>
      </c>
      <c r="B63" t="s">
        <v>60</v>
      </c>
      <c r="C63" t="s">
        <v>143</v>
      </c>
      <c r="D63">
        <v>-128076.71999999994</v>
      </c>
      <c r="E63" s="31">
        <v>45689</v>
      </c>
    </row>
    <row r="64" spans="1:5" x14ac:dyDescent="0.25">
      <c r="A64" t="s">
        <v>150</v>
      </c>
      <c r="B64" t="s">
        <v>151</v>
      </c>
      <c r="C64" t="s">
        <v>152</v>
      </c>
      <c r="D64">
        <v>-232665.45</v>
      </c>
      <c r="E64" s="31">
        <v>45689</v>
      </c>
    </row>
    <row r="65" spans="1:5" x14ac:dyDescent="0.25">
      <c r="A65" t="s">
        <v>146</v>
      </c>
      <c r="B65" t="s">
        <v>147</v>
      </c>
      <c r="C65" t="s">
        <v>226</v>
      </c>
      <c r="D65">
        <v>596729.99</v>
      </c>
      <c r="E65" s="31">
        <v>45689</v>
      </c>
    </row>
    <row r="66" spans="1:5" x14ac:dyDescent="0.25">
      <c r="A66" t="s">
        <v>57</v>
      </c>
      <c r="B66" t="s">
        <v>58</v>
      </c>
      <c r="C66" t="s">
        <v>230</v>
      </c>
      <c r="D66">
        <v>-421282.55999999988</v>
      </c>
      <c r="E66" s="31">
        <v>45689</v>
      </c>
    </row>
    <row r="67" spans="1:5" x14ac:dyDescent="0.25">
      <c r="A67" t="s">
        <v>183</v>
      </c>
      <c r="B67" t="s">
        <v>231</v>
      </c>
      <c r="C67" t="s">
        <v>230</v>
      </c>
      <c r="D67">
        <v>-327815.55999999988</v>
      </c>
      <c r="E67" s="31">
        <v>45689</v>
      </c>
    </row>
    <row r="68" spans="1:5" x14ac:dyDescent="0.25">
      <c r="A68" t="s">
        <v>106</v>
      </c>
      <c r="B68" t="s">
        <v>107</v>
      </c>
      <c r="C68" t="s">
        <v>143</v>
      </c>
      <c r="D68" s="65">
        <v>211275.51000000007</v>
      </c>
      <c r="E68" s="31">
        <v>45689</v>
      </c>
    </row>
    <row r="69" spans="1:5" x14ac:dyDescent="0.25">
      <c r="A69" t="s">
        <v>122</v>
      </c>
      <c r="B69" t="s">
        <v>123</v>
      </c>
      <c r="C69" t="s">
        <v>152</v>
      </c>
      <c r="D69">
        <v>1817318.33</v>
      </c>
      <c r="E69" s="31">
        <v>45689</v>
      </c>
    </row>
    <row r="70" spans="1:5" x14ac:dyDescent="0.25">
      <c r="A70" t="s">
        <v>148</v>
      </c>
      <c r="B70" t="s">
        <v>149</v>
      </c>
      <c r="C70" t="s">
        <v>226</v>
      </c>
      <c r="D70">
        <v>143859.75</v>
      </c>
      <c r="E70" s="31">
        <v>45689</v>
      </c>
    </row>
    <row r="71" spans="1:5" x14ac:dyDescent="0.25">
      <c r="A71" t="s">
        <v>193</v>
      </c>
      <c r="B71" t="s">
        <v>232</v>
      </c>
      <c r="C71" t="s">
        <v>230</v>
      </c>
      <c r="D71">
        <v>-235360.58000000002</v>
      </c>
      <c r="E71" s="31">
        <v>45689</v>
      </c>
    </row>
    <row r="72" spans="1:5" x14ac:dyDescent="0.25">
      <c r="A72" t="s">
        <v>188</v>
      </c>
      <c r="B72" t="s">
        <v>233</v>
      </c>
      <c r="C72" t="s">
        <v>226</v>
      </c>
      <c r="D72">
        <v>-164465.44520000007</v>
      </c>
      <c r="E72" s="31">
        <v>45689</v>
      </c>
    </row>
    <row r="73" spans="1:5" x14ac:dyDescent="0.25">
      <c r="A73" t="s">
        <v>190</v>
      </c>
      <c r="B73" t="s">
        <v>234</v>
      </c>
      <c r="C73" t="s">
        <v>235</v>
      </c>
      <c r="D73">
        <v>-224042.03993499995</v>
      </c>
      <c r="E73" s="31">
        <v>45689</v>
      </c>
    </row>
    <row r="74" spans="1:5" x14ac:dyDescent="0.25">
      <c r="A74" t="s">
        <v>79</v>
      </c>
      <c r="B74" t="s">
        <v>80</v>
      </c>
      <c r="C74" t="s">
        <v>81</v>
      </c>
      <c r="D74">
        <v>95486.37999999999</v>
      </c>
      <c r="E74" s="31">
        <v>45689</v>
      </c>
    </row>
    <row r="75" spans="1:5" x14ac:dyDescent="0.25">
      <c r="A75" t="s">
        <v>199</v>
      </c>
      <c r="B75" t="s">
        <v>236</v>
      </c>
      <c r="C75" t="s">
        <v>235</v>
      </c>
      <c r="D75">
        <v>-33729.78</v>
      </c>
      <c r="E75" s="31">
        <v>45689</v>
      </c>
    </row>
    <row r="76" spans="1:5" x14ac:dyDescent="0.25">
      <c r="A76" t="s">
        <v>94</v>
      </c>
      <c r="B76" t="s">
        <v>95</v>
      </c>
      <c r="C76" t="s">
        <v>152</v>
      </c>
      <c r="D76">
        <v>-629524.6599999998</v>
      </c>
      <c r="E76" s="31">
        <v>45689</v>
      </c>
    </row>
    <row r="77" spans="1:5" x14ac:dyDescent="0.25">
      <c r="A77" t="s">
        <v>76</v>
      </c>
      <c r="B77" t="s">
        <v>77</v>
      </c>
      <c r="C77" t="s">
        <v>152</v>
      </c>
      <c r="D77">
        <v>-152654.48312700001</v>
      </c>
      <c r="E77" s="31">
        <v>45689</v>
      </c>
    </row>
    <row r="78" spans="1:5" x14ac:dyDescent="0.25">
      <c r="A78" t="s">
        <v>124</v>
      </c>
      <c r="B78" t="s">
        <v>125</v>
      </c>
      <c r="C78" t="s">
        <v>152</v>
      </c>
      <c r="D78">
        <v>-1074755.4379789997</v>
      </c>
      <c r="E78" s="31">
        <v>45689</v>
      </c>
    </row>
    <row r="79" spans="1:5" x14ac:dyDescent="0.25">
      <c r="A79" t="s">
        <v>157</v>
      </c>
      <c r="B79" t="s">
        <v>158</v>
      </c>
      <c r="C79" t="s">
        <v>152</v>
      </c>
      <c r="D79">
        <v>-54951.902462000005</v>
      </c>
      <c r="E79" s="31">
        <v>45689</v>
      </c>
    </row>
    <row r="80" spans="1:5" x14ac:dyDescent="0.25">
      <c r="A80" t="s">
        <v>100</v>
      </c>
      <c r="B80" t="s">
        <v>238</v>
      </c>
      <c r="C80" t="s">
        <v>152</v>
      </c>
      <c r="D80">
        <v>24263.48</v>
      </c>
      <c r="E80" s="31">
        <v>45689</v>
      </c>
    </row>
    <row r="81" spans="1:5" x14ac:dyDescent="0.25">
      <c r="A81" t="s">
        <v>114</v>
      </c>
      <c r="B81" t="s">
        <v>115</v>
      </c>
      <c r="C81" t="s">
        <v>224</v>
      </c>
      <c r="D81">
        <v>-3430483.5500000007</v>
      </c>
      <c r="E81" s="31">
        <v>45689</v>
      </c>
    </row>
    <row r="82" spans="1:5" x14ac:dyDescent="0.25">
      <c r="A82" t="s">
        <v>189</v>
      </c>
      <c r="B82" t="s">
        <v>239</v>
      </c>
      <c r="C82" t="s">
        <v>152</v>
      </c>
      <c r="D82">
        <v>2000</v>
      </c>
      <c r="E82" s="31">
        <v>45689</v>
      </c>
    </row>
    <row r="83" spans="1:5" x14ac:dyDescent="0.25">
      <c r="A83" t="s">
        <v>70</v>
      </c>
      <c r="B83" t="s">
        <v>71</v>
      </c>
      <c r="C83" t="s">
        <v>152</v>
      </c>
      <c r="D83">
        <v>-56253.871377999953</v>
      </c>
      <c r="E83" s="31">
        <v>45689</v>
      </c>
    </row>
    <row r="84" spans="1:5" x14ac:dyDescent="0.25">
      <c r="A84" t="s">
        <v>98</v>
      </c>
      <c r="B84" t="s">
        <v>99</v>
      </c>
      <c r="C84" t="s">
        <v>81</v>
      </c>
      <c r="D84">
        <v>505760.22</v>
      </c>
      <c r="E84" s="31">
        <v>45689</v>
      </c>
    </row>
    <row r="85" spans="1:5" x14ac:dyDescent="0.25">
      <c r="A85" t="s">
        <v>133</v>
      </c>
      <c r="B85" t="s">
        <v>240</v>
      </c>
      <c r="C85" t="s">
        <v>241</v>
      </c>
      <c r="D85">
        <v>181659.90999999997</v>
      </c>
      <c r="E85" s="31">
        <v>45689</v>
      </c>
    </row>
    <row r="86" spans="1:5" x14ac:dyDescent="0.25">
      <c r="A86" t="s">
        <v>131</v>
      </c>
      <c r="B86" t="s">
        <v>132</v>
      </c>
      <c r="C86" t="s">
        <v>67</v>
      </c>
      <c r="D86" s="30">
        <v>2657543.0199999996</v>
      </c>
      <c r="E86" s="31">
        <v>45689</v>
      </c>
    </row>
    <row r="87" spans="1:5" x14ac:dyDescent="0.25">
      <c r="A87" t="s">
        <v>74</v>
      </c>
      <c r="B87" t="s">
        <v>75</v>
      </c>
      <c r="C87" t="s">
        <v>67</v>
      </c>
      <c r="D87">
        <v>-746482.27</v>
      </c>
      <c r="E87" s="31">
        <v>45689</v>
      </c>
    </row>
    <row r="88" spans="1:5" x14ac:dyDescent="0.25">
      <c r="A88" t="s">
        <v>198</v>
      </c>
      <c r="B88" t="s">
        <v>242</v>
      </c>
      <c r="C88" t="s">
        <v>226</v>
      </c>
      <c r="D88">
        <v>121104.31999999998</v>
      </c>
      <c r="E88" s="31">
        <v>45689</v>
      </c>
    </row>
    <row r="89" spans="1:5" x14ac:dyDescent="0.25">
      <c r="A89" t="s">
        <v>192</v>
      </c>
      <c r="B89" t="s">
        <v>243</v>
      </c>
      <c r="C89" t="s">
        <v>230</v>
      </c>
      <c r="D89">
        <v>113428.31999999993</v>
      </c>
      <c r="E89" s="31">
        <v>45689</v>
      </c>
    </row>
    <row r="90" spans="1:5" x14ac:dyDescent="0.25">
      <c r="A90" t="s">
        <v>200</v>
      </c>
      <c r="B90" t="s">
        <v>244</v>
      </c>
      <c r="C90" t="s">
        <v>230</v>
      </c>
      <c r="D90">
        <v>-385811.98633300001</v>
      </c>
      <c r="E90" s="31">
        <v>45689</v>
      </c>
    </row>
    <row r="91" spans="1:5" x14ac:dyDescent="0.25">
      <c r="A91" t="s">
        <v>96</v>
      </c>
      <c r="B91" t="s">
        <v>97</v>
      </c>
      <c r="C91" t="s">
        <v>81</v>
      </c>
      <c r="D91">
        <v>1155315.5099999998</v>
      </c>
      <c r="E91" s="31">
        <v>45689</v>
      </c>
    </row>
    <row r="92" spans="1:5" x14ac:dyDescent="0.25">
      <c r="A92" t="s">
        <v>90</v>
      </c>
      <c r="B92" t="s">
        <v>91</v>
      </c>
      <c r="C92" t="s">
        <v>81</v>
      </c>
      <c r="D92">
        <v>-526206.69999999984</v>
      </c>
      <c r="E92" s="31">
        <v>45689</v>
      </c>
    </row>
    <row r="93" spans="1:5" x14ac:dyDescent="0.25">
      <c r="A93" t="s">
        <v>112</v>
      </c>
      <c r="B93" t="s">
        <v>113</v>
      </c>
      <c r="C93" t="s">
        <v>81</v>
      </c>
      <c r="D93" s="65">
        <v>1467182.9839999995</v>
      </c>
      <c r="E93" s="31">
        <v>45689</v>
      </c>
    </row>
    <row r="94" spans="1:5" x14ac:dyDescent="0.25">
      <c r="A94" t="s">
        <v>61</v>
      </c>
      <c r="B94" t="s">
        <v>62</v>
      </c>
      <c r="C94" t="s">
        <v>226</v>
      </c>
      <c r="D94">
        <v>-442249.12000000005</v>
      </c>
      <c r="E94" s="31">
        <v>45689</v>
      </c>
    </row>
    <row r="95" spans="1:5" x14ac:dyDescent="0.25">
      <c r="A95" t="s">
        <v>102</v>
      </c>
      <c r="B95" t="s">
        <v>103</v>
      </c>
      <c r="C95" t="s">
        <v>152</v>
      </c>
      <c r="D95">
        <v>-10861.002858999986</v>
      </c>
      <c r="E95" s="31">
        <v>45689</v>
      </c>
    </row>
    <row r="96" spans="1:5" x14ac:dyDescent="0.25">
      <c r="A96" t="s">
        <v>196</v>
      </c>
      <c r="B96" t="s">
        <v>245</v>
      </c>
      <c r="C96" t="s">
        <v>143</v>
      </c>
      <c r="D96">
        <v>-5267.88</v>
      </c>
      <c r="E96" s="31">
        <v>45689</v>
      </c>
    </row>
    <row r="97" spans="1:5" x14ac:dyDescent="0.25">
      <c r="A97" t="s">
        <v>194</v>
      </c>
      <c r="B97" t="s">
        <v>246</v>
      </c>
      <c r="C97" t="s">
        <v>230</v>
      </c>
      <c r="D97">
        <v>-252953.54000000004</v>
      </c>
      <c r="E97" s="31">
        <v>45689</v>
      </c>
    </row>
    <row r="98" spans="1:5" x14ac:dyDescent="0.25">
      <c r="A98" t="s">
        <v>54</v>
      </c>
      <c r="B98" t="s">
        <v>55</v>
      </c>
      <c r="C98" t="s">
        <v>227</v>
      </c>
      <c r="D98">
        <v>640658.96151599998</v>
      </c>
      <c r="E98" s="31">
        <v>45689</v>
      </c>
    </row>
    <row r="99" spans="1:5" x14ac:dyDescent="0.25">
      <c r="A99" t="s">
        <v>118</v>
      </c>
      <c r="B99" t="s">
        <v>119</v>
      </c>
      <c r="C99" t="s">
        <v>143</v>
      </c>
      <c r="D99">
        <v>-1423932.4400000002</v>
      </c>
      <c r="E99" s="31">
        <v>45689</v>
      </c>
    </row>
    <row r="100" spans="1:5" x14ac:dyDescent="0.25">
      <c r="A100" t="s">
        <v>86</v>
      </c>
      <c r="B100" t="s">
        <v>87</v>
      </c>
      <c r="C100" t="s">
        <v>152</v>
      </c>
      <c r="D100" s="65">
        <v>-634084.69999999995</v>
      </c>
      <c r="E100" s="31">
        <v>45689</v>
      </c>
    </row>
    <row r="101" spans="1:5" x14ac:dyDescent="0.25">
      <c r="A101" t="s">
        <v>170</v>
      </c>
      <c r="B101" t="s">
        <v>171</v>
      </c>
      <c r="C101" t="s">
        <v>81</v>
      </c>
      <c r="D101">
        <v>5809.1900000000005</v>
      </c>
      <c r="E101" s="31">
        <v>45689</v>
      </c>
    </row>
    <row r="102" spans="1:5" x14ac:dyDescent="0.25">
      <c r="A102" t="s">
        <v>203</v>
      </c>
      <c r="B102" t="s">
        <v>247</v>
      </c>
      <c r="C102" t="s">
        <v>247</v>
      </c>
      <c r="D102">
        <v>-11731.59</v>
      </c>
      <c r="E102" s="31">
        <v>45689</v>
      </c>
    </row>
    <row r="103" spans="1:5" x14ac:dyDescent="0.25">
      <c r="A103" t="s">
        <v>205</v>
      </c>
      <c r="B103" t="s">
        <v>250</v>
      </c>
      <c r="C103" t="s">
        <v>152</v>
      </c>
      <c r="D103">
        <v>-75035.727500000008</v>
      </c>
      <c r="E103" s="31">
        <v>45689</v>
      </c>
    </row>
    <row r="104" spans="1:5" x14ac:dyDescent="0.25">
      <c r="A104" t="s">
        <v>204</v>
      </c>
      <c r="B104" t="s">
        <v>247</v>
      </c>
      <c r="C104" t="s">
        <v>247</v>
      </c>
      <c r="D104">
        <v>-68800.27</v>
      </c>
      <c r="E104" s="31">
        <v>45689</v>
      </c>
    </row>
    <row r="105" spans="1:5" x14ac:dyDescent="0.25">
      <c r="A105" t="s">
        <v>197</v>
      </c>
      <c r="B105" t="s">
        <v>248</v>
      </c>
      <c r="C105" t="s">
        <v>224</v>
      </c>
      <c r="D105">
        <v>-455838.75000000006</v>
      </c>
      <c r="E105" s="31">
        <v>45689</v>
      </c>
    </row>
    <row r="106" spans="1:5" x14ac:dyDescent="0.25">
      <c r="A106" t="s">
        <v>202</v>
      </c>
      <c r="B106" t="s">
        <v>223</v>
      </c>
      <c r="C106" t="s">
        <v>224</v>
      </c>
      <c r="D106">
        <v>-6943.25</v>
      </c>
      <c r="E106" s="31">
        <v>45717</v>
      </c>
    </row>
    <row r="107" spans="1:5" x14ac:dyDescent="0.25">
      <c r="A107" t="s">
        <v>65</v>
      </c>
      <c r="B107" t="s">
        <v>66</v>
      </c>
      <c r="C107" t="s">
        <v>67</v>
      </c>
      <c r="D107" s="30">
        <v>-1973794.82</v>
      </c>
      <c r="E107" s="31">
        <v>45717</v>
      </c>
    </row>
    <row r="108" spans="1:5" x14ac:dyDescent="0.25">
      <c r="A108" t="s">
        <v>195</v>
      </c>
      <c r="B108" t="s">
        <v>225</v>
      </c>
      <c r="C108" t="s">
        <v>226</v>
      </c>
      <c r="D108">
        <v>-798938.79999999993</v>
      </c>
      <c r="E108" s="31">
        <v>45717</v>
      </c>
    </row>
    <row r="109" spans="1:5" x14ac:dyDescent="0.25">
      <c r="A109" t="s">
        <v>72</v>
      </c>
      <c r="B109" t="s">
        <v>73</v>
      </c>
      <c r="C109" t="s">
        <v>227</v>
      </c>
      <c r="D109">
        <v>-7492734.5882659992</v>
      </c>
      <c r="E109" s="31">
        <v>45717</v>
      </c>
    </row>
    <row r="110" spans="1:5" x14ac:dyDescent="0.25">
      <c r="A110" t="s">
        <v>120</v>
      </c>
      <c r="B110" t="s">
        <v>121</v>
      </c>
      <c r="C110" t="s">
        <v>227</v>
      </c>
      <c r="D110">
        <v>558220.57000000007</v>
      </c>
      <c r="E110" s="31">
        <v>45717</v>
      </c>
    </row>
    <row r="111" spans="1:5" x14ac:dyDescent="0.25">
      <c r="A111" t="s">
        <v>63</v>
      </c>
      <c r="B111" t="s">
        <v>64</v>
      </c>
      <c r="C111" t="s">
        <v>227</v>
      </c>
      <c r="D111">
        <v>40670.690000000031</v>
      </c>
      <c r="E111" s="31">
        <v>45717</v>
      </c>
    </row>
    <row r="112" spans="1:5" x14ac:dyDescent="0.25">
      <c r="A112" t="s">
        <v>84</v>
      </c>
      <c r="B112" t="s">
        <v>85</v>
      </c>
      <c r="C112" t="s">
        <v>67</v>
      </c>
      <c r="D112">
        <v>-136610.84</v>
      </c>
      <c r="E112" s="31">
        <v>45717</v>
      </c>
    </row>
    <row r="113" spans="1:5" x14ac:dyDescent="0.25">
      <c r="A113" t="s">
        <v>82</v>
      </c>
      <c r="B113" t="s">
        <v>83</v>
      </c>
      <c r="C113" t="s">
        <v>228</v>
      </c>
      <c r="D113">
        <v>-35289.000000000015</v>
      </c>
      <c r="E113" s="31">
        <v>45717</v>
      </c>
    </row>
    <row r="114" spans="1:5" x14ac:dyDescent="0.25">
      <c r="A114" t="s">
        <v>68</v>
      </c>
      <c r="B114" t="s">
        <v>69</v>
      </c>
      <c r="C114" t="s">
        <v>229</v>
      </c>
      <c r="D114">
        <v>1908945.5080149986</v>
      </c>
      <c r="E114" s="31">
        <v>45717</v>
      </c>
    </row>
    <row r="115" spans="1:5" x14ac:dyDescent="0.25">
      <c r="A115" t="s">
        <v>116</v>
      </c>
      <c r="B115" t="s">
        <v>117</v>
      </c>
      <c r="C115" t="s">
        <v>143</v>
      </c>
      <c r="D115">
        <v>623814.81000000006</v>
      </c>
      <c r="E115" s="31">
        <v>45717</v>
      </c>
    </row>
    <row r="116" spans="1:5" x14ac:dyDescent="0.25">
      <c r="A116" t="s">
        <v>59</v>
      </c>
      <c r="B116" t="s">
        <v>60</v>
      </c>
      <c r="C116" t="s">
        <v>143</v>
      </c>
      <c r="D116">
        <v>-26055.0600000001</v>
      </c>
      <c r="E116" s="31">
        <v>45717</v>
      </c>
    </row>
    <row r="117" spans="1:5" x14ac:dyDescent="0.25">
      <c r="A117" t="s">
        <v>146</v>
      </c>
      <c r="B117" t="s">
        <v>147</v>
      </c>
      <c r="C117" t="s">
        <v>226</v>
      </c>
      <c r="D117">
        <v>635930.26</v>
      </c>
      <c r="E117" s="31">
        <v>45717</v>
      </c>
    </row>
    <row r="118" spans="1:5" x14ac:dyDescent="0.25">
      <c r="A118" t="s">
        <v>57</v>
      </c>
      <c r="B118" t="s">
        <v>58</v>
      </c>
      <c r="C118" t="s">
        <v>230</v>
      </c>
      <c r="D118">
        <v>76015.790000000066</v>
      </c>
      <c r="E118" s="31">
        <v>45717</v>
      </c>
    </row>
    <row r="119" spans="1:5" x14ac:dyDescent="0.25">
      <c r="A119" t="s">
        <v>183</v>
      </c>
      <c r="B119" t="s">
        <v>231</v>
      </c>
      <c r="C119" t="s">
        <v>230</v>
      </c>
      <c r="D119">
        <v>134566.73000000004</v>
      </c>
      <c r="E119" s="31">
        <v>45717</v>
      </c>
    </row>
    <row r="120" spans="1:5" x14ac:dyDescent="0.25">
      <c r="A120" t="s">
        <v>106</v>
      </c>
      <c r="B120" t="s">
        <v>107</v>
      </c>
      <c r="C120" t="s">
        <v>143</v>
      </c>
      <c r="D120" s="65">
        <v>1091741.2399999998</v>
      </c>
      <c r="E120" s="31">
        <v>45717</v>
      </c>
    </row>
    <row r="121" spans="1:5" x14ac:dyDescent="0.25">
      <c r="A121" t="s">
        <v>122</v>
      </c>
      <c r="B121" t="s">
        <v>123</v>
      </c>
      <c r="C121" t="s">
        <v>152</v>
      </c>
      <c r="D121">
        <v>337893.02</v>
      </c>
      <c r="E121" s="31">
        <v>45717</v>
      </c>
    </row>
    <row r="122" spans="1:5" x14ac:dyDescent="0.25">
      <c r="A122" t="s">
        <v>148</v>
      </c>
      <c r="B122" t="s">
        <v>149</v>
      </c>
      <c r="C122" t="s">
        <v>226</v>
      </c>
      <c r="D122">
        <v>271421.35000000003</v>
      </c>
      <c r="E122" s="31">
        <v>45717</v>
      </c>
    </row>
    <row r="123" spans="1:5" x14ac:dyDescent="0.25">
      <c r="A123" t="s">
        <v>193</v>
      </c>
      <c r="B123" t="s">
        <v>232</v>
      </c>
      <c r="C123" t="s">
        <v>230</v>
      </c>
      <c r="D123">
        <v>-87190.540000000066</v>
      </c>
      <c r="E123" s="31">
        <v>45717</v>
      </c>
    </row>
    <row r="124" spans="1:5" x14ac:dyDescent="0.25">
      <c r="A124" t="s">
        <v>188</v>
      </c>
      <c r="B124" t="s">
        <v>233</v>
      </c>
      <c r="C124" t="s">
        <v>226</v>
      </c>
      <c r="D124">
        <v>-1097340.2084620004</v>
      </c>
      <c r="E124" s="31">
        <v>45717</v>
      </c>
    </row>
    <row r="125" spans="1:5" x14ac:dyDescent="0.25">
      <c r="A125" t="s">
        <v>190</v>
      </c>
      <c r="B125" t="s">
        <v>234</v>
      </c>
      <c r="C125" t="s">
        <v>235</v>
      </c>
      <c r="D125">
        <v>85923.919999999969</v>
      </c>
      <c r="E125" s="31">
        <v>45717</v>
      </c>
    </row>
    <row r="126" spans="1:5" x14ac:dyDescent="0.25">
      <c r="A126" t="s">
        <v>79</v>
      </c>
      <c r="B126" t="s">
        <v>80</v>
      </c>
      <c r="C126" t="s">
        <v>81</v>
      </c>
      <c r="D126">
        <v>402525.04000000004</v>
      </c>
      <c r="E126" s="31">
        <v>45717</v>
      </c>
    </row>
    <row r="127" spans="1:5" x14ac:dyDescent="0.25">
      <c r="A127" t="s">
        <v>94</v>
      </c>
      <c r="B127" t="s">
        <v>95</v>
      </c>
      <c r="C127" t="s">
        <v>152</v>
      </c>
      <c r="D127">
        <v>571805.65679700009</v>
      </c>
      <c r="E127" s="31">
        <v>45717</v>
      </c>
    </row>
    <row r="128" spans="1:5" x14ac:dyDescent="0.25">
      <c r="A128" t="s">
        <v>76</v>
      </c>
      <c r="B128" t="s">
        <v>77</v>
      </c>
      <c r="C128" t="s">
        <v>152</v>
      </c>
      <c r="D128">
        <v>-727649.82000000007</v>
      </c>
      <c r="E128" s="31">
        <v>45717</v>
      </c>
    </row>
    <row r="129" spans="1:5" x14ac:dyDescent="0.25">
      <c r="A129" t="s">
        <v>124</v>
      </c>
      <c r="B129" t="s">
        <v>125</v>
      </c>
      <c r="C129" t="s">
        <v>152</v>
      </c>
      <c r="D129">
        <v>-374684.59412499995</v>
      </c>
      <c r="E129" s="31">
        <v>45717</v>
      </c>
    </row>
    <row r="130" spans="1:5" x14ac:dyDescent="0.25">
      <c r="A130" t="s">
        <v>157</v>
      </c>
      <c r="B130" t="s">
        <v>158</v>
      </c>
      <c r="C130" t="s">
        <v>152</v>
      </c>
      <c r="D130">
        <v>-60381.669999999991</v>
      </c>
      <c r="E130" s="31">
        <v>45717</v>
      </c>
    </row>
    <row r="131" spans="1:5" x14ac:dyDescent="0.25">
      <c r="A131" t="s">
        <v>100</v>
      </c>
      <c r="B131" t="s">
        <v>238</v>
      </c>
      <c r="C131" t="s">
        <v>152</v>
      </c>
      <c r="D131">
        <v>25959.48</v>
      </c>
      <c r="E131" s="31">
        <v>45717</v>
      </c>
    </row>
    <row r="132" spans="1:5" x14ac:dyDescent="0.25">
      <c r="A132" t="s">
        <v>114</v>
      </c>
      <c r="B132" t="s">
        <v>115</v>
      </c>
      <c r="C132" t="s">
        <v>224</v>
      </c>
      <c r="D132">
        <v>113002.85000000003</v>
      </c>
      <c r="E132" s="31">
        <v>45717</v>
      </c>
    </row>
    <row r="133" spans="1:5" x14ac:dyDescent="0.25">
      <c r="A133" t="s">
        <v>70</v>
      </c>
      <c r="B133" t="s">
        <v>71</v>
      </c>
      <c r="C133" t="s">
        <v>152</v>
      </c>
      <c r="D133">
        <v>93303.29</v>
      </c>
      <c r="E133" s="31">
        <v>45717</v>
      </c>
    </row>
    <row r="134" spans="1:5" x14ac:dyDescent="0.25">
      <c r="A134" t="s">
        <v>98</v>
      </c>
      <c r="B134" t="s">
        <v>99</v>
      </c>
      <c r="C134" t="s">
        <v>81</v>
      </c>
      <c r="D134">
        <v>9460205.4399999995</v>
      </c>
      <c r="E134" s="31">
        <v>45717</v>
      </c>
    </row>
    <row r="135" spans="1:5" x14ac:dyDescent="0.25">
      <c r="A135" t="s">
        <v>133</v>
      </c>
      <c r="B135" t="s">
        <v>240</v>
      </c>
      <c r="C135" t="s">
        <v>241</v>
      </c>
      <c r="D135">
        <v>306175.2699999999</v>
      </c>
      <c r="E135" s="31">
        <v>45717</v>
      </c>
    </row>
    <row r="136" spans="1:5" x14ac:dyDescent="0.25">
      <c r="A136" t="s">
        <v>131</v>
      </c>
      <c r="B136" t="s">
        <v>132</v>
      </c>
      <c r="C136" t="s">
        <v>67</v>
      </c>
      <c r="D136" s="30">
        <v>648661.49999999988</v>
      </c>
      <c r="E136" s="31">
        <v>45717</v>
      </c>
    </row>
    <row r="137" spans="1:5" x14ac:dyDescent="0.25">
      <c r="A137" t="s">
        <v>74</v>
      </c>
      <c r="B137" t="s">
        <v>75</v>
      </c>
      <c r="C137" t="s">
        <v>67</v>
      </c>
      <c r="D137">
        <v>-1131660.8357299999</v>
      </c>
      <c r="E137" s="31">
        <v>45717</v>
      </c>
    </row>
    <row r="138" spans="1:5" x14ac:dyDescent="0.25">
      <c r="A138" t="s">
        <v>198</v>
      </c>
      <c r="B138" t="s">
        <v>242</v>
      </c>
      <c r="C138" t="s">
        <v>226</v>
      </c>
      <c r="D138">
        <v>31595.41</v>
      </c>
      <c r="E138" s="31">
        <v>45717</v>
      </c>
    </row>
    <row r="139" spans="1:5" x14ac:dyDescent="0.25">
      <c r="A139" t="s">
        <v>192</v>
      </c>
      <c r="B139" t="s">
        <v>243</v>
      </c>
      <c r="C139" t="s">
        <v>230</v>
      </c>
      <c r="D139">
        <v>216383.25000000006</v>
      </c>
      <c r="E139" s="31">
        <v>45717</v>
      </c>
    </row>
    <row r="140" spans="1:5" x14ac:dyDescent="0.25">
      <c r="A140" t="s">
        <v>200</v>
      </c>
      <c r="B140" t="s">
        <v>244</v>
      </c>
      <c r="C140" t="s">
        <v>230</v>
      </c>
      <c r="D140">
        <v>187042.49991800002</v>
      </c>
      <c r="E140" s="31">
        <v>45717</v>
      </c>
    </row>
    <row r="141" spans="1:5" x14ac:dyDescent="0.25">
      <c r="A141" t="s">
        <v>96</v>
      </c>
      <c r="B141" t="s">
        <v>97</v>
      </c>
      <c r="C141" t="s">
        <v>81</v>
      </c>
      <c r="D141">
        <v>285262.93000000005</v>
      </c>
      <c r="E141" s="31">
        <v>45717</v>
      </c>
    </row>
    <row r="142" spans="1:5" x14ac:dyDescent="0.25">
      <c r="A142" t="s">
        <v>90</v>
      </c>
      <c r="B142" t="s">
        <v>91</v>
      </c>
      <c r="C142" t="s">
        <v>81</v>
      </c>
      <c r="D142">
        <v>1909748.7999999998</v>
      </c>
      <c r="E142" s="31">
        <v>45717</v>
      </c>
    </row>
    <row r="143" spans="1:5" x14ac:dyDescent="0.25">
      <c r="A143" t="s">
        <v>112</v>
      </c>
      <c r="B143" t="s">
        <v>113</v>
      </c>
      <c r="C143" t="s">
        <v>81</v>
      </c>
      <c r="D143" s="65">
        <v>-1128091.4300000006</v>
      </c>
      <c r="E143" s="31">
        <v>45717</v>
      </c>
    </row>
    <row r="144" spans="1:5" x14ac:dyDescent="0.25">
      <c r="A144" t="s">
        <v>61</v>
      </c>
      <c r="B144" t="s">
        <v>62</v>
      </c>
      <c r="C144" t="s">
        <v>226</v>
      </c>
      <c r="D144">
        <v>-360637.41</v>
      </c>
      <c r="E144" s="31">
        <v>45717</v>
      </c>
    </row>
    <row r="145" spans="1:5" x14ac:dyDescent="0.25">
      <c r="A145" t="s">
        <v>102</v>
      </c>
      <c r="B145" t="s">
        <v>103</v>
      </c>
      <c r="C145" t="s">
        <v>152</v>
      </c>
      <c r="D145">
        <v>388393.95420199999</v>
      </c>
      <c r="E145" s="31">
        <v>45717</v>
      </c>
    </row>
    <row r="146" spans="1:5" x14ac:dyDescent="0.25">
      <c r="A146" t="s">
        <v>196</v>
      </c>
      <c r="B146" t="s">
        <v>245</v>
      </c>
      <c r="C146" t="s">
        <v>143</v>
      </c>
      <c r="D146">
        <v>-2678.5600000000004</v>
      </c>
      <c r="E146" s="31">
        <v>45717</v>
      </c>
    </row>
    <row r="147" spans="1:5" x14ac:dyDescent="0.25">
      <c r="A147" t="s">
        <v>194</v>
      </c>
      <c r="B147" t="s">
        <v>246</v>
      </c>
      <c r="C147" t="s">
        <v>230</v>
      </c>
      <c r="D147">
        <v>-494559</v>
      </c>
      <c r="E147" s="31">
        <v>45717</v>
      </c>
    </row>
    <row r="148" spans="1:5" x14ac:dyDescent="0.25">
      <c r="A148" t="s">
        <v>54</v>
      </c>
      <c r="B148" t="s">
        <v>55</v>
      </c>
      <c r="C148" t="s">
        <v>227</v>
      </c>
      <c r="D148">
        <v>529353.11999999988</v>
      </c>
      <c r="E148" s="31">
        <v>45717</v>
      </c>
    </row>
    <row r="149" spans="1:5" x14ac:dyDescent="0.25">
      <c r="A149" t="s">
        <v>118</v>
      </c>
      <c r="B149" t="s">
        <v>119</v>
      </c>
      <c r="C149" t="s">
        <v>143</v>
      </c>
      <c r="D149">
        <v>1005877.6466</v>
      </c>
      <c r="E149" s="31">
        <v>45717</v>
      </c>
    </row>
    <row r="150" spans="1:5" x14ac:dyDescent="0.25">
      <c r="A150" t="s">
        <v>86</v>
      </c>
      <c r="B150" t="s">
        <v>87</v>
      </c>
      <c r="C150" t="s">
        <v>152</v>
      </c>
      <c r="D150" s="65">
        <v>230220.92999999996</v>
      </c>
      <c r="E150" s="31">
        <v>45717</v>
      </c>
    </row>
    <row r="151" spans="1:5" x14ac:dyDescent="0.25">
      <c r="A151" t="s">
        <v>170</v>
      </c>
      <c r="B151" t="s">
        <v>171</v>
      </c>
      <c r="C151" t="s">
        <v>81</v>
      </c>
      <c r="D151">
        <v>-4174.0599999999995</v>
      </c>
      <c r="E151" s="31">
        <v>45717</v>
      </c>
    </row>
    <row r="152" spans="1:5" x14ac:dyDescent="0.25">
      <c r="A152" t="s">
        <v>206</v>
      </c>
      <c r="B152" t="s">
        <v>251</v>
      </c>
      <c r="C152" t="s">
        <v>230</v>
      </c>
      <c r="D152">
        <v>13628.06</v>
      </c>
      <c r="E152" s="31">
        <v>45717</v>
      </c>
    </row>
    <row r="153" spans="1:5" x14ac:dyDescent="0.25">
      <c r="A153" t="s">
        <v>203</v>
      </c>
      <c r="B153" t="s">
        <v>247</v>
      </c>
      <c r="C153" t="s">
        <v>247</v>
      </c>
      <c r="D153">
        <v>122906.05</v>
      </c>
      <c r="E153" s="31">
        <v>45717</v>
      </c>
    </row>
    <row r="154" spans="1:5" x14ac:dyDescent="0.25">
      <c r="A154" t="s">
        <v>205</v>
      </c>
      <c r="B154" t="s">
        <v>250</v>
      </c>
      <c r="C154" t="s">
        <v>152</v>
      </c>
      <c r="D154">
        <v>-234738.00527999998</v>
      </c>
      <c r="E154" s="31">
        <v>45717</v>
      </c>
    </row>
    <row r="155" spans="1:5" x14ac:dyDescent="0.25">
      <c r="A155" t="s">
        <v>204</v>
      </c>
      <c r="B155" t="s">
        <v>247</v>
      </c>
      <c r="C155" t="s">
        <v>247</v>
      </c>
      <c r="D155">
        <v>53005.43990844323</v>
      </c>
      <c r="E155" s="31">
        <v>45717</v>
      </c>
    </row>
    <row r="156" spans="1:5" x14ac:dyDescent="0.25">
      <c r="A156" t="s">
        <v>197</v>
      </c>
      <c r="B156" t="s">
        <v>248</v>
      </c>
      <c r="C156" t="s">
        <v>224</v>
      </c>
      <c r="D156">
        <v>-1002338.1051380001</v>
      </c>
      <c r="E156" s="31">
        <v>45717</v>
      </c>
    </row>
    <row r="157" spans="1:5" x14ac:dyDescent="0.25">
      <c r="A157" t="s">
        <v>202</v>
      </c>
      <c r="B157" t="s">
        <v>223</v>
      </c>
      <c r="C157" t="s">
        <v>224</v>
      </c>
      <c r="D157">
        <v>3075.51</v>
      </c>
      <c r="E157" s="31">
        <v>45748</v>
      </c>
    </row>
    <row r="158" spans="1:5" x14ac:dyDescent="0.25">
      <c r="A158" t="s">
        <v>65</v>
      </c>
      <c r="B158" t="s">
        <v>66</v>
      </c>
      <c r="C158" t="s">
        <v>67</v>
      </c>
      <c r="D158" s="30">
        <v>-2195324.9100000011</v>
      </c>
      <c r="E158" s="31">
        <v>45748</v>
      </c>
    </row>
    <row r="159" spans="1:5" x14ac:dyDescent="0.25">
      <c r="A159" t="s">
        <v>195</v>
      </c>
      <c r="B159" t="s">
        <v>225</v>
      </c>
      <c r="C159" t="s">
        <v>226</v>
      </c>
      <c r="D159">
        <v>-296219.62</v>
      </c>
      <c r="E159" s="31">
        <v>45748</v>
      </c>
    </row>
    <row r="160" spans="1:5" x14ac:dyDescent="0.25">
      <c r="A160" t="s">
        <v>72</v>
      </c>
      <c r="B160" t="s">
        <v>73</v>
      </c>
      <c r="C160" t="s">
        <v>227</v>
      </c>
      <c r="D160">
        <v>3455077.4953780007</v>
      </c>
      <c r="E160" s="31">
        <v>45748</v>
      </c>
    </row>
    <row r="161" spans="1:5" x14ac:dyDescent="0.25">
      <c r="A161" t="s">
        <v>120</v>
      </c>
      <c r="B161" t="s">
        <v>121</v>
      </c>
      <c r="C161" t="s">
        <v>227</v>
      </c>
      <c r="D161">
        <v>50462.820000000007</v>
      </c>
      <c r="E161" s="31">
        <v>45748</v>
      </c>
    </row>
    <row r="162" spans="1:5" x14ac:dyDescent="0.25">
      <c r="A162" t="s">
        <v>63</v>
      </c>
      <c r="B162" t="s">
        <v>64</v>
      </c>
      <c r="C162" t="s">
        <v>227</v>
      </c>
      <c r="D162">
        <v>-76050.259999999587</v>
      </c>
      <c r="E162" s="31">
        <v>45748</v>
      </c>
    </row>
    <row r="163" spans="1:5" x14ac:dyDescent="0.25">
      <c r="A163" t="s">
        <v>84</v>
      </c>
      <c r="B163" t="s">
        <v>85</v>
      </c>
      <c r="C163" t="s">
        <v>67</v>
      </c>
      <c r="D163">
        <v>1348826.6479999998</v>
      </c>
      <c r="E163" s="31">
        <v>45748</v>
      </c>
    </row>
    <row r="164" spans="1:5" x14ac:dyDescent="0.25">
      <c r="A164" t="s">
        <v>82</v>
      </c>
      <c r="B164" t="s">
        <v>83</v>
      </c>
      <c r="C164" t="s">
        <v>228</v>
      </c>
      <c r="D164">
        <v>117658.94000000002</v>
      </c>
      <c r="E164" s="31">
        <v>45748</v>
      </c>
    </row>
    <row r="165" spans="1:5" x14ac:dyDescent="0.25">
      <c r="A165" t="s">
        <v>68</v>
      </c>
      <c r="B165" t="s">
        <v>69</v>
      </c>
      <c r="C165" t="s">
        <v>229</v>
      </c>
      <c r="D165">
        <v>-1829799.8399999994</v>
      </c>
      <c r="E165" s="31">
        <v>45748</v>
      </c>
    </row>
    <row r="166" spans="1:5" x14ac:dyDescent="0.25">
      <c r="A166" t="s">
        <v>116</v>
      </c>
      <c r="B166" t="s">
        <v>117</v>
      </c>
      <c r="C166" t="s">
        <v>143</v>
      </c>
      <c r="D166">
        <v>-998713.18159999978</v>
      </c>
      <c r="E166" s="31">
        <v>45748</v>
      </c>
    </row>
    <row r="167" spans="1:5" x14ac:dyDescent="0.25">
      <c r="A167" t="s">
        <v>59</v>
      </c>
      <c r="B167" t="s">
        <v>60</v>
      </c>
      <c r="C167" t="s">
        <v>143</v>
      </c>
      <c r="D167">
        <v>-1690167.9599999997</v>
      </c>
      <c r="E167" s="31">
        <v>45748</v>
      </c>
    </row>
    <row r="168" spans="1:5" x14ac:dyDescent="0.25">
      <c r="A168" t="s">
        <v>146</v>
      </c>
      <c r="B168" t="s">
        <v>147</v>
      </c>
      <c r="C168" t="s">
        <v>226</v>
      </c>
      <c r="D168">
        <v>135904.67000000001</v>
      </c>
      <c r="E168" s="31">
        <v>45748</v>
      </c>
    </row>
    <row r="169" spans="1:5" x14ac:dyDescent="0.25">
      <c r="A169" t="s">
        <v>57</v>
      </c>
      <c r="B169" t="s">
        <v>58</v>
      </c>
      <c r="C169" t="s">
        <v>230</v>
      </c>
      <c r="D169">
        <v>-133562.28</v>
      </c>
      <c r="E169" s="31">
        <v>45748</v>
      </c>
    </row>
    <row r="170" spans="1:5" x14ac:dyDescent="0.25">
      <c r="A170" t="s">
        <v>183</v>
      </c>
      <c r="B170" t="s">
        <v>231</v>
      </c>
      <c r="C170" t="s">
        <v>230</v>
      </c>
      <c r="D170">
        <v>1581551.5199999996</v>
      </c>
      <c r="E170" s="31">
        <v>45748</v>
      </c>
    </row>
    <row r="171" spans="1:5" x14ac:dyDescent="0.25">
      <c r="A171" t="s">
        <v>106</v>
      </c>
      <c r="B171" t="s">
        <v>107</v>
      </c>
      <c r="C171" t="s">
        <v>143</v>
      </c>
      <c r="D171" s="65">
        <v>295189.60000000009</v>
      </c>
      <c r="E171" s="31">
        <v>45748</v>
      </c>
    </row>
    <row r="172" spans="1:5" x14ac:dyDescent="0.25">
      <c r="A172" t="s">
        <v>122</v>
      </c>
      <c r="B172" t="s">
        <v>123</v>
      </c>
      <c r="C172" t="s">
        <v>152</v>
      </c>
      <c r="D172">
        <v>-3590948.75</v>
      </c>
      <c r="E172" s="31">
        <v>45748</v>
      </c>
    </row>
    <row r="173" spans="1:5" x14ac:dyDescent="0.25">
      <c r="A173" t="s">
        <v>148</v>
      </c>
      <c r="B173" t="s">
        <v>149</v>
      </c>
      <c r="C173" t="s">
        <v>226</v>
      </c>
      <c r="D173">
        <v>25507.389999999996</v>
      </c>
      <c r="E173" s="31">
        <v>45748</v>
      </c>
    </row>
    <row r="174" spans="1:5" x14ac:dyDescent="0.25">
      <c r="A174" t="s">
        <v>188</v>
      </c>
      <c r="B174" t="s">
        <v>233</v>
      </c>
      <c r="C174" t="s">
        <v>226</v>
      </c>
      <c r="D174">
        <v>-867121.39999999991</v>
      </c>
      <c r="E174" s="31">
        <v>45748</v>
      </c>
    </row>
    <row r="175" spans="1:5" x14ac:dyDescent="0.25">
      <c r="A175" t="s">
        <v>190</v>
      </c>
      <c r="B175" t="s">
        <v>234</v>
      </c>
      <c r="C175" t="s">
        <v>235</v>
      </c>
      <c r="D175">
        <v>-80747.59</v>
      </c>
      <c r="E175" s="31">
        <v>45748</v>
      </c>
    </row>
    <row r="176" spans="1:5" x14ac:dyDescent="0.25">
      <c r="A176" t="s">
        <v>79</v>
      </c>
      <c r="B176" t="s">
        <v>80</v>
      </c>
      <c r="C176" t="s">
        <v>81</v>
      </c>
      <c r="D176">
        <v>417266.22</v>
      </c>
      <c r="E176" s="31">
        <v>45748</v>
      </c>
    </row>
    <row r="177" spans="1:5" x14ac:dyDescent="0.25">
      <c r="A177" t="s">
        <v>94</v>
      </c>
      <c r="B177" t="s">
        <v>95</v>
      </c>
      <c r="C177" t="s">
        <v>152</v>
      </c>
      <c r="D177">
        <v>-4407661.6344920006</v>
      </c>
      <c r="E177" s="31">
        <v>45748</v>
      </c>
    </row>
    <row r="178" spans="1:5" x14ac:dyDescent="0.25">
      <c r="A178" t="s">
        <v>76</v>
      </c>
      <c r="B178" t="s">
        <v>77</v>
      </c>
      <c r="C178" t="s">
        <v>152</v>
      </c>
      <c r="D178">
        <v>-860033.58502500004</v>
      </c>
      <c r="E178" s="31">
        <v>45748</v>
      </c>
    </row>
    <row r="179" spans="1:5" x14ac:dyDescent="0.25">
      <c r="A179" t="s">
        <v>124</v>
      </c>
      <c r="B179" t="s">
        <v>125</v>
      </c>
      <c r="C179" t="s">
        <v>152</v>
      </c>
      <c r="D179">
        <v>-230536.55999999991</v>
      </c>
      <c r="E179" s="31">
        <v>45748</v>
      </c>
    </row>
    <row r="180" spans="1:5" x14ac:dyDescent="0.25">
      <c r="A180" t="s">
        <v>157</v>
      </c>
      <c r="B180" t="s">
        <v>158</v>
      </c>
      <c r="C180" t="s">
        <v>152</v>
      </c>
      <c r="D180">
        <v>576854.96696999995</v>
      </c>
      <c r="E180" s="31">
        <v>45748</v>
      </c>
    </row>
    <row r="181" spans="1:5" x14ac:dyDescent="0.25">
      <c r="A181" t="s">
        <v>100</v>
      </c>
      <c r="B181" t="s">
        <v>238</v>
      </c>
      <c r="C181" t="s">
        <v>152</v>
      </c>
      <c r="D181">
        <v>304655.01</v>
      </c>
      <c r="E181" s="31">
        <v>45748</v>
      </c>
    </row>
    <row r="182" spans="1:5" x14ac:dyDescent="0.25">
      <c r="A182" t="s">
        <v>114</v>
      </c>
      <c r="B182" t="s">
        <v>115</v>
      </c>
      <c r="C182" t="s">
        <v>224</v>
      </c>
      <c r="D182">
        <v>1202230.8700000001</v>
      </c>
      <c r="E182" s="31">
        <v>45748</v>
      </c>
    </row>
    <row r="183" spans="1:5" x14ac:dyDescent="0.25">
      <c r="A183" t="s">
        <v>70</v>
      </c>
      <c r="B183" t="s">
        <v>71</v>
      </c>
      <c r="C183" t="s">
        <v>152</v>
      </c>
      <c r="D183">
        <v>95092.58</v>
      </c>
      <c r="E183" s="31">
        <v>45748</v>
      </c>
    </row>
    <row r="184" spans="1:5" x14ac:dyDescent="0.25">
      <c r="A184" t="s">
        <v>98</v>
      </c>
      <c r="B184" t="s">
        <v>99</v>
      </c>
      <c r="C184" t="s">
        <v>81</v>
      </c>
      <c r="D184">
        <v>461745.58999999997</v>
      </c>
      <c r="E184" s="31">
        <v>45748</v>
      </c>
    </row>
    <row r="185" spans="1:5" x14ac:dyDescent="0.25">
      <c r="A185" t="s">
        <v>133</v>
      </c>
      <c r="B185" t="s">
        <v>240</v>
      </c>
      <c r="C185" t="s">
        <v>241</v>
      </c>
      <c r="D185">
        <v>-100616.18</v>
      </c>
      <c r="E185" s="31">
        <v>45748</v>
      </c>
    </row>
    <row r="186" spans="1:5" x14ac:dyDescent="0.25">
      <c r="A186" t="s">
        <v>131</v>
      </c>
      <c r="B186" t="s">
        <v>132</v>
      </c>
      <c r="C186" t="s">
        <v>67</v>
      </c>
      <c r="D186" s="30">
        <v>135847.97</v>
      </c>
      <c r="E186" s="31">
        <v>45748</v>
      </c>
    </row>
    <row r="187" spans="1:5" x14ac:dyDescent="0.25">
      <c r="A187" t="s">
        <v>74</v>
      </c>
      <c r="B187" t="s">
        <v>75</v>
      </c>
      <c r="C187" t="s">
        <v>67</v>
      </c>
      <c r="D187">
        <v>-973942.57882899989</v>
      </c>
      <c r="E187" s="31">
        <v>45748</v>
      </c>
    </row>
    <row r="188" spans="1:5" x14ac:dyDescent="0.25">
      <c r="A188" t="s">
        <v>198</v>
      </c>
      <c r="B188" t="s">
        <v>242</v>
      </c>
      <c r="C188" t="s">
        <v>226</v>
      </c>
      <c r="D188">
        <v>-2122330.4126730002</v>
      </c>
      <c r="E188" s="31">
        <v>45748</v>
      </c>
    </row>
    <row r="189" spans="1:5" x14ac:dyDescent="0.25">
      <c r="A189" t="s">
        <v>200</v>
      </c>
      <c r="B189" t="s">
        <v>244</v>
      </c>
      <c r="C189" t="s">
        <v>230</v>
      </c>
      <c r="D189">
        <v>397538.65</v>
      </c>
      <c r="E189" s="31">
        <v>45748</v>
      </c>
    </row>
    <row r="190" spans="1:5" x14ac:dyDescent="0.25">
      <c r="A190" t="s">
        <v>96</v>
      </c>
      <c r="B190" t="s">
        <v>97</v>
      </c>
      <c r="C190" t="s">
        <v>81</v>
      </c>
      <c r="D190">
        <v>1617296.7699999998</v>
      </c>
      <c r="E190" s="31">
        <v>45748</v>
      </c>
    </row>
    <row r="191" spans="1:5" x14ac:dyDescent="0.25">
      <c r="A191" t="s">
        <v>90</v>
      </c>
      <c r="B191" t="s">
        <v>91</v>
      </c>
      <c r="C191" t="s">
        <v>81</v>
      </c>
      <c r="D191">
        <v>426545.43</v>
      </c>
      <c r="E191" s="31">
        <v>45748</v>
      </c>
    </row>
    <row r="192" spans="1:5" x14ac:dyDescent="0.25">
      <c r="A192" t="s">
        <v>112</v>
      </c>
      <c r="B192" t="s">
        <v>113</v>
      </c>
      <c r="C192" t="s">
        <v>81</v>
      </c>
      <c r="D192" s="65">
        <v>3594807.9699999993</v>
      </c>
      <c r="E192" s="31">
        <v>45748</v>
      </c>
    </row>
    <row r="193" spans="1:5" x14ac:dyDescent="0.25">
      <c r="A193" t="s">
        <v>61</v>
      </c>
      <c r="B193" t="s">
        <v>62</v>
      </c>
      <c r="C193" t="s">
        <v>226</v>
      </c>
      <c r="D193">
        <v>63802.658926000004</v>
      </c>
      <c r="E193" s="31">
        <v>45748</v>
      </c>
    </row>
    <row r="194" spans="1:5" x14ac:dyDescent="0.25">
      <c r="A194" t="s">
        <v>102</v>
      </c>
      <c r="B194" t="s">
        <v>103</v>
      </c>
      <c r="C194" t="s">
        <v>152</v>
      </c>
      <c r="D194">
        <v>26720.978949100361</v>
      </c>
      <c r="E194" s="31">
        <v>45748</v>
      </c>
    </row>
    <row r="195" spans="1:5" x14ac:dyDescent="0.25">
      <c r="A195" t="s">
        <v>196</v>
      </c>
      <c r="B195" t="s">
        <v>245</v>
      </c>
      <c r="C195" t="s">
        <v>143</v>
      </c>
      <c r="D195">
        <v>-2278.36</v>
      </c>
      <c r="E195" s="31">
        <v>45748</v>
      </c>
    </row>
    <row r="196" spans="1:5" x14ac:dyDescent="0.25">
      <c r="A196" t="s">
        <v>54</v>
      </c>
      <c r="B196" t="s">
        <v>55</v>
      </c>
      <c r="C196" t="s">
        <v>227</v>
      </c>
      <c r="D196">
        <v>-38370.530000000028</v>
      </c>
      <c r="E196" s="31">
        <v>45748</v>
      </c>
    </row>
    <row r="197" spans="1:5" x14ac:dyDescent="0.25">
      <c r="A197" t="s">
        <v>118</v>
      </c>
      <c r="B197" t="s">
        <v>119</v>
      </c>
      <c r="C197" t="s">
        <v>143</v>
      </c>
      <c r="D197">
        <v>2268662.3000000003</v>
      </c>
      <c r="E197" s="31">
        <v>45748</v>
      </c>
    </row>
    <row r="198" spans="1:5" x14ac:dyDescent="0.25">
      <c r="A198" t="s">
        <v>86</v>
      </c>
      <c r="B198" t="s">
        <v>87</v>
      </c>
      <c r="C198" t="s">
        <v>152</v>
      </c>
      <c r="D198" s="65">
        <v>-2466931.6727260007</v>
      </c>
      <c r="E198" s="31">
        <v>45748</v>
      </c>
    </row>
    <row r="199" spans="1:5" x14ac:dyDescent="0.25">
      <c r="A199" t="s">
        <v>170</v>
      </c>
      <c r="B199" t="s">
        <v>171</v>
      </c>
      <c r="C199" t="s">
        <v>81</v>
      </c>
      <c r="D199">
        <v>55939.99000000002</v>
      </c>
      <c r="E199" s="31">
        <v>45748</v>
      </c>
    </row>
    <row r="200" spans="1:5" x14ac:dyDescent="0.25">
      <c r="A200" t="s">
        <v>206</v>
      </c>
      <c r="B200" t="s">
        <v>251</v>
      </c>
      <c r="C200" t="s">
        <v>230</v>
      </c>
      <c r="D200">
        <v>21699.49</v>
      </c>
      <c r="E200" s="31">
        <v>45748</v>
      </c>
    </row>
    <row r="201" spans="1:5" x14ac:dyDescent="0.25">
      <c r="A201" t="s">
        <v>203</v>
      </c>
      <c r="B201" t="s">
        <v>247</v>
      </c>
      <c r="C201" t="s">
        <v>247</v>
      </c>
      <c r="D201">
        <v>70184.848776999977</v>
      </c>
      <c r="E201" s="31">
        <v>45748</v>
      </c>
    </row>
    <row r="202" spans="1:5" x14ac:dyDescent="0.25">
      <c r="A202" t="s">
        <v>205</v>
      </c>
      <c r="B202" t="s">
        <v>250</v>
      </c>
      <c r="C202" t="s">
        <v>152</v>
      </c>
      <c r="D202">
        <v>75100.340000000026</v>
      </c>
      <c r="E202" s="31">
        <v>45748</v>
      </c>
    </row>
    <row r="203" spans="1:5" x14ac:dyDescent="0.25">
      <c r="A203" t="s">
        <v>204</v>
      </c>
      <c r="B203" t="s">
        <v>247</v>
      </c>
      <c r="C203" t="s">
        <v>247</v>
      </c>
      <c r="D203">
        <v>335928.02000000008</v>
      </c>
      <c r="E203" s="31">
        <v>45748</v>
      </c>
    </row>
    <row r="204" spans="1:5" x14ac:dyDescent="0.25">
      <c r="A204" t="s">
        <v>197</v>
      </c>
      <c r="B204" t="s">
        <v>248</v>
      </c>
      <c r="C204" t="s">
        <v>224</v>
      </c>
      <c r="D204">
        <v>-1498521.506018</v>
      </c>
      <c r="E204" s="31">
        <v>45748</v>
      </c>
    </row>
    <row r="205" spans="1:5" x14ac:dyDescent="0.25">
      <c r="A205" t="s">
        <v>202</v>
      </c>
      <c r="B205" t="s">
        <v>223</v>
      </c>
      <c r="C205" t="s">
        <v>224</v>
      </c>
      <c r="D205">
        <v>-3450</v>
      </c>
      <c r="E205" s="31">
        <v>45778</v>
      </c>
    </row>
    <row r="206" spans="1:5" x14ac:dyDescent="0.25">
      <c r="A206" t="s">
        <v>65</v>
      </c>
      <c r="B206" t="s">
        <v>66</v>
      </c>
      <c r="C206" t="s">
        <v>67</v>
      </c>
      <c r="D206" s="30">
        <v>-1566410.6099999999</v>
      </c>
      <c r="E206" s="31">
        <v>45778</v>
      </c>
    </row>
    <row r="207" spans="1:5" x14ac:dyDescent="0.25">
      <c r="A207" t="s">
        <v>144</v>
      </c>
      <c r="B207" t="s">
        <v>145</v>
      </c>
      <c r="C207" t="s">
        <v>67</v>
      </c>
      <c r="D207">
        <v>-11435</v>
      </c>
      <c r="E207" s="31">
        <v>45778</v>
      </c>
    </row>
    <row r="208" spans="1:5" x14ac:dyDescent="0.25">
      <c r="A208" t="s">
        <v>72</v>
      </c>
      <c r="B208" t="s">
        <v>73</v>
      </c>
      <c r="C208" t="s">
        <v>227</v>
      </c>
      <c r="D208">
        <v>17750796.000641998</v>
      </c>
      <c r="E208" s="31">
        <v>45778</v>
      </c>
    </row>
    <row r="209" spans="1:5" x14ac:dyDescent="0.25">
      <c r="A209" t="s">
        <v>120</v>
      </c>
      <c r="B209" t="s">
        <v>121</v>
      </c>
      <c r="C209" t="s">
        <v>227</v>
      </c>
      <c r="D209">
        <v>493163.7300000001</v>
      </c>
      <c r="E209" s="31">
        <v>45778</v>
      </c>
    </row>
    <row r="210" spans="1:5" x14ac:dyDescent="0.25">
      <c r="A210" t="s">
        <v>63</v>
      </c>
      <c r="B210" t="s">
        <v>64</v>
      </c>
      <c r="C210" t="s">
        <v>227</v>
      </c>
      <c r="D210">
        <v>214101.29457600007</v>
      </c>
      <c r="E210" s="31">
        <v>45778</v>
      </c>
    </row>
    <row r="211" spans="1:5" x14ac:dyDescent="0.25">
      <c r="A211" t="s">
        <v>84</v>
      </c>
      <c r="B211" t="s">
        <v>85</v>
      </c>
      <c r="C211" t="s">
        <v>67</v>
      </c>
      <c r="D211">
        <v>159953.56999999998</v>
      </c>
      <c r="E211" s="31">
        <v>45778</v>
      </c>
    </row>
    <row r="212" spans="1:5" x14ac:dyDescent="0.25">
      <c r="A212" t="s">
        <v>82</v>
      </c>
      <c r="B212" t="s">
        <v>83</v>
      </c>
      <c r="C212" t="s">
        <v>228</v>
      </c>
      <c r="D212">
        <v>434176.8899999999</v>
      </c>
      <c r="E212" s="31">
        <v>45778</v>
      </c>
    </row>
    <row r="213" spans="1:5" x14ac:dyDescent="0.25">
      <c r="A213" t="s">
        <v>68</v>
      </c>
      <c r="B213" t="s">
        <v>69</v>
      </c>
      <c r="C213" t="s">
        <v>229</v>
      </c>
      <c r="D213">
        <v>-4721588.1499999994</v>
      </c>
      <c r="E213" s="31">
        <v>45778</v>
      </c>
    </row>
    <row r="214" spans="1:5" x14ac:dyDescent="0.25">
      <c r="A214" t="s">
        <v>116</v>
      </c>
      <c r="B214" t="s">
        <v>117</v>
      </c>
      <c r="C214" t="s">
        <v>143</v>
      </c>
      <c r="D214">
        <v>500864.82999999996</v>
      </c>
      <c r="E214" s="31">
        <v>45778</v>
      </c>
    </row>
    <row r="215" spans="1:5" x14ac:dyDescent="0.25">
      <c r="A215" t="s">
        <v>59</v>
      </c>
      <c r="B215" t="s">
        <v>60</v>
      </c>
      <c r="C215" t="s">
        <v>143</v>
      </c>
      <c r="D215">
        <v>924098.05999999994</v>
      </c>
      <c r="E215" s="31">
        <v>45778</v>
      </c>
    </row>
    <row r="216" spans="1:5" x14ac:dyDescent="0.25">
      <c r="A216" t="s">
        <v>146</v>
      </c>
      <c r="B216" t="s">
        <v>147</v>
      </c>
      <c r="C216" t="s">
        <v>226</v>
      </c>
      <c r="D216">
        <v>713630.58</v>
      </c>
      <c r="E216" s="31">
        <v>45778</v>
      </c>
    </row>
    <row r="217" spans="1:5" x14ac:dyDescent="0.25">
      <c r="A217" t="s">
        <v>57</v>
      </c>
      <c r="B217" t="s">
        <v>58</v>
      </c>
      <c r="C217" t="s">
        <v>230</v>
      </c>
      <c r="D217">
        <v>51581.210000000014</v>
      </c>
      <c r="E217" s="31">
        <v>45778</v>
      </c>
    </row>
    <row r="218" spans="1:5" x14ac:dyDescent="0.25">
      <c r="A218" t="s">
        <v>183</v>
      </c>
      <c r="B218" t="s">
        <v>231</v>
      </c>
      <c r="C218" t="s">
        <v>230</v>
      </c>
      <c r="D218">
        <v>-812236.13000000012</v>
      </c>
      <c r="E218" s="31">
        <v>45778</v>
      </c>
    </row>
    <row r="219" spans="1:5" x14ac:dyDescent="0.25">
      <c r="A219" t="s">
        <v>106</v>
      </c>
      <c r="B219" t="s">
        <v>107</v>
      </c>
      <c r="C219" t="s">
        <v>143</v>
      </c>
      <c r="D219" s="65">
        <v>-1537348.9299999997</v>
      </c>
      <c r="E219" s="31">
        <v>45778</v>
      </c>
    </row>
    <row r="220" spans="1:5" x14ac:dyDescent="0.25">
      <c r="A220" t="s">
        <v>122</v>
      </c>
      <c r="B220" t="s">
        <v>123</v>
      </c>
      <c r="C220" t="s">
        <v>152</v>
      </c>
      <c r="D220">
        <v>3898488.7099999995</v>
      </c>
      <c r="E220" s="31">
        <v>45778</v>
      </c>
    </row>
    <row r="221" spans="1:5" x14ac:dyDescent="0.25">
      <c r="A221" t="s">
        <v>148</v>
      </c>
      <c r="B221" t="s">
        <v>149</v>
      </c>
      <c r="C221" t="s">
        <v>226</v>
      </c>
      <c r="D221">
        <v>-490361.36569499975</v>
      </c>
      <c r="E221" s="31">
        <v>45778</v>
      </c>
    </row>
    <row r="222" spans="1:5" x14ac:dyDescent="0.25">
      <c r="A222" t="s">
        <v>190</v>
      </c>
      <c r="B222" t="s">
        <v>234</v>
      </c>
      <c r="C222" t="s">
        <v>235</v>
      </c>
      <c r="D222">
        <v>179213.66000000006</v>
      </c>
      <c r="E222" s="31">
        <v>45778</v>
      </c>
    </row>
    <row r="223" spans="1:5" x14ac:dyDescent="0.25">
      <c r="A223" t="s">
        <v>79</v>
      </c>
      <c r="B223" t="s">
        <v>80</v>
      </c>
      <c r="C223" t="s">
        <v>81</v>
      </c>
      <c r="D223">
        <v>348667.58999999997</v>
      </c>
      <c r="E223" s="31">
        <v>45778</v>
      </c>
    </row>
    <row r="224" spans="1:5" x14ac:dyDescent="0.25">
      <c r="A224" t="s">
        <v>94</v>
      </c>
      <c r="B224" t="s">
        <v>95</v>
      </c>
      <c r="C224" t="s">
        <v>152</v>
      </c>
      <c r="D224">
        <v>-10317943.206689999</v>
      </c>
      <c r="E224" s="31">
        <v>45778</v>
      </c>
    </row>
    <row r="225" spans="1:5" x14ac:dyDescent="0.25">
      <c r="A225" t="s">
        <v>76</v>
      </c>
      <c r="B225" t="s">
        <v>77</v>
      </c>
      <c r="C225" t="s">
        <v>152</v>
      </c>
      <c r="D225">
        <v>-3583581.8759189988</v>
      </c>
      <c r="E225" s="31">
        <v>45778</v>
      </c>
    </row>
    <row r="226" spans="1:5" x14ac:dyDescent="0.25">
      <c r="A226" t="s">
        <v>124</v>
      </c>
      <c r="B226" t="s">
        <v>125</v>
      </c>
      <c r="C226" t="s">
        <v>152</v>
      </c>
      <c r="D226">
        <v>-3252914.6940960004</v>
      </c>
      <c r="E226" s="31">
        <v>45778</v>
      </c>
    </row>
    <row r="227" spans="1:5" x14ac:dyDescent="0.25">
      <c r="A227" t="s">
        <v>157</v>
      </c>
      <c r="B227" t="s">
        <v>158</v>
      </c>
      <c r="C227" t="s">
        <v>152</v>
      </c>
      <c r="D227">
        <v>-491311.23000000004</v>
      </c>
      <c r="E227" s="31">
        <v>45778</v>
      </c>
    </row>
    <row r="228" spans="1:5" x14ac:dyDescent="0.25">
      <c r="A228" t="s">
        <v>100</v>
      </c>
      <c r="B228" t="s">
        <v>238</v>
      </c>
      <c r="C228" t="s">
        <v>152</v>
      </c>
      <c r="D228">
        <v>949.36000000000013</v>
      </c>
      <c r="E228" s="31">
        <v>45778</v>
      </c>
    </row>
    <row r="229" spans="1:5" x14ac:dyDescent="0.25">
      <c r="A229" t="s">
        <v>114</v>
      </c>
      <c r="B229" t="s">
        <v>115</v>
      </c>
      <c r="C229" t="s">
        <v>224</v>
      </c>
      <c r="D229">
        <v>-123427.64</v>
      </c>
      <c r="E229" s="31">
        <v>45778</v>
      </c>
    </row>
    <row r="230" spans="1:5" x14ac:dyDescent="0.25">
      <c r="A230" t="s">
        <v>70</v>
      </c>
      <c r="B230" t="s">
        <v>71</v>
      </c>
      <c r="C230" t="s">
        <v>152</v>
      </c>
      <c r="D230">
        <v>-847237.28639899998</v>
      </c>
      <c r="E230" s="31">
        <v>45778</v>
      </c>
    </row>
    <row r="231" spans="1:5" x14ac:dyDescent="0.25">
      <c r="A231" t="s">
        <v>98</v>
      </c>
      <c r="B231" t="s">
        <v>99</v>
      </c>
      <c r="C231" t="s">
        <v>81</v>
      </c>
      <c r="D231">
        <v>248137.08000000007</v>
      </c>
      <c r="E231" s="31">
        <v>45778</v>
      </c>
    </row>
    <row r="232" spans="1:5" x14ac:dyDescent="0.25">
      <c r="A232" t="s">
        <v>133</v>
      </c>
      <c r="B232" t="s">
        <v>240</v>
      </c>
      <c r="C232" t="s">
        <v>241</v>
      </c>
      <c r="D232">
        <v>220341.86</v>
      </c>
      <c r="E232" s="31">
        <v>45778</v>
      </c>
    </row>
    <row r="233" spans="1:5" x14ac:dyDescent="0.25">
      <c r="A233" t="s">
        <v>131</v>
      </c>
      <c r="B233" t="s">
        <v>132</v>
      </c>
      <c r="C233" t="s">
        <v>67</v>
      </c>
      <c r="D233" s="30">
        <v>456451.49</v>
      </c>
      <c r="E233" s="31">
        <v>45778</v>
      </c>
    </row>
    <row r="234" spans="1:5" x14ac:dyDescent="0.25">
      <c r="A234" t="s">
        <v>74</v>
      </c>
      <c r="B234" t="s">
        <v>75</v>
      </c>
      <c r="C234" t="s">
        <v>67</v>
      </c>
      <c r="D234">
        <v>-727535.53000000014</v>
      </c>
      <c r="E234" s="31">
        <v>45778</v>
      </c>
    </row>
    <row r="235" spans="1:5" x14ac:dyDescent="0.25">
      <c r="A235" t="s">
        <v>200</v>
      </c>
      <c r="B235" t="s">
        <v>244</v>
      </c>
      <c r="C235" t="s">
        <v>230</v>
      </c>
      <c r="D235">
        <v>846509.6399999999</v>
      </c>
      <c r="E235" s="31">
        <v>45778</v>
      </c>
    </row>
    <row r="236" spans="1:5" x14ac:dyDescent="0.25">
      <c r="A236" t="s">
        <v>163</v>
      </c>
      <c r="B236" t="s">
        <v>164</v>
      </c>
      <c r="C236" t="s">
        <v>67</v>
      </c>
      <c r="D236">
        <v>292000</v>
      </c>
      <c r="E236" s="31">
        <v>45778</v>
      </c>
    </row>
    <row r="237" spans="1:5" x14ac:dyDescent="0.25">
      <c r="A237" t="s">
        <v>96</v>
      </c>
      <c r="B237" t="s">
        <v>97</v>
      </c>
      <c r="C237" t="s">
        <v>81</v>
      </c>
      <c r="D237">
        <v>-640363.09000000032</v>
      </c>
      <c r="E237" s="31">
        <v>45778</v>
      </c>
    </row>
    <row r="238" spans="1:5" x14ac:dyDescent="0.25">
      <c r="A238" t="s">
        <v>90</v>
      </c>
      <c r="B238" t="s">
        <v>91</v>
      </c>
      <c r="C238" t="s">
        <v>81</v>
      </c>
      <c r="D238">
        <v>-1896201.5199999993</v>
      </c>
      <c r="E238" s="31">
        <v>45778</v>
      </c>
    </row>
    <row r="239" spans="1:5" x14ac:dyDescent="0.25">
      <c r="A239" t="s">
        <v>112</v>
      </c>
      <c r="B239" t="s">
        <v>113</v>
      </c>
      <c r="C239" t="s">
        <v>81</v>
      </c>
      <c r="D239" s="65">
        <v>715099.66708900023</v>
      </c>
      <c r="E239" s="31">
        <v>45778</v>
      </c>
    </row>
    <row r="240" spans="1:5" x14ac:dyDescent="0.25">
      <c r="A240" t="s">
        <v>61</v>
      </c>
      <c r="B240" t="s">
        <v>62</v>
      </c>
      <c r="C240" t="s">
        <v>226</v>
      </c>
      <c r="D240">
        <v>-70117.669999999984</v>
      </c>
      <c r="E240" s="31">
        <v>45778</v>
      </c>
    </row>
    <row r="241" spans="1:5" x14ac:dyDescent="0.25">
      <c r="A241" t="s">
        <v>102</v>
      </c>
      <c r="B241" t="s">
        <v>103</v>
      </c>
      <c r="C241" t="s">
        <v>152</v>
      </c>
      <c r="D241">
        <v>-1249140.9239140006</v>
      </c>
      <c r="E241" s="31">
        <v>45778</v>
      </c>
    </row>
    <row r="242" spans="1:5" x14ac:dyDescent="0.25">
      <c r="A242" t="s">
        <v>54</v>
      </c>
      <c r="B242" t="s">
        <v>55</v>
      </c>
      <c r="C242" t="s">
        <v>227</v>
      </c>
      <c r="D242">
        <v>-1806797.5222919995</v>
      </c>
      <c r="E242" s="31">
        <v>45778</v>
      </c>
    </row>
    <row r="243" spans="1:5" x14ac:dyDescent="0.25">
      <c r="A243" t="s">
        <v>118</v>
      </c>
      <c r="B243" t="s">
        <v>119</v>
      </c>
      <c r="C243" t="s">
        <v>143</v>
      </c>
      <c r="D243">
        <v>913662.67</v>
      </c>
      <c r="E243" s="31">
        <v>45778</v>
      </c>
    </row>
    <row r="244" spans="1:5" x14ac:dyDescent="0.25">
      <c r="A244" t="s">
        <v>86</v>
      </c>
      <c r="B244" t="s">
        <v>87</v>
      </c>
      <c r="C244" t="s">
        <v>152</v>
      </c>
      <c r="D244" s="65">
        <v>-29638042.363024</v>
      </c>
      <c r="E244" s="31">
        <v>45778</v>
      </c>
    </row>
    <row r="245" spans="1:5" x14ac:dyDescent="0.25">
      <c r="A245" t="s">
        <v>170</v>
      </c>
      <c r="B245" t="s">
        <v>171</v>
      </c>
      <c r="C245" t="s">
        <v>81</v>
      </c>
      <c r="D245">
        <v>-11602.550000000014</v>
      </c>
      <c r="E245" s="31">
        <v>45778</v>
      </c>
    </row>
    <row r="246" spans="1:5" x14ac:dyDescent="0.25">
      <c r="A246" t="s">
        <v>206</v>
      </c>
      <c r="B246" t="s">
        <v>251</v>
      </c>
      <c r="C246" t="s">
        <v>230</v>
      </c>
      <c r="D246">
        <v>7788.1999999999971</v>
      </c>
      <c r="E246" s="31">
        <v>45778</v>
      </c>
    </row>
    <row r="247" spans="1:5" x14ac:dyDescent="0.25">
      <c r="A247" t="s">
        <v>203</v>
      </c>
      <c r="B247" t="s">
        <v>247</v>
      </c>
      <c r="C247" t="s">
        <v>247</v>
      </c>
      <c r="D247">
        <v>-662663.756864</v>
      </c>
      <c r="E247" s="31">
        <v>45778</v>
      </c>
    </row>
    <row r="248" spans="1:5" x14ac:dyDescent="0.25">
      <c r="A248" t="s">
        <v>205</v>
      </c>
      <c r="B248" t="s">
        <v>250</v>
      </c>
      <c r="C248" t="s">
        <v>152</v>
      </c>
      <c r="D248">
        <v>-417977.65513699997</v>
      </c>
      <c r="E248" s="31">
        <v>45778</v>
      </c>
    </row>
    <row r="249" spans="1:5" x14ac:dyDescent="0.25">
      <c r="A249" t="s">
        <v>204</v>
      </c>
      <c r="B249" t="s">
        <v>247</v>
      </c>
      <c r="C249" t="s">
        <v>247</v>
      </c>
      <c r="D249">
        <v>-319822.6284419999</v>
      </c>
      <c r="E249" s="31">
        <v>45778</v>
      </c>
    </row>
    <row r="250" spans="1:5" x14ac:dyDescent="0.25">
      <c r="A250" t="s">
        <v>197</v>
      </c>
      <c r="B250" t="s">
        <v>248</v>
      </c>
      <c r="C250" t="s">
        <v>224</v>
      </c>
      <c r="D250">
        <v>-5145422.0300600007</v>
      </c>
      <c r="E250" s="31">
        <v>45778</v>
      </c>
    </row>
    <row r="251" spans="1:5" x14ac:dyDescent="0.25">
      <c r="A251" t="s">
        <v>202</v>
      </c>
      <c r="B251" t="s">
        <v>223</v>
      </c>
      <c r="C251" t="s">
        <v>224</v>
      </c>
      <c r="D251">
        <v>-5010.59</v>
      </c>
      <c r="E251" s="31">
        <v>45809</v>
      </c>
    </row>
    <row r="252" spans="1:5" x14ac:dyDescent="0.25">
      <c r="A252" t="s">
        <v>65</v>
      </c>
      <c r="B252" t="s">
        <v>66</v>
      </c>
      <c r="C252" t="s">
        <v>67</v>
      </c>
      <c r="D252" s="30">
        <v>4583903.6419999981</v>
      </c>
      <c r="E252" s="31">
        <v>45809</v>
      </c>
    </row>
    <row r="253" spans="1:5" x14ac:dyDescent="0.25">
      <c r="A253" t="s">
        <v>144</v>
      </c>
      <c r="B253" t="s">
        <v>145</v>
      </c>
      <c r="C253" t="s">
        <v>67</v>
      </c>
      <c r="D253">
        <v>-40604.83</v>
      </c>
      <c r="E253" s="31">
        <v>45809</v>
      </c>
    </row>
    <row r="254" spans="1:5" x14ac:dyDescent="0.25">
      <c r="A254" t="s">
        <v>72</v>
      </c>
      <c r="B254" t="s">
        <v>73</v>
      </c>
      <c r="C254" t="s">
        <v>227</v>
      </c>
      <c r="D254">
        <v>-6760293.4299999997</v>
      </c>
      <c r="E254" s="31">
        <v>45809</v>
      </c>
    </row>
    <row r="255" spans="1:5" x14ac:dyDescent="0.25">
      <c r="A255" t="s">
        <v>120</v>
      </c>
      <c r="B255" t="s">
        <v>121</v>
      </c>
      <c r="C255" t="s">
        <v>227</v>
      </c>
      <c r="D255">
        <v>572271.8459999999</v>
      </c>
      <c r="E255" s="31">
        <v>45809</v>
      </c>
    </row>
    <row r="256" spans="1:5" x14ac:dyDescent="0.25">
      <c r="A256" t="s">
        <v>63</v>
      </c>
      <c r="B256" t="s">
        <v>64</v>
      </c>
      <c r="C256" t="s">
        <v>227</v>
      </c>
      <c r="D256">
        <v>-368547.59191900014</v>
      </c>
      <c r="E256" s="31">
        <v>45809</v>
      </c>
    </row>
    <row r="257" spans="1:5" x14ac:dyDescent="0.25">
      <c r="A257" t="s">
        <v>84</v>
      </c>
      <c r="B257" t="s">
        <v>85</v>
      </c>
      <c r="C257" t="s">
        <v>67</v>
      </c>
      <c r="D257">
        <v>-41785.109999999993</v>
      </c>
      <c r="E257" s="31">
        <v>45809</v>
      </c>
    </row>
    <row r="258" spans="1:5" x14ac:dyDescent="0.25">
      <c r="A258" t="s">
        <v>82</v>
      </c>
      <c r="B258" t="s">
        <v>83</v>
      </c>
      <c r="C258" t="s">
        <v>228</v>
      </c>
      <c r="D258">
        <v>-193799.05800000014</v>
      </c>
      <c r="E258" s="31">
        <v>45809</v>
      </c>
    </row>
    <row r="259" spans="1:5" x14ac:dyDescent="0.25">
      <c r="A259" t="s">
        <v>68</v>
      </c>
      <c r="B259" t="s">
        <v>69</v>
      </c>
      <c r="C259" t="s">
        <v>229</v>
      </c>
      <c r="D259">
        <v>-303765.62999999989</v>
      </c>
      <c r="E259" s="31">
        <v>45809</v>
      </c>
    </row>
    <row r="260" spans="1:5" x14ac:dyDescent="0.25">
      <c r="A260" t="s">
        <v>116</v>
      </c>
      <c r="B260" t="s">
        <v>117</v>
      </c>
      <c r="C260" t="s">
        <v>143</v>
      </c>
      <c r="D260">
        <v>-410841.43590500008</v>
      </c>
      <c r="E260" s="31">
        <v>45809</v>
      </c>
    </row>
    <row r="261" spans="1:5" x14ac:dyDescent="0.25">
      <c r="A261" t="s">
        <v>59</v>
      </c>
      <c r="B261" t="s">
        <v>60</v>
      </c>
      <c r="C261" t="s">
        <v>143</v>
      </c>
      <c r="D261">
        <v>-269395.50000000006</v>
      </c>
      <c r="E261" s="31">
        <v>45809</v>
      </c>
    </row>
    <row r="262" spans="1:5" x14ac:dyDescent="0.25">
      <c r="A262" t="s">
        <v>146</v>
      </c>
      <c r="B262" t="s">
        <v>147</v>
      </c>
      <c r="C262" t="s">
        <v>226</v>
      </c>
      <c r="D262">
        <v>15816.740000000002</v>
      </c>
      <c r="E262" s="31">
        <v>45809</v>
      </c>
    </row>
    <row r="263" spans="1:5" x14ac:dyDescent="0.25">
      <c r="A263" t="s">
        <v>57</v>
      </c>
      <c r="B263" t="s">
        <v>58</v>
      </c>
      <c r="C263" t="s">
        <v>230</v>
      </c>
      <c r="D263">
        <v>-126660.13507300001</v>
      </c>
      <c r="E263" s="31">
        <v>45809</v>
      </c>
    </row>
    <row r="264" spans="1:5" x14ac:dyDescent="0.25">
      <c r="A264" t="s">
        <v>106</v>
      </c>
      <c r="B264" t="s">
        <v>107</v>
      </c>
      <c r="C264" t="s">
        <v>143</v>
      </c>
      <c r="D264" s="65">
        <v>-2877329.434041</v>
      </c>
      <c r="E264" s="31">
        <v>45809</v>
      </c>
    </row>
    <row r="265" spans="1:5" x14ac:dyDescent="0.25">
      <c r="A265" t="s">
        <v>122</v>
      </c>
      <c r="B265" t="s">
        <v>123</v>
      </c>
      <c r="C265" t="s">
        <v>152</v>
      </c>
      <c r="D265">
        <v>349944.14999999979</v>
      </c>
      <c r="E265" s="31">
        <v>45809</v>
      </c>
    </row>
    <row r="266" spans="1:5" x14ac:dyDescent="0.25">
      <c r="A266" t="s">
        <v>148</v>
      </c>
      <c r="B266" t="s">
        <v>149</v>
      </c>
      <c r="C266" t="s">
        <v>226</v>
      </c>
      <c r="D266">
        <v>99279.50999999998</v>
      </c>
      <c r="E266" s="31">
        <v>45809</v>
      </c>
    </row>
    <row r="267" spans="1:5" x14ac:dyDescent="0.25">
      <c r="A267" t="s">
        <v>190</v>
      </c>
      <c r="B267" t="s">
        <v>234</v>
      </c>
      <c r="C267" t="s">
        <v>235</v>
      </c>
      <c r="D267">
        <v>863547.34</v>
      </c>
      <c r="E267" s="31">
        <v>45809</v>
      </c>
    </row>
    <row r="268" spans="1:5" x14ac:dyDescent="0.25">
      <c r="A268" t="s">
        <v>79</v>
      </c>
      <c r="B268" t="s">
        <v>80</v>
      </c>
      <c r="C268" t="s">
        <v>81</v>
      </c>
      <c r="D268">
        <v>481157.18</v>
      </c>
      <c r="E268" s="31">
        <v>45809</v>
      </c>
    </row>
    <row r="269" spans="1:5" x14ac:dyDescent="0.25">
      <c r="A269" t="s">
        <v>94</v>
      </c>
      <c r="B269" t="s">
        <v>95</v>
      </c>
      <c r="C269" t="s">
        <v>152</v>
      </c>
      <c r="D269">
        <v>-11187731.347758999</v>
      </c>
      <c r="E269" s="31">
        <v>45809</v>
      </c>
    </row>
    <row r="270" spans="1:5" x14ac:dyDescent="0.25">
      <c r="A270" t="s">
        <v>76</v>
      </c>
      <c r="B270" t="s">
        <v>77</v>
      </c>
      <c r="C270" t="s">
        <v>152</v>
      </c>
      <c r="D270">
        <v>-2215043.7652509999</v>
      </c>
      <c r="E270" s="31">
        <v>45809</v>
      </c>
    </row>
    <row r="271" spans="1:5" x14ac:dyDescent="0.25">
      <c r="A271" t="s">
        <v>124</v>
      </c>
      <c r="B271" t="s">
        <v>125</v>
      </c>
      <c r="C271" t="s">
        <v>152</v>
      </c>
      <c r="D271">
        <v>-5667466.1813990017</v>
      </c>
      <c r="E271" s="31">
        <v>45809</v>
      </c>
    </row>
    <row r="272" spans="1:5" x14ac:dyDescent="0.25">
      <c r="A272" t="s">
        <v>157</v>
      </c>
      <c r="B272" t="s">
        <v>158</v>
      </c>
      <c r="C272" t="s">
        <v>152</v>
      </c>
      <c r="D272">
        <v>20144.879999999983</v>
      </c>
      <c r="E272" s="31">
        <v>45809</v>
      </c>
    </row>
    <row r="273" spans="1:5" x14ac:dyDescent="0.25">
      <c r="A273" t="s">
        <v>100</v>
      </c>
      <c r="B273" t="s">
        <v>238</v>
      </c>
      <c r="C273" t="s">
        <v>152</v>
      </c>
      <c r="D273">
        <v>210436.50999999998</v>
      </c>
      <c r="E273" s="31">
        <v>45809</v>
      </c>
    </row>
    <row r="274" spans="1:5" x14ac:dyDescent="0.25">
      <c r="A274" t="s">
        <v>114</v>
      </c>
      <c r="B274" t="s">
        <v>115</v>
      </c>
      <c r="C274" t="s">
        <v>224</v>
      </c>
      <c r="D274">
        <v>-1299596.2397809997</v>
      </c>
      <c r="E274" s="31">
        <v>45809</v>
      </c>
    </row>
    <row r="275" spans="1:5" x14ac:dyDescent="0.25">
      <c r="A275" t="s">
        <v>70</v>
      </c>
      <c r="B275" t="s">
        <v>71</v>
      </c>
      <c r="C275" t="s">
        <v>152</v>
      </c>
      <c r="D275">
        <v>-994239.87499499996</v>
      </c>
      <c r="E275" s="31">
        <v>45809</v>
      </c>
    </row>
    <row r="276" spans="1:5" x14ac:dyDescent="0.25">
      <c r="A276" t="s">
        <v>98</v>
      </c>
      <c r="B276" t="s">
        <v>99</v>
      </c>
      <c r="C276" t="s">
        <v>81</v>
      </c>
      <c r="D276">
        <v>1000463.63717</v>
      </c>
      <c r="E276" s="31">
        <v>45809</v>
      </c>
    </row>
    <row r="277" spans="1:5" x14ac:dyDescent="0.25">
      <c r="A277" t="s">
        <v>133</v>
      </c>
      <c r="B277" t="s">
        <v>240</v>
      </c>
      <c r="C277" t="s">
        <v>241</v>
      </c>
      <c r="D277">
        <v>709858.93000000017</v>
      </c>
      <c r="E277" s="31">
        <v>45809</v>
      </c>
    </row>
    <row r="278" spans="1:5" x14ac:dyDescent="0.25">
      <c r="A278" t="s">
        <v>131</v>
      </c>
      <c r="B278" t="s">
        <v>132</v>
      </c>
      <c r="C278" t="s">
        <v>67</v>
      </c>
      <c r="D278" s="30">
        <v>1125475.1420000002</v>
      </c>
      <c r="E278" s="31">
        <v>45809</v>
      </c>
    </row>
    <row r="279" spans="1:5" x14ac:dyDescent="0.25">
      <c r="A279" t="s">
        <v>74</v>
      </c>
      <c r="B279" t="s">
        <v>75</v>
      </c>
      <c r="C279" t="s">
        <v>67</v>
      </c>
      <c r="D279">
        <v>-412052.94999999995</v>
      </c>
      <c r="E279" s="31">
        <v>45809</v>
      </c>
    </row>
    <row r="280" spans="1:5" x14ac:dyDescent="0.25">
      <c r="A280" t="s">
        <v>200</v>
      </c>
      <c r="B280" t="s">
        <v>244</v>
      </c>
      <c r="C280" t="s">
        <v>230</v>
      </c>
      <c r="D280">
        <v>-17078.819999999996</v>
      </c>
      <c r="E280" s="31">
        <v>45809</v>
      </c>
    </row>
    <row r="281" spans="1:5" x14ac:dyDescent="0.25">
      <c r="A281" t="s">
        <v>96</v>
      </c>
      <c r="B281" t="s">
        <v>97</v>
      </c>
      <c r="C281" t="s">
        <v>81</v>
      </c>
      <c r="D281">
        <v>-1698362.98</v>
      </c>
      <c r="E281" s="31">
        <v>45809</v>
      </c>
    </row>
    <row r="282" spans="1:5" x14ac:dyDescent="0.25">
      <c r="A282" t="s">
        <v>90</v>
      </c>
      <c r="B282" t="s">
        <v>91</v>
      </c>
      <c r="C282" t="s">
        <v>81</v>
      </c>
      <c r="D282">
        <v>-236027.44</v>
      </c>
      <c r="E282" s="31">
        <v>45809</v>
      </c>
    </row>
    <row r="283" spans="1:5" x14ac:dyDescent="0.25">
      <c r="A283" t="s">
        <v>112</v>
      </c>
      <c r="B283" t="s">
        <v>113</v>
      </c>
      <c r="C283" t="s">
        <v>81</v>
      </c>
      <c r="D283" s="65">
        <v>1610795.4799999995</v>
      </c>
      <c r="E283" s="31">
        <v>45809</v>
      </c>
    </row>
    <row r="284" spans="1:5" x14ac:dyDescent="0.25">
      <c r="A284" t="s">
        <v>61</v>
      </c>
      <c r="B284" t="s">
        <v>62</v>
      </c>
      <c r="C284" t="s">
        <v>226</v>
      </c>
      <c r="D284">
        <v>1312406.5</v>
      </c>
      <c r="E284" s="31">
        <v>45809</v>
      </c>
    </row>
    <row r="285" spans="1:5" x14ac:dyDescent="0.25">
      <c r="A285" t="s">
        <v>102</v>
      </c>
      <c r="B285" t="s">
        <v>103</v>
      </c>
      <c r="C285" t="s">
        <v>152</v>
      </c>
      <c r="D285">
        <v>-4446068.3873070003</v>
      </c>
      <c r="E285" s="31">
        <v>45809</v>
      </c>
    </row>
    <row r="286" spans="1:5" x14ac:dyDescent="0.25">
      <c r="A286" t="s">
        <v>54</v>
      </c>
      <c r="B286" t="s">
        <v>55</v>
      </c>
      <c r="C286" t="s">
        <v>227</v>
      </c>
      <c r="D286">
        <v>-308113.74800000008</v>
      </c>
      <c r="E286" s="31">
        <v>45809</v>
      </c>
    </row>
    <row r="287" spans="1:5" x14ac:dyDescent="0.25">
      <c r="A287" t="s">
        <v>118</v>
      </c>
      <c r="B287" t="s">
        <v>119</v>
      </c>
      <c r="C287" t="s">
        <v>143</v>
      </c>
      <c r="D287">
        <v>142751.57</v>
      </c>
      <c r="E287" s="31">
        <v>45809</v>
      </c>
    </row>
    <row r="288" spans="1:5" x14ac:dyDescent="0.25">
      <c r="A288" t="s">
        <v>86</v>
      </c>
      <c r="B288" t="s">
        <v>87</v>
      </c>
      <c r="C288" t="s">
        <v>152</v>
      </c>
      <c r="D288" s="65">
        <v>-3791056.1988139995</v>
      </c>
      <c r="E288" s="31">
        <v>45809</v>
      </c>
    </row>
    <row r="289" spans="1:5" x14ac:dyDescent="0.25">
      <c r="A289" t="s">
        <v>170</v>
      </c>
      <c r="B289" t="s">
        <v>171</v>
      </c>
      <c r="C289" t="s">
        <v>81</v>
      </c>
      <c r="D289">
        <v>-86253.035999999978</v>
      </c>
      <c r="E289" s="31">
        <v>45809</v>
      </c>
    </row>
    <row r="290" spans="1:5" x14ac:dyDescent="0.25">
      <c r="A290" t="s">
        <v>206</v>
      </c>
      <c r="B290" t="s">
        <v>251</v>
      </c>
      <c r="C290" t="s">
        <v>230</v>
      </c>
      <c r="D290">
        <v>-46377.78</v>
      </c>
      <c r="E290" s="31">
        <v>45809</v>
      </c>
    </row>
    <row r="291" spans="1:5" x14ac:dyDescent="0.25">
      <c r="A291" t="s">
        <v>203</v>
      </c>
      <c r="B291" t="s">
        <v>247</v>
      </c>
      <c r="C291" t="s">
        <v>247</v>
      </c>
      <c r="D291">
        <v>-174413.02599999998</v>
      </c>
      <c r="E291" s="31">
        <v>45809</v>
      </c>
    </row>
    <row r="292" spans="1:5" x14ac:dyDescent="0.25">
      <c r="A292" t="s">
        <v>205</v>
      </c>
      <c r="B292" t="s">
        <v>250</v>
      </c>
      <c r="C292" t="s">
        <v>152</v>
      </c>
      <c r="D292">
        <v>-681043.5105509999</v>
      </c>
      <c r="E292" s="31">
        <v>45809</v>
      </c>
    </row>
    <row r="293" spans="1:5" x14ac:dyDescent="0.25">
      <c r="A293" t="s">
        <v>204</v>
      </c>
      <c r="B293" t="s">
        <v>247</v>
      </c>
      <c r="C293" t="s">
        <v>247</v>
      </c>
      <c r="D293">
        <v>-437331.118158</v>
      </c>
      <c r="E293" s="31">
        <v>45809</v>
      </c>
    </row>
    <row r="294" spans="1:5" x14ac:dyDescent="0.25">
      <c r="A294" t="s">
        <v>128</v>
      </c>
      <c r="B294" t="s">
        <v>129</v>
      </c>
      <c r="C294" t="s">
        <v>67</v>
      </c>
      <c r="D294">
        <v>357288.01000000007</v>
      </c>
      <c r="E294" s="31">
        <v>45809</v>
      </c>
    </row>
    <row r="295" spans="1:5" x14ac:dyDescent="0.25">
      <c r="A295" t="s">
        <v>197</v>
      </c>
      <c r="B295" t="s">
        <v>248</v>
      </c>
      <c r="C295" t="s">
        <v>224</v>
      </c>
      <c r="D295">
        <v>-6731592.1752390014</v>
      </c>
      <c r="E295" s="31">
        <v>45809</v>
      </c>
    </row>
    <row r="296" spans="1:5" x14ac:dyDescent="0.25">
      <c r="A296" t="s">
        <v>65</v>
      </c>
      <c r="B296" t="s">
        <v>66</v>
      </c>
      <c r="C296" t="s">
        <v>67</v>
      </c>
      <c r="D296" s="30">
        <v>40207918.019999996</v>
      </c>
      <c r="E296" s="31">
        <v>45839</v>
      </c>
    </row>
    <row r="297" spans="1:5" x14ac:dyDescent="0.25">
      <c r="A297" t="s">
        <v>144</v>
      </c>
      <c r="B297" t="s">
        <v>145</v>
      </c>
      <c r="C297" t="s">
        <v>67</v>
      </c>
      <c r="D297">
        <v>234197.02000000002</v>
      </c>
      <c r="E297" s="31">
        <v>45839</v>
      </c>
    </row>
    <row r="298" spans="1:5" x14ac:dyDescent="0.25">
      <c r="A298" t="s">
        <v>72</v>
      </c>
      <c r="B298" t="s">
        <v>73</v>
      </c>
      <c r="C298" t="s">
        <v>227</v>
      </c>
      <c r="D298">
        <v>-6695814.7978399992</v>
      </c>
      <c r="E298" s="31">
        <v>45839</v>
      </c>
    </row>
    <row r="299" spans="1:5" x14ac:dyDescent="0.25">
      <c r="A299" t="s">
        <v>120</v>
      </c>
      <c r="B299" t="s">
        <v>121</v>
      </c>
      <c r="C299" t="s">
        <v>227</v>
      </c>
      <c r="D299">
        <v>1396605.6571480019</v>
      </c>
      <c r="E299" s="31">
        <v>45839</v>
      </c>
    </row>
    <row r="300" spans="1:5" x14ac:dyDescent="0.25">
      <c r="A300" t="s">
        <v>63</v>
      </c>
      <c r="B300" t="s">
        <v>64</v>
      </c>
      <c r="C300" t="s">
        <v>227</v>
      </c>
      <c r="D300">
        <v>-466338.33652199997</v>
      </c>
      <c r="E300" s="31">
        <v>45839</v>
      </c>
    </row>
    <row r="301" spans="1:5" x14ac:dyDescent="0.25">
      <c r="A301" t="s">
        <v>84</v>
      </c>
      <c r="B301" t="s">
        <v>85</v>
      </c>
      <c r="C301" t="s">
        <v>67</v>
      </c>
      <c r="D301">
        <v>-237950.16000000006</v>
      </c>
      <c r="E301" s="31">
        <v>45839</v>
      </c>
    </row>
    <row r="302" spans="1:5" x14ac:dyDescent="0.25">
      <c r="A302" t="s">
        <v>82</v>
      </c>
      <c r="B302" t="s">
        <v>83</v>
      </c>
      <c r="C302" t="s">
        <v>228</v>
      </c>
      <c r="D302">
        <v>2497506.4683279986</v>
      </c>
      <c r="E302" s="31">
        <v>45839</v>
      </c>
    </row>
    <row r="303" spans="1:5" x14ac:dyDescent="0.25">
      <c r="A303" t="s">
        <v>68</v>
      </c>
      <c r="B303" t="s">
        <v>69</v>
      </c>
      <c r="C303" t="s">
        <v>229</v>
      </c>
      <c r="D303">
        <v>444218.4099999998</v>
      </c>
      <c r="E303" s="31">
        <v>45839</v>
      </c>
    </row>
    <row r="304" spans="1:5" x14ac:dyDescent="0.25">
      <c r="A304" t="s">
        <v>116</v>
      </c>
      <c r="B304" t="s">
        <v>117</v>
      </c>
      <c r="C304" t="s">
        <v>143</v>
      </c>
      <c r="D304">
        <v>74658.782000000021</v>
      </c>
      <c r="E304" s="31">
        <v>45839</v>
      </c>
    </row>
    <row r="305" spans="1:5" x14ac:dyDescent="0.25">
      <c r="A305" t="s">
        <v>59</v>
      </c>
      <c r="B305" t="s">
        <v>60</v>
      </c>
      <c r="C305" t="s">
        <v>143</v>
      </c>
      <c r="D305">
        <v>-331810.96199999994</v>
      </c>
      <c r="E305" s="31">
        <v>45839</v>
      </c>
    </row>
    <row r="306" spans="1:5" x14ac:dyDescent="0.25">
      <c r="A306" t="s">
        <v>146</v>
      </c>
      <c r="B306" t="s">
        <v>147</v>
      </c>
      <c r="C306" t="s">
        <v>226</v>
      </c>
      <c r="D306">
        <v>64730.825942931304</v>
      </c>
      <c r="E306" s="31">
        <v>45839</v>
      </c>
    </row>
    <row r="307" spans="1:5" x14ac:dyDescent="0.25">
      <c r="A307" t="s">
        <v>139</v>
      </c>
      <c r="B307" t="s">
        <v>247</v>
      </c>
      <c r="C307" t="s">
        <v>247</v>
      </c>
      <c r="D307">
        <v>-9381.619999999999</v>
      </c>
      <c r="E307" s="31">
        <v>45839</v>
      </c>
    </row>
    <row r="308" spans="1:5" x14ac:dyDescent="0.25">
      <c r="A308" t="s">
        <v>57</v>
      </c>
      <c r="B308" t="s">
        <v>58</v>
      </c>
      <c r="C308" t="s">
        <v>230</v>
      </c>
      <c r="D308">
        <v>-216611.82999999996</v>
      </c>
      <c r="E308" s="31">
        <v>45839</v>
      </c>
    </row>
    <row r="309" spans="1:5" x14ac:dyDescent="0.25">
      <c r="A309" t="s">
        <v>106</v>
      </c>
      <c r="B309" t="s">
        <v>107</v>
      </c>
      <c r="C309" t="s">
        <v>143</v>
      </c>
      <c r="D309" s="65">
        <v>4463020.7100000009</v>
      </c>
      <c r="E309" s="31">
        <v>45839</v>
      </c>
    </row>
    <row r="310" spans="1:5" x14ac:dyDescent="0.25">
      <c r="A310" t="s">
        <v>122</v>
      </c>
      <c r="B310" t="s">
        <v>123</v>
      </c>
      <c r="C310" t="s">
        <v>152</v>
      </c>
      <c r="D310">
        <v>-728982.24000000022</v>
      </c>
      <c r="E310" s="31">
        <v>45839</v>
      </c>
    </row>
    <row r="311" spans="1:5" x14ac:dyDescent="0.25">
      <c r="A311" t="s">
        <v>148</v>
      </c>
      <c r="B311" t="s">
        <v>149</v>
      </c>
      <c r="C311" t="s">
        <v>226</v>
      </c>
      <c r="D311">
        <v>-244295.16</v>
      </c>
      <c r="E311" s="31">
        <v>45839</v>
      </c>
    </row>
    <row r="312" spans="1:5" x14ac:dyDescent="0.25">
      <c r="A312" t="s">
        <v>208</v>
      </c>
      <c r="B312" t="s">
        <v>252</v>
      </c>
      <c r="C312" t="s">
        <v>152</v>
      </c>
      <c r="D312">
        <v>-354488.50000000006</v>
      </c>
      <c r="E312" s="31">
        <v>45839</v>
      </c>
    </row>
    <row r="313" spans="1:5" x14ac:dyDescent="0.25">
      <c r="A313" t="s">
        <v>190</v>
      </c>
      <c r="B313" t="s">
        <v>234</v>
      </c>
      <c r="C313" t="s">
        <v>235</v>
      </c>
      <c r="D313">
        <v>949347.0901179997</v>
      </c>
      <c r="E313" s="31">
        <v>45839</v>
      </c>
    </row>
    <row r="314" spans="1:5" x14ac:dyDescent="0.25">
      <c r="A314" t="s">
        <v>79</v>
      </c>
      <c r="B314" t="s">
        <v>80</v>
      </c>
      <c r="C314" t="s">
        <v>81</v>
      </c>
      <c r="D314">
        <v>4275.2399999999616</v>
      </c>
      <c r="E314" s="31">
        <v>45839</v>
      </c>
    </row>
    <row r="315" spans="1:5" x14ac:dyDescent="0.25">
      <c r="A315" t="s">
        <v>94</v>
      </c>
      <c r="B315" t="s">
        <v>95</v>
      </c>
      <c r="C315" t="s">
        <v>152</v>
      </c>
      <c r="D315">
        <v>-828363.37507300056</v>
      </c>
      <c r="E315" s="31">
        <v>45839</v>
      </c>
    </row>
    <row r="316" spans="1:5" x14ac:dyDescent="0.25">
      <c r="A316" t="s">
        <v>76</v>
      </c>
      <c r="B316" t="s">
        <v>77</v>
      </c>
      <c r="C316" t="s">
        <v>152</v>
      </c>
      <c r="D316">
        <v>-2410234.4549389998</v>
      </c>
      <c r="E316" s="31">
        <v>45839</v>
      </c>
    </row>
    <row r="317" spans="1:5" x14ac:dyDescent="0.25">
      <c r="A317" t="s">
        <v>124</v>
      </c>
      <c r="B317" t="s">
        <v>125</v>
      </c>
      <c r="C317" t="s">
        <v>152</v>
      </c>
      <c r="D317">
        <v>-3528056.6222580001</v>
      </c>
      <c r="E317" s="31">
        <v>45839</v>
      </c>
    </row>
    <row r="318" spans="1:5" x14ac:dyDescent="0.25">
      <c r="A318" t="s">
        <v>157</v>
      </c>
      <c r="B318" t="s">
        <v>158</v>
      </c>
      <c r="C318" t="s">
        <v>152</v>
      </c>
      <c r="D318">
        <v>473528.91000000009</v>
      </c>
      <c r="E318" s="31">
        <v>45839</v>
      </c>
    </row>
    <row r="319" spans="1:5" x14ac:dyDescent="0.25">
      <c r="A319" t="s">
        <v>155</v>
      </c>
      <c r="B319" t="s">
        <v>156</v>
      </c>
      <c r="C319" t="s">
        <v>152</v>
      </c>
      <c r="D319">
        <v>-419208.78354799986</v>
      </c>
      <c r="E319" s="31">
        <v>45839</v>
      </c>
    </row>
    <row r="320" spans="1:5" x14ac:dyDescent="0.25">
      <c r="A320" t="s">
        <v>100</v>
      </c>
      <c r="B320" t="s">
        <v>238</v>
      </c>
      <c r="C320" t="s">
        <v>152</v>
      </c>
      <c r="D320">
        <v>19986.638199999998</v>
      </c>
      <c r="E320" s="31">
        <v>45839</v>
      </c>
    </row>
    <row r="321" spans="1:5" x14ac:dyDescent="0.25">
      <c r="A321" t="s">
        <v>114</v>
      </c>
      <c r="B321" t="s">
        <v>115</v>
      </c>
      <c r="C321" t="s">
        <v>224</v>
      </c>
      <c r="D321">
        <v>-319636.35000000003</v>
      </c>
      <c r="E321" s="31">
        <v>45839</v>
      </c>
    </row>
    <row r="322" spans="1:5" x14ac:dyDescent="0.25">
      <c r="A322" t="s">
        <v>70</v>
      </c>
      <c r="B322" t="s">
        <v>71</v>
      </c>
      <c r="C322" t="s">
        <v>152</v>
      </c>
      <c r="D322">
        <v>-2200974.6779999998</v>
      </c>
      <c r="E322" s="31">
        <v>45839</v>
      </c>
    </row>
    <row r="323" spans="1:5" x14ac:dyDescent="0.25">
      <c r="A323" t="s">
        <v>88</v>
      </c>
      <c r="B323" t="s">
        <v>89</v>
      </c>
      <c r="C323" t="s">
        <v>152</v>
      </c>
      <c r="D323">
        <v>-44309.339999999967</v>
      </c>
      <c r="E323" s="31">
        <v>45839</v>
      </c>
    </row>
    <row r="324" spans="1:5" x14ac:dyDescent="0.25">
      <c r="A324" t="s">
        <v>98</v>
      </c>
      <c r="B324" t="s">
        <v>99</v>
      </c>
      <c r="C324" t="s">
        <v>81</v>
      </c>
      <c r="D324">
        <v>2069458.1259999999</v>
      </c>
      <c r="E324" s="31">
        <v>45839</v>
      </c>
    </row>
    <row r="325" spans="1:5" x14ac:dyDescent="0.25">
      <c r="A325" t="s">
        <v>133</v>
      </c>
      <c r="B325" t="s">
        <v>240</v>
      </c>
      <c r="C325" t="s">
        <v>241</v>
      </c>
      <c r="D325">
        <v>1081468.3600000001</v>
      </c>
      <c r="E325" s="31">
        <v>45839</v>
      </c>
    </row>
    <row r="326" spans="1:5" x14ac:dyDescent="0.25">
      <c r="A326" t="s">
        <v>128</v>
      </c>
      <c r="B326" t="s">
        <v>129</v>
      </c>
      <c r="C326" t="s">
        <v>67</v>
      </c>
      <c r="D326">
        <v>15465434.870000001</v>
      </c>
      <c r="E326" s="31">
        <v>45839</v>
      </c>
    </row>
    <row r="327" spans="1:5" x14ac:dyDescent="0.25">
      <c r="A327" t="s">
        <v>131</v>
      </c>
      <c r="B327" t="s">
        <v>132</v>
      </c>
      <c r="C327" t="s">
        <v>67</v>
      </c>
      <c r="D327" s="30">
        <v>76531.580000000016</v>
      </c>
      <c r="E327" s="31">
        <v>45839</v>
      </c>
    </row>
    <row r="328" spans="1:5" x14ac:dyDescent="0.25">
      <c r="A328" t="s">
        <v>74</v>
      </c>
      <c r="B328" t="s">
        <v>75</v>
      </c>
      <c r="C328" t="s">
        <v>67</v>
      </c>
      <c r="D328">
        <v>-938762.22</v>
      </c>
      <c r="E328" s="31">
        <v>45839</v>
      </c>
    </row>
    <row r="329" spans="1:5" x14ac:dyDescent="0.25">
      <c r="A329" t="s">
        <v>200</v>
      </c>
      <c r="B329" t="s">
        <v>244</v>
      </c>
      <c r="C329" t="s">
        <v>230</v>
      </c>
      <c r="D329">
        <v>404254.61000000004</v>
      </c>
      <c r="E329" s="31">
        <v>45839</v>
      </c>
    </row>
    <row r="330" spans="1:5" x14ac:dyDescent="0.25">
      <c r="A330" t="s">
        <v>96</v>
      </c>
      <c r="B330" t="s">
        <v>97</v>
      </c>
      <c r="C330" t="s">
        <v>81</v>
      </c>
      <c r="D330">
        <v>2576720.33</v>
      </c>
      <c r="E330" s="31">
        <v>45839</v>
      </c>
    </row>
    <row r="331" spans="1:5" x14ac:dyDescent="0.25">
      <c r="A331" t="s">
        <v>90</v>
      </c>
      <c r="B331" t="s">
        <v>91</v>
      </c>
      <c r="C331" t="s">
        <v>81</v>
      </c>
      <c r="D331">
        <v>-2114486.1846099999</v>
      </c>
      <c r="E331" s="31">
        <v>45839</v>
      </c>
    </row>
    <row r="332" spans="1:5" x14ac:dyDescent="0.25">
      <c r="A332" t="s">
        <v>112</v>
      </c>
      <c r="B332" t="s">
        <v>113</v>
      </c>
      <c r="C332" t="s">
        <v>81</v>
      </c>
      <c r="D332" s="65">
        <v>6238017.5900000017</v>
      </c>
      <c r="E332" s="31">
        <v>45839</v>
      </c>
    </row>
    <row r="333" spans="1:5" x14ac:dyDescent="0.25">
      <c r="A333" t="s">
        <v>61</v>
      </c>
      <c r="B333" t="s">
        <v>62</v>
      </c>
      <c r="C333" t="s">
        <v>226</v>
      </c>
      <c r="D333">
        <v>-753959.14</v>
      </c>
      <c r="E333" s="31">
        <v>45839</v>
      </c>
    </row>
    <row r="334" spans="1:5" x14ac:dyDescent="0.25">
      <c r="A334" t="s">
        <v>102</v>
      </c>
      <c r="B334" t="s">
        <v>103</v>
      </c>
      <c r="C334" t="s">
        <v>152</v>
      </c>
      <c r="D334">
        <v>-950291.738977</v>
      </c>
      <c r="E334" s="31">
        <v>45839</v>
      </c>
    </row>
    <row r="335" spans="1:5" x14ac:dyDescent="0.25">
      <c r="A335" t="s">
        <v>196</v>
      </c>
      <c r="B335" t="s">
        <v>245</v>
      </c>
      <c r="C335" t="s">
        <v>143</v>
      </c>
      <c r="D335">
        <v>-1490.86</v>
      </c>
      <c r="E335" s="31">
        <v>45839</v>
      </c>
    </row>
    <row r="336" spans="1:5" x14ac:dyDescent="0.25">
      <c r="A336" t="s">
        <v>54</v>
      </c>
      <c r="B336" t="s">
        <v>55</v>
      </c>
      <c r="C336" t="s">
        <v>227</v>
      </c>
      <c r="D336">
        <v>547799.84800000023</v>
      </c>
      <c r="E336" s="31">
        <v>45839</v>
      </c>
    </row>
    <row r="337" spans="1:5" x14ac:dyDescent="0.25">
      <c r="A337" t="s">
        <v>118</v>
      </c>
      <c r="B337" t="s">
        <v>119</v>
      </c>
      <c r="C337" t="s">
        <v>143</v>
      </c>
      <c r="D337">
        <v>-837356.62</v>
      </c>
      <c r="E337" s="31">
        <v>45839</v>
      </c>
    </row>
    <row r="338" spans="1:5" x14ac:dyDescent="0.25">
      <c r="A338" t="s">
        <v>86</v>
      </c>
      <c r="B338" t="s">
        <v>87</v>
      </c>
      <c r="C338" t="s">
        <v>152</v>
      </c>
      <c r="D338" s="65">
        <v>-3507809.4055660004</v>
      </c>
      <c r="E338" s="31">
        <v>45839</v>
      </c>
    </row>
    <row r="339" spans="1:5" x14ac:dyDescent="0.25">
      <c r="A339" t="s">
        <v>170</v>
      </c>
      <c r="B339" t="s">
        <v>171</v>
      </c>
      <c r="C339" t="s">
        <v>81</v>
      </c>
      <c r="D339">
        <v>559661.53</v>
      </c>
      <c r="E339" s="31">
        <v>45839</v>
      </c>
    </row>
    <row r="340" spans="1:5" x14ac:dyDescent="0.25">
      <c r="A340" t="s">
        <v>206</v>
      </c>
      <c r="B340" t="s">
        <v>251</v>
      </c>
      <c r="C340" t="s">
        <v>230</v>
      </c>
      <c r="D340">
        <v>-239629.31999999998</v>
      </c>
      <c r="E340" s="31">
        <v>45839</v>
      </c>
    </row>
    <row r="341" spans="1:5" x14ac:dyDescent="0.25">
      <c r="A341" t="s">
        <v>45</v>
      </c>
      <c r="B341" t="s">
        <v>46</v>
      </c>
      <c r="C341" t="s">
        <v>152</v>
      </c>
      <c r="D341">
        <v>-969083.5943789999</v>
      </c>
      <c r="E341" s="31">
        <v>45839</v>
      </c>
    </row>
    <row r="342" spans="1:5" x14ac:dyDescent="0.25">
      <c r="A342" t="s">
        <v>65</v>
      </c>
      <c r="B342" t="s">
        <v>66</v>
      </c>
      <c r="C342" t="s">
        <v>67</v>
      </c>
      <c r="D342" s="30">
        <v>8976229.097500002</v>
      </c>
      <c r="E342" s="31">
        <v>45870</v>
      </c>
    </row>
    <row r="343" spans="1:5" x14ac:dyDescent="0.25">
      <c r="A343" t="s">
        <v>144</v>
      </c>
      <c r="B343" t="s">
        <v>145</v>
      </c>
      <c r="C343" t="s">
        <v>67</v>
      </c>
      <c r="D343">
        <v>-20933.372302999996</v>
      </c>
      <c r="E343" s="31">
        <v>45870</v>
      </c>
    </row>
    <row r="344" spans="1:5" x14ac:dyDescent="0.25">
      <c r="A344" t="s">
        <v>72</v>
      </c>
      <c r="B344" t="s">
        <v>73</v>
      </c>
      <c r="C344" t="s">
        <v>227</v>
      </c>
      <c r="D344">
        <v>670749.12999999896</v>
      </c>
      <c r="E344" s="31">
        <v>45870</v>
      </c>
    </row>
    <row r="345" spans="1:5" x14ac:dyDescent="0.25">
      <c r="A345" t="s">
        <v>120</v>
      </c>
      <c r="B345" t="s">
        <v>121</v>
      </c>
      <c r="C345" t="s">
        <v>227</v>
      </c>
      <c r="D345">
        <v>-87813.191599999962</v>
      </c>
      <c r="E345" s="31">
        <v>45870</v>
      </c>
    </row>
    <row r="346" spans="1:5" x14ac:dyDescent="0.25">
      <c r="A346" t="s">
        <v>63</v>
      </c>
      <c r="B346" t="s">
        <v>64</v>
      </c>
      <c r="C346" t="s">
        <v>227</v>
      </c>
      <c r="D346">
        <v>-927932.17715000035</v>
      </c>
      <c r="E346" s="31">
        <v>45870</v>
      </c>
    </row>
    <row r="347" spans="1:5" x14ac:dyDescent="0.25">
      <c r="A347" t="s">
        <v>84</v>
      </c>
      <c r="B347" t="s">
        <v>85</v>
      </c>
      <c r="C347" t="s">
        <v>67</v>
      </c>
      <c r="D347">
        <v>856082.74999999988</v>
      </c>
      <c r="E347" s="31">
        <v>45870</v>
      </c>
    </row>
    <row r="348" spans="1:5" x14ac:dyDescent="0.25">
      <c r="A348" t="s">
        <v>82</v>
      </c>
      <c r="B348" t="s">
        <v>83</v>
      </c>
      <c r="C348" t="s">
        <v>228</v>
      </c>
      <c r="D348">
        <v>-27784.208500000081</v>
      </c>
      <c r="E348" s="31">
        <v>45870</v>
      </c>
    </row>
    <row r="349" spans="1:5" x14ac:dyDescent="0.25">
      <c r="A349" t="s">
        <v>68</v>
      </c>
      <c r="B349" t="s">
        <v>69</v>
      </c>
      <c r="C349" t="s">
        <v>229</v>
      </c>
      <c r="D349">
        <v>-442599.60999999993</v>
      </c>
      <c r="E349" s="31">
        <v>45870</v>
      </c>
    </row>
    <row r="350" spans="1:5" x14ac:dyDescent="0.25">
      <c r="A350" t="s">
        <v>116</v>
      </c>
      <c r="B350" t="s">
        <v>117</v>
      </c>
      <c r="C350" t="s">
        <v>143</v>
      </c>
      <c r="D350">
        <v>-135895.79999999999</v>
      </c>
      <c r="E350" s="31">
        <v>45870</v>
      </c>
    </row>
    <row r="351" spans="1:5" x14ac:dyDescent="0.25">
      <c r="A351" t="s">
        <v>59</v>
      </c>
      <c r="B351" t="s">
        <v>60</v>
      </c>
      <c r="C351" t="s">
        <v>143</v>
      </c>
      <c r="D351">
        <v>481531.03154257068</v>
      </c>
      <c r="E351" s="31">
        <v>45870</v>
      </c>
    </row>
    <row r="352" spans="1:5" x14ac:dyDescent="0.25">
      <c r="A352" t="s">
        <v>146</v>
      </c>
      <c r="B352" t="s">
        <v>147</v>
      </c>
      <c r="C352" t="s">
        <v>226</v>
      </c>
      <c r="D352">
        <v>756937.80999999994</v>
      </c>
      <c r="E352" s="31">
        <v>45870</v>
      </c>
    </row>
    <row r="353" spans="1:5" x14ac:dyDescent="0.25">
      <c r="A353" t="s">
        <v>139</v>
      </c>
      <c r="B353" t="s">
        <v>247</v>
      </c>
      <c r="C353" t="s">
        <v>247</v>
      </c>
      <c r="D353">
        <v>-249357.69</v>
      </c>
      <c r="E353" s="31">
        <v>45870</v>
      </c>
    </row>
    <row r="354" spans="1:5" x14ac:dyDescent="0.25">
      <c r="A354" t="s">
        <v>57</v>
      </c>
      <c r="B354" t="s">
        <v>58</v>
      </c>
      <c r="C354" t="s">
        <v>230</v>
      </c>
      <c r="D354">
        <v>160023.08050000004</v>
      </c>
      <c r="E354" s="31">
        <v>45870</v>
      </c>
    </row>
    <row r="355" spans="1:5" x14ac:dyDescent="0.25">
      <c r="A355" t="s">
        <v>106</v>
      </c>
      <c r="B355" t="s">
        <v>107</v>
      </c>
      <c r="C355" t="s">
        <v>143</v>
      </c>
      <c r="D355" s="65">
        <v>-154856.99999999997</v>
      </c>
      <c r="E355" s="31">
        <v>45870</v>
      </c>
    </row>
    <row r="356" spans="1:5" x14ac:dyDescent="0.25">
      <c r="A356" t="s">
        <v>122</v>
      </c>
      <c r="B356" t="s">
        <v>123</v>
      </c>
      <c r="C356" t="s">
        <v>152</v>
      </c>
      <c r="D356">
        <v>2104417.7800000003</v>
      </c>
      <c r="E356" s="31">
        <v>45870</v>
      </c>
    </row>
    <row r="357" spans="1:5" x14ac:dyDescent="0.25">
      <c r="A357" t="s">
        <v>148</v>
      </c>
      <c r="B357" t="s">
        <v>149</v>
      </c>
      <c r="C357" t="s">
        <v>226</v>
      </c>
      <c r="D357">
        <v>194606.78</v>
      </c>
      <c r="E357" s="31">
        <v>45870</v>
      </c>
    </row>
    <row r="358" spans="1:5" x14ac:dyDescent="0.25">
      <c r="A358" t="s">
        <v>208</v>
      </c>
      <c r="B358" t="s">
        <v>252</v>
      </c>
      <c r="C358" t="s">
        <v>152</v>
      </c>
      <c r="D358">
        <v>22466.69</v>
      </c>
      <c r="E358" s="31">
        <v>45870</v>
      </c>
    </row>
    <row r="359" spans="1:5" x14ac:dyDescent="0.25">
      <c r="A359" t="s">
        <v>190</v>
      </c>
      <c r="B359" t="s">
        <v>234</v>
      </c>
      <c r="C359" t="s">
        <v>235</v>
      </c>
      <c r="D359">
        <v>120016.85999999987</v>
      </c>
      <c r="E359" s="31">
        <v>45870</v>
      </c>
    </row>
    <row r="360" spans="1:5" x14ac:dyDescent="0.25">
      <c r="A360" t="s">
        <v>79</v>
      </c>
      <c r="B360" t="s">
        <v>80</v>
      </c>
      <c r="C360" t="s">
        <v>81</v>
      </c>
      <c r="D360">
        <v>233778.25</v>
      </c>
      <c r="E360" s="31">
        <v>45870</v>
      </c>
    </row>
    <row r="361" spans="1:5" x14ac:dyDescent="0.25">
      <c r="A361" t="s">
        <v>94</v>
      </c>
      <c r="B361" t="s">
        <v>95</v>
      </c>
      <c r="C361" t="s">
        <v>152</v>
      </c>
      <c r="D361">
        <v>-2579956.3421699991</v>
      </c>
      <c r="E361" s="31">
        <v>45870</v>
      </c>
    </row>
    <row r="362" spans="1:5" x14ac:dyDescent="0.25">
      <c r="A362" t="s">
        <v>76</v>
      </c>
      <c r="B362" t="s">
        <v>77</v>
      </c>
      <c r="C362" t="s">
        <v>152</v>
      </c>
      <c r="D362">
        <v>-900085.70259300002</v>
      </c>
      <c r="E362" s="31">
        <v>45870</v>
      </c>
    </row>
    <row r="363" spans="1:5" x14ac:dyDescent="0.25">
      <c r="A363" t="s">
        <v>124</v>
      </c>
      <c r="B363" t="s">
        <v>125</v>
      </c>
      <c r="C363" t="s">
        <v>152</v>
      </c>
      <c r="D363">
        <v>314402.42068099987</v>
      </c>
      <c r="E363" s="31">
        <v>45870</v>
      </c>
    </row>
    <row r="364" spans="1:5" x14ac:dyDescent="0.25">
      <c r="A364" t="s">
        <v>157</v>
      </c>
      <c r="B364" t="s">
        <v>158</v>
      </c>
      <c r="C364" t="s">
        <v>152</v>
      </c>
      <c r="D364">
        <v>102445.47950000003</v>
      </c>
      <c r="E364" s="31">
        <v>45870</v>
      </c>
    </row>
    <row r="365" spans="1:5" x14ac:dyDescent="0.25">
      <c r="A365" t="s">
        <v>155</v>
      </c>
      <c r="B365" t="s">
        <v>156</v>
      </c>
      <c r="C365" t="s">
        <v>152</v>
      </c>
      <c r="D365">
        <v>794328.85820000013</v>
      </c>
      <c r="E365" s="31">
        <v>45870</v>
      </c>
    </row>
    <row r="366" spans="1:5" x14ac:dyDescent="0.25">
      <c r="A366" t="s">
        <v>100</v>
      </c>
      <c r="B366" t="s">
        <v>238</v>
      </c>
      <c r="C366" t="s">
        <v>152</v>
      </c>
      <c r="D366">
        <v>-471240.19455500011</v>
      </c>
      <c r="E366" s="31">
        <v>45870</v>
      </c>
    </row>
    <row r="367" spans="1:5" x14ac:dyDescent="0.25">
      <c r="A367" t="s">
        <v>114</v>
      </c>
      <c r="B367" t="s">
        <v>115</v>
      </c>
      <c r="C367" t="s">
        <v>224</v>
      </c>
      <c r="D367">
        <v>-1363213.8499999999</v>
      </c>
      <c r="E367" s="31">
        <v>45870</v>
      </c>
    </row>
    <row r="368" spans="1:5" x14ac:dyDescent="0.25">
      <c r="A368" t="s">
        <v>70</v>
      </c>
      <c r="B368" t="s">
        <v>71</v>
      </c>
      <c r="C368" t="s">
        <v>152</v>
      </c>
      <c r="D368">
        <v>-329923.11743999994</v>
      </c>
      <c r="E368" s="31">
        <v>45870</v>
      </c>
    </row>
    <row r="369" spans="1:5" x14ac:dyDescent="0.25">
      <c r="A369" t="s">
        <v>88</v>
      </c>
      <c r="B369" t="s">
        <v>89</v>
      </c>
      <c r="C369" t="s">
        <v>152</v>
      </c>
      <c r="D369">
        <v>-484452.00397000002</v>
      </c>
      <c r="E369" s="31">
        <v>45870</v>
      </c>
    </row>
    <row r="370" spans="1:5" x14ac:dyDescent="0.25">
      <c r="A370" t="s">
        <v>98</v>
      </c>
      <c r="B370" t="s">
        <v>99</v>
      </c>
      <c r="C370" t="s">
        <v>81</v>
      </c>
      <c r="D370">
        <v>1234519.1853</v>
      </c>
      <c r="E370" s="31">
        <v>45870</v>
      </c>
    </row>
    <row r="371" spans="1:5" x14ac:dyDescent="0.25">
      <c r="A371" t="s">
        <v>133</v>
      </c>
      <c r="B371" t="s">
        <v>240</v>
      </c>
      <c r="C371" t="s">
        <v>241</v>
      </c>
      <c r="D371">
        <v>-135506.40000000002</v>
      </c>
      <c r="E371" s="31">
        <v>45870</v>
      </c>
    </row>
    <row r="372" spans="1:5" x14ac:dyDescent="0.25">
      <c r="A372" t="s">
        <v>128</v>
      </c>
      <c r="B372" t="s">
        <v>129</v>
      </c>
      <c r="C372" t="s">
        <v>67</v>
      </c>
      <c r="D372">
        <v>2025809.6709999999</v>
      </c>
      <c r="E372" s="31">
        <v>45870</v>
      </c>
    </row>
    <row r="373" spans="1:5" x14ac:dyDescent="0.25">
      <c r="A373" t="s">
        <v>131</v>
      </c>
      <c r="B373" t="s">
        <v>132</v>
      </c>
      <c r="C373" t="s">
        <v>67</v>
      </c>
      <c r="D373" s="30">
        <v>382126.3799999996</v>
      </c>
      <c r="E373" s="31">
        <v>45870</v>
      </c>
    </row>
    <row r="374" spans="1:5" x14ac:dyDescent="0.25">
      <c r="A374" t="s">
        <v>74</v>
      </c>
      <c r="B374" t="s">
        <v>75</v>
      </c>
      <c r="C374" t="s">
        <v>67</v>
      </c>
      <c r="D374">
        <v>-6508068.4136999995</v>
      </c>
      <c r="E374" s="31">
        <v>45870</v>
      </c>
    </row>
    <row r="375" spans="1:5" x14ac:dyDescent="0.25">
      <c r="A375" t="s">
        <v>200</v>
      </c>
      <c r="B375" t="s">
        <v>244</v>
      </c>
      <c r="C375" t="s">
        <v>230</v>
      </c>
      <c r="D375">
        <v>-55463.74</v>
      </c>
      <c r="E375" s="31">
        <v>45870</v>
      </c>
    </row>
    <row r="376" spans="1:5" x14ac:dyDescent="0.25">
      <c r="A376" t="s">
        <v>96</v>
      </c>
      <c r="B376" t="s">
        <v>97</v>
      </c>
      <c r="C376" t="s">
        <v>81</v>
      </c>
      <c r="D376">
        <v>-278822.57999999996</v>
      </c>
      <c r="E376" s="31">
        <v>45870</v>
      </c>
    </row>
    <row r="377" spans="1:5" x14ac:dyDescent="0.25">
      <c r="A377" t="s">
        <v>90</v>
      </c>
      <c r="B377" t="s">
        <v>91</v>
      </c>
      <c r="C377" t="s">
        <v>81</v>
      </c>
      <c r="D377">
        <v>-87597.24000000002</v>
      </c>
      <c r="E377" s="31">
        <v>45870</v>
      </c>
    </row>
    <row r="378" spans="1:5" x14ac:dyDescent="0.25">
      <c r="A378" t="s">
        <v>112</v>
      </c>
      <c r="B378" t="s">
        <v>113</v>
      </c>
      <c r="C378" t="s">
        <v>81</v>
      </c>
      <c r="D378" s="65">
        <v>1160955.4800000002</v>
      </c>
      <c r="E378" s="31">
        <v>45870</v>
      </c>
    </row>
    <row r="379" spans="1:5" x14ac:dyDescent="0.25">
      <c r="A379" t="s">
        <v>61</v>
      </c>
      <c r="B379" t="s">
        <v>62</v>
      </c>
      <c r="C379" t="s">
        <v>226</v>
      </c>
      <c r="D379">
        <v>918909.67</v>
      </c>
      <c r="E379" s="31">
        <v>45870</v>
      </c>
    </row>
    <row r="380" spans="1:5" x14ac:dyDescent="0.25">
      <c r="A380" t="s">
        <v>102</v>
      </c>
      <c r="B380" t="s">
        <v>103</v>
      </c>
      <c r="C380" t="s">
        <v>152</v>
      </c>
      <c r="D380">
        <v>-227782.65086200001</v>
      </c>
      <c r="E380" s="31">
        <v>45870</v>
      </c>
    </row>
    <row r="381" spans="1:5" x14ac:dyDescent="0.25">
      <c r="A381" t="s">
        <v>54</v>
      </c>
      <c r="B381" t="s">
        <v>55</v>
      </c>
      <c r="C381" t="s">
        <v>227</v>
      </c>
      <c r="D381">
        <v>2129190.9028999996</v>
      </c>
      <c r="E381" s="31">
        <v>45870</v>
      </c>
    </row>
    <row r="382" spans="1:5" x14ac:dyDescent="0.25">
      <c r="A382" t="s">
        <v>118</v>
      </c>
      <c r="B382" t="s">
        <v>119</v>
      </c>
      <c r="C382" t="s">
        <v>143</v>
      </c>
      <c r="D382">
        <v>-2400416.7200000007</v>
      </c>
      <c r="E382" s="31">
        <v>45870</v>
      </c>
    </row>
    <row r="383" spans="1:5" x14ac:dyDescent="0.25">
      <c r="A383" t="s">
        <v>86</v>
      </c>
      <c r="B383" t="s">
        <v>87</v>
      </c>
      <c r="C383" t="s">
        <v>152</v>
      </c>
      <c r="D383" s="65">
        <v>343479.78</v>
      </c>
      <c r="E383" s="31">
        <v>45870</v>
      </c>
    </row>
    <row r="384" spans="1:5" x14ac:dyDescent="0.25">
      <c r="A384" t="s">
        <v>170</v>
      </c>
      <c r="B384" t="s">
        <v>171</v>
      </c>
      <c r="C384" t="s">
        <v>81</v>
      </c>
      <c r="D384">
        <v>111179.55000000002</v>
      </c>
      <c r="E384" s="31">
        <v>45870</v>
      </c>
    </row>
    <row r="385" spans="1:5" x14ac:dyDescent="0.25">
      <c r="A385" t="s">
        <v>206</v>
      </c>
      <c r="B385" t="s">
        <v>251</v>
      </c>
      <c r="C385" t="s">
        <v>230</v>
      </c>
      <c r="D385">
        <v>-77609.900000000009</v>
      </c>
      <c r="E385" s="31">
        <v>45870</v>
      </c>
    </row>
    <row r="386" spans="1:5" x14ac:dyDescent="0.25">
      <c r="A386" t="s">
        <v>92</v>
      </c>
      <c r="B386" t="s">
        <v>93</v>
      </c>
      <c r="C386" t="s">
        <v>81</v>
      </c>
      <c r="D386">
        <v>4899.82</v>
      </c>
      <c r="E386" s="31">
        <v>45870</v>
      </c>
    </row>
    <row r="387" spans="1:5" x14ac:dyDescent="0.25">
      <c r="A387" t="s">
        <v>209</v>
      </c>
      <c r="B387" t="s">
        <v>140</v>
      </c>
      <c r="C387" t="s">
        <v>47</v>
      </c>
      <c r="D387">
        <v>20000</v>
      </c>
      <c r="E387" s="31">
        <v>45870</v>
      </c>
    </row>
    <row r="388" spans="1:5" x14ac:dyDescent="0.25">
      <c r="A388" t="s">
        <v>45</v>
      </c>
      <c r="B388" t="s">
        <v>46</v>
      </c>
      <c r="C388" t="s">
        <v>152</v>
      </c>
      <c r="D388">
        <v>-486207.25743199995</v>
      </c>
      <c r="E388" s="31">
        <v>45870</v>
      </c>
    </row>
    <row r="389" spans="1:5" x14ac:dyDescent="0.25">
      <c r="A389" t="s">
        <v>65</v>
      </c>
      <c r="B389" t="s">
        <v>66</v>
      </c>
      <c r="C389" t="s">
        <v>67</v>
      </c>
      <c r="D389" s="30">
        <v>2936734.6461831578</v>
      </c>
      <c r="E389" s="31">
        <v>45901</v>
      </c>
    </row>
    <row r="390" spans="1:5" x14ac:dyDescent="0.25">
      <c r="A390" t="s">
        <v>144</v>
      </c>
      <c r="B390" t="s">
        <v>145</v>
      </c>
      <c r="C390" t="s">
        <v>67</v>
      </c>
      <c r="D390">
        <v>-34758.559999999983</v>
      </c>
      <c r="E390" s="31">
        <v>45901</v>
      </c>
    </row>
    <row r="391" spans="1:5" x14ac:dyDescent="0.25">
      <c r="A391" t="s">
        <v>72</v>
      </c>
      <c r="B391" t="s">
        <v>73</v>
      </c>
      <c r="C391" t="s">
        <v>227</v>
      </c>
      <c r="D391">
        <v>-1812848.4423940002</v>
      </c>
      <c r="E391" s="31">
        <v>45901</v>
      </c>
    </row>
    <row r="392" spans="1:5" x14ac:dyDescent="0.25">
      <c r="A392" t="s">
        <v>120</v>
      </c>
      <c r="B392" t="s">
        <v>121</v>
      </c>
      <c r="C392" t="s">
        <v>227</v>
      </c>
      <c r="D392">
        <v>-1160705.0899999999</v>
      </c>
      <c r="E392" s="31">
        <v>45901</v>
      </c>
    </row>
    <row r="393" spans="1:5" x14ac:dyDescent="0.25">
      <c r="A393" t="s">
        <v>63</v>
      </c>
      <c r="B393" t="s">
        <v>64</v>
      </c>
      <c r="C393" t="s">
        <v>227</v>
      </c>
      <c r="D393">
        <v>1719357.09</v>
      </c>
      <c r="E393" s="31">
        <v>45901</v>
      </c>
    </row>
    <row r="394" spans="1:5" x14ac:dyDescent="0.25">
      <c r="A394" t="s">
        <v>84</v>
      </c>
      <c r="B394" t="s">
        <v>85</v>
      </c>
      <c r="C394" t="s">
        <v>67</v>
      </c>
      <c r="D394">
        <v>4457210.9700000007</v>
      </c>
      <c r="E394" s="31">
        <v>45901</v>
      </c>
    </row>
    <row r="395" spans="1:5" x14ac:dyDescent="0.25">
      <c r="A395" t="s">
        <v>82</v>
      </c>
      <c r="B395" t="s">
        <v>83</v>
      </c>
      <c r="C395" t="s">
        <v>228</v>
      </c>
      <c r="D395">
        <v>2822508.6145000006</v>
      </c>
      <c r="E395" s="31">
        <v>45901</v>
      </c>
    </row>
    <row r="396" spans="1:5" x14ac:dyDescent="0.25">
      <c r="A396" t="s">
        <v>68</v>
      </c>
      <c r="B396" t="s">
        <v>69</v>
      </c>
      <c r="C396" t="s">
        <v>229</v>
      </c>
      <c r="D396">
        <v>-1364748.7274999982</v>
      </c>
      <c r="E396" s="31">
        <v>45901</v>
      </c>
    </row>
    <row r="397" spans="1:5" x14ac:dyDescent="0.25">
      <c r="A397" t="s">
        <v>116</v>
      </c>
      <c r="B397" t="s">
        <v>117</v>
      </c>
      <c r="C397" t="s">
        <v>143</v>
      </c>
      <c r="D397">
        <v>371013.32999999996</v>
      </c>
      <c r="E397" s="31">
        <v>45901</v>
      </c>
    </row>
    <row r="398" spans="1:5" x14ac:dyDescent="0.25">
      <c r="A398" t="s">
        <v>59</v>
      </c>
      <c r="B398" t="s">
        <v>60</v>
      </c>
      <c r="C398" t="s">
        <v>143</v>
      </c>
      <c r="D398">
        <v>-228748.72999999998</v>
      </c>
      <c r="E398" s="31">
        <v>45901</v>
      </c>
    </row>
    <row r="399" spans="1:5" x14ac:dyDescent="0.25">
      <c r="A399" t="s">
        <v>146</v>
      </c>
      <c r="B399" t="s">
        <v>147</v>
      </c>
      <c r="C399" t="s">
        <v>226</v>
      </c>
      <c r="D399">
        <v>540335.07000000018</v>
      </c>
      <c r="E399" s="31">
        <v>45901</v>
      </c>
    </row>
    <row r="400" spans="1:5" x14ac:dyDescent="0.25">
      <c r="A400" t="s">
        <v>139</v>
      </c>
      <c r="B400" t="s">
        <v>247</v>
      </c>
      <c r="C400" t="s">
        <v>247</v>
      </c>
      <c r="D400">
        <v>-9643.65</v>
      </c>
      <c r="E400" s="31">
        <v>45901</v>
      </c>
    </row>
    <row r="401" spans="1:5" x14ac:dyDescent="0.25">
      <c r="A401" t="s">
        <v>57</v>
      </c>
      <c r="B401" t="s">
        <v>58</v>
      </c>
      <c r="C401" t="s">
        <v>230</v>
      </c>
      <c r="D401">
        <v>111680.78020000002</v>
      </c>
      <c r="E401" s="31">
        <v>45901</v>
      </c>
    </row>
    <row r="402" spans="1:5" x14ac:dyDescent="0.25">
      <c r="A402" t="s">
        <v>106</v>
      </c>
      <c r="B402" t="s">
        <v>107</v>
      </c>
      <c r="C402" t="s">
        <v>143</v>
      </c>
      <c r="D402" s="65">
        <v>266628.89999999997</v>
      </c>
      <c r="E402" s="31">
        <v>45901</v>
      </c>
    </row>
    <row r="403" spans="1:5" x14ac:dyDescent="0.25">
      <c r="A403" t="s">
        <v>122</v>
      </c>
      <c r="B403" t="s">
        <v>123</v>
      </c>
      <c r="C403" t="s">
        <v>152</v>
      </c>
      <c r="D403">
        <v>-1812535.4300000002</v>
      </c>
      <c r="E403" s="31">
        <v>45901</v>
      </c>
    </row>
    <row r="404" spans="1:5" x14ac:dyDescent="0.25">
      <c r="A404" t="s">
        <v>148</v>
      </c>
      <c r="B404" t="s">
        <v>149</v>
      </c>
      <c r="C404" t="s">
        <v>226</v>
      </c>
      <c r="D404">
        <v>-88602.835000000006</v>
      </c>
      <c r="E404" s="31">
        <v>45901</v>
      </c>
    </row>
    <row r="405" spans="1:5" x14ac:dyDescent="0.25">
      <c r="A405" t="s">
        <v>190</v>
      </c>
      <c r="B405" t="s">
        <v>234</v>
      </c>
      <c r="C405" t="s">
        <v>235</v>
      </c>
      <c r="D405">
        <v>324301.25332600006</v>
      </c>
      <c r="E405" s="31">
        <v>45901</v>
      </c>
    </row>
    <row r="406" spans="1:5" x14ac:dyDescent="0.25">
      <c r="A406" t="s">
        <v>79</v>
      </c>
      <c r="B406" t="s">
        <v>80</v>
      </c>
      <c r="C406" t="s">
        <v>81</v>
      </c>
      <c r="D406">
        <v>301180.15999999992</v>
      </c>
      <c r="E406" s="31">
        <v>45901</v>
      </c>
    </row>
    <row r="407" spans="1:5" x14ac:dyDescent="0.25">
      <c r="A407" t="s">
        <v>94</v>
      </c>
      <c r="B407" t="s">
        <v>95</v>
      </c>
      <c r="C407" t="s">
        <v>152</v>
      </c>
      <c r="D407">
        <v>-212154.11000000022</v>
      </c>
      <c r="E407" s="31">
        <v>45901</v>
      </c>
    </row>
    <row r="408" spans="1:5" x14ac:dyDescent="0.25">
      <c r="A408" t="s">
        <v>76</v>
      </c>
      <c r="B408" t="s">
        <v>77</v>
      </c>
      <c r="C408" t="s">
        <v>152</v>
      </c>
      <c r="D408">
        <v>-423929.24264699995</v>
      </c>
      <c r="E408" s="31">
        <v>45901</v>
      </c>
    </row>
    <row r="409" spans="1:5" x14ac:dyDescent="0.25">
      <c r="A409" t="s">
        <v>124</v>
      </c>
      <c r="B409" t="s">
        <v>125</v>
      </c>
      <c r="C409" t="s">
        <v>152</v>
      </c>
      <c r="D409">
        <v>-583093.60044299974</v>
      </c>
      <c r="E409" s="31">
        <v>45901</v>
      </c>
    </row>
    <row r="410" spans="1:5" x14ac:dyDescent="0.25">
      <c r="A410" t="s">
        <v>157</v>
      </c>
      <c r="B410" t="s">
        <v>158</v>
      </c>
      <c r="C410" t="s">
        <v>152</v>
      </c>
      <c r="D410">
        <v>-73373.717470000018</v>
      </c>
      <c r="E410" s="31">
        <v>45901</v>
      </c>
    </row>
    <row r="411" spans="1:5" x14ac:dyDescent="0.25">
      <c r="A411" t="s">
        <v>155</v>
      </c>
      <c r="B411" t="s">
        <v>156</v>
      </c>
      <c r="C411" t="s">
        <v>152</v>
      </c>
      <c r="D411">
        <v>-62465.528526000016</v>
      </c>
      <c r="E411" s="31">
        <v>45901</v>
      </c>
    </row>
    <row r="412" spans="1:5" x14ac:dyDescent="0.25">
      <c r="A412" t="s">
        <v>100</v>
      </c>
      <c r="B412" t="s">
        <v>238</v>
      </c>
      <c r="C412" t="s">
        <v>152</v>
      </c>
      <c r="D412">
        <v>-479975.34520400013</v>
      </c>
      <c r="E412" s="31">
        <v>45901</v>
      </c>
    </row>
    <row r="413" spans="1:5" x14ac:dyDescent="0.25">
      <c r="A413" t="s">
        <v>114</v>
      </c>
      <c r="B413" t="s">
        <v>115</v>
      </c>
      <c r="C413" t="s">
        <v>224</v>
      </c>
      <c r="D413">
        <v>-1389386.3199999998</v>
      </c>
      <c r="E413" s="31">
        <v>45901</v>
      </c>
    </row>
    <row r="414" spans="1:5" x14ac:dyDescent="0.25">
      <c r="A414" t="s">
        <v>70</v>
      </c>
      <c r="B414" t="s">
        <v>71</v>
      </c>
      <c r="C414" t="s">
        <v>152</v>
      </c>
      <c r="D414">
        <v>290453.902</v>
      </c>
      <c r="E414" s="31">
        <v>45901</v>
      </c>
    </row>
    <row r="415" spans="1:5" x14ac:dyDescent="0.25">
      <c r="A415" t="s">
        <v>88</v>
      </c>
      <c r="B415" t="s">
        <v>89</v>
      </c>
      <c r="C415" t="s">
        <v>152</v>
      </c>
      <c r="D415">
        <v>33727.435123000032</v>
      </c>
      <c r="E415" s="31">
        <v>45901</v>
      </c>
    </row>
    <row r="416" spans="1:5" x14ac:dyDescent="0.25">
      <c r="A416" t="s">
        <v>98</v>
      </c>
      <c r="B416" t="s">
        <v>99</v>
      </c>
      <c r="C416" t="s">
        <v>81</v>
      </c>
      <c r="D416">
        <v>1026593.5</v>
      </c>
      <c r="E416" s="31">
        <v>45901</v>
      </c>
    </row>
    <row r="417" spans="1:5" x14ac:dyDescent="0.25">
      <c r="A417" t="s">
        <v>133</v>
      </c>
      <c r="B417" t="s">
        <v>240</v>
      </c>
      <c r="C417" t="s">
        <v>241</v>
      </c>
      <c r="D417">
        <v>167720.44680641714</v>
      </c>
      <c r="E417" s="31">
        <v>45901</v>
      </c>
    </row>
    <row r="418" spans="1:5" x14ac:dyDescent="0.25">
      <c r="A418" t="s">
        <v>128</v>
      </c>
      <c r="B418" t="s">
        <v>129</v>
      </c>
      <c r="C418" t="s">
        <v>67</v>
      </c>
      <c r="D418">
        <v>506743.64999999979</v>
      </c>
      <c r="E418" s="31">
        <v>45901</v>
      </c>
    </row>
    <row r="419" spans="1:5" x14ac:dyDescent="0.25">
      <c r="A419" t="s">
        <v>131</v>
      </c>
      <c r="B419" t="s">
        <v>132</v>
      </c>
      <c r="C419" t="s">
        <v>67</v>
      </c>
      <c r="D419" s="30">
        <v>442882.13000000012</v>
      </c>
      <c r="E419" s="31">
        <v>45901</v>
      </c>
    </row>
    <row r="420" spans="1:5" x14ac:dyDescent="0.25">
      <c r="A420" t="s">
        <v>74</v>
      </c>
      <c r="B420" t="s">
        <v>75</v>
      </c>
      <c r="C420" t="s">
        <v>67</v>
      </c>
      <c r="D420">
        <v>-3670600.2881390005</v>
      </c>
      <c r="E420" s="31">
        <v>45901</v>
      </c>
    </row>
    <row r="421" spans="1:5" x14ac:dyDescent="0.25">
      <c r="A421" t="s">
        <v>200</v>
      </c>
      <c r="B421" t="s">
        <v>244</v>
      </c>
      <c r="C421" t="s">
        <v>230</v>
      </c>
      <c r="D421">
        <v>-8601.130000000001</v>
      </c>
      <c r="E421" s="31">
        <v>45901</v>
      </c>
    </row>
    <row r="422" spans="1:5" x14ac:dyDescent="0.25">
      <c r="A422" t="s">
        <v>163</v>
      </c>
      <c r="B422" t="s">
        <v>164</v>
      </c>
      <c r="C422" t="s">
        <v>67</v>
      </c>
      <c r="D422">
        <v>-11900</v>
      </c>
      <c r="E422" s="31">
        <v>45901</v>
      </c>
    </row>
    <row r="423" spans="1:5" x14ac:dyDescent="0.25">
      <c r="A423" t="s">
        <v>96</v>
      </c>
      <c r="B423" t="s">
        <v>97</v>
      </c>
      <c r="C423" t="s">
        <v>81</v>
      </c>
      <c r="D423">
        <v>-679435.66999999993</v>
      </c>
      <c r="E423" s="31">
        <v>45901</v>
      </c>
    </row>
    <row r="424" spans="1:5" x14ac:dyDescent="0.25">
      <c r="A424" t="s">
        <v>90</v>
      </c>
      <c r="B424" t="s">
        <v>91</v>
      </c>
      <c r="C424" t="s">
        <v>81</v>
      </c>
      <c r="D424">
        <v>-107828.91999999991</v>
      </c>
      <c r="E424" s="31">
        <v>45901</v>
      </c>
    </row>
    <row r="425" spans="1:5" x14ac:dyDescent="0.25">
      <c r="A425" t="s">
        <v>112</v>
      </c>
      <c r="B425" t="s">
        <v>113</v>
      </c>
      <c r="C425" t="s">
        <v>81</v>
      </c>
      <c r="D425" s="65">
        <v>13052371.549999997</v>
      </c>
      <c r="E425" s="31">
        <v>45901</v>
      </c>
    </row>
    <row r="426" spans="1:5" x14ac:dyDescent="0.25">
      <c r="A426" t="s">
        <v>61</v>
      </c>
      <c r="B426" t="s">
        <v>62</v>
      </c>
      <c r="C426" t="s">
        <v>226</v>
      </c>
      <c r="D426">
        <v>-305360.71999999986</v>
      </c>
      <c r="E426" s="31">
        <v>45901</v>
      </c>
    </row>
    <row r="427" spans="1:5" x14ac:dyDescent="0.25">
      <c r="A427" t="s">
        <v>102</v>
      </c>
      <c r="B427" t="s">
        <v>103</v>
      </c>
      <c r="C427" t="s">
        <v>152</v>
      </c>
      <c r="D427">
        <v>-332430.25459999999</v>
      </c>
      <c r="E427" s="31">
        <v>45901</v>
      </c>
    </row>
    <row r="428" spans="1:5" x14ac:dyDescent="0.25">
      <c r="A428" t="s">
        <v>196</v>
      </c>
      <c r="B428" t="s">
        <v>245</v>
      </c>
      <c r="C428" t="s">
        <v>143</v>
      </c>
      <c r="D428">
        <v>-11842.25</v>
      </c>
      <c r="E428" s="31">
        <v>45901</v>
      </c>
    </row>
    <row r="429" spans="1:5" x14ac:dyDescent="0.25">
      <c r="A429" t="s">
        <v>54</v>
      </c>
      <c r="B429" t="s">
        <v>55</v>
      </c>
      <c r="C429" t="s">
        <v>227</v>
      </c>
      <c r="D429">
        <v>1994713.1212999998</v>
      </c>
      <c r="E429" s="31">
        <v>45901</v>
      </c>
    </row>
    <row r="430" spans="1:5" x14ac:dyDescent="0.25">
      <c r="A430" t="s">
        <v>118</v>
      </c>
      <c r="B430" t="s">
        <v>119</v>
      </c>
      <c r="C430" t="s">
        <v>143</v>
      </c>
      <c r="D430">
        <v>149668.35999999999</v>
      </c>
      <c r="E430" s="31">
        <v>45901</v>
      </c>
    </row>
    <row r="431" spans="1:5" x14ac:dyDescent="0.25">
      <c r="A431" t="s">
        <v>86</v>
      </c>
      <c r="B431" t="s">
        <v>87</v>
      </c>
      <c r="C431" t="s">
        <v>152</v>
      </c>
      <c r="D431" s="65">
        <v>2811243.3157000002</v>
      </c>
      <c r="E431" s="31">
        <v>45901</v>
      </c>
    </row>
    <row r="432" spans="1:5" x14ac:dyDescent="0.25">
      <c r="A432" t="s">
        <v>170</v>
      </c>
      <c r="B432" t="s">
        <v>171</v>
      </c>
      <c r="C432" t="s">
        <v>81</v>
      </c>
      <c r="D432">
        <v>98122.212</v>
      </c>
      <c r="E432" s="31">
        <v>45901</v>
      </c>
    </row>
    <row r="433" spans="1:5" x14ac:dyDescent="0.25">
      <c r="A433" t="s">
        <v>206</v>
      </c>
      <c r="B433" t="s">
        <v>251</v>
      </c>
      <c r="C433" t="s">
        <v>230</v>
      </c>
      <c r="D433">
        <v>-30082.26</v>
      </c>
      <c r="E433" s="31">
        <v>45901</v>
      </c>
    </row>
    <row r="434" spans="1:5" x14ac:dyDescent="0.25">
      <c r="A434" t="s">
        <v>50</v>
      </c>
      <c r="B434" t="s">
        <v>51</v>
      </c>
      <c r="C434" t="s">
        <v>152</v>
      </c>
      <c r="D434">
        <v>-3301.3900000000003</v>
      </c>
      <c r="E434" s="31">
        <v>45901</v>
      </c>
    </row>
    <row r="435" spans="1:5" x14ac:dyDescent="0.25">
      <c r="A435" t="s">
        <v>92</v>
      </c>
      <c r="B435" t="s">
        <v>93</v>
      </c>
      <c r="C435" t="s">
        <v>81</v>
      </c>
      <c r="D435">
        <v>259442.71</v>
      </c>
      <c r="E435" s="31">
        <v>45901</v>
      </c>
    </row>
    <row r="436" spans="1:5" x14ac:dyDescent="0.25">
      <c r="A436" t="s">
        <v>45</v>
      </c>
      <c r="B436" t="s">
        <v>46</v>
      </c>
      <c r="C436" t="s">
        <v>152</v>
      </c>
      <c r="D436">
        <v>-107618.86000000002</v>
      </c>
      <c r="E436" s="31">
        <v>45901</v>
      </c>
    </row>
    <row r="437" spans="1:5" x14ac:dyDescent="0.25">
      <c r="A437" t="s">
        <v>65</v>
      </c>
      <c r="B437" t="s">
        <v>66</v>
      </c>
      <c r="C437" t="s">
        <v>67</v>
      </c>
      <c r="D437" s="30">
        <v>-3665030.1804553065</v>
      </c>
      <c r="E437" s="31">
        <v>45931</v>
      </c>
    </row>
    <row r="438" spans="1:5" x14ac:dyDescent="0.25">
      <c r="A438" t="s">
        <v>144</v>
      </c>
      <c r="B438" t="s">
        <v>145</v>
      </c>
      <c r="C438" t="s">
        <v>67</v>
      </c>
      <c r="D438">
        <v>-104299.58</v>
      </c>
      <c r="E438" s="31">
        <v>45931</v>
      </c>
    </row>
    <row r="439" spans="1:5" x14ac:dyDescent="0.25">
      <c r="A439" t="s">
        <v>72</v>
      </c>
      <c r="B439" t="s">
        <v>73</v>
      </c>
      <c r="C439" t="s">
        <v>227</v>
      </c>
      <c r="D439">
        <v>3255030.7922999994</v>
      </c>
      <c r="E439" s="31">
        <v>45931</v>
      </c>
    </row>
    <row r="440" spans="1:5" x14ac:dyDescent="0.25">
      <c r="A440" t="s">
        <v>120</v>
      </c>
      <c r="B440" t="s">
        <v>121</v>
      </c>
      <c r="C440" t="s">
        <v>227</v>
      </c>
      <c r="D440">
        <v>6211.4559999999401</v>
      </c>
      <c r="E440" s="31">
        <v>45931</v>
      </c>
    </row>
    <row r="441" spans="1:5" x14ac:dyDescent="0.25">
      <c r="A441" t="s">
        <v>63</v>
      </c>
      <c r="B441" t="s">
        <v>64</v>
      </c>
      <c r="C441" t="s">
        <v>227</v>
      </c>
      <c r="D441">
        <v>-3418276.9441600004</v>
      </c>
      <c r="E441" s="31">
        <v>45931</v>
      </c>
    </row>
    <row r="442" spans="1:5" x14ac:dyDescent="0.25">
      <c r="A442" t="s">
        <v>84</v>
      </c>
      <c r="B442" t="s">
        <v>85</v>
      </c>
      <c r="C442" t="s">
        <v>67</v>
      </c>
      <c r="D442">
        <v>517217.28000000009</v>
      </c>
      <c r="E442" s="31">
        <v>45931</v>
      </c>
    </row>
    <row r="443" spans="1:5" x14ac:dyDescent="0.25">
      <c r="A443" t="s">
        <v>108</v>
      </c>
      <c r="B443" t="s">
        <v>249</v>
      </c>
      <c r="C443" t="s">
        <v>227</v>
      </c>
      <c r="D443">
        <v>1500.4</v>
      </c>
      <c r="E443" s="31">
        <v>45931</v>
      </c>
    </row>
    <row r="444" spans="1:5" x14ac:dyDescent="0.25">
      <c r="A444" t="s">
        <v>82</v>
      </c>
      <c r="B444" t="s">
        <v>83</v>
      </c>
      <c r="C444" t="s">
        <v>228</v>
      </c>
      <c r="D444">
        <v>-535541.60629999998</v>
      </c>
      <c r="E444" s="31">
        <v>45931</v>
      </c>
    </row>
    <row r="445" spans="1:5" x14ac:dyDescent="0.25">
      <c r="A445" t="s">
        <v>68</v>
      </c>
      <c r="B445" t="s">
        <v>69</v>
      </c>
      <c r="C445" t="s">
        <v>229</v>
      </c>
      <c r="D445">
        <v>-1044892.8499999982</v>
      </c>
      <c r="E445" s="31">
        <v>45931</v>
      </c>
    </row>
    <row r="446" spans="1:5" x14ac:dyDescent="0.25">
      <c r="A446" t="s">
        <v>116</v>
      </c>
      <c r="B446" t="s">
        <v>117</v>
      </c>
      <c r="C446" t="s">
        <v>143</v>
      </c>
      <c r="D446">
        <v>-413011.76</v>
      </c>
      <c r="E446" s="31">
        <v>45931</v>
      </c>
    </row>
    <row r="447" spans="1:5" x14ac:dyDescent="0.25">
      <c r="A447" t="s">
        <v>59</v>
      </c>
      <c r="B447" t="s">
        <v>60</v>
      </c>
      <c r="C447" t="s">
        <v>143</v>
      </c>
      <c r="D447">
        <v>636748.63</v>
      </c>
      <c r="E447" s="31">
        <v>45931</v>
      </c>
    </row>
    <row r="448" spans="1:5" x14ac:dyDescent="0.25">
      <c r="A448" t="s">
        <v>146</v>
      </c>
      <c r="B448" t="s">
        <v>147</v>
      </c>
      <c r="C448" t="s">
        <v>226</v>
      </c>
      <c r="D448">
        <v>357856.35</v>
      </c>
      <c r="E448" s="31">
        <v>45931</v>
      </c>
    </row>
    <row r="449" spans="1:5" x14ac:dyDescent="0.25">
      <c r="A449" t="s">
        <v>139</v>
      </c>
      <c r="B449" t="s">
        <v>247</v>
      </c>
      <c r="C449" t="s">
        <v>247</v>
      </c>
      <c r="D449">
        <v>-103835.90000000002</v>
      </c>
      <c r="E449" s="31">
        <v>45931</v>
      </c>
    </row>
    <row r="450" spans="1:5" x14ac:dyDescent="0.25">
      <c r="A450" t="s">
        <v>57</v>
      </c>
      <c r="B450" t="s">
        <v>58</v>
      </c>
      <c r="C450" t="s">
        <v>230</v>
      </c>
      <c r="D450">
        <v>-562149.08287399996</v>
      </c>
      <c r="E450" s="31">
        <v>45931</v>
      </c>
    </row>
    <row r="451" spans="1:5" x14ac:dyDescent="0.25">
      <c r="A451" t="s">
        <v>106</v>
      </c>
      <c r="B451" t="s">
        <v>107</v>
      </c>
      <c r="C451" t="s">
        <v>143</v>
      </c>
      <c r="D451" s="65">
        <v>-586921.65</v>
      </c>
      <c r="E451" s="31">
        <v>45931</v>
      </c>
    </row>
    <row r="452" spans="1:5" x14ac:dyDescent="0.25">
      <c r="A452" t="s">
        <v>122</v>
      </c>
      <c r="B452" t="s">
        <v>123</v>
      </c>
      <c r="C452" t="s">
        <v>152</v>
      </c>
      <c r="D452">
        <v>-1535428.976426</v>
      </c>
      <c r="E452" s="31">
        <v>45931</v>
      </c>
    </row>
    <row r="453" spans="1:5" x14ac:dyDescent="0.25">
      <c r="A453" t="s">
        <v>148</v>
      </c>
      <c r="B453" t="s">
        <v>149</v>
      </c>
      <c r="C453" t="s">
        <v>226</v>
      </c>
      <c r="D453">
        <v>-73773.23000000001</v>
      </c>
      <c r="E453" s="31">
        <v>45931</v>
      </c>
    </row>
    <row r="454" spans="1:5" x14ac:dyDescent="0.25">
      <c r="A454" t="s">
        <v>190</v>
      </c>
      <c r="B454" t="s">
        <v>234</v>
      </c>
      <c r="C454" t="s">
        <v>235</v>
      </c>
      <c r="D454">
        <v>-267276.44</v>
      </c>
      <c r="E454" s="31">
        <v>45931</v>
      </c>
    </row>
    <row r="455" spans="1:5" x14ac:dyDescent="0.25">
      <c r="A455" t="s">
        <v>79</v>
      </c>
      <c r="B455" t="s">
        <v>80</v>
      </c>
      <c r="C455" t="s">
        <v>81</v>
      </c>
      <c r="D455">
        <v>25900.829999999973</v>
      </c>
      <c r="E455" s="31">
        <v>45931</v>
      </c>
    </row>
    <row r="456" spans="1:5" x14ac:dyDescent="0.25">
      <c r="A456" t="s">
        <v>94</v>
      </c>
      <c r="B456" t="s">
        <v>95</v>
      </c>
      <c r="C456" t="s">
        <v>152</v>
      </c>
      <c r="D456">
        <v>-2043757.36</v>
      </c>
      <c r="E456" s="31">
        <v>45931</v>
      </c>
    </row>
    <row r="457" spans="1:5" x14ac:dyDescent="0.25">
      <c r="A457" t="s">
        <v>76</v>
      </c>
      <c r="B457" t="s">
        <v>77</v>
      </c>
      <c r="C457" t="s">
        <v>152</v>
      </c>
      <c r="D457">
        <v>-270904.15000000002</v>
      </c>
      <c r="E457" s="31">
        <v>45931</v>
      </c>
    </row>
    <row r="458" spans="1:5" x14ac:dyDescent="0.25">
      <c r="A458" t="s">
        <v>124</v>
      </c>
      <c r="B458" t="s">
        <v>125</v>
      </c>
      <c r="C458" t="s">
        <v>152</v>
      </c>
      <c r="D458">
        <v>-396268.11878600001</v>
      </c>
      <c r="E458" s="31">
        <v>45931</v>
      </c>
    </row>
    <row r="459" spans="1:5" x14ac:dyDescent="0.25">
      <c r="A459" t="s">
        <v>155</v>
      </c>
      <c r="B459" t="s">
        <v>156</v>
      </c>
      <c r="C459" t="s">
        <v>152</v>
      </c>
      <c r="D459">
        <v>-306548.07380000001</v>
      </c>
      <c r="E459" s="31">
        <v>45931</v>
      </c>
    </row>
    <row r="460" spans="1:5" x14ac:dyDescent="0.25">
      <c r="A460" t="s">
        <v>100</v>
      </c>
      <c r="B460" t="s">
        <v>238</v>
      </c>
      <c r="C460" t="s">
        <v>152</v>
      </c>
      <c r="D460">
        <v>-808355.17881599965</v>
      </c>
      <c r="E460" s="31">
        <v>45931</v>
      </c>
    </row>
    <row r="461" spans="1:5" x14ac:dyDescent="0.25">
      <c r="A461" t="s">
        <v>114</v>
      </c>
      <c r="B461" t="s">
        <v>115</v>
      </c>
      <c r="C461" t="s">
        <v>224</v>
      </c>
      <c r="D461">
        <v>-129216.17000000001</v>
      </c>
      <c r="E461" s="31">
        <v>45931</v>
      </c>
    </row>
    <row r="462" spans="1:5" x14ac:dyDescent="0.25">
      <c r="A462" t="s">
        <v>70</v>
      </c>
      <c r="B462" t="s">
        <v>71</v>
      </c>
      <c r="C462" t="s">
        <v>152</v>
      </c>
      <c r="D462">
        <v>-277322.31059999997</v>
      </c>
      <c r="E462" s="31">
        <v>45931</v>
      </c>
    </row>
    <row r="463" spans="1:5" x14ac:dyDescent="0.25">
      <c r="A463" t="s">
        <v>88</v>
      </c>
      <c r="B463" t="s">
        <v>89</v>
      </c>
      <c r="C463" t="s">
        <v>152</v>
      </c>
      <c r="D463">
        <v>197649.81805399997</v>
      </c>
      <c r="E463" s="31">
        <v>45931</v>
      </c>
    </row>
    <row r="464" spans="1:5" x14ac:dyDescent="0.25">
      <c r="A464" t="s">
        <v>98</v>
      </c>
      <c r="B464" t="s">
        <v>99</v>
      </c>
      <c r="C464" t="s">
        <v>81</v>
      </c>
      <c r="D464">
        <v>1209933.6400000001</v>
      </c>
      <c r="E464" s="31">
        <v>45931</v>
      </c>
    </row>
    <row r="465" spans="1:5" x14ac:dyDescent="0.25">
      <c r="A465" t="s">
        <v>133</v>
      </c>
      <c r="B465" t="s">
        <v>240</v>
      </c>
      <c r="C465" t="s">
        <v>241</v>
      </c>
      <c r="D465">
        <v>297425.31450532813</v>
      </c>
      <c r="E465" s="31">
        <v>45931</v>
      </c>
    </row>
    <row r="466" spans="1:5" x14ac:dyDescent="0.25">
      <c r="A466" t="s">
        <v>128</v>
      </c>
      <c r="B466" t="s">
        <v>129</v>
      </c>
      <c r="C466" t="s">
        <v>67</v>
      </c>
      <c r="D466">
        <v>4233805.7915770002</v>
      </c>
      <c r="E466" s="31">
        <v>45931</v>
      </c>
    </row>
    <row r="467" spans="1:5" x14ac:dyDescent="0.25">
      <c r="A467" t="s">
        <v>131</v>
      </c>
      <c r="B467" t="s">
        <v>132</v>
      </c>
      <c r="C467" t="s">
        <v>67</v>
      </c>
      <c r="D467" s="30">
        <v>-72078.419999999984</v>
      </c>
      <c r="E467" s="31">
        <v>45931</v>
      </c>
    </row>
    <row r="468" spans="1:5" x14ac:dyDescent="0.25">
      <c r="A468" t="s">
        <v>168</v>
      </c>
      <c r="B468" t="s">
        <v>169</v>
      </c>
      <c r="C468" t="s">
        <v>226</v>
      </c>
      <c r="D468">
        <v>3051547.66</v>
      </c>
      <c r="E468" s="31">
        <v>45931</v>
      </c>
    </row>
    <row r="469" spans="1:5" x14ac:dyDescent="0.25">
      <c r="A469" t="s">
        <v>74</v>
      </c>
      <c r="B469" t="s">
        <v>75</v>
      </c>
      <c r="C469" t="s">
        <v>67</v>
      </c>
      <c r="D469">
        <v>4231384.7842400009</v>
      </c>
      <c r="E469" s="31">
        <v>45931</v>
      </c>
    </row>
    <row r="470" spans="1:5" x14ac:dyDescent="0.25">
      <c r="A470" t="s">
        <v>96</v>
      </c>
      <c r="B470" t="s">
        <v>97</v>
      </c>
      <c r="C470" t="s">
        <v>81</v>
      </c>
      <c r="D470">
        <v>-246267.90999999997</v>
      </c>
      <c r="E470" s="31">
        <v>45931</v>
      </c>
    </row>
    <row r="471" spans="1:5" x14ac:dyDescent="0.25">
      <c r="A471" t="s">
        <v>90</v>
      </c>
      <c r="B471" t="s">
        <v>91</v>
      </c>
      <c r="C471" t="s">
        <v>81</v>
      </c>
      <c r="D471">
        <v>-3464804.2854009997</v>
      </c>
      <c r="E471" s="31">
        <v>45931</v>
      </c>
    </row>
    <row r="472" spans="1:5" x14ac:dyDescent="0.25">
      <c r="A472" t="s">
        <v>112</v>
      </c>
      <c r="B472" t="s">
        <v>113</v>
      </c>
      <c r="C472" t="s">
        <v>81</v>
      </c>
      <c r="D472" s="65">
        <v>-15455110.820000002</v>
      </c>
      <c r="E472" s="31">
        <v>45931</v>
      </c>
    </row>
    <row r="473" spans="1:5" x14ac:dyDescent="0.25">
      <c r="A473" t="s">
        <v>61</v>
      </c>
      <c r="B473" t="s">
        <v>62</v>
      </c>
      <c r="C473" t="s">
        <v>226</v>
      </c>
      <c r="D473">
        <v>641158.65</v>
      </c>
      <c r="E473" s="31">
        <v>45931</v>
      </c>
    </row>
    <row r="474" spans="1:5" x14ac:dyDescent="0.25">
      <c r="A474" t="s">
        <v>102</v>
      </c>
      <c r="B474" t="s">
        <v>103</v>
      </c>
      <c r="C474" t="s">
        <v>152</v>
      </c>
      <c r="D474">
        <v>-125833.10899399999</v>
      </c>
      <c r="E474" s="31">
        <v>45931</v>
      </c>
    </row>
    <row r="475" spans="1:5" x14ac:dyDescent="0.25">
      <c r="A475" t="s">
        <v>54</v>
      </c>
      <c r="B475" t="s">
        <v>55</v>
      </c>
      <c r="C475" t="s">
        <v>227</v>
      </c>
      <c r="D475">
        <v>167130.65000000005</v>
      </c>
      <c r="E475" s="31">
        <v>45931</v>
      </c>
    </row>
    <row r="476" spans="1:5" x14ac:dyDescent="0.25">
      <c r="A476" t="s">
        <v>118</v>
      </c>
      <c r="B476" t="s">
        <v>119</v>
      </c>
      <c r="C476" t="s">
        <v>143</v>
      </c>
      <c r="D476">
        <v>443236.22000000009</v>
      </c>
      <c r="E476" s="31">
        <v>45931</v>
      </c>
    </row>
    <row r="477" spans="1:5" x14ac:dyDescent="0.25">
      <c r="A477" t="s">
        <v>86</v>
      </c>
      <c r="B477" t="s">
        <v>87</v>
      </c>
      <c r="C477" t="s">
        <v>152</v>
      </c>
      <c r="D477" s="65">
        <v>651977.09581199952</v>
      </c>
      <c r="E477" s="31">
        <v>45931</v>
      </c>
    </row>
    <row r="478" spans="1:5" x14ac:dyDescent="0.25">
      <c r="A478" t="s">
        <v>170</v>
      </c>
      <c r="B478" t="s">
        <v>171</v>
      </c>
      <c r="C478" t="s">
        <v>81</v>
      </c>
      <c r="D478">
        <v>101205.7414</v>
      </c>
      <c r="E478" s="31">
        <v>45931</v>
      </c>
    </row>
    <row r="479" spans="1:5" x14ac:dyDescent="0.25">
      <c r="A479" t="s">
        <v>50</v>
      </c>
      <c r="B479" t="s">
        <v>51</v>
      </c>
      <c r="C479" t="s">
        <v>152</v>
      </c>
      <c r="D479">
        <v>-44642.770000000004</v>
      </c>
      <c r="E479" s="31">
        <v>45931</v>
      </c>
    </row>
    <row r="480" spans="1:5" x14ac:dyDescent="0.25">
      <c r="A480" t="s">
        <v>92</v>
      </c>
      <c r="B480" t="s">
        <v>93</v>
      </c>
      <c r="C480" t="s">
        <v>81</v>
      </c>
      <c r="D480">
        <v>-64403.869999999995</v>
      </c>
      <c r="E480" s="31">
        <v>45931</v>
      </c>
    </row>
    <row r="481" spans="1:5" x14ac:dyDescent="0.25">
      <c r="A481" t="s">
        <v>209</v>
      </c>
      <c r="B481" t="s">
        <v>140</v>
      </c>
      <c r="C481" t="s">
        <v>47</v>
      </c>
      <c r="D481">
        <v>19000</v>
      </c>
      <c r="E481" s="31">
        <v>45931</v>
      </c>
    </row>
    <row r="482" spans="1:5" x14ac:dyDescent="0.25">
      <c r="A482" t="s">
        <v>45</v>
      </c>
      <c r="B482" t="s">
        <v>46</v>
      </c>
      <c r="C482" t="s">
        <v>152</v>
      </c>
      <c r="D482">
        <v>106199.42000000001</v>
      </c>
      <c r="E482" s="31">
        <v>45931</v>
      </c>
    </row>
    <row r="483" spans="1:5" x14ac:dyDescent="0.25">
      <c r="A483" t="s">
        <v>65</v>
      </c>
      <c r="B483" t="s">
        <v>66</v>
      </c>
      <c r="C483" t="s">
        <v>67</v>
      </c>
      <c r="D483" s="30">
        <v>-6275662.1655140016</v>
      </c>
      <c r="E483" s="31">
        <v>45962</v>
      </c>
    </row>
    <row r="484" spans="1:5" x14ac:dyDescent="0.25">
      <c r="A484" t="s">
        <v>144</v>
      </c>
      <c r="B484" t="s">
        <v>145</v>
      </c>
      <c r="C484" t="s">
        <v>67</v>
      </c>
      <c r="D484">
        <v>-20065.32</v>
      </c>
      <c r="E484" s="31">
        <v>45962</v>
      </c>
    </row>
    <row r="485" spans="1:5" x14ac:dyDescent="0.25">
      <c r="A485" t="s">
        <v>72</v>
      </c>
      <c r="B485" t="s">
        <v>73</v>
      </c>
      <c r="C485" t="s">
        <v>227</v>
      </c>
      <c r="D485">
        <v>-1306524.2600000054</v>
      </c>
      <c r="E485" s="31">
        <v>45962</v>
      </c>
    </row>
    <row r="486" spans="1:5" x14ac:dyDescent="0.25">
      <c r="A486" t="s">
        <v>120</v>
      </c>
      <c r="B486" t="s">
        <v>121</v>
      </c>
      <c r="C486" t="s">
        <v>227</v>
      </c>
      <c r="D486">
        <v>-2661366.3631600002</v>
      </c>
      <c r="E486" s="31">
        <v>45962</v>
      </c>
    </row>
    <row r="487" spans="1:5" x14ac:dyDescent="0.25">
      <c r="A487" t="s">
        <v>135</v>
      </c>
      <c r="B487" t="s">
        <v>136</v>
      </c>
      <c r="C487" t="s">
        <v>226</v>
      </c>
      <c r="D487">
        <v>1246619.8762934266</v>
      </c>
      <c r="E487" s="31">
        <v>45962</v>
      </c>
    </row>
    <row r="488" spans="1:5" x14ac:dyDescent="0.25">
      <c r="A488" t="s">
        <v>63</v>
      </c>
      <c r="B488" t="s">
        <v>64</v>
      </c>
      <c r="C488" t="s">
        <v>227</v>
      </c>
      <c r="D488">
        <v>-1908879.2443390002</v>
      </c>
      <c r="E488" s="31">
        <v>45962</v>
      </c>
    </row>
    <row r="489" spans="1:5" x14ac:dyDescent="0.25">
      <c r="A489" t="s">
        <v>84</v>
      </c>
      <c r="B489" t="s">
        <v>85</v>
      </c>
      <c r="C489" t="s">
        <v>67</v>
      </c>
      <c r="D489">
        <v>4669666.5099999988</v>
      </c>
      <c r="E489" s="31">
        <v>45962</v>
      </c>
    </row>
    <row r="490" spans="1:5" x14ac:dyDescent="0.25">
      <c r="A490" t="s">
        <v>108</v>
      </c>
      <c r="B490" t="s">
        <v>249</v>
      </c>
      <c r="C490" t="s">
        <v>227</v>
      </c>
      <c r="D490">
        <v>1518.5</v>
      </c>
      <c r="E490" s="31">
        <v>45962</v>
      </c>
    </row>
    <row r="491" spans="1:5" x14ac:dyDescent="0.25">
      <c r="A491" t="s">
        <v>82</v>
      </c>
      <c r="B491" t="s">
        <v>83</v>
      </c>
      <c r="C491" t="s">
        <v>228</v>
      </c>
      <c r="D491">
        <v>-53779.34</v>
      </c>
      <c r="E491" s="31">
        <v>45962</v>
      </c>
    </row>
    <row r="492" spans="1:5" x14ac:dyDescent="0.25">
      <c r="A492" t="s">
        <v>68</v>
      </c>
      <c r="B492" t="s">
        <v>69</v>
      </c>
      <c r="C492" t="s">
        <v>229</v>
      </c>
      <c r="D492">
        <v>-2022645.9499999993</v>
      </c>
      <c r="E492" s="31">
        <v>45962</v>
      </c>
    </row>
    <row r="493" spans="1:5" x14ac:dyDescent="0.25">
      <c r="A493" t="s">
        <v>116</v>
      </c>
      <c r="B493" t="s">
        <v>117</v>
      </c>
      <c r="C493" t="s">
        <v>143</v>
      </c>
      <c r="D493">
        <v>432677.79235499981</v>
      </c>
      <c r="E493" s="31">
        <v>45962</v>
      </c>
    </row>
    <row r="494" spans="1:5" x14ac:dyDescent="0.25">
      <c r="A494" t="s">
        <v>59</v>
      </c>
      <c r="B494" t="s">
        <v>60</v>
      </c>
      <c r="C494" t="s">
        <v>143</v>
      </c>
      <c r="D494">
        <v>-435630.3</v>
      </c>
      <c r="E494" s="31">
        <v>45962</v>
      </c>
    </row>
    <row r="495" spans="1:5" x14ac:dyDescent="0.25">
      <c r="A495" t="s">
        <v>146</v>
      </c>
      <c r="B495" t="s">
        <v>147</v>
      </c>
      <c r="C495" t="s">
        <v>226</v>
      </c>
      <c r="D495">
        <v>305060.40999999997</v>
      </c>
      <c r="E495" s="31">
        <v>45962</v>
      </c>
    </row>
    <row r="496" spans="1:5" x14ac:dyDescent="0.25">
      <c r="A496" t="s">
        <v>139</v>
      </c>
      <c r="B496" t="s">
        <v>247</v>
      </c>
      <c r="C496" t="s">
        <v>247</v>
      </c>
      <c r="D496">
        <v>-76239.049999999988</v>
      </c>
      <c r="E496" s="31">
        <v>45962</v>
      </c>
    </row>
    <row r="497" spans="1:5" x14ac:dyDescent="0.25">
      <c r="A497" t="s">
        <v>57</v>
      </c>
      <c r="B497" t="s">
        <v>58</v>
      </c>
      <c r="C497" t="s">
        <v>230</v>
      </c>
      <c r="D497">
        <v>-93816.970826999954</v>
      </c>
      <c r="E497" s="31">
        <v>45962</v>
      </c>
    </row>
    <row r="498" spans="1:5" x14ac:dyDescent="0.25">
      <c r="A498" t="s">
        <v>106</v>
      </c>
      <c r="B498" t="s">
        <v>107</v>
      </c>
      <c r="C498" t="s">
        <v>143</v>
      </c>
      <c r="D498" s="65">
        <v>184745.67000000016</v>
      </c>
      <c r="E498" s="31">
        <v>45962</v>
      </c>
    </row>
    <row r="499" spans="1:5" x14ac:dyDescent="0.25">
      <c r="A499" t="s">
        <v>122</v>
      </c>
      <c r="B499" t="s">
        <v>123</v>
      </c>
      <c r="C499" t="s">
        <v>152</v>
      </c>
      <c r="D499">
        <v>-54971.379996999982</v>
      </c>
      <c r="E499" s="31">
        <v>45962</v>
      </c>
    </row>
    <row r="500" spans="1:5" x14ac:dyDescent="0.25">
      <c r="A500" t="s">
        <v>148</v>
      </c>
      <c r="B500" t="s">
        <v>149</v>
      </c>
      <c r="C500" t="s">
        <v>226</v>
      </c>
      <c r="D500">
        <v>-9024.0299999999988</v>
      </c>
      <c r="E500" s="31">
        <v>45962</v>
      </c>
    </row>
    <row r="501" spans="1:5" x14ac:dyDescent="0.25">
      <c r="A501" t="s">
        <v>190</v>
      </c>
      <c r="B501" t="s">
        <v>234</v>
      </c>
      <c r="C501" t="s">
        <v>235</v>
      </c>
      <c r="D501">
        <v>-83267.529999999984</v>
      </c>
      <c r="E501" s="31">
        <v>45962</v>
      </c>
    </row>
    <row r="502" spans="1:5" x14ac:dyDescent="0.25">
      <c r="A502" t="s">
        <v>79</v>
      </c>
      <c r="B502" t="s">
        <v>80</v>
      </c>
      <c r="C502" t="s">
        <v>81</v>
      </c>
      <c r="D502">
        <v>520541.58000000007</v>
      </c>
      <c r="E502" s="31">
        <v>45962</v>
      </c>
    </row>
    <row r="503" spans="1:5" x14ac:dyDescent="0.25">
      <c r="A503" t="s">
        <v>94</v>
      </c>
      <c r="B503" t="s">
        <v>95</v>
      </c>
      <c r="C503" t="s">
        <v>152</v>
      </c>
      <c r="D503">
        <v>-1833651.5249920001</v>
      </c>
      <c r="E503" s="31">
        <v>45962</v>
      </c>
    </row>
    <row r="504" spans="1:5" x14ac:dyDescent="0.25">
      <c r="A504" t="s">
        <v>76</v>
      </c>
      <c r="B504" t="s">
        <v>77</v>
      </c>
      <c r="C504" t="s">
        <v>152</v>
      </c>
      <c r="D504">
        <v>-844819.18971999991</v>
      </c>
      <c r="E504" s="31">
        <v>45962</v>
      </c>
    </row>
    <row r="505" spans="1:5" x14ac:dyDescent="0.25">
      <c r="A505" t="s">
        <v>124</v>
      </c>
      <c r="B505" t="s">
        <v>125</v>
      </c>
      <c r="C505" t="s">
        <v>152</v>
      </c>
      <c r="D505">
        <v>-1571017.0299999991</v>
      </c>
      <c r="E505" s="31">
        <v>45962</v>
      </c>
    </row>
    <row r="506" spans="1:5" x14ac:dyDescent="0.25">
      <c r="A506" t="s">
        <v>155</v>
      </c>
      <c r="B506" t="s">
        <v>156</v>
      </c>
      <c r="C506" t="s">
        <v>152</v>
      </c>
      <c r="D506">
        <v>7432.9900000000007</v>
      </c>
      <c r="E506" s="31">
        <v>45962</v>
      </c>
    </row>
    <row r="507" spans="1:5" x14ac:dyDescent="0.25">
      <c r="A507" t="s">
        <v>100</v>
      </c>
      <c r="B507" t="s">
        <v>238</v>
      </c>
      <c r="C507" t="s">
        <v>152</v>
      </c>
      <c r="D507">
        <v>-38146.140000000007</v>
      </c>
      <c r="E507" s="31">
        <v>45962</v>
      </c>
    </row>
    <row r="508" spans="1:5" x14ac:dyDescent="0.25">
      <c r="A508" t="s">
        <v>114</v>
      </c>
      <c r="B508" t="s">
        <v>115</v>
      </c>
      <c r="C508" t="s">
        <v>224</v>
      </c>
      <c r="D508">
        <v>911827.21</v>
      </c>
      <c r="E508" s="31">
        <v>45962</v>
      </c>
    </row>
    <row r="509" spans="1:5" x14ac:dyDescent="0.25">
      <c r="A509" t="s">
        <v>70</v>
      </c>
      <c r="B509" t="s">
        <v>71</v>
      </c>
      <c r="C509" t="s">
        <v>152</v>
      </c>
      <c r="D509">
        <v>176272.24999999997</v>
      </c>
      <c r="E509" s="31">
        <v>45962</v>
      </c>
    </row>
    <row r="510" spans="1:5" x14ac:dyDescent="0.25">
      <c r="A510" t="s">
        <v>88</v>
      </c>
      <c r="B510" t="s">
        <v>89</v>
      </c>
      <c r="C510" t="s">
        <v>152</v>
      </c>
      <c r="D510">
        <v>398245.28</v>
      </c>
      <c r="E510" s="31">
        <v>45962</v>
      </c>
    </row>
    <row r="511" spans="1:5" x14ac:dyDescent="0.25">
      <c r="A511" t="s">
        <v>98</v>
      </c>
      <c r="B511" t="s">
        <v>99</v>
      </c>
      <c r="C511" t="s">
        <v>81</v>
      </c>
      <c r="D511">
        <v>502607.90999999986</v>
      </c>
      <c r="E511" s="31">
        <v>45962</v>
      </c>
    </row>
    <row r="512" spans="1:5" x14ac:dyDescent="0.25">
      <c r="A512" t="s">
        <v>133</v>
      </c>
      <c r="B512" t="s">
        <v>240</v>
      </c>
      <c r="C512" t="s">
        <v>241</v>
      </c>
      <c r="D512">
        <v>-317795.38000000006</v>
      </c>
      <c r="E512" s="31">
        <v>45962</v>
      </c>
    </row>
    <row r="513" spans="1:5" x14ac:dyDescent="0.25">
      <c r="A513" t="s">
        <v>128</v>
      </c>
      <c r="B513" t="s">
        <v>129</v>
      </c>
      <c r="C513" t="s">
        <v>67</v>
      </c>
      <c r="D513">
        <v>-1378720.1099999999</v>
      </c>
      <c r="E513" s="31">
        <v>45962</v>
      </c>
    </row>
    <row r="514" spans="1:5" x14ac:dyDescent="0.25">
      <c r="A514" t="s">
        <v>131</v>
      </c>
      <c r="B514" t="s">
        <v>132</v>
      </c>
      <c r="C514" t="s">
        <v>67</v>
      </c>
      <c r="D514" s="30">
        <v>269839.32</v>
      </c>
      <c r="E514" s="31">
        <v>45962</v>
      </c>
    </row>
    <row r="515" spans="1:5" x14ac:dyDescent="0.25">
      <c r="A515" t="s">
        <v>168</v>
      </c>
      <c r="B515" t="s">
        <v>169</v>
      </c>
      <c r="C515" t="s">
        <v>226</v>
      </c>
      <c r="D515">
        <v>9064.57</v>
      </c>
      <c r="E515" s="31">
        <v>45962</v>
      </c>
    </row>
    <row r="516" spans="1:5" x14ac:dyDescent="0.25">
      <c r="A516" t="s">
        <v>74</v>
      </c>
      <c r="B516" t="s">
        <v>75</v>
      </c>
      <c r="C516" t="s">
        <v>67</v>
      </c>
      <c r="D516">
        <v>266234.36547900009</v>
      </c>
      <c r="E516" s="31">
        <v>45962</v>
      </c>
    </row>
    <row r="517" spans="1:5" x14ac:dyDescent="0.25">
      <c r="A517" t="s">
        <v>96</v>
      </c>
      <c r="B517" t="s">
        <v>97</v>
      </c>
      <c r="C517" t="s">
        <v>81</v>
      </c>
      <c r="D517">
        <v>679561.58000000007</v>
      </c>
      <c r="E517" s="31">
        <v>45962</v>
      </c>
    </row>
    <row r="518" spans="1:5" x14ac:dyDescent="0.25">
      <c r="A518" t="s">
        <v>90</v>
      </c>
      <c r="B518" t="s">
        <v>91</v>
      </c>
      <c r="C518" t="s">
        <v>81</v>
      </c>
      <c r="D518">
        <v>201429.54</v>
      </c>
      <c r="E518" s="31">
        <v>45962</v>
      </c>
    </row>
    <row r="519" spans="1:5" x14ac:dyDescent="0.25">
      <c r="A519" t="s">
        <v>112</v>
      </c>
      <c r="B519" t="s">
        <v>113</v>
      </c>
      <c r="C519" t="s">
        <v>81</v>
      </c>
      <c r="D519" s="65">
        <v>-2572958.7299999995</v>
      </c>
      <c r="E519" s="31">
        <v>45962</v>
      </c>
    </row>
    <row r="520" spans="1:5" x14ac:dyDescent="0.25">
      <c r="A520" t="s">
        <v>61</v>
      </c>
      <c r="B520" t="s">
        <v>62</v>
      </c>
      <c r="C520" t="s">
        <v>226</v>
      </c>
      <c r="D520">
        <v>685565.09</v>
      </c>
      <c r="E520" s="31">
        <v>45962</v>
      </c>
    </row>
    <row r="521" spans="1:5" x14ac:dyDescent="0.25">
      <c r="A521" t="s">
        <v>102</v>
      </c>
      <c r="B521" t="s">
        <v>103</v>
      </c>
      <c r="C521" t="s">
        <v>152</v>
      </c>
      <c r="D521">
        <v>-318471.18464999995</v>
      </c>
      <c r="E521" s="31">
        <v>45962</v>
      </c>
    </row>
    <row r="522" spans="1:5" x14ac:dyDescent="0.25">
      <c r="A522" t="s">
        <v>54</v>
      </c>
      <c r="B522" t="s">
        <v>55</v>
      </c>
      <c r="C522" t="s">
        <v>227</v>
      </c>
      <c r="D522">
        <v>517684.37999999995</v>
      </c>
      <c r="E522" s="31">
        <v>45962</v>
      </c>
    </row>
    <row r="523" spans="1:5" x14ac:dyDescent="0.25">
      <c r="A523" t="s">
        <v>118</v>
      </c>
      <c r="B523" t="s">
        <v>119</v>
      </c>
      <c r="C523" t="s">
        <v>143</v>
      </c>
      <c r="D523">
        <v>1305480.9099999997</v>
      </c>
      <c r="E523" s="31">
        <v>45962</v>
      </c>
    </row>
    <row r="524" spans="1:5" x14ac:dyDescent="0.25">
      <c r="A524" t="s">
        <v>86</v>
      </c>
      <c r="B524" t="s">
        <v>87</v>
      </c>
      <c r="C524" t="s">
        <v>152</v>
      </c>
      <c r="D524" s="65">
        <v>-2480883.9169219993</v>
      </c>
      <c r="E524" s="31">
        <v>45962</v>
      </c>
    </row>
    <row r="525" spans="1:5" x14ac:dyDescent="0.25">
      <c r="A525" t="s">
        <v>170</v>
      </c>
      <c r="B525" t="s">
        <v>171</v>
      </c>
      <c r="C525" t="s">
        <v>81</v>
      </c>
      <c r="D525">
        <v>-22648.95</v>
      </c>
      <c r="E525" s="31">
        <v>45962</v>
      </c>
    </row>
    <row r="526" spans="1:5" x14ac:dyDescent="0.25">
      <c r="A526" t="s">
        <v>50</v>
      </c>
      <c r="B526" t="s">
        <v>51</v>
      </c>
      <c r="C526" t="s">
        <v>152</v>
      </c>
      <c r="D526">
        <v>-454575.45548829861</v>
      </c>
      <c r="E526" s="31">
        <v>45962</v>
      </c>
    </row>
    <row r="527" spans="1:5" x14ac:dyDescent="0.25">
      <c r="A527" t="s">
        <v>92</v>
      </c>
      <c r="B527" t="s">
        <v>93</v>
      </c>
      <c r="C527" t="s">
        <v>81</v>
      </c>
      <c r="D527">
        <v>-407520.26</v>
      </c>
      <c r="E527" s="31">
        <v>45962</v>
      </c>
    </row>
    <row r="528" spans="1:5" x14ac:dyDescent="0.25">
      <c r="A528" t="s">
        <v>45</v>
      </c>
      <c r="B528" t="s">
        <v>46</v>
      </c>
      <c r="C528" t="s">
        <v>152</v>
      </c>
      <c r="D528">
        <v>548492.1450189997</v>
      </c>
      <c r="E528" s="31">
        <v>45962</v>
      </c>
    </row>
    <row r="529" spans="1:5" x14ac:dyDescent="0.25">
      <c r="A529" t="s">
        <v>65</v>
      </c>
      <c r="B529" t="s">
        <v>66</v>
      </c>
      <c r="C529" t="s">
        <v>67</v>
      </c>
      <c r="D529" s="30">
        <v>-3050089.8048950001</v>
      </c>
      <c r="E529" s="31">
        <v>45992</v>
      </c>
    </row>
    <row r="530" spans="1:5" x14ac:dyDescent="0.25">
      <c r="A530" t="s">
        <v>144</v>
      </c>
      <c r="B530" t="s">
        <v>145</v>
      </c>
      <c r="C530" t="s">
        <v>67</v>
      </c>
      <c r="D530">
        <v>1846106.99</v>
      </c>
      <c r="E530" s="31">
        <v>45992</v>
      </c>
    </row>
    <row r="531" spans="1:5" x14ac:dyDescent="0.25">
      <c r="A531" t="s">
        <v>72</v>
      </c>
      <c r="B531" t="s">
        <v>73</v>
      </c>
      <c r="C531" t="s">
        <v>67</v>
      </c>
      <c r="D531">
        <v>-13478555.439776001</v>
      </c>
      <c r="E531" s="31">
        <v>45992</v>
      </c>
    </row>
    <row r="532" spans="1:5" x14ac:dyDescent="0.25">
      <c r="A532" t="s">
        <v>120</v>
      </c>
      <c r="B532" t="s">
        <v>121</v>
      </c>
      <c r="C532" t="s">
        <v>67</v>
      </c>
      <c r="D532">
        <v>-11295913.522429999</v>
      </c>
      <c r="E532" s="31">
        <v>45992</v>
      </c>
    </row>
    <row r="533" spans="1:5" x14ac:dyDescent="0.25">
      <c r="A533" t="s">
        <v>135</v>
      </c>
      <c r="B533" t="s">
        <v>136</v>
      </c>
      <c r="C533" t="s">
        <v>226</v>
      </c>
      <c r="D533">
        <v>9678297.3847483974</v>
      </c>
      <c r="E533" s="31">
        <v>45992</v>
      </c>
    </row>
    <row r="534" spans="1:5" x14ac:dyDescent="0.25">
      <c r="A534" t="s">
        <v>63</v>
      </c>
      <c r="B534" t="s">
        <v>64</v>
      </c>
      <c r="C534" t="s">
        <v>226</v>
      </c>
      <c r="D534">
        <v>-842562.17074400012</v>
      </c>
      <c r="E534" s="31">
        <v>45992</v>
      </c>
    </row>
    <row r="535" spans="1:5" x14ac:dyDescent="0.25">
      <c r="A535" t="s">
        <v>84</v>
      </c>
      <c r="B535" t="s">
        <v>85</v>
      </c>
      <c r="C535" t="s">
        <v>67</v>
      </c>
      <c r="D535">
        <v>1325644.3700000001</v>
      </c>
      <c r="E535" s="31">
        <v>45992</v>
      </c>
    </row>
    <row r="536" spans="1:5" x14ac:dyDescent="0.25">
      <c r="A536" t="s">
        <v>108</v>
      </c>
      <c r="B536" t="s">
        <v>109</v>
      </c>
      <c r="C536" t="s">
        <v>67</v>
      </c>
      <c r="D536">
        <v>1500</v>
      </c>
      <c r="E536" s="31">
        <v>45992</v>
      </c>
    </row>
    <row r="537" spans="1:5" x14ac:dyDescent="0.25">
      <c r="A537" t="s">
        <v>82</v>
      </c>
      <c r="B537" t="s">
        <v>83</v>
      </c>
      <c r="C537" t="s">
        <v>226</v>
      </c>
      <c r="D537">
        <v>1257246.2948639998</v>
      </c>
      <c r="E537" s="31">
        <v>45992</v>
      </c>
    </row>
    <row r="538" spans="1:5" x14ac:dyDescent="0.25">
      <c r="A538" t="s">
        <v>210</v>
      </c>
      <c r="B538" t="s">
        <v>253</v>
      </c>
      <c r="C538" t="s">
        <v>226</v>
      </c>
      <c r="D538">
        <v>-630054.6100000001</v>
      </c>
      <c r="E538" s="31">
        <v>45992</v>
      </c>
    </row>
    <row r="539" spans="1:5" x14ac:dyDescent="0.25">
      <c r="A539" t="s">
        <v>68</v>
      </c>
      <c r="B539" t="s">
        <v>69</v>
      </c>
      <c r="C539" t="s">
        <v>226</v>
      </c>
      <c r="D539">
        <v>3758232.7725699991</v>
      </c>
      <c r="E539" s="31">
        <v>45992</v>
      </c>
    </row>
    <row r="540" spans="1:5" x14ac:dyDescent="0.25">
      <c r="A540" t="s">
        <v>116</v>
      </c>
      <c r="B540" t="s">
        <v>117</v>
      </c>
      <c r="C540" t="s">
        <v>47</v>
      </c>
      <c r="D540">
        <v>-1097882.6375679998</v>
      </c>
      <c r="E540" s="31">
        <v>45992</v>
      </c>
    </row>
    <row r="541" spans="1:5" x14ac:dyDescent="0.25">
      <c r="A541" t="s">
        <v>59</v>
      </c>
      <c r="B541" t="s">
        <v>60</v>
      </c>
      <c r="C541" t="s">
        <v>226</v>
      </c>
      <c r="D541">
        <v>-33555.377280000015</v>
      </c>
      <c r="E541" s="31">
        <v>45992</v>
      </c>
    </row>
    <row r="542" spans="1:5" x14ac:dyDescent="0.25">
      <c r="A542" t="s">
        <v>146</v>
      </c>
      <c r="B542" t="s">
        <v>147</v>
      </c>
      <c r="C542" t="s">
        <v>226</v>
      </c>
      <c r="D542">
        <v>413891.95999999996</v>
      </c>
      <c r="E542" s="31">
        <v>45992</v>
      </c>
    </row>
    <row r="543" spans="1:5" x14ac:dyDescent="0.25">
      <c r="A543" t="s">
        <v>139</v>
      </c>
      <c r="B543" t="s">
        <v>140</v>
      </c>
      <c r="C543" t="s">
        <v>47</v>
      </c>
      <c r="D543">
        <v>73679.350000000006</v>
      </c>
      <c r="E543" s="31">
        <v>45992</v>
      </c>
    </row>
    <row r="544" spans="1:5" x14ac:dyDescent="0.25">
      <c r="A544" t="s">
        <v>57</v>
      </c>
      <c r="B544" t="s">
        <v>58</v>
      </c>
      <c r="C544" t="s">
        <v>226</v>
      </c>
      <c r="D544">
        <v>-888282.20703840011</v>
      </c>
      <c r="E544" s="31">
        <v>45992</v>
      </c>
    </row>
    <row r="545" spans="1:5" x14ac:dyDescent="0.25">
      <c r="A545" t="s">
        <v>106</v>
      </c>
      <c r="B545" t="s">
        <v>107</v>
      </c>
      <c r="C545" t="s">
        <v>226</v>
      </c>
      <c r="D545" s="65">
        <v>620973.36626879999</v>
      </c>
      <c r="E545" s="31">
        <v>45992</v>
      </c>
    </row>
    <row r="546" spans="1:5" x14ac:dyDescent="0.25">
      <c r="A546" t="s">
        <v>122</v>
      </c>
      <c r="B546" t="s">
        <v>123</v>
      </c>
      <c r="C546" t="s">
        <v>52</v>
      </c>
      <c r="D546">
        <v>2223410.46</v>
      </c>
      <c r="E546" s="31">
        <v>45992</v>
      </c>
    </row>
    <row r="547" spans="1:5" x14ac:dyDescent="0.25">
      <c r="A547" t="s">
        <v>79</v>
      </c>
      <c r="B547" t="s">
        <v>80</v>
      </c>
      <c r="C547" t="s">
        <v>81</v>
      </c>
      <c r="D547">
        <v>84631.818623999949</v>
      </c>
      <c r="E547" s="31">
        <v>45992</v>
      </c>
    </row>
    <row r="548" spans="1:5" x14ac:dyDescent="0.25">
      <c r="A548" t="s">
        <v>94</v>
      </c>
      <c r="B548" t="s">
        <v>95</v>
      </c>
      <c r="C548" t="s">
        <v>78</v>
      </c>
      <c r="D548">
        <v>-1325105.431936</v>
      </c>
      <c r="E548" s="31">
        <v>45992</v>
      </c>
    </row>
    <row r="549" spans="1:5" x14ac:dyDescent="0.25">
      <c r="A549" t="s">
        <v>76</v>
      </c>
      <c r="B549" t="s">
        <v>77</v>
      </c>
      <c r="C549" t="s">
        <v>78</v>
      </c>
      <c r="D549">
        <v>938555.49944000016</v>
      </c>
      <c r="E549" s="31">
        <v>45992</v>
      </c>
    </row>
    <row r="550" spans="1:5" x14ac:dyDescent="0.25">
      <c r="A550" t="s">
        <v>124</v>
      </c>
      <c r="B550" t="s">
        <v>125</v>
      </c>
      <c r="C550" t="s">
        <v>78</v>
      </c>
      <c r="D550">
        <v>-268716.68000000005</v>
      </c>
      <c r="E550" s="31">
        <v>45992</v>
      </c>
    </row>
    <row r="551" spans="1:5" x14ac:dyDescent="0.25">
      <c r="A551" t="s">
        <v>157</v>
      </c>
      <c r="B551" t="s">
        <v>158</v>
      </c>
      <c r="C551" t="s">
        <v>226</v>
      </c>
      <c r="D551">
        <v>-1596.66</v>
      </c>
      <c r="E551" s="31">
        <v>45992</v>
      </c>
    </row>
    <row r="552" spans="1:5" x14ac:dyDescent="0.25">
      <c r="A552" t="s">
        <v>100</v>
      </c>
      <c r="B552" t="s">
        <v>101</v>
      </c>
      <c r="C552" t="s">
        <v>52</v>
      </c>
      <c r="D552">
        <v>34855.680000000022</v>
      </c>
      <c r="E552" s="31">
        <v>45992</v>
      </c>
    </row>
    <row r="553" spans="1:5" x14ac:dyDescent="0.25">
      <c r="A553" t="s">
        <v>114</v>
      </c>
      <c r="B553" t="s">
        <v>115</v>
      </c>
      <c r="C553" t="s">
        <v>226</v>
      </c>
      <c r="D553">
        <v>235570.01668800006</v>
      </c>
      <c r="E553" s="31">
        <v>45992</v>
      </c>
    </row>
    <row r="554" spans="1:5" x14ac:dyDescent="0.25">
      <c r="A554" t="s">
        <v>70</v>
      </c>
      <c r="B554" t="s">
        <v>71</v>
      </c>
      <c r="C554" t="s">
        <v>47</v>
      </c>
      <c r="D554">
        <v>-13436.590000000004</v>
      </c>
      <c r="E554" s="31">
        <v>45992</v>
      </c>
    </row>
    <row r="555" spans="1:5" x14ac:dyDescent="0.25">
      <c r="A555" t="s">
        <v>88</v>
      </c>
      <c r="B555" t="s">
        <v>89</v>
      </c>
      <c r="C555" t="s">
        <v>78</v>
      </c>
      <c r="D555">
        <v>-1029073.1932000001</v>
      </c>
      <c r="E555" s="31">
        <v>45992</v>
      </c>
    </row>
    <row r="556" spans="1:5" x14ac:dyDescent="0.25">
      <c r="A556" t="s">
        <v>98</v>
      </c>
      <c r="B556" t="s">
        <v>99</v>
      </c>
      <c r="C556" t="s">
        <v>81</v>
      </c>
      <c r="D556">
        <v>1495306.0700000003</v>
      </c>
      <c r="E556" s="31">
        <v>45992</v>
      </c>
    </row>
    <row r="557" spans="1:5" x14ac:dyDescent="0.25">
      <c r="A557" t="s">
        <v>133</v>
      </c>
      <c r="B557" t="s">
        <v>134</v>
      </c>
      <c r="C557" t="s">
        <v>47</v>
      </c>
      <c r="D557">
        <v>-1026809.1148000001</v>
      </c>
      <c r="E557" s="31">
        <v>45992</v>
      </c>
    </row>
    <row r="558" spans="1:5" x14ac:dyDescent="0.25">
      <c r="A558" t="s">
        <v>128</v>
      </c>
      <c r="B558" t="s">
        <v>129</v>
      </c>
      <c r="C558" t="s">
        <v>67</v>
      </c>
      <c r="D558">
        <v>-8896555.4132000003</v>
      </c>
      <c r="E558" s="31">
        <v>45992</v>
      </c>
    </row>
    <row r="559" spans="1:5" x14ac:dyDescent="0.25">
      <c r="A559" t="s">
        <v>131</v>
      </c>
      <c r="B559" t="s">
        <v>132</v>
      </c>
      <c r="C559" t="s">
        <v>67</v>
      </c>
      <c r="D559" s="30">
        <v>-417664.23000000004</v>
      </c>
      <c r="E559" s="31">
        <v>45992</v>
      </c>
    </row>
    <row r="560" spans="1:5" x14ac:dyDescent="0.25">
      <c r="A560" t="s">
        <v>168</v>
      </c>
      <c r="B560" t="s">
        <v>169</v>
      </c>
      <c r="C560" t="s">
        <v>226</v>
      </c>
      <c r="D560">
        <v>29764.325470232798</v>
      </c>
      <c r="E560" s="31">
        <v>45992</v>
      </c>
    </row>
    <row r="561" spans="1:5" x14ac:dyDescent="0.25">
      <c r="A561" t="s">
        <v>74</v>
      </c>
      <c r="B561" t="s">
        <v>75</v>
      </c>
      <c r="C561" t="s">
        <v>67</v>
      </c>
      <c r="D561">
        <v>721660.35785599984</v>
      </c>
      <c r="E561" s="31">
        <v>45992</v>
      </c>
    </row>
    <row r="562" spans="1:5" x14ac:dyDescent="0.25">
      <c r="A562" t="s">
        <v>96</v>
      </c>
      <c r="B562" t="s">
        <v>97</v>
      </c>
      <c r="C562" t="s">
        <v>81</v>
      </c>
      <c r="D562">
        <v>-353209.56200000003</v>
      </c>
      <c r="E562" s="31">
        <v>45992</v>
      </c>
    </row>
    <row r="563" spans="1:5" x14ac:dyDescent="0.25">
      <c r="A563" t="s">
        <v>90</v>
      </c>
      <c r="B563" t="s">
        <v>91</v>
      </c>
      <c r="C563" t="s">
        <v>81</v>
      </c>
      <c r="D563">
        <v>-1679589.9114399988</v>
      </c>
      <c r="E563" s="31">
        <v>45992</v>
      </c>
    </row>
    <row r="564" spans="1:5" x14ac:dyDescent="0.25">
      <c r="A564" t="s">
        <v>112</v>
      </c>
      <c r="B564" t="s">
        <v>113</v>
      </c>
      <c r="C564" t="s">
        <v>81</v>
      </c>
      <c r="D564" s="65">
        <v>4486916.6345599946</v>
      </c>
      <c r="E564" s="31">
        <v>45992</v>
      </c>
    </row>
    <row r="565" spans="1:5" x14ac:dyDescent="0.25">
      <c r="A565" t="s">
        <v>61</v>
      </c>
      <c r="B565" t="s">
        <v>62</v>
      </c>
      <c r="C565" t="s">
        <v>226</v>
      </c>
      <c r="D565">
        <v>-359172.9499999999</v>
      </c>
      <c r="E565" s="31">
        <v>45992</v>
      </c>
    </row>
    <row r="566" spans="1:5" x14ac:dyDescent="0.25">
      <c r="A566" t="s">
        <v>102</v>
      </c>
      <c r="B566" t="s">
        <v>103</v>
      </c>
      <c r="C566" t="s">
        <v>47</v>
      </c>
      <c r="D566">
        <v>-1030388.8211619781</v>
      </c>
      <c r="E566" s="31">
        <v>45992</v>
      </c>
    </row>
    <row r="567" spans="1:5" x14ac:dyDescent="0.25">
      <c r="A567" t="s">
        <v>54</v>
      </c>
      <c r="B567" t="s">
        <v>55</v>
      </c>
      <c r="C567" t="s">
        <v>226</v>
      </c>
      <c r="D567">
        <v>-84969.01596160006</v>
      </c>
      <c r="E567" s="31">
        <v>45992</v>
      </c>
    </row>
    <row r="568" spans="1:5" x14ac:dyDescent="0.25">
      <c r="A568" t="s">
        <v>118</v>
      </c>
      <c r="B568" t="s">
        <v>119</v>
      </c>
      <c r="C568" t="s">
        <v>226</v>
      </c>
      <c r="D568">
        <v>-3126557.6683408003</v>
      </c>
      <c r="E568" s="31">
        <v>45992</v>
      </c>
    </row>
    <row r="569" spans="1:5" x14ac:dyDescent="0.25">
      <c r="A569" t="s">
        <v>86</v>
      </c>
      <c r="B569" t="s">
        <v>87</v>
      </c>
      <c r="C569" t="s">
        <v>78</v>
      </c>
      <c r="D569" s="65">
        <v>-892538.96239999984</v>
      </c>
      <c r="E569" s="31">
        <v>45992</v>
      </c>
    </row>
    <row r="570" spans="1:5" x14ac:dyDescent="0.25">
      <c r="A570" t="s">
        <v>50</v>
      </c>
      <c r="B570" t="s">
        <v>51</v>
      </c>
      <c r="C570" t="s">
        <v>52</v>
      </c>
      <c r="D570">
        <v>-295715.78006999986</v>
      </c>
      <c r="E570" s="31">
        <v>45992</v>
      </c>
    </row>
    <row r="571" spans="1:5" x14ac:dyDescent="0.25">
      <c r="A571" t="s">
        <v>92</v>
      </c>
      <c r="B571" t="s">
        <v>93</v>
      </c>
      <c r="C571" t="s">
        <v>81</v>
      </c>
      <c r="D571">
        <v>-408964.00999999983</v>
      </c>
      <c r="E571" s="31">
        <v>45992</v>
      </c>
    </row>
    <row r="572" spans="1:5" x14ac:dyDescent="0.25">
      <c r="A572" t="s">
        <v>45</v>
      </c>
      <c r="B572" t="s">
        <v>46</v>
      </c>
      <c r="C572" t="s">
        <v>47</v>
      </c>
      <c r="D572">
        <v>100947.38694980997</v>
      </c>
      <c r="E572" s="31">
        <v>45992</v>
      </c>
    </row>
    <row r="573" spans="1:5" x14ac:dyDescent="0.25">
      <c r="A573" t="s">
        <v>159</v>
      </c>
      <c r="B573" t="s">
        <v>160</v>
      </c>
      <c r="C573" t="s">
        <v>52</v>
      </c>
      <c r="D573">
        <v>-100</v>
      </c>
      <c r="E573" s="31">
        <v>45992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1479-1F20-43AA-9BD7-3A224CF1155D}">
  <dimension ref="A1:I561"/>
  <sheetViews>
    <sheetView workbookViewId="0">
      <selection activeCell="N19" sqref="N19"/>
    </sheetView>
  </sheetViews>
  <sheetFormatPr defaultRowHeight="15" x14ac:dyDescent="0.25"/>
  <cols>
    <col min="1" max="1" width="27.5703125" bestFit="1" customWidth="1"/>
    <col min="2" max="2" width="24.85546875" bestFit="1" customWidth="1"/>
    <col min="3" max="3" width="14.85546875" bestFit="1" customWidth="1"/>
    <col min="4" max="4" width="7.85546875" bestFit="1" customWidth="1"/>
    <col min="5" max="5" width="15.85546875" style="65" bestFit="1" customWidth="1"/>
    <col min="6" max="6" width="16" hidden="1" customWidth="1"/>
    <col min="7" max="7" width="29.85546875" hidden="1" customWidth="1"/>
    <col min="8" max="8" width="12.7109375" hidden="1" customWidth="1"/>
    <col min="9" max="9" width="15" hidden="1" customWidth="1"/>
  </cols>
  <sheetData>
    <row r="1" spans="1:9" x14ac:dyDescent="0.25">
      <c r="A1" s="37" t="s">
        <v>260</v>
      </c>
      <c r="B1" s="38" t="s">
        <v>187</v>
      </c>
      <c r="C1" s="38" t="s">
        <v>40</v>
      </c>
      <c r="D1" s="39" t="s">
        <v>221</v>
      </c>
      <c r="E1" s="62" t="s">
        <v>261</v>
      </c>
      <c r="F1" s="40" t="s">
        <v>262</v>
      </c>
      <c r="G1" s="38" t="s">
        <v>263</v>
      </c>
      <c r="H1" s="38" t="s">
        <v>264</v>
      </c>
      <c r="I1" s="41" t="s">
        <v>265</v>
      </c>
    </row>
    <row r="2" spans="1:9" x14ac:dyDescent="0.25">
      <c r="A2" s="42" t="s">
        <v>100</v>
      </c>
      <c r="B2" s="43" t="s">
        <v>100</v>
      </c>
      <c r="C2" s="43" t="s">
        <v>152</v>
      </c>
      <c r="D2" s="44" t="s">
        <v>266</v>
      </c>
      <c r="E2" s="63">
        <v>207.72540000000001</v>
      </c>
      <c r="F2" s="45">
        <v>207.72540000000001</v>
      </c>
      <c r="G2" s="45">
        <v>2313507.8698999998</v>
      </c>
      <c r="H2" s="46">
        <v>8.9788067160964034E-5</v>
      </c>
      <c r="I2" s="47">
        <v>1.0774568059315685E-3</v>
      </c>
    </row>
    <row r="3" spans="1:9" x14ac:dyDescent="0.25">
      <c r="A3" s="48" t="s">
        <v>190</v>
      </c>
      <c r="B3" s="49" t="s">
        <v>234</v>
      </c>
      <c r="C3" s="49" t="s">
        <v>143</v>
      </c>
      <c r="D3" s="50" t="s">
        <v>266</v>
      </c>
      <c r="E3" s="64">
        <v>10591.724099999999</v>
      </c>
      <c r="F3" s="51">
        <v>10591.724099999999</v>
      </c>
      <c r="G3" s="51">
        <v>7054791.2930999994</v>
      </c>
      <c r="H3" s="52">
        <v>1.5013518699496223E-3</v>
      </c>
      <c r="I3" s="53">
        <v>1.8016222439395466E-2</v>
      </c>
    </row>
    <row r="4" spans="1:9" x14ac:dyDescent="0.25">
      <c r="A4" s="42" t="s">
        <v>65</v>
      </c>
      <c r="B4" s="43" t="s">
        <v>66</v>
      </c>
      <c r="C4" s="43" t="s">
        <v>67</v>
      </c>
      <c r="D4" s="44" t="s">
        <v>266</v>
      </c>
      <c r="E4" s="63">
        <v>54676.447699999997</v>
      </c>
      <c r="F4" s="45">
        <v>54676.447699999997</v>
      </c>
      <c r="G4" s="45">
        <v>204109024.55720001</v>
      </c>
      <c r="H4" s="46">
        <v>2.6787863897060238E-4</v>
      </c>
      <c r="I4" s="47">
        <v>3.2145436676472286E-3</v>
      </c>
    </row>
    <row r="5" spans="1:9" x14ac:dyDescent="0.25">
      <c r="A5" s="48" t="s">
        <v>131</v>
      </c>
      <c r="B5" s="49" t="s">
        <v>132</v>
      </c>
      <c r="C5" s="49" t="s">
        <v>67</v>
      </c>
      <c r="D5" s="50" t="s">
        <v>266</v>
      </c>
      <c r="E5" s="64">
        <v>462.1687</v>
      </c>
      <c r="F5" s="51">
        <v>462.1687</v>
      </c>
      <c r="G5" s="51">
        <v>14057870.572699999</v>
      </c>
      <c r="H5" s="52">
        <v>3.2876152729526402E-5</v>
      </c>
      <c r="I5" s="53">
        <v>3.9451383275431682E-4</v>
      </c>
    </row>
    <row r="6" spans="1:9" x14ac:dyDescent="0.25">
      <c r="A6" s="42" t="s">
        <v>82</v>
      </c>
      <c r="B6" s="43" t="s">
        <v>83</v>
      </c>
      <c r="C6" s="43" t="s">
        <v>230</v>
      </c>
      <c r="D6" s="44" t="s">
        <v>266</v>
      </c>
      <c r="E6" s="63">
        <v>17295.4869</v>
      </c>
      <c r="F6" s="45">
        <v>17295.4869</v>
      </c>
      <c r="G6" s="45">
        <v>47954631.124499999</v>
      </c>
      <c r="H6" s="46">
        <v>3.6066353748186256E-4</v>
      </c>
      <c r="I6" s="47">
        <v>4.3279624497823506E-3</v>
      </c>
    </row>
    <row r="7" spans="1:9" x14ac:dyDescent="0.25">
      <c r="A7" s="48" t="s">
        <v>68</v>
      </c>
      <c r="B7" s="49" t="s">
        <v>69</v>
      </c>
      <c r="C7" s="49" t="s">
        <v>143</v>
      </c>
      <c r="D7" s="50" t="s">
        <v>266</v>
      </c>
      <c r="E7" s="64">
        <v>15909.5951</v>
      </c>
      <c r="F7" s="51">
        <v>15909.5951</v>
      </c>
      <c r="G7" s="51">
        <v>51752216.152900003</v>
      </c>
      <c r="H7" s="52">
        <v>3.0741862441205787E-4</v>
      </c>
      <c r="I7" s="53">
        <v>3.6890234929446942E-3</v>
      </c>
    </row>
    <row r="8" spans="1:9" x14ac:dyDescent="0.25">
      <c r="A8" s="42" t="s">
        <v>199</v>
      </c>
      <c r="B8" s="43" t="s">
        <v>267</v>
      </c>
      <c r="C8" s="43" t="s">
        <v>81</v>
      </c>
      <c r="D8" s="44" t="s">
        <v>266</v>
      </c>
      <c r="E8" s="63">
        <v>749.6653</v>
      </c>
      <c r="F8" s="45">
        <v>749.6653</v>
      </c>
      <c r="G8" s="45">
        <v>48729.78</v>
      </c>
      <c r="H8" s="46">
        <v>1.5384130607607915E-2</v>
      </c>
      <c r="I8" s="47">
        <v>0.18460956729129496</v>
      </c>
    </row>
    <row r="9" spans="1:9" x14ac:dyDescent="0.25">
      <c r="A9" s="48" t="s">
        <v>79</v>
      </c>
      <c r="B9" s="49" t="s">
        <v>80</v>
      </c>
      <c r="C9" s="49" t="s">
        <v>81</v>
      </c>
      <c r="D9" s="50" t="s">
        <v>266</v>
      </c>
      <c r="E9" s="64">
        <v>49581.813499999997</v>
      </c>
      <c r="F9" s="51">
        <v>49581.813499999997</v>
      </c>
      <c r="G9" s="51">
        <v>8332155.3970999997</v>
      </c>
      <c r="H9" s="52">
        <v>5.9506587595878138E-3</v>
      </c>
      <c r="I9" s="53">
        <v>7.1407905115053766E-2</v>
      </c>
    </row>
    <row r="10" spans="1:9" x14ac:dyDescent="0.25">
      <c r="A10" s="42" t="s">
        <v>114</v>
      </c>
      <c r="B10" s="43" t="s">
        <v>115</v>
      </c>
      <c r="C10" s="43" t="s">
        <v>224</v>
      </c>
      <c r="D10" s="44" t="s">
        <v>266</v>
      </c>
      <c r="E10" s="63">
        <v>11716.965399999999</v>
      </c>
      <c r="F10" s="45">
        <v>11716.965399999999</v>
      </c>
      <c r="G10" s="45">
        <v>55759640.227499999</v>
      </c>
      <c r="H10" s="46">
        <v>2.1013344691957553E-4</v>
      </c>
      <c r="I10" s="47">
        <v>2.5216013630349064E-3</v>
      </c>
    </row>
    <row r="11" spans="1:9" x14ac:dyDescent="0.25">
      <c r="A11" s="48" t="s">
        <v>146</v>
      </c>
      <c r="B11" s="49" t="s">
        <v>147</v>
      </c>
      <c r="C11" s="49" t="s">
        <v>224</v>
      </c>
      <c r="D11" s="50" t="s">
        <v>266</v>
      </c>
      <c r="E11" s="64">
        <v>21396.140800000001</v>
      </c>
      <c r="F11" s="51">
        <v>21396.140800000001</v>
      </c>
      <c r="G11" s="51">
        <v>12911032.296499999</v>
      </c>
      <c r="H11" s="52">
        <v>1.6571983020908557E-3</v>
      </c>
      <c r="I11" s="53">
        <v>1.9886379625090267E-2</v>
      </c>
    </row>
    <row r="12" spans="1:9" x14ac:dyDescent="0.25">
      <c r="A12" s="42" t="s">
        <v>203</v>
      </c>
      <c r="B12" s="43" t="s">
        <v>203</v>
      </c>
      <c r="C12" s="43" t="s">
        <v>152</v>
      </c>
      <c r="D12" s="44" t="s">
        <v>266</v>
      </c>
      <c r="E12" s="63">
        <v>804.99710000000005</v>
      </c>
      <c r="F12" s="45">
        <v>804.99710000000005</v>
      </c>
      <c r="G12" s="45">
        <v>87468.144499999995</v>
      </c>
      <c r="H12" s="46">
        <v>9.2033174431864172E-3</v>
      </c>
      <c r="I12" s="47">
        <v>0.11043980931823701</v>
      </c>
    </row>
    <row r="13" spans="1:9" x14ac:dyDescent="0.25">
      <c r="A13" s="48" t="s">
        <v>90</v>
      </c>
      <c r="B13" s="49" t="s">
        <v>91</v>
      </c>
      <c r="C13" s="49" t="s">
        <v>81</v>
      </c>
      <c r="D13" s="50" t="s">
        <v>266</v>
      </c>
      <c r="E13" s="64">
        <v>41060.1368</v>
      </c>
      <c r="F13" s="51">
        <v>41060.1368</v>
      </c>
      <c r="G13" s="51">
        <v>82832956.618799999</v>
      </c>
      <c r="H13" s="52">
        <v>4.9569807086520046E-4</v>
      </c>
      <c r="I13" s="53">
        <v>5.9483768503824051E-3</v>
      </c>
    </row>
    <row r="14" spans="1:9" x14ac:dyDescent="0.25">
      <c r="A14" s="42" t="s">
        <v>98</v>
      </c>
      <c r="B14" s="43" t="s">
        <v>99</v>
      </c>
      <c r="C14" s="43" t="s">
        <v>81</v>
      </c>
      <c r="D14" s="44" t="s">
        <v>266</v>
      </c>
      <c r="E14" s="63">
        <v>31219.0586</v>
      </c>
      <c r="F14" s="45">
        <v>31219.0586</v>
      </c>
      <c r="G14" s="45">
        <v>2680481.233</v>
      </c>
      <c r="H14" s="46">
        <v>1.16468111082649E-2</v>
      </c>
      <c r="I14" s="47">
        <v>0.13976173329917879</v>
      </c>
    </row>
    <row r="15" spans="1:9" x14ac:dyDescent="0.25">
      <c r="A15" s="48" t="s">
        <v>120</v>
      </c>
      <c r="B15" s="49" t="s">
        <v>268</v>
      </c>
      <c r="C15" s="49" t="s">
        <v>143</v>
      </c>
      <c r="D15" s="50" t="s">
        <v>266</v>
      </c>
      <c r="E15" s="64">
        <v>29645.971799999999</v>
      </c>
      <c r="F15" s="51">
        <v>29645.971799999999</v>
      </c>
      <c r="G15" s="51">
        <v>46422913.490000002</v>
      </c>
      <c r="H15" s="52">
        <v>6.3860644606862226E-4</v>
      </c>
      <c r="I15" s="53">
        <v>7.6632773528234671E-3</v>
      </c>
    </row>
    <row r="16" spans="1:9" x14ac:dyDescent="0.25">
      <c r="A16" s="42" t="s">
        <v>106</v>
      </c>
      <c r="B16" s="43" t="s">
        <v>107</v>
      </c>
      <c r="C16" s="43" t="s">
        <v>143</v>
      </c>
      <c r="D16" s="44" t="s">
        <v>266</v>
      </c>
      <c r="E16" s="63">
        <v>90029.881500000003</v>
      </c>
      <c r="F16" s="45">
        <v>90029.881500000003</v>
      </c>
      <c r="G16" s="45">
        <v>70635107.227500007</v>
      </c>
      <c r="H16" s="46">
        <v>1.2745769778480514E-3</v>
      </c>
      <c r="I16" s="47">
        <v>1.5294923734176617E-2</v>
      </c>
    </row>
    <row r="17" spans="1:9" x14ac:dyDescent="0.25">
      <c r="A17" s="48" t="s">
        <v>54</v>
      </c>
      <c r="B17" s="49" t="s">
        <v>55</v>
      </c>
      <c r="C17" s="49" t="s">
        <v>143</v>
      </c>
      <c r="D17" s="50" t="s">
        <v>266</v>
      </c>
      <c r="E17" s="64">
        <v>25626.3298</v>
      </c>
      <c r="F17" s="51">
        <v>25626.3298</v>
      </c>
      <c r="G17" s="51">
        <v>52883802.748800002</v>
      </c>
      <c r="H17" s="52">
        <v>4.845780459799006E-4</v>
      </c>
      <c r="I17" s="53">
        <v>5.8149365517588068E-3</v>
      </c>
    </row>
    <row r="18" spans="1:9" x14ac:dyDescent="0.25">
      <c r="A18" s="42" t="s">
        <v>183</v>
      </c>
      <c r="B18" s="43" t="s">
        <v>231</v>
      </c>
      <c r="C18" s="43" t="s">
        <v>230</v>
      </c>
      <c r="D18" s="44" t="s">
        <v>266</v>
      </c>
      <c r="E18" s="63">
        <v>17199.912199999999</v>
      </c>
      <c r="F18" s="45">
        <v>17199.912199999999</v>
      </c>
      <c r="G18" s="45">
        <v>21357780.465100002</v>
      </c>
      <c r="H18" s="46">
        <v>8.0532301697293742E-4</v>
      </c>
      <c r="I18" s="47">
        <v>9.6638762036752486E-3</v>
      </c>
    </row>
    <row r="19" spans="1:9" x14ac:dyDescent="0.25">
      <c r="A19" s="48" t="s">
        <v>94</v>
      </c>
      <c r="B19" s="49" t="s">
        <v>95</v>
      </c>
      <c r="C19" s="49" t="s">
        <v>152</v>
      </c>
      <c r="D19" s="50" t="s">
        <v>266</v>
      </c>
      <c r="E19" s="64">
        <v>25753.164700000001</v>
      </c>
      <c r="F19" s="51">
        <v>25753.164700000001</v>
      </c>
      <c r="G19" s="51">
        <v>27792698.631399997</v>
      </c>
      <c r="H19" s="52">
        <v>9.2661619663317817E-4</v>
      </c>
      <c r="I19" s="53">
        <v>1.1119394359598137E-2</v>
      </c>
    </row>
    <row r="20" spans="1:9" x14ac:dyDescent="0.25">
      <c r="A20" s="42" t="s">
        <v>269</v>
      </c>
      <c r="B20" s="43" t="s">
        <v>270</v>
      </c>
      <c r="C20" s="43" t="s">
        <v>81</v>
      </c>
      <c r="D20" s="44" t="s">
        <v>266</v>
      </c>
      <c r="E20" s="63">
        <v>34970.325900000003</v>
      </c>
      <c r="F20" s="45">
        <v>34970.325900000003</v>
      </c>
      <c r="G20" s="45">
        <v>24668735.579300001</v>
      </c>
      <c r="H20" s="46">
        <v>1.4175970141470995E-3</v>
      </c>
      <c r="I20" s="47">
        <v>1.7011164169765194E-2</v>
      </c>
    </row>
    <row r="21" spans="1:9" x14ac:dyDescent="0.25">
      <c r="A21" s="48" t="s">
        <v>148</v>
      </c>
      <c r="B21" s="49" t="s">
        <v>149</v>
      </c>
      <c r="C21" s="49" t="s">
        <v>152</v>
      </c>
      <c r="D21" s="50" t="s">
        <v>266</v>
      </c>
      <c r="E21" s="64">
        <v>12745.3001</v>
      </c>
      <c r="F21" s="51">
        <v>12745.3001</v>
      </c>
      <c r="G21" s="51">
        <v>23635478.891600002</v>
      </c>
      <c r="H21" s="52">
        <v>5.3924441973247483E-4</v>
      </c>
      <c r="I21" s="53">
        <v>6.4709330367896979E-3</v>
      </c>
    </row>
    <row r="22" spans="1:9" x14ac:dyDescent="0.25">
      <c r="A22" s="42" t="s">
        <v>102</v>
      </c>
      <c r="B22" s="43" t="s">
        <v>271</v>
      </c>
      <c r="C22" s="43" t="s">
        <v>152</v>
      </c>
      <c r="D22" s="44" t="s">
        <v>266</v>
      </c>
      <c r="E22" s="63">
        <v>656.49030000000005</v>
      </c>
      <c r="F22" s="45">
        <v>656.49030000000005</v>
      </c>
      <c r="G22" s="45">
        <v>1900488.1865999999</v>
      </c>
      <c r="H22" s="46">
        <v>3.4543245500224363E-4</v>
      </c>
      <c r="I22" s="47">
        <v>4.1451894600269233E-3</v>
      </c>
    </row>
    <row r="23" spans="1:9" x14ac:dyDescent="0.25">
      <c r="A23" s="48" t="s">
        <v>86</v>
      </c>
      <c r="B23" s="49" t="s">
        <v>87</v>
      </c>
      <c r="C23" s="49" t="s">
        <v>152</v>
      </c>
      <c r="D23" s="50" t="s">
        <v>266</v>
      </c>
      <c r="E23" s="64">
        <v>79753.630099999995</v>
      </c>
      <c r="F23" s="51">
        <v>79753.630099999995</v>
      </c>
      <c r="G23" s="51">
        <v>42961345.174000002</v>
      </c>
      <c r="H23" s="52">
        <v>1.8564043974178559E-3</v>
      </c>
      <c r="I23" s="53">
        <v>2.2276852769014269E-2</v>
      </c>
    </row>
    <row r="24" spans="1:9" x14ac:dyDescent="0.25">
      <c r="A24" s="42" t="s">
        <v>189</v>
      </c>
      <c r="B24" s="43" t="s">
        <v>239</v>
      </c>
      <c r="C24" s="43" t="s">
        <v>152</v>
      </c>
      <c r="D24" s="44" t="s">
        <v>266</v>
      </c>
      <c r="E24" s="63">
        <v>4332.0549000000001</v>
      </c>
      <c r="F24" s="45">
        <v>4332.0549000000001</v>
      </c>
      <c r="G24" s="45">
        <v>4678349.9360999996</v>
      </c>
      <c r="H24" s="46">
        <v>9.2597923609180025E-4</v>
      </c>
      <c r="I24" s="47">
        <v>1.1111750833101603E-2</v>
      </c>
    </row>
    <row r="25" spans="1:9" x14ac:dyDescent="0.25">
      <c r="A25" s="48" t="s">
        <v>124</v>
      </c>
      <c r="B25" s="49" t="s">
        <v>125</v>
      </c>
      <c r="C25" s="49" t="s">
        <v>152</v>
      </c>
      <c r="D25" s="50" t="s">
        <v>266</v>
      </c>
      <c r="E25" s="64">
        <v>36501.262600000002</v>
      </c>
      <c r="F25" s="51">
        <v>36501.262600000002</v>
      </c>
      <c r="G25" s="51">
        <v>22087187.5361</v>
      </c>
      <c r="H25" s="52">
        <v>1.6525989350315055E-3</v>
      </c>
      <c r="I25" s="53">
        <v>1.9831187220378067E-2</v>
      </c>
    </row>
    <row r="26" spans="1:9" x14ac:dyDescent="0.25">
      <c r="A26" s="42" t="s">
        <v>200</v>
      </c>
      <c r="B26" s="43" t="s">
        <v>244</v>
      </c>
      <c r="C26" s="43" t="s">
        <v>230</v>
      </c>
      <c r="D26" s="44" t="s">
        <v>266</v>
      </c>
      <c r="E26" s="63">
        <v>20713.814200000001</v>
      </c>
      <c r="F26" s="45">
        <v>20713.814200000001</v>
      </c>
      <c r="G26" s="45">
        <v>14483905.1921</v>
      </c>
      <c r="H26" s="46">
        <v>1.4301263316262244E-3</v>
      </c>
      <c r="I26" s="47">
        <v>1.7161515979514694E-2</v>
      </c>
    </row>
    <row r="27" spans="1:9" x14ac:dyDescent="0.25">
      <c r="A27" s="48" t="s">
        <v>63</v>
      </c>
      <c r="B27" s="49" t="s">
        <v>64</v>
      </c>
      <c r="C27" s="49" t="s">
        <v>143</v>
      </c>
      <c r="D27" s="50" t="s">
        <v>266</v>
      </c>
      <c r="E27" s="64">
        <v>35799.110800000002</v>
      </c>
      <c r="F27" s="51">
        <v>35799.110800000002</v>
      </c>
      <c r="G27" s="51">
        <v>65829485.025600009</v>
      </c>
      <c r="H27" s="52">
        <v>5.4381575043581636E-4</v>
      </c>
      <c r="I27" s="53">
        <v>6.5257890052297964E-3</v>
      </c>
    </row>
    <row r="28" spans="1:9" x14ac:dyDescent="0.25">
      <c r="A28" s="42" t="s">
        <v>76</v>
      </c>
      <c r="B28" s="43" t="s">
        <v>77</v>
      </c>
      <c r="C28" s="43" t="s">
        <v>152</v>
      </c>
      <c r="D28" s="44" t="s">
        <v>266</v>
      </c>
      <c r="E28" s="63">
        <v>12369.6589</v>
      </c>
      <c r="F28" s="45">
        <v>12369.6589</v>
      </c>
      <c r="G28" s="45">
        <v>16504720.2509</v>
      </c>
      <c r="H28" s="46">
        <v>7.4946189404970285E-4</v>
      </c>
      <c r="I28" s="47">
        <v>8.9935427285964334E-3</v>
      </c>
    </row>
    <row r="29" spans="1:9" x14ac:dyDescent="0.25">
      <c r="A29" s="48" t="s">
        <v>195</v>
      </c>
      <c r="B29" s="49" t="s">
        <v>225</v>
      </c>
      <c r="C29" s="49" t="s">
        <v>226</v>
      </c>
      <c r="D29" s="50" t="s">
        <v>266</v>
      </c>
      <c r="E29" s="64">
        <v>14318.456899999999</v>
      </c>
      <c r="F29" s="51">
        <v>14318.456899999999</v>
      </c>
      <c r="G29" s="51">
        <v>57676572.046099998</v>
      </c>
      <c r="H29" s="52">
        <v>2.4825429792456246E-4</v>
      </c>
      <c r="I29" s="53">
        <v>2.9790515750947495E-3</v>
      </c>
    </row>
    <row r="30" spans="1:9" x14ac:dyDescent="0.25">
      <c r="A30" s="42" t="s">
        <v>116</v>
      </c>
      <c r="B30" s="43" t="s">
        <v>117</v>
      </c>
      <c r="C30" s="43" t="s">
        <v>143</v>
      </c>
      <c r="D30" s="44" t="s">
        <v>266</v>
      </c>
      <c r="E30" s="63">
        <v>55331.106699999997</v>
      </c>
      <c r="F30" s="45">
        <v>55331.106699999997</v>
      </c>
      <c r="G30" s="45">
        <v>71112248.549600005</v>
      </c>
      <c r="H30" s="46">
        <v>7.7808124238129192E-4</v>
      </c>
      <c r="I30" s="47">
        <v>9.3369749085755026E-3</v>
      </c>
    </row>
    <row r="31" spans="1:9" x14ac:dyDescent="0.25">
      <c r="A31" s="48" t="s">
        <v>112</v>
      </c>
      <c r="B31" s="49" t="s">
        <v>113</v>
      </c>
      <c r="C31" s="49" t="s">
        <v>81</v>
      </c>
      <c r="D31" s="50" t="s">
        <v>266</v>
      </c>
      <c r="E31" s="64">
        <v>65978.7261</v>
      </c>
      <c r="F31" s="51">
        <v>65978.7261</v>
      </c>
      <c r="G31" s="51">
        <v>63072225.976199992</v>
      </c>
      <c r="H31" s="52">
        <v>1.0460820920589794E-3</v>
      </c>
      <c r="I31" s="53">
        <v>1.2552985104707752E-2</v>
      </c>
    </row>
    <row r="32" spans="1:9" x14ac:dyDescent="0.25">
      <c r="A32" s="42" t="s">
        <v>122</v>
      </c>
      <c r="B32" s="43" t="s">
        <v>123</v>
      </c>
      <c r="C32" s="43" t="s">
        <v>152</v>
      </c>
      <c r="D32" s="44" t="s">
        <v>266</v>
      </c>
      <c r="E32" s="63">
        <v>24543.192999999999</v>
      </c>
      <c r="F32" s="45">
        <v>24543.192999999999</v>
      </c>
      <c r="G32" s="45">
        <v>95241434.377100006</v>
      </c>
      <c r="H32" s="46">
        <v>2.5769449148385778E-4</v>
      </c>
      <c r="I32" s="47">
        <v>3.0923338978062933E-3</v>
      </c>
    </row>
    <row r="33" spans="1:9" x14ac:dyDescent="0.25">
      <c r="A33" s="48" t="s">
        <v>193</v>
      </c>
      <c r="B33" s="49" t="s">
        <v>232</v>
      </c>
      <c r="C33" s="49" t="s">
        <v>230</v>
      </c>
      <c r="D33" s="50" t="s">
        <v>266</v>
      </c>
      <c r="E33" s="64">
        <v>12636.0152</v>
      </c>
      <c r="F33" s="51">
        <v>12636.0152</v>
      </c>
      <c r="G33" s="51">
        <v>36491068.472099997</v>
      </c>
      <c r="H33" s="52">
        <v>3.4627693101562995E-4</v>
      </c>
      <c r="I33" s="53">
        <v>4.1553231721875592E-3</v>
      </c>
    </row>
    <row r="34" spans="1:9" x14ac:dyDescent="0.25">
      <c r="A34" s="42" t="s">
        <v>197</v>
      </c>
      <c r="B34" s="43" t="s">
        <v>272</v>
      </c>
      <c r="C34" s="43" t="s">
        <v>67</v>
      </c>
      <c r="D34" s="44" t="s">
        <v>266</v>
      </c>
      <c r="E34" s="63">
        <v>2361.0470999999998</v>
      </c>
      <c r="F34" s="45">
        <v>2361.0470999999998</v>
      </c>
      <c r="G34" s="45">
        <v>25586117.368099999</v>
      </c>
      <c r="H34" s="46">
        <v>9.227844404965024E-5</v>
      </c>
      <c r="I34" s="47">
        <v>1.1073413285958029E-3</v>
      </c>
    </row>
    <row r="35" spans="1:9" x14ac:dyDescent="0.25">
      <c r="A35" s="48" t="s">
        <v>191</v>
      </c>
      <c r="B35" s="49" t="s">
        <v>237</v>
      </c>
      <c r="C35" s="49" t="s">
        <v>152</v>
      </c>
      <c r="D35" s="50" t="s">
        <v>266</v>
      </c>
      <c r="E35" s="64">
        <v>604.07899999999995</v>
      </c>
      <c r="F35" s="51">
        <v>604.07899999999995</v>
      </c>
      <c r="G35" s="51">
        <v>6657552.0910999998</v>
      </c>
      <c r="H35" s="52">
        <v>9.0735902886520328E-5</v>
      </c>
      <c r="I35" s="53">
        <v>1.088830834638244E-3</v>
      </c>
    </row>
    <row r="36" spans="1:9" x14ac:dyDescent="0.25">
      <c r="A36" s="42" t="s">
        <v>59</v>
      </c>
      <c r="B36" s="43" t="s">
        <v>60</v>
      </c>
      <c r="C36" s="43" t="s">
        <v>143</v>
      </c>
      <c r="D36" s="44" t="s">
        <v>266</v>
      </c>
      <c r="E36" s="63">
        <v>14022.3233</v>
      </c>
      <c r="F36" s="45">
        <v>14022.3233</v>
      </c>
      <c r="G36" s="45">
        <v>42210332.762699999</v>
      </c>
      <c r="H36" s="46">
        <v>3.3220120245986556E-4</v>
      </c>
      <c r="I36" s="47">
        <v>3.9864144295183868E-3</v>
      </c>
    </row>
    <row r="37" spans="1:9" x14ac:dyDescent="0.25">
      <c r="A37" s="48" t="s">
        <v>198</v>
      </c>
      <c r="B37" s="49" t="s">
        <v>242</v>
      </c>
      <c r="C37" s="49" t="s">
        <v>226</v>
      </c>
      <c r="D37" s="50" t="s">
        <v>266</v>
      </c>
      <c r="E37" s="64">
        <v>12162.330900000001</v>
      </c>
      <c r="F37" s="51">
        <v>12162.330900000001</v>
      </c>
      <c r="G37" s="51">
        <v>31027685.142800003</v>
      </c>
      <c r="H37" s="52">
        <v>3.9198318675804533E-4</v>
      </c>
      <c r="I37" s="53">
        <v>4.7037982410965441E-3</v>
      </c>
    </row>
    <row r="38" spans="1:9" x14ac:dyDescent="0.25">
      <c r="A38" s="42" t="s">
        <v>202</v>
      </c>
      <c r="B38" s="43" t="s">
        <v>273</v>
      </c>
      <c r="C38" s="43" t="s">
        <v>143</v>
      </c>
      <c r="D38" s="44" t="s">
        <v>266</v>
      </c>
      <c r="E38" s="63">
        <v>287.43610000000001</v>
      </c>
      <c r="F38" s="45">
        <v>287.43610000000001</v>
      </c>
      <c r="G38" s="45">
        <v>1429026.6950000001</v>
      </c>
      <c r="H38" s="46">
        <v>2.0114116902483756E-4</v>
      </c>
      <c r="I38" s="47">
        <v>2.4136940282980506E-3</v>
      </c>
    </row>
    <row r="39" spans="1:9" x14ac:dyDescent="0.25">
      <c r="A39" s="48" t="s">
        <v>70</v>
      </c>
      <c r="B39" s="49" t="s">
        <v>71</v>
      </c>
      <c r="C39" s="49" t="s">
        <v>152</v>
      </c>
      <c r="D39" s="50" t="s">
        <v>266</v>
      </c>
      <c r="E39" s="64">
        <v>10376.8554</v>
      </c>
      <c r="F39" s="51">
        <v>10376.8554</v>
      </c>
      <c r="G39" s="51">
        <v>12669678.6447</v>
      </c>
      <c r="H39" s="52">
        <v>8.1903067086400508E-4</v>
      </c>
      <c r="I39" s="53">
        <v>9.8283680503680609E-3</v>
      </c>
    </row>
    <row r="40" spans="1:9" x14ac:dyDescent="0.25">
      <c r="A40" s="42" t="s">
        <v>192</v>
      </c>
      <c r="B40" s="43" t="s">
        <v>243</v>
      </c>
      <c r="C40" s="43" t="s">
        <v>230</v>
      </c>
      <c r="D40" s="44" t="s">
        <v>266</v>
      </c>
      <c r="E40" s="63">
        <v>34202.796999999999</v>
      </c>
      <c r="F40" s="45">
        <v>34202.796999999999</v>
      </c>
      <c r="G40" s="45">
        <v>70856342.998500004</v>
      </c>
      <c r="H40" s="46">
        <v>4.8270621305878086E-4</v>
      </c>
      <c r="I40" s="47">
        <v>5.7924745567053699E-3</v>
      </c>
    </row>
    <row r="41" spans="1:9" x14ac:dyDescent="0.25">
      <c r="A41" s="48" t="s">
        <v>72</v>
      </c>
      <c r="B41" s="49" t="s">
        <v>73</v>
      </c>
      <c r="C41" s="49" t="s">
        <v>67</v>
      </c>
      <c r="D41" s="50" t="s">
        <v>266</v>
      </c>
      <c r="E41" s="64">
        <v>48250.32</v>
      </c>
      <c r="F41" s="51">
        <v>48250.32</v>
      </c>
      <c r="G41" s="51">
        <v>160924970.7044</v>
      </c>
      <c r="H41" s="52">
        <v>2.9983115602755082E-4</v>
      </c>
      <c r="I41" s="53">
        <v>3.5979738723306096E-3</v>
      </c>
    </row>
    <row r="42" spans="1:9" x14ac:dyDescent="0.25">
      <c r="A42" s="42" t="s">
        <v>133</v>
      </c>
      <c r="B42" s="43" t="s">
        <v>134</v>
      </c>
      <c r="C42" s="43" t="s">
        <v>241</v>
      </c>
      <c r="D42" s="44" t="s">
        <v>266</v>
      </c>
      <c r="E42" s="63">
        <v>1399.1484</v>
      </c>
      <c r="F42" s="45">
        <v>1399.1484</v>
      </c>
      <c r="G42" s="45">
        <v>4429889.7684000004</v>
      </c>
      <c r="H42" s="46">
        <v>3.158427123809332E-4</v>
      </c>
      <c r="I42" s="47">
        <v>3.7901125485711984E-3</v>
      </c>
    </row>
    <row r="43" spans="1:9" x14ac:dyDescent="0.25">
      <c r="A43" s="48" t="s">
        <v>188</v>
      </c>
      <c r="B43" s="49" t="s">
        <v>233</v>
      </c>
      <c r="C43" s="49" t="s">
        <v>226</v>
      </c>
      <c r="D43" s="50" t="s">
        <v>266</v>
      </c>
      <c r="E43" s="64">
        <v>10649.491400000001</v>
      </c>
      <c r="F43" s="51">
        <v>10649.491400000001</v>
      </c>
      <c r="G43" s="51">
        <v>51795665.4441</v>
      </c>
      <c r="H43" s="52">
        <v>2.0560584189218241E-4</v>
      </c>
      <c r="I43" s="53">
        <v>2.4672701027061887E-3</v>
      </c>
    </row>
    <row r="44" spans="1:9" x14ac:dyDescent="0.25">
      <c r="A44" s="42" t="s">
        <v>118</v>
      </c>
      <c r="B44" s="43" t="s">
        <v>119</v>
      </c>
      <c r="C44" s="43" t="s">
        <v>143</v>
      </c>
      <c r="D44" s="44" t="s">
        <v>266</v>
      </c>
      <c r="E44" s="63">
        <v>23109.486099999998</v>
      </c>
      <c r="F44" s="45">
        <v>23109.486099999998</v>
      </c>
      <c r="G44" s="45">
        <v>36939532.246699996</v>
      </c>
      <c r="H44" s="46">
        <v>6.2560310579093728E-4</v>
      </c>
      <c r="I44" s="47">
        <v>7.507237269491247E-3</v>
      </c>
    </row>
    <row r="45" spans="1:9" x14ac:dyDescent="0.25">
      <c r="A45" s="48" t="s">
        <v>194</v>
      </c>
      <c r="B45" s="49" t="s">
        <v>246</v>
      </c>
      <c r="C45" s="49" t="s">
        <v>230</v>
      </c>
      <c r="D45" s="50" t="s">
        <v>266</v>
      </c>
      <c r="E45" s="64">
        <v>31833.670699999999</v>
      </c>
      <c r="F45" s="51">
        <v>31833.670699999999</v>
      </c>
      <c r="G45" s="51">
        <v>66567627.375000007</v>
      </c>
      <c r="H45" s="52">
        <v>4.7821549235440208E-4</v>
      </c>
      <c r="I45" s="53">
        <v>5.7385859082528246E-3</v>
      </c>
    </row>
    <row r="46" spans="1:9" x14ac:dyDescent="0.25">
      <c r="A46" s="42" t="s">
        <v>57</v>
      </c>
      <c r="B46" s="43" t="s">
        <v>58</v>
      </c>
      <c r="C46" s="43" t="s">
        <v>230</v>
      </c>
      <c r="D46" s="44" t="s">
        <v>266</v>
      </c>
      <c r="E46" s="63">
        <v>8165.0236999999997</v>
      </c>
      <c r="F46" s="45">
        <v>8165.0236999999997</v>
      </c>
      <c r="G46" s="45">
        <v>9103424.0824999996</v>
      </c>
      <c r="H46" s="46">
        <v>8.9691786584962714E-4</v>
      </c>
      <c r="I46" s="47">
        <v>1.0763014390195526E-2</v>
      </c>
    </row>
    <row r="47" spans="1:9" x14ac:dyDescent="0.25">
      <c r="A47" s="48" t="s">
        <v>274</v>
      </c>
      <c r="B47" s="49" t="s">
        <v>158</v>
      </c>
      <c r="C47" s="49" t="s">
        <v>152</v>
      </c>
      <c r="D47" s="50" t="s">
        <v>266</v>
      </c>
      <c r="E47" s="64">
        <v>211.9188</v>
      </c>
      <c r="F47" s="51">
        <v>211.9188</v>
      </c>
      <c r="G47" s="51">
        <v>264422.14299999998</v>
      </c>
      <c r="H47" s="52">
        <v>8.0144120154112815E-4</v>
      </c>
      <c r="I47" s="53">
        <v>9.6172944184935369E-3</v>
      </c>
    </row>
    <row r="48" spans="1:9" x14ac:dyDescent="0.25">
      <c r="A48" s="42" t="s">
        <v>74</v>
      </c>
      <c r="B48" s="43" t="s">
        <v>75</v>
      </c>
      <c r="C48" s="43" t="s">
        <v>67</v>
      </c>
      <c r="D48" s="44" t="s">
        <v>266</v>
      </c>
      <c r="E48" s="63">
        <v>2623.1021000000001</v>
      </c>
      <c r="F48" s="45">
        <v>2623.1021000000001</v>
      </c>
      <c r="G48" s="45">
        <v>38464291.693999998</v>
      </c>
      <c r="H48" s="46">
        <v>6.8195772870794212E-5</v>
      </c>
      <c r="I48" s="47">
        <v>8.1834927444953049E-4</v>
      </c>
    </row>
    <row r="49" spans="1:9" x14ac:dyDescent="0.25">
      <c r="A49" s="48" t="s">
        <v>96</v>
      </c>
      <c r="B49" s="49" t="s">
        <v>97</v>
      </c>
      <c r="C49" s="49" t="s">
        <v>81</v>
      </c>
      <c r="D49" s="50" t="s">
        <v>266</v>
      </c>
      <c r="E49" s="64">
        <v>23200.897300000001</v>
      </c>
      <c r="F49" s="51">
        <v>23200.897300000001</v>
      </c>
      <c r="G49" s="51">
        <v>19586906.004700001</v>
      </c>
      <c r="H49" s="52">
        <v>1.1845105753013161E-3</v>
      </c>
      <c r="I49" s="53">
        <v>1.4214126903615794E-2</v>
      </c>
    </row>
    <row r="50" spans="1:9" x14ac:dyDescent="0.25">
      <c r="A50" s="42" t="s">
        <v>196</v>
      </c>
      <c r="B50" s="43" t="s">
        <v>245</v>
      </c>
      <c r="C50" s="43" t="s">
        <v>143</v>
      </c>
      <c r="D50" s="44" t="s">
        <v>266</v>
      </c>
      <c r="E50" s="63">
        <v>2.5777000000000001</v>
      </c>
      <c r="F50" s="45">
        <v>2.5777000000000001</v>
      </c>
      <c r="G50" s="45">
        <v>22702.1018</v>
      </c>
      <c r="H50" s="46">
        <v>1.135445529541234E-4</v>
      </c>
      <c r="I50" s="47">
        <v>1.3625346354494809E-3</v>
      </c>
    </row>
    <row r="51" spans="1:9" x14ac:dyDescent="0.25">
      <c r="A51" s="48" t="s">
        <v>150</v>
      </c>
      <c r="B51" s="49" t="s">
        <v>150</v>
      </c>
      <c r="C51" s="49" t="s">
        <v>152</v>
      </c>
      <c r="D51" s="50" t="s">
        <v>275</v>
      </c>
      <c r="E51" s="64">
        <v>2096.1215999999999</v>
      </c>
      <c r="F51" s="51">
        <v>2096.1215999999999</v>
      </c>
      <c r="G51" s="51">
        <v>12734359.781099999</v>
      </c>
      <c r="H51" s="52">
        <v>1.6460361070613129E-4</v>
      </c>
      <c r="I51" s="53">
        <v>1.9752433284735754E-3</v>
      </c>
    </row>
    <row r="52" spans="1:9" x14ac:dyDescent="0.25">
      <c r="A52" s="42" t="s">
        <v>100</v>
      </c>
      <c r="B52" s="43" t="s">
        <v>100</v>
      </c>
      <c r="C52" s="43" t="s">
        <v>152</v>
      </c>
      <c r="D52" s="44" t="s">
        <v>275</v>
      </c>
      <c r="E52" s="63">
        <v>121.9726</v>
      </c>
      <c r="F52" s="45">
        <v>121.9726</v>
      </c>
      <c r="G52" s="45">
        <v>50546.334999999999</v>
      </c>
      <c r="H52" s="46">
        <v>2.4130849447343713E-3</v>
      </c>
      <c r="I52" s="47">
        <v>2.8957019336812453E-2</v>
      </c>
    </row>
    <row r="53" spans="1:9" x14ac:dyDescent="0.25">
      <c r="A53" s="48" t="s">
        <v>190</v>
      </c>
      <c r="B53" s="49" t="s">
        <v>234</v>
      </c>
      <c r="C53" s="49" t="s">
        <v>143</v>
      </c>
      <c r="D53" s="50" t="s">
        <v>275</v>
      </c>
      <c r="E53" s="64">
        <v>11076.5437</v>
      </c>
      <c r="F53" s="51">
        <v>11076.5437</v>
      </c>
      <c r="G53" s="51">
        <v>7610451.223199999</v>
      </c>
      <c r="H53" s="52">
        <v>1.4554384983420992E-3</v>
      </c>
      <c r="I53" s="53">
        <v>1.7465261980105191E-2</v>
      </c>
    </row>
    <row r="54" spans="1:9" x14ac:dyDescent="0.25">
      <c r="A54" s="42" t="s">
        <v>65</v>
      </c>
      <c r="B54" s="43" t="s">
        <v>66</v>
      </c>
      <c r="C54" s="43" t="s">
        <v>67</v>
      </c>
      <c r="D54" s="44" t="s">
        <v>275</v>
      </c>
      <c r="E54" s="63">
        <v>269782.49329999997</v>
      </c>
      <c r="F54" s="45">
        <v>269782.49329999997</v>
      </c>
      <c r="G54" s="45">
        <v>203057927.5341</v>
      </c>
      <c r="H54" s="46">
        <v>1.3285986741625477E-3</v>
      </c>
      <c r="I54" s="47">
        <v>1.5943184089950574E-2</v>
      </c>
    </row>
    <row r="55" spans="1:9" x14ac:dyDescent="0.25">
      <c r="A55" s="48" t="s">
        <v>131</v>
      </c>
      <c r="B55" s="49" t="s">
        <v>132</v>
      </c>
      <c r="C55" s="49" t="s">
        <v>67</v>
      </c>
      <c r="D55" s="50" t="s">
        <v>275</v>
      </c>
      <c r="E55" s="64">
        <v>108329.98510000001</v>
      </c>
      <c r="F55" s="51">
        <v>108329.98510000001</v>
      </c>
      <c r="G55" s="51">
        <v>30485951.213399995</v>
      </c>
      <c r="H55" s="52">
        <v>3.5534395611177098E-3</v>
      </c>
      <c r="I55" s="53">
        <v>4.2641274733412518E-2</v>
      </c>
    </row>
    <row r="56" spans="1:9" x14ac:dyDescent="0.25">
      <c r="A56" s="42" t="s">
        <v>82</v>
      </c>
      <c r="B56" s="43" t="s">
        <v>83</v>
      </c>
      <c r="C56" s="43" t="s">
        <v>230</v>
      </c>
      <c r="D56" s="44" t="s">
        <v>275</v>
      </c>
      <c r="E56" s="63">
        <v>24157.377499999999</v>
      </c>
      <c r="F56" s="45">
        <v>24157.377499999999</v>
      </c>
      <c r="G56" s="45">
        <v>49991565.720700003</v>
      </c>
      <c r="H56" s="46">
        <v>4.8322906377779555E-4</v>
      </c>
      <c r="I56" s="47">
        <v>5.7987487653335468E-3</v>
      </c>
    </row>
    <row r="57" spans="1:9" x14ac:dyDescent="0.25">
      <c r="A57" s="48" t="s">
        <v>68</v>
      </c>
      <c r="B57" s="49" t="s">
        <v>69</v>
      </c>
      <c r="C57" s="49" t="s">
        <v>143</v>
      </c>
      <c r="D57" s="50" t="s">
        <v>275</v>
      </c>
      <c r="E57" s="64">
        <v>15549.8959</v>
      </c>
      <c r="F57" s="51">
        <v>15549.8959</v>
      </c>
      <c r="G57" s="51">
        <v>54837921.103600003</v>
      </c>
      <c r="H57" s="52">
        <v>2.8356100280721945E-4</v>
      </c>
      <c r="I57" s="53">
        <v>3.4027320336866337E-3</v>
      </c>
    </row>
    <row r="58" spans="1:9" x14ac:dyDescent="0.25">
      <c r="A58" s="42" t="s">
        <v>79</v>
      </c>
      <c r="B58" s="43" t="s">
        <v>80</v>
      </c>
      <c r="C58" s="43" t="s">
        <v>81</v>
      </c>
      <c r="D58" s="44" t="s">
        <v>275</v>
      </c>
      <c r="E58" s="63">
        <v>4433.3589000000002</v>
      </c>
      <c r="F58" s="45">
        <v>4433.3589000000002</v>
      </c>
      <c r="G58" s="45">
        <v>8750402.6908999998</v>
      </c>
      <c r="H58" s="46">
        <v>5.0664627178935223E-4</v>
      </c>
      <c r="I58" s="47">
        <v>6.0797552614722267E-3</v>
      </c>
    </row>
    <row r="59" spans="1:9" x14ac:dyDescent="0.25">
      <c r="A59" s="48" t="s">
        <v>114</v>
      </c>
      <c r="B59" s="49" t="s">
        <v>115</v>
      </c>
      <c r="C59" s="49" t="s">
        <v>230</v>
      </c>
      <c r="D59" s="50" t="s">
        <v>275</v>
      </c>
      <c r="E59" s="64">
        <v>43726.152999999998</v>
      </c>
      <c r="F59" s="51">
        <v>43726.152999999998</v>
      </c>
      <c r="G59" s="51">
        <v>52646020.961300001</v>
      </c>
      <c r="H59" s="52">
        <v>8.3056900030760189E-4</v>
      </c>
      <c r="I59" s="53">
        <v>9.9668280036912232E-3</v>
      </c>
    </row>
    <row r="60" spans="1:9" x14ac:dyDescent="0.25">
      <c r="A60" s="42" t="s">
        <v>146</v>
      </c>
      <c r="B60" s="43" t="s">
        <v>147</v>
      </c>
      <c r="C60" s="43" t="s">
        <v>226</v>
      </c>
      <c r="D60" s="44" t="s">
        <v>275</v>
      </c>
      <c r="E60" s="63">
        <v>1569.3565000000001</v>
      </c>
      <c r="F60" s="45">
        <v>1569.3565000000001</v>
      </c>
      <c r="G60" s="45">
        <v>13561843.767200001</v>
      </c>
      <c r="H60" s="46">
        <v>1.1571852079549593E-4</v>
      </c>
      <c r="I60" s="47">
        <v>1.3886222495459511E-3</v>
      </c>
    </row>
    <row r="61" spans="1:9" x14ac:dyDescent="0.25">
      <c r="A61" s="48" t="s">
        <v>90</v>
      </c>
      <c r="B61" s="49" t="s">
        <v>91</v>
      </c>
      <c r="C61" s="49" t="s">
        <v>81</v>
      </c>
      <c r="D61" s="50" t="s">
        <v>275</v>
      </c>
      <c r="E61" s="64">
        <v>59679.658199999998</v>
      </c>
      <c r="F61" s="51">
        <v>59679.658199999998</v>
      </c>
      <c r="G61" s="51">
        <v>82764117.152400002</v>
      </c>
      <c r="H61" s="52">
        <v>7.2108131220813016E-4</v>
      </c>
      <c r="I61" s="53">
        <v>8.6529757464975619E-3</v>
      </c>
    </row>
    <row r="62" spans="1:9" x14ac:dyDescent="0.25">
      <c r="A62" s="42" t="s">
        <v>98</v>
      </c>
      <c r="B62" s="43" t="s">
        <v>99</v>
      </c>
      <c r="C62" s="43" t="s">
        <v>81</v>
      </c>
      <c r="D62" s="44" t="s">
        <v>275</v>
      </c>
      <c r="E62" s="63">
        <v>49305.024100000002</v>
      </c>
      <c r="F62" s="45">
        <v>49305.024100000002</v>
      </c>
      <c r="G62" s="45">
        <v>3225217.2486</v>
      </c>
      <c r="H62" s="46">
        <v>1.5287349750284975E-2</v>
      </c>
      <c r="I62" s="47">
        <v>0.18344819700341969</v>
      </c>
    </row>
    <row r="63" spans="1:9" x14ac:dyDescent="0.25">
      <c r="A63" s="48" t="s">
        <v>120</v>
      </c>
      <c r="B63" s="49" t="s">
        <v>268</v>
      </c>
      <c r="C63" s="49" t="s">
        <v>143</v>
      </c>
      <c r="D63" s="50" t="s">
        <v>275</v>
      </c>
      <c r="E63" s="64">
        <v>52362.227700000003</v>
      </c>
      <c r="F63" s="51">
        <v>52362.227700000003</v>
      </c>
      <c r="G63" s="51">
        <v>47227073.301899999</v>
      </c>
      <c r="H63" s="52">
        <v>1.1087332760443026E-3</v>
      </c>
      <c r="I63" s="53">
        <v>1.3304799312531632E-2</v>
      </c>
    </row>
    <row r="64" spans="1:9" x14ac:dyDescent="0.25">
      <c r="A64" s="42" t="s">
        <v>106</v>
      </c>
      <c r="B64" s="43" t="s">
        <v>107</v>
      </c>
      <c r="C64" s="43" t="s">
        <v>143</v>
      </c>
      <c r="D64" s="44" t="s">
        <v>275</v>
      </c>
      <c r="E64" s="63">
        <v>86725.645999999993</v>
      </c>
      <c r="F64" s="45">
        <v>86725.645999999993</v>
      </c>
      <c r="G64" s="45">
        <v>70829809.591299996</v>
      </c>
      <c r="H64" s="46">
        <v>1.2244229724803959E-3</v>
      </c>
      <c r="I64" s="47">
        <v>1.469307566976475E-2</v>
      </c>
    </row>
    <row r="65" spans="1:9" x14ac:dyDescent="0.25">
      <c r="A65" s="48" t="s">
        <v>54</v>
      </c>
      <c r="B65" s="49" t="s">
        <v>55</v>
      </c>
      <c r="C65" s="49" t="s">
        <v>143</v>
      </c>
      <c r="D65" s="50" t="s">
        <v>275</v>
      </c>
      <c r="E65" s="64">
        <v>26101.208600000002</v>
      </c>
      <c r="F65" s="51">
        <v>26101.208600000002</v>
      </c>
      <c r="G65" s="51">
        <v>54438891.821000002</v>
      </c>
      <c r="H65" s="52">
        <v>4.7945885242894242E-4</v>
      </c>
      <c r="I65" s="53">
        <v>5.753506229147309E-3</v>
      </c>
    </row>
    <row r="66" spans="1:9" x14ac:dyDescent="0.25">
      <c r="A66" s="42" t="s">
        <v>183</v>
      </c>
      <c r="B66" s="43" t="s">
        <v>231</v>
      </c>
      <c r="C66" s="43" t="s">
        <v>230</v>
      </c>
      <c r="D66" s="44" t="s">
        <v>275</v>
      </c>
      <c r="E66" s="63">
        <v>5967.9331000000002</v>
      </c>
      <c r="F66" s="45">
        <v>5967.9331000000002</v>
      </c>
      <c r="G66" s="45">
        <v>21146315.013099998</v>
      </c>
      <c r="H66" s="46">
        <v>2.8222094943269817E-4</v>
      </c>
      <c r="I66" s="47">
        <v>3.386651393192378E-3</v>
      </c>
    </row>
    <row r="67" spans="1:9" x14ac:dyDescent="0.25">
      <c r="A67" s="48" t="s">
        <v>94</v>
      </c>
      <c r="B67" s="49" t="s">
        <v>95</v>
      </c>
      <c r="C67" s="49" t="s">
        <v>152</v>
      </c>
      <c r="D67" s="50" t="s">
        <v>275</v>
      </c>
      <c r="E67" s="64">
        <v>121726.7654</v>
      </c>
      <c r="F67" s="51">
        <v>121726.7654</v>
      </c>
      <c r="G67" s="51">
        <v>27487051.8292</v>
      </c>
      <c r="H67" s="52">
        <v>4.4285129651732034E-3</v>
      </c>
      <c r="I67" s="53">
        <v>5.3142155582078437E-2</v>
      </c>
    </row>
    <row r="68" spans="1:9" x14ac:dyDescent="0.25">
      <c r="A68" s="42" t="s">
        <v>205</v>
      </c>
      <c r="B68" s="43" t="s">
        <v>250</v>
      </c>
      <c r="C68" s="43" t="s">
        <v>152</v>
      </c>
      <c r="D68" s="44" t="s">
        <v>275</v>
      </c>
      <c r="E68" s="63">
        <v>1811.7628</v>
      </c>
      <c r="F68" s="45">
        <v>1811.7628</v>
      </c>
      <c r="G68" s="45">
        <v>4689600.1432999996</v>
      </c>
      <c r="H68" s="46">
        <v>3.8633630685730279E-4</v>
      </c>
      <c r="I68" s="47">
        <v>4.6360356822876337E-3</v>
      </c>
    </row>
    <row r="69" spans="1:9" x14ac:dyDescent="0.25">
      <c r="A69" s="48" t="s">
        <v>269</v>
      </c>
      <c r="B69" s="49" t="s">
        <v>270</v>
      </c>
      <c r="C69" s="49" t="s">
        <v>81</v>
      </c>
      <c r="D69" s="50" t="s">
        <v>275</v>
      </c>
      <c r="E69" s="64">
        <v>38285.563800000004</v>
      </c>
      <c r="F69" s="51">
        <v>38285.563800000004</v>
      </c>
      <c r="G69" s="51">
        <v>26100600.275800001</v>
      </c>
      <c r="H69" s="52">
        <v>1.4668461029801556E-3</v>
      </c>
      <c r="I69" s="53">
        <v>1.7602153235761867E-2</v>
      </c>
    </row>
    <row r="70" spans="1:9" x14ac:dyDescent="0.25">
      <c r="A70" s="42" t="s">
        <v>148</v>
      </c>
      <c r="B70" s="43" t="s">
        <v>149</v>
      </c>
      <c r="C70" s="43" t="s">
        <v>226</v>
      </c>
      <c r="D70" s="44" t="s">
        <v>275</v>
      </c>
      <c r="E70" s="63">
        <v>3047.0882999999999</v>
      </c>
      <c r="F70" s="45">
        <v>3047.0882999999999</v>
      </c>
      <c r="G70" s="45">
        <v>5070281.1507999999</v>
      </c>
      <c r="H70" s="46">
        <v>6.0097028337752515E-4</v>
      </c>
      <c r="I70" s="47">
        <v>7.2116434005303019E-3</v>
      </c>
    </row>
    <row r="71" spans="1:9" x14ac:dyDescent="0.25">
      <c r="A71" s="48" t="s">
        <v>102</v>
      </c>
      <c r="B71" s="49" t="s">
        <v>271</v>
      </c>
      <c r="C71" s="49" t="s">
        <v>152</v>
      </c>
      <c r="D71" s="50" t="s">
        <v>275</v>
      </c>
      <c r="E71" s="64">
        <v>1310.2052000000001</v>
      </c>
      <c r="F71" s="51">
        <v>1310.2052000000001</v>
      </c>
      <c r="G71" s="51">
        <v>4975205.1498999996</v>
      </c>
      <c r="H71" s="52">
        <v>2.6334696972773775E-4</v>
      </c>
      <c r="I71" s="53">
        <v>3.1601636367328528E-3</v>
      </c>
    </row>
    <row r="72" spans="1:9" x14ac:dyDescent="0.25">
      <c r="A72" s="42" t="s">
        <v>86</v>
      </c>
      <c r="B72" s="43" t="s">
        <v>87</v>
      </c>
      <c r="C72" s="43" t="s">
        <v>152</v>
      </c>
      <c r="D72" s="44" t="s">
        <v>275</v>
      </c>
      <c r="E72" s="63">
        <v>95836.386499999993</v>
      </c>
      <c r="F72" s="45">
        <v>95836.386499999993</v>
      </c>
      <c r="G72" s="45">
        <v>42183139.613200001</v>
      </c>
      <c r="H72" s="46">
        <v>2.2719121283710886E-3</v>
      </c>
      <c r="I72" s="47">
        <v>2.7262945540453061E-2</v>
      </c>
    </row>
    <row r="73" spans="1:9" x14ac:dyDescent="0.25">
      <c r="A73" s="48" t="s">
        <v>124</v>
      </c>
      <c r="B73" s="49" t="s">
        <v>125</v>
      </c>
      <c r="C73" s="49" t="s">
        <v>152</v>
      </c>
      <c r="D73" s="50" t="s">
        <v>275</v>
      </c>
      <c r="E73" s="64">
        <v>33761.686499999996</v>
      </c>
      <c r="F73" s="51">
        <v>33761.686499999996</v>
      </c>
      <c r="G73" s="51">
        <v>17695885.331300002</v>
      </c>
      <c r="H73" s="52">
        <v>1.9078834354946481E-3</v>
      </c>
      <c r="I73" s="53">
        <v>2.2894601225935778E-2</v>
      </c>
    </row>
    <row r="74" spans="1:9" x14ac:dyDescent="0.25">
      <c r="A74" s="42" t="s">
        <v>200</v>
      </c>
      <c r="B74" s="43" t="s">
        <v>244</v>
      </c>
      <c r="C74" s="43" t="s">
        <v>230</v>
      </c>
      <c r="D74" s="44" t="s">
        <v>275</v>
      </c>
      <c r="E74" s="63">
        <v>1791.598</v>
      </c>
      <c r="F74" s="45">
        <v>1791.598</v>
      </c>
      <c r="G74" s="45">
        <v>13662472.6019</v>
      </c>
      <c r="H74" s="46">
        <v>1.3113277897815127E-4</v>
      </c>
      <c r="I74" s="47">
        <v>1.5735933477378154E-3</v>
      </c>
    </row>
    <row r="75" spans="1:9" x14ac:dyDescent="0.25">
      <c r="A75" s="48" t="s">
        <v>63</v>
      </c>
      <c r="B75" s="49" t="s">
        <v>64</v>
      </c>
      <c r="C75" s="49" t="s">
        <v>143</v>
      </c>
      <c r="D75" s="50" t="s">
        <v>275</v>
      </c>
      <c r="E75" s="64">
        <v>86220.856199999995</v>
      </c>
      <c r="F75" s="51">
        <v>86220.856199999995</v>
      </c>
      <c r="G75" s="51">
        <v>63199648.726899989</v>
      </c>
      <c r="H75" s="52">
        <v>1.3642616365255424E-3</v>
      </c>
      <c r="I75" s="53">
        <v>1.6371139638306508E-2</v>
      </c>
    </row>
    <row r="76" spans="1:9" x14ac:dyDescent="0.25">
      <c r="A76" s="42" t="s">
        <v>61</v>
      </c>
      <c r="B76" s="43" t="s">
        <v>62</v>
      </c>
      <c r="C76" s="43" t="s">
        <v>226</v>
      </c>
      <c r="D76" s="44" t="s">
        <v>275</v>
      </c>
      <c r="E76" s="63">
        <v>105.46</v>
      </c>
      <c r="F76" s="45">
        <v>105.46</v>
      </c>
      <c r="G76" s="45">
        <v>20202830.489700001</v>
      </c>
      <c r="H76" s="46">
        <v>5.2200606273347006E-6</v>
      </c>
      <c r="I76" s="47">
        <v>6.2640727528016411E-5</v>
      </c>
    </row>
    <row r="77" spans="1:9" x14ac:dyDescent="0.25">
      <c r="A77" s="48" t="s">
        <v>76</v>
      </c>
      <c r="B77" s="49" t="s">
        <v>77</v>
      </c>
      <c r="C77" s="49" t="s">
        <v>152</v>
      </c>
      <c r="D77" s="50" t="s">
        <v>275</v>
      </c>
      <c r="E77" s="64">
        <v>13924.6018</v>
      </c>
      <c r="F77" s="51">
        <v>13924.6018</v>
      </c>
      <c r="G77" s="51">
        <v>13084892.123600001</v>
      </c>
      <c r="H77" s="52">
        <v>1.0641739854228905E-3</v>
      </c>
      <c r="I77" s="53">
        <v>1.2770087825074685E-2</v>
      </c>
    </row>
    <row r="78" spans="1:9" x14ac:dyDescent="0.25">
      <c r="A78" s="42" t="s">
        <v>195</v>
      </c>
      <c r="B78" s="43" t="s">
        <v>225</v>
      </c>
      <c r="C78" s="43" t="s">
        <v>226</v>
      </c>
      <c r="D78" s="44" t="s">
        <v>275</v>
      </c>
      <c r="E78" s="63">
        <v>12747.9997</v>
      </c>
      <c r="F78" s="45">
        <v>12747.9997</v>
      </c>
      <c r="G78" s="45">
        <v>58563280.691399999</v>
      </c>
      <c r="H78" s="46">
        <v>2.1767905673139725E-4</v>
      </c>
      <c r="I78" s="47">
        <v>2.6121486807767669E-3</v>
      </c>
    </row>
    <row r="79" spans="1:9" x14ac:dyDescent="0.25">
      <c r="A79" s="48" t="s">
        <v>204</v>
      </c>
      <c r="B79" s="49" t="s">
        <v>89</v>
      </c>
      <c r="C79" s="49" t="s">
        <v>152</v>
      </c>
      <c r="D79" s="50" t="s">
        <v>275</v>
      </c>
      <c r="E79" s="64">
        <v>911.11080000000004</v>
      </c>
      <c r="F79" s="51">
        <v>911.11080000000004</v>
      </c>
      <c r="G79" s="51">
        <v>4916563.0809000004</v>
      </c>
      <c r="H79" s="52">
        <v>1.8531457544794012E-4</v>
      </c>
      <c r="I79" s="53">
        <v>2.2237749053752812E-3</v>
      </c>
    </row>
    <row r="80" spans="1:9" x14ac:dyDescent="0.25">
      <c r="A80" s="42" t="s">
        <v>116</v>
      </c>
      <c r="B80" s="43" t="s">
        <v>117</v>
      </c>
      <c r="C80" s="43" t="s">
        <v>143</v>
      </c>
      <c r="D80" s="44" t="s">
        <v>275</v>
      </c>
      <c r="E80" s="63">
        <v>48443.249300000003</v>
      </c>
      <c r="F80" s="45">
        <v>48443.249300000003</v>
      </c>
      <c r="G80" s="45">
        <v>71512807.1954</v>
      </c>
      <c r="H80" s="46">
        <v>6.7740662406993405E-4</v>
      </c>
      <c r="I80" s="47">
        <v>8.128879488839209E-3</v>
      </c>
    </row>
    <row r="81" spans="1:9" x14ac:dyDescent="0.25">
      <c r="A81" s="48" t="s">
        <v>112</v>
      </c>
      <c r="B81" s="49" t="s">
        <v>113</v>
      </c>
      <c r="C81" s="49" t="s">
        <v>81</v>
      </c>
      <c r="D81" s="50" t="s">
        <v>275</v>
      </c>
      <c r="E81" s="64">
        <v>35164.161699999997</v>
      </c>
      <c r="F81" s="51">
        <v>35164.161699999997</v>
      </c>
      <c r="G81" s="51">
        <v>64551982.176100001</v>
      </c>
      <c r="H81" s="52">
        <v>5.447417804161454E-4</v>
      </c>
      <c r="I81" s="53">
        <v>6.5369013649937448E-3</v>
      </c>
    </row>
    <row r="82" spans="1:9" x14ac:dyDescent="0.25">
      <c r="A82" s="42" t="s">
        <v>122</v>
      </c>
      <c r="B82" s="43" t="s">
        <v>123</v>
      </c>
      <c r="C82" s="43" t="s">
        <v>152</v>
      </c>
      <c r="D82" s="44" t="s">
        <v>275</v>
      </c>
      <c r="E82" s="63">
        <v>100804.7887</v>
      </c>
      <c r="F82" s="45">
        <v>100804.7887</v>
      </c>
      <c r="G82" s="45">
        <v>103731657.0878</v>
      </c>
      <c r="H82" s="46">
        <v>9.7178423183462068E-4</v>
      </c>
      <c r="I82" s="47">
        <v>1.1661410782015448E-2</v>
      </c>
    </row>
    <row r="83" spans="1:9" x14ac:dyDescent="0.25">
      <c r="A83" s="48" t="s">
        <v>193</v>
      </c>
      <c r="B83" s="49" t="s">
        <v>232</v>
      </c>
      <c r="C83" s="49" t="s">
        <v>230</v>
      </c>
      <c r="D83" s="50" t="s">
        <v>275</v>
      </c>
      <c r="E83" s="64">
        <v>6475.2975999999999</v>
      </c>
      <c r="F83" s="51">
        <v>6475.2975999999999</v>
      </c>
      <c r="G83" s="51">
        <v>36214603.047799997</v>
      </c>
      <c r="H83" s="52">
        <v>1.7880349513849962E-4</v>
      </c>
      <c r="I83" s="53">
        <v>2.1456419416619956E-3</v>
      </c>
    </row>
    <row r="84" spans="1:9" x14ac:dyDescent="0.25">
      <c r="A84" s="42" t="s">
        <v>203</v>
      </c>
      <c r="B84" s="43" t="s">
        <v>156</v>
      </c>
      <c r="C84" s="43" t="s">
        <v>152</v>
      </c>
      <c r="D84" s="44" t="s">
        <v>275</v>
      </c>
      <c r="E84" s="63">
        <v>1698.7319</v>
      </c>
      <c r="F84" s="45">
        <v>1698.7319</v>
      </c>
      <c r="G84" s="45">
        <v>5262477.5675999997</v>
      </c>
      <c r="H84" s="46">
        <v>3.2280078692567652E-4</v>
      </c>
      <c r="I84" s="47">
        <v>3.873609443108118E-3</v>
      </c>
    </row>
    <row r="85" spans="1:9" x14ac:dyDescent="0.25">
      <c r="A85" s="48" t="s">
        <v>197</v>
      </c>
      <c r="B85" s="49" t="s">
        <v>272</v>
      </c>
      <c r="C85" s="49" t="s">
        <v>67</v>
      </c>
      <c r="D85" s="50" t="s">
        <v>275</v>
      </c>
      <c r="E85" s="64">
        <v>3139.5450999999998</v>
      </c>
      <c r="F85" s="51">
        <v>3139.5450999999998</v>
      </c>
      <c r="G85" s="51">
        <v>24766338.781599998</v>
      </c>
      <c r="H85" s="52">
        <v>1.267666217314489E-4</v>
      </c>
      <c r="I85" s="53">
        <v>1.5211994607773867E-3</v>
      </c>
    </row>
    <row r="86" spans="1:9" x14ac:dyDescent="0.25">
      <c r="A86" s="42" t="s">
        <v>59</v>
      </c>
      <c r="B86" s="43" t="s">
        <v>60</v>
      </c>
      <c r="C86" s="43" t="s">
        <v>143</v>
      </c>
      <c r="D86" s="44" t="s">
        <v>275</v>
      </c>
      <c r="E86" s="63">
        <v>26728.34</v>
      </c>
      <c r="F86" s="45">
        <v>26728.34</v>
      </c>
      <c r="G86" s="45">
        <v>42538467.560199998</v>
      </c>
      <c r="H86" s="46">
        <v>2.4674993252038648E-4</v>
      </c>
      <c r="I86" s="47">
        <v>2.9609991902446375E-3</v>
      </c>
    </row>
    <row r="87" spans="1:9" x14ac:dyDescent="0.25">
      <c r="A87" s="48" t="s">
        <v>198</v>
      </c>
      <c r="B87" s="49" t="s">
        <v>242</v>
      </c>
      <c r="C87" s="49" t="s">
        <v>226</v>
      </c>
      <c r="D87" s="50" t="s">
        <v>275</v>
      </c>
      <c r="E87" s="64">
        <v>3458.9605000000001</v>
      </c>
      <c r="F87" s="51">
        <v>3458.9605000000001</v>
      </c>
      <c r="G87" s="51">
        <v>30278912.852499999</v>
      </c>
      <c r="H87" s="52">
        <v>1.1423661466479661E-4</v>
      </c>
      <c r="I87" s="53">
        <v>1.3708393759775594E-3</v>
      </c>
    </row>
    <row r="88" spans="1:9" x14ac:dyDescent="0.25">
      <c r="A88" s="42" t="s">
        <v>202</v>
      </c>
      <c r="B88" s="43" t="s">
        <v>273</v>
      </c>
      <c r="C88" s="43" t="s">
        <v>143</v>
      </c>
      <c r="D88" s="44" t="s">
        <v>275</v>
      </c>
      <c r="E88" s="63">
        <v>297.55990000000003</v>
      </c>
      <c r="F88" s="45">
        <v>297.55990000000003</v>
      </c>
      <c r="G88" s="45">
        <v>1444491.1836999999</v>
      </c>
      <c r="H88" s="46">
        <v>2.0599634207376299E-4</v>
      </c>
      <c r="I88" s="47">
        <v>2.4719561048851561E-3</v>
      </c>
    </row>
    <row r="89" spans="1:9" x14ac:dyDescent="0.25">
      <c r="A89" s="48" t="s">
        <v>70</v>
      </c>
      <c r="B89" s="49" t="s">
        <v>71</v>
      </c>
      <c r="C89" s="49" t="s">
        <v>152</v>
      </c>
      <c r="D89" s="50" t="s">
        <v>275</v>
      </c>
      <c r="E89" s="64">
        <v>20829.273300000001</v>
      </c>
      <c r="F89" s="51">
        <v>20829.273300000001</v>
      </c>
      <c r="G89" s="51">
        <v>12883822.6138</v>
      </c>
      <c r="H89" s="52">
        <v>1.6166997889034535E-3</v>
      </c>
      <c r="I89" s="53">
        <v>1.940039746684144E-2</v>
      </c>
    </row>
    <row r="90" spans="1:9" x14ac:dyDescent="0.25">
      <c r="A90" s="42" t="s">
        <v>192</v>
      </c>
      <c r="B90" s="43" t="s">
        <v>243</v>
      </c>
      <c r="C90" s="43" t="s">
        <v>230</v>
      </c>
      <c r="D90" s="44" t="s">
        <v>275</v>
      </c>
      <c r="E90" s="63">
        <v>7656.4857000000002</v>
      </c>
      <c r="F90" s="45">
        <v>7656.4857000000002</v>
      </c>
      <c r="G90" s="45">
        <v>73484686.161500007</v>
      </c>
      <c r="H90" s="46">
        <v>1.0419158194638077E-4</v>
      </c>
      <c r="I90" s="47">
        <v>1.2502989833565693E-3</v>
      </c>
    </row>
    <row r="91" spans="1:9" x14ac:dyDescent="0.25">
      <c r="A91" s="48" t="s">
        <v>72</v>
      </c>
      <c r="B91" s="49" t="s">
        <v>73</v>
      </c>
      <c r="C91" s="49" t="s">
        <v>67</v>
      </c>
      <c r="D91" s="50" t="s">
        <v>275</v>
      </c>
      <c r="E91" s="64">
        <v>99259.705300000001</v>
      </c>
      <c r="F91" s="51">
        <v>99259.705300000001</v>
      </c>
      <c r="G91" s="51">
        <v>161485435.82229999</v>
      </c>
      <c r="H91" s="52">
        <v>6.1466660937291133E-4</v>
      </c>
      <c r="I91" s="53">
        <v>7.375999312474936E-3</v>
      </c>
    </row>
    <row r="92" spans="1:9" x14ac:dyDescent="0.25">
      <c r="A92" s="42" t="s">
        <v>133</v>
      </c>
      <c r="B92" s="43" t="s">
        <v>134</v>
      </c>
      <c r="C92" s="43" t="s">
        <v>241</v>
      </c>
      <c r="D92" s="44" t="s">
        <v>275</v>
      </c>
      <c r="E92" s="63">
        <v>4273.0285000000003</v>
      </c>
      <c r="F92" s="45">
        <v>4273.0285000000003</v>
      </c>
      <c r="G92" s="45">
        <v>4674850.9168999996</v>
      </c>
      <c r="H92" s="46">
        <v>9.1404593985075001E-4</v>
      </c>
      <c r="I92" s="47">
        <v>1.0968551278209001E-2</v>
      </c>
    </row>
    <row r="93" spans="1:9" x14ac:dyDescent="0.25">
      <c r="A93" s="48" t="s">
        <v>188</v>
      </c>
      <c r="B93" s="49" t="s">
        <v>233</v>
      </c>
      <c r="C93" s="49" t="s">
        <v>226</v>
      </c>
      <c r="D93" s="50" t="s">
        <v>275</v>
      </c>
      <c r="E93" s="64">
        <v>6388.5883999999996</v>
      </c>
      <c r="F93" s="51">
        <v>6388.5883999999996</v>
      </c>
      <c r="G93" s="51">
        <v>43328213.055699997</v>
      </c>
      <c r="H93" s="52">
        <v>1.4744638537913477E-4</v>
      </c>
      <c r="I93" s="53">
        <v>1.7693566245496172E-3</v>
      </c>
    </row>
    <row r="94" spans="1:9" x14ac:dyDescent="0.25">
      <c r="A94" s="42" t="s">
        <v>118</v>
      </c>
      <c r="B94" s="43" t="s">
        <v>119</v>
      </c>
      <c r="C94" s="43" t="s">
        <v>143</v>
      </c>
      <c r="D94" s="44" t="s">
        <v>275</v>
      </c>
      <c r="E94" s="63">
        <v>17259.9823</v>
      </c>
      <c r="F94" s="45">
        <v>17259.9823</v>
      </c>
      <c r="G94" s="45">
        <v>36399580.101300001</v>
      </c>
      <c r="H94" s="46">
        <v>4.7418080790947266E-4</v>
      </c>
      <c r="I94" s="47">
        <v>5.6901696949136719E-3</v>
      </c>
    </row>
    <row r="95" spans="1:9" x14ac:dyDescent="0.25">
      <c r="A95" s="48" t="s">
        <v>194</v>
      </c>
      <c r="B95" s="49" t="s">
        <v>246</v>
      </c>
      <c r="C95" s="49" t="s">
        <v>230</v>
      </c>
      <c r="D95" s="50" t="s">
        <v>275</v>
      </c>
      <c r="E95" s="64">
        <v>23046.903600000001</v>
      </c>
      <c r="F95" s="51">
        <v>23046.903600000001</v>
      </c>
      <c r="G95" s="51">
        <v>67381994.881799996</v>
      </c>
      <c r="H95" s="52">
        <v>3.4203356015844247E-4</v>
      </c>
      <c r="I95" s="53">
        <v>4.1044027219013096E-3</v>
      </c>
    </row>
    <row r="96" spans="1:9" x14ac:dyDescent="0.25">
      <c r="A96" s="42" t="s">
        <v>57</v>
      </c>
      <c r="B96" s="43" t="s">
        <v>58</v>
      </c>
      <c r="C96" s="43" t="s">
        <v>230</v>
      </c>
      <c r="D96" s="44" t="s">
        <v>275</v>
      </c>
      <c r="E96" s="63">
        <v>22156.467100000002</v>
      </c>
      <c r="F96" s="45">
        <v>22156.467100000002</v>
      </c>
      <c r="G96" s="45">
        <v>8802362.1161000002</v>
      </c>
      <c r="H96" s="46">
        <v>2.5171047052784407E-3</v>
      </c>
      <c r="I96" s="47">
        <v>3.0205256463341289E-2</v>
      </c>
    </row>
    <row r="97" spans="1:9" x14ac:dyDescent="0.25">
      <c r="A97" s="48" t="s">
        <v>157</v>
      </c>
      <c r="B97" s="49" t="s">
        <v>158</v>
      </c>
      <c r="C97" s="49" t="s">
        <v>152</v>
      </c>
      <c r="D97" s="50" t="s">
        <v>275</v>
      </c>
      <c r="E97" s="64">
        <v>1836.8954000000001</v>
      </c>
      <c r="F97" s="51">
        <v>1836.8954000000001</v>
      </c>
      <c r="G97" s="51">
        <v>5469076.6255999999</v>
      </c>
      <c r="H97" s="52">
        <v>3.3586938449568316E-4</v>
      </c>
      <c r="I97" s="53">
        <v>4.0304326139481983E-3</v>
      </c>
    </row>
    <row r="98" spans="1:9" x14ac:dyDescent="0.25">
      <c r="A98" s="42" t="s">
        <v>74</v>
      </c>
      <c r="B98" s="43" t="s">
        <v>75</v>
      </c>
      <c r="C98" s="43" t="s">
        <v>67</v>
      </c>
      <c r="D98" s="44" t="s">
        <v>275</v>
      </c>
      <c r="E98" s="63">
        <v>4378.0591000000004</v>
      </c>
      <c r="F98" s="45">
        <v>4378.0591000000004</v>
      </c>
      <c r="G98" s="45">
        <v>38036457.060199998</v>
      </c>
      <c r="H98" s="46">
        <v>1.1510165347605538E-4</v>
      </c>
      <c r="I98" s="47">
        <v>1.3812198417126646E-3</v>
      </c>
    </row>
    <row r="99" spans="1:9" x14ac:dyDescent="0.25">
      <c r="A99" s="48" t="s">
        <v>96</v>
      </c>
      <c r="B99" s="49" t="s">
        <v>97</v>
      </c>
      <c r="C99" s="49" t="s">
        <v>81</v>
      </c>
      <c r="D99" s="50" t="s">
        <v>275</v>
      </c>
      <c r="E99" s="64">
        <v>25742.05</v>
      </c>
      <c r="F99" s="51">
        <v>25742.05</v>
      </c>
      <c r="G99" s="51">
        <v>19956433.732500002</v>
      </c>
      <c r="H99" s="52">
        <v>1.289912333288179E-3</v>
      </c>
      <c r="I99" s="53">
        <v>1.5478947999458148E-2</v>
      </c>
    </row>
    <row r="100" spans="1:9" x14ac:dyDescent="0.25">
      <c r="A100" s="42" t="s">
        <v>196</v>
      </c>
      <c r="B100" s="43" t="s">
        <v>245</v>
      </c>
      <c r="C100" s="43" t="s">
        <v>143</v>
      </c>
      <c r="D100" s="44" t="s">
        <v>275</v>
      </c>
      <c r="E100" s="63">
        <v>1.8011999999999999</v>
      </c>
      <c r="F100" s="45">
        <v>1.8011999999999999</v>
      </c>
      <c r="G100" s="45">
        <v>17616.912199999999</v>
      </c>
      <c r="H100" s="46">
        <v>1.0224266202564148E-4</v>
      </c>
      <c r="I100" s="47">
        <v>1.2269119443076978E-3</v>
      </c>
    </row>
    <row r="101" spans="1:9" x14ac:dyDescent="0.25">
      <c r="A101" s="48" t="s">
        <v>100</v>
      </c>
      <c r="B101" s="49" t="s">
        <v>100</v>
      </c>
      <c r="C101" s="49" t="s">
        <v>152</v>
      </c>
      <c r="D101" s="50" t="s">
        <v>276</v>
      </c>
      <c r="E101" s="64">
        <v>86.196299999999994</v>
      </c>
      <c r="F101" s="51">
        <v>86.196299999999994</v>
      </c>
      <c r="G101" s="51">
        <v>300531.78529999999</v>
      </c>
      <c r="H101" s="52">
        <v>2.868125909342874E-4</v>
      </c>
      <c r="I101" s="53">
        <v>3.4417510912114488E-3</v>
      </c>
    </row>
    <row r="102" spans="1:9" x14ac:dyDescent="0.25">
      <c r="A102" s="42" t="s">
        <v>190</v>
      </c>
      <c r="B102" s="43" t="s">
        <v>234</v>
      </c>
      <c r="C102" s="43" t="s">
        <v>143</v>
      </c>
      <c r="D102" s="44" t="s">
        <v>276</v>
      </c>
      <c r="E102" s="63">
        <v>1030.0835</v>
      </c>
      <c r="F102" s="45">
        <v>1030.0835</v>
      </c>
      <c r="G102" s="45">
        <v>8216340.1746999994</v>
      </c>
      <c r="H102" s="46">
        <v>1.2537011346875143E-4</v>
      </c>
      <c r="I102" s="47">
        <v>1.5044413616250173E-3</v>
      </c>
    </row>
    <row r="103" spans="1:9" x14ac:dyDescent="0.25">
      <c r="A103" s="48" t="s">
        <v>65</v>
      </c>
      <c r="B103" s="49" t="s">
        <v>66</v>
      </c>
      <c r="C103" s="49" t="s">
        <v>67</v>
      </c>
      <c r="D103" s="50" t="s">
        <v>276</v>
      </c>
      <c r="E103" s="64">
        <v>36582.7673</v>
      </c>
      <c r="F103" s="51">
        <v>36582.7673</v>
      </c>
      <c r="G103" s="51">
        <v>202384046.794</v>
      </c>
      <c r="H103" s="52">
        <v>1.8075914519703415E-4</v>
      </c>
      <c r="I103" s="53">
        <v>2.1691097423644098E-3</v>
      </c>
    </row>
    <row r="104" spans="1:9" x14ac:dyDescent="0.25">
      <c r="A104" s="42" t="s">
        <v>131</v>
      </c>
      <c r="B104" s="43" t="s">
        <v>132</v>
      </c>
      <c r="C104" s="43" t="s">
        <v>67</v>
      </c>
      <c r="D104" s="44" t="s">
        <v>276</v>
      </c>
      <c r="E104" s="63">
        <v>8180.3694999999998</v>
      </c>
      <c r="F104" s="45">
        <v>8180.3694999999998</v>
      </c>
      <c r="G104" s="45">
        <v>27533506.506000001</v>
      </c>
      <c r="H104" s="46">
        <v>2.9710598242244822E-4</v>
      </c>
      <c r="I104" s="47">
        <v>3.5652717890693785E-3</v>
      </c>
    </row>
    <row r="105" spans="1:9" x14ac:dyDescent="0.25">
      <c r="A105" s="48" t="s">
        <v>82</v>
      </c>
      <c r="B105" s="49" t="s">
        <v>83</v>
      </c>
      <c r="C105" s="49" t="s">
        <v>230</v>
      </c>
      <c r="D105" s="50" t="s">
        <v>276</v>
      </c>
      <c r="E105" s="64">
        <v>8831.0511999999999</v>
      </c>
      <c r="F105" s="51">
        <v>8831.0511999999999</v>
      </c>
      <c r="G105" s="51">
        <v>49914566.593800001</v>
      </c>
      <c r="H105" s="52">
        <v>1.7692332724966351E-4</v>
      </c>
      <c r="I105" s="53">
        <v>2.1230799269959621E-3</v>
      </c>
    </row>
    <row r="106" spans="1:9" x14ac:dyDescent="0.25">
      <c r="A106" s="42" t="s">
        <v>68</v>
      </c>
      <c r="B106" s="43" t="s">
        <v>69</v>
      </c>
      <c r="C106" s="43" t="s">
        <v>143</v>
      </c>
      <c r="D106" s="44" t="s">
        <v>276</v>
      </c>
      <c r="E106" s="63">
        <v>17035.563900000001</v>
      </c>
      <c r="F106" s="45">
        <v>17035.563900000001</v>
      </c>
      <c r="G106" s="45">
        <v>57294790.989300005</v>
      </c>
      <c r="H106" s="46">
        <v>2.9733180985303621E-4</v>
      </c>
      <c r="I106" s="47">
        <v>3.5679817182364343E-3</v>
      </c>
    </row>
    <row r="107" spans="1:9" x14ac:dyDescent="0.25">
      <c r="A107" s="48" t="s">
        <v>79</v>
      </c>
      <c r="B107" s="49" t="s">
        <v>80</v>
      </c>
      <c r="C107" s="49" t="s">
        <v>81</v>
      </c>
      <c r="D107" s="50" t="s">
        <v>276</v>
      </c>
      <c r="E107" s="64">
        <v>4370.9443000000001</v>
      </c>
      <c r="F107" s="51">
        <v>4370.9443000000001</v>
      </c>
      <c r="G107" s="51">
        <v>9281666.2205999997</v>
      </c>
      <c r="H107" s="52">
        <v>4.7092237493942627E-4</v>
      </c>
      <c r="I107" s="53">
        <v>5.6510684992731154E-3</v>
      </c>
    </row>
    <row r="108" spans="1:9" x14ac:dyDescent="0.25">
      <c r="A108" s="42" t="s">
        <v>114</v>
      </c>
      <c r="B108" s="43" t="s">
        <v>115</v>
      </c>
      <c r="C108" s="43" t="s">
        <v>230</v>
      </c>
      <c r="D108" s="44" t="s">
        <v>276</v>
      </c>
      <c r="E108" s="63">
        <v>9846.8636000000006</v>
      </c>
      <c r="F108" s="45">
        <v>9846.8636000000006</v>
      </c>
      <c r="G108" s="45">
        <v>55202532.092800006</v>
      </c>
      <c r="H108" s="46">
        <v>1.7837702776833883E-4</v>
      </c>
      <c r="I108" s="47">
        <v>2.1405243332200661E-3</v>
      </c>
    </row>
    <row r="109" spans="1:9" x14ac:dyDescent="0.25">
      <c r="A109" s="48" t="s">
        <v>146</v>
      </c>
      <c r="B109" s="49" t="s">
        <v>147</v>
      </c>
      <c r="C109" s="49" t="s">
        <v>226</v>
      </c>
      <c r="D109" s="50" t="s">
        <v>276</v>
      </c>
      <c r="E109" s="64">
        <v>861.25919999999996</v>
      </c>
      <c r="F109" s="51">
        <v>861.25919999999996</v>
      </c>
      <c r="G109" s="51">
        <v>14296218.934</v>
      </c>
      <c r="H109" s="52">
        <v>6.0243845171656489E-5</v>
      </c>
      <c r="I109" s="53">
        <v>7.229261420598779E-4</v>
      </c>
    </row>
    <row r="110" spans="1:9" x14ac:dyDescent="0.25">
      <c r="A110" s="42" t="s">
        <v>90</v>
      </c>
      <c r="B110" s="43" t="s">
        <v>91</v>
      </c>
      <c r="C110" s="43" t="s">
        <v>81</v>
      </c>
      <c r="D110" s="44" t="s">
        <v>276</v>
      </c>
      <c r="E110" s="63">
        <v>38847.697699999997</v>
      </c>
      <c r="F110" s="45">
        <v>38847.697699999997</v>
      </c>
      <c r="G110" s="45">
        <v>85544022.535699993</v>
      </c>
      <c r="H110" s="46">
        <v>4.5412521586517317E-4</v>
      </c>
      <c r="I110" s="47">
        <v>5.4495025903820785E-3</v>
      </c>
    </row>
    <row r="111" spans="1:9" x14ac:dyDescent="0.25">
      <c r="A111" s="48" t="s">
        <v>98</v>
      </c>
      <c r="B111" s="49" t="s">
        <v>99</v>
      </c>
      <c r="C111" s="49" t="s">
        <v>81</v>
      </c>
      <c r="D111" s="50" t="s">
        <v>276</v>
      </c>
      <c r="E111" s="64">
        <v>1615.3893</v>
      </c>
      <c r="F111" s="51">
        <v>1615.3893</v>
      </c>
      <c r="G111" s="51">
        <v>13361518.148499997</v>
      </c>
      <c r="H111" s="52">
        <v>1.2089863457479555E-4</v>
      </c>
      <c r="I111" s="53">
        <v>1.4507836148975467E-3</v>
      </c>
    </row>
    <row r="112" spans="1:9" x14ac:dyDescent="0.25">
      <c r="A112" s="42" t="s">
        <v>120</v>
      </c>
      <c r="B112" s="43" t="s">
        <v>268</v>
      </c>
      <c r="C112" s="43" t="s">
        <v>143</v>
      </c>
      <c r="D112" s="44" t="s">
        <v>276</v>
      </c>
      <c r="E112" s="63">
        <v>28042.501199999999</v>
      </c>
      <c r="F112" s="45">
        <v>28042.501199999999</v>
      </c>
      <c r="G112" s="45">
        <v>46833399.7839</v>
      </c>
      <c r="H112" s="46">
        <v>5.9877141803487473E-4</v>
      </c>
      <c r="I112" s="47">
        <v>7.1852570164184972E-3</v>
      </c>
    </row>
    <row r="113" spans="1:9" x14ac:dyDescent="0.25">
      <c r="A113" s="48" t="s">
        <v>106</v>
      </c>
      <c r="B113" s="49" t="s">
        <v>107</v>
      </c>
      <c r="C113" s="49" t="s">
        <v>143</v>
      </c>
      <c r="D113" s="50" t="s">
        <v>276</v>
      </c>
      <c r="E113" s="64">
        <v>82425.732300000003</v>
      </c>
      <c r="F113" s="51">
        <v>82425.732300000003</v>
      </c>
      <c r="G113" s="51">
        <v>72523479.519800007</v>
      </c>
      <c r="H113" s="52">
        <v>1.1365385782062005E-3</v>
      </c>
      <c r="I113" s="53">
        <v>1.3638462938474406E-2</v>
      </c>
    </row>
    <row r="114" spans="1:9" x14ac:dyDescent="0.25">
      <c r="A114" s="42" t="s">
        <v>206</v>
      </c>
      <c r="B114" s="43" t="s">
        <v>251</v>
      </c>
      <c r="C114" s="43" t="s">
        <v>81</v>
      </c>
      <c r="D114" s="44" t="s">
        <v>276</v>
      </c>
      <c r="E114" s="63">
        <v>216.15090000000001</v>
      </c>
      <c r="F114" s="45">
        <v>216.15090000000001</v>
      </c>
      <c r="G114" s="45">
        <v>3118227.7831000001</v>
      </c>
      <c r="H114" s="46">
        <v>6.9318508792552878E-5</v>
      </c>
      <c r="I114" s="47">
        <v>8.3182210551063459E-4</v>
      </c>
    </row>
    <row r="115" spans="1:9" x14ac:dyDescent="0.25">
      <c r="A115" s="48" t="s">
        <v>54</v>
      </c>
      <c r="B115" s="49" t="s">
        <v>55</v>
      </c>
      <c r="C115" s="49" t="s">
        <v>143</v>
      </c>
      <c r="D115" s="50" t="s">
        <v>276</v>
      </c>
      <c r="E115" s="64">
        <v>26430.433700000001</v>
      </c>
      <c r="F115" s="51">
        <v>26430.433700000001</v>
      </c>
      <c r="G115" s="51">
        <v>55687696.899599999</v>
      </c>
      <c r="H115" s="52">
        <v>4.7461890456076391E-4</v>
      </c>
      <c r="I115" s="53">
        <v>5.6954268547291667E-3</v>
      </c>
    </row>
    <row r="116" spans="1:9" x14ac:dyDescent="0.25">
      <c r="A116" s="42" t="s">
        <v>183</v>
      </c>
      <c r="B116" s="43" t="s">
        <v>231</v>
      </c>
      <c r="C116" s="43" t="s">
        <v>230</v>
      </c>
      <c r="D116" s="44" t="s">
        <v>276</v>
      </c>
      <c r="E116" s="63">
        <v>21486.462500000001</v>
      </c>
      <c r="F116" s="45">
        <v>21486.462500000001</v>
      </c>
      <c r="G116" s="45">
        <v>20974482.658399999</v>
      </c>
      <c r="H116" s="46">
        <v>1.0244096529072177E-3</v>
      </c>
      <c r="I116" s="47">
        <v>1.2292915834886613E-2</v>
      </c>
    </row>
    <row r="117" spans="1:9" x14ac:dyDescent="0.25">
      <c r="A117" s="48" t="s">
        <v>94</v>
      </c>
      <c r="B117" s="49" t="s">
        <v>95</v>
      </c>
      <c r="C117" s="49" t="s">
        <v>152</v>
      </c>
      <c r="D117" s="50" t="s">
        <v>276</v>
      </c>
      <c r="E117" s="64">
        <v>25329.3923</v>
      </c>
      <c r="F117" s="51">
        <v>25329.3923</v>
      </c>
      <c r="G117" s="51">
        <v>25666299.353700001</v>
      </c>
      <c r="H117" s="52">
        <v>9.8687356330349075E-4</v>
      </c>
      <c r="I117" s="53">
        <v>1.1842482759641889E-2</v>
      </c>
    </row>
    <row r="118" spans="1:9" x14ac:dyDescent="0.25">
      <c r="A118" s="42" t="s">
        <v>170</v>
      </c>
      <c r="B118" s="43" t="s">
        <v>171</v>
      </c>
      <c r="C118" s="43" t="s">
        <v>81</v>
      </c>
      <c r="D118" s="44" t="s">
        <v>276</v>
      </c>
      <c r="E118" s="63">
        <v>1.746</v>
      </c>
      <c r="F118" s="45">
        <v>1.746</v>
      </c>
      <c r="G118" s="45">
        <v>25316.9172</v>
      </c>
      <c r="H118" s="46">
        <v>6.8965742795888276E-5</v>
      </c>
      <c r="I118" s="47">
        <v>8.2758891355065936E-4</v>
      </c>
    </row>
    <row r="119" spans="1:9" x14ac:dyDescent="0.25">
      <c r="A119" s="48" t="s">
        <v>205</v>
      </c>
      <c r="B119" s="49" t="s">
        <v>250</v>
      </c>
      <c r="C119" s="49" t="s">
        <v>152</v>
      </c>
      <c r="D119" s="50" t="s">
        <v>276</v>
      </c>
      <c r="E119" s="64">
        <v>1505.9702</v>
      </c>
      <c r="F119" s="51">
        <v>1505.9702</v>
      </c>
      <c r="G119" s="51">
        <v>5409150.8861999996</v>
      </c>
      <c r="H119" s="52">
        <v>2.7841157173893593E-4</v>
      </c>
      <c r="I119" s="53">
        <v>3.3409388608672311E-3</v>
      </c>
    </row>
    <row r="120" spans="1:9" x14ac:dyDescent="0.25">
      <c r="A120" s="42" t="s">
        <v>269</v>
      </c>
      <c r="B120" s="43" t="s">
        <v>270</v>
      </c>
      <c r="C120" s="43" t="s">
        <v>81</v>
      </c>
      <c r="D120" s="44" t="s">
        <v>276</v>
      </c>
      <c r="E120" s="63">
        <v>19218.616699999999</v>
      </c>
      <c r="F120" s="45">
        <v>19218.616699999999</v>
      </c>
      <c r="G120" s="45">
        <v>26333478.739599999</v>
      </c>
      <c r="H120" s="46">
        <v>7.2981685747045835E-4</v>
      </c>
      <c r="I120" s="47">
        <v>8.7578022896455006E-3</v>
      </c>
    </row>
    <row r="121" spans="1:9" x14ac:dyDescent="0.25">
      <c r="A121" s="48" t="s">
        <v>148</v>
      </c>
      <c r="B121" s="49" t="s">
        <v>149</v>
      </c>
      <c r="C121" s="49" t="s">
        <v>226</v>
      </c>
      <c r="D121" s="50" t="s">
        <v>276</v>
      </c>
      <c r="E121" s="64">
        <v>8853.2075000000004</v>
      </c>
      <c r="F121" s="51">
        <v>8853.2075000000004</v>
      </c>
      <c r="G121" s="51">
        <v>5405869.6898999996</v>
      </c>
      <c r="H121" s="52">
        <v>1.637702720903687E-3</v>
      </c>
      <c r="I121" s="53">
        <v>1.9652432650844244E-2</v>
      </c>
    </row>
    <row r="122" spans="1:9" x14ac:dyDescent="0.25">
      <c r="A122" s="42" t="s">
        <v>102</v>
      </c>
      <c r="B122" s="43" t="s">
        <v>271</v>
      </c>
      <c r="C122" s="43" t="s">
        <v>152</v>
      </c>
      <c r="D122" s="44" t="s">
        <v>276</v>
      </c>
      <c r="E122" s="63">
        <v>1664.9612</v>
      </c>
      <c r="F122" s="45">
        <v>1664.9612</v>
      </c>
      <c r="G122" s="45">
        <v>6441300.7302999999</v>
      </c>
      <c r="H122" s="46">
        <v>2.5848214044222326E-4</v>
      </c>
      <c r="I122" s="47">
        <v>3.1017856853066792E-3</v>
      </c>
    </row>
    <row r="123" spans="1:9" x14ac:dyDescent="0.25">
      <c r="A123" s="48" t="s">
        <v>86</v>
      </c>
      <c r="B123" s="49" t="s">
        <v>87</v>
      </c>
      <c r="C123" s="49" t="s">
        <v>152</v>
      </c>
      <c r="D123" s="50" t="s">
        <v>276</v>
      </c>
      <c r="E123" s="64">
        <v>106187.98850000001</v>
      </c>
      <c r="F123" s="51">
        <v>106187.98850000001</v>
      </c>
      <c r="G123" s="51">
        <v>45318292.906999998</v>
      </c>
      <c r="H123" s="52">
        <v>2.3431594989227387E-3</v>
      </c>
      <c r="I123" s="53">
        <v>2.8117913987072862E-2</v>
      </c>
    </row>
    <row r="124" spans="1:9" x14ac:dyDescent="0.25">
      <c r="A124" s="42" t="s">
        <v>124</v>
      </c>
      <c r="B124" s="43" t="s">
        <v>125</v>
      </c>
      <c r="C124" s="43" t="s">
        <v>152</v>
      </c>
      <c r="D124" s="44" t="s">
        <v>276</v>
      </c>
      <c r="E124" s="63">
        <v>13013.079400000001</v>
      </c>
      <c r="F124" s="45">
        <v>13013.079400000001</v>
      </c>
      <c r="G124" s="45">
        <v>18583064.978</v>
      </c>
      <c r="H124" s="46">
        <v>7.0026550600806926E-4</v>
      </c>
      <c r="I124" s="47">
        <v>8.403186072096832E-3</v>
      </c>
    </row>
    <row r="125" spans="1:9" x14ac:dyDescent="0.25">
      <c r="A125" s="48" t="s">
        <v>200</v>
      </c>
      <c r="B125" s="49" t="s">
        <v>244</v>
      </c>
      <c r="C125" s="49" t="s">
        <v>230</v>
      </c>
      <c r="D125" s="50" t="s">
        <v>276</v>
      </c>
      <c r="E125" s="64">
        <v>1864.1855</v>
      </c>
      <c r="F125" s="51">
        <v>1864.1855</v>
      </c>
      <c r="G125" s="51">
        <v>13214467.145099999</v>
      </c>
      <c r="H125" s="52">
        <v>1.4107156039895642E-4</v>
      </c>
      <c r="I125" s="53">
        <v>1.6928587247874772E-3</v>
      </c>
    </row>
    <row r="126" spans="1:9" x14ac:dyDescent="0.25">
      <c r="A126" s="42" t="s">
        <v>63</v>
      </c>
      <c r="B126" s="43" t="s">
        <v>64</v>
      </c>
      <c r="C126" s="43" t="s">
        <v>143</v>
      </c>
      <c r="D126" s="44" t="s">
        <v>276</v>
      </c>
      <c r="E126" s="63">
        <v>33028.943200000002</v>
      </c>
      <c r="F126" s="45">
        <v>33028.943200000002</v>
      </c>
      <c r="G126" s="45">
        <v>64514000.890999995</v>
      </c>
      <c r="H126" s="46">
        <v>5.1196550739124433E-4</v>
      </c>
      <c r="I126" s="47">
        <v>6.143586088694932E-3</v>
      </c>
    </row>
    <row r="127" spans="1:9" x14ac:dyDescent="0.25">
      <c r="A127" s="48" t="s">
        <v>61</v>
      </c>
      <c r="B127" s="49" t="s">
        <v>62</v>
      </c>
      <c r="C127" s="49" t="s">
        <v>226</v>
      </c>
      <c r="D127" s="50" t="s">
        <v>276</v>
      </c>
      <c r="E127" s="64">
        <v>118.0849</v>
      </c>
      <c r="F127" s="51">
        <v>118.0849</v>
      </c>
      <c r="G127" s="51">
        <v>20528628.147700001</v>
      </c>
      <c r="H127" s="52">
        <v>5.7522060972803028E-6</v>
      </c>
      <c r="I127" s="53">
        <v>6.9026473167363634E-5</v>
      </c>
    </row>
    <row r="128" spans="1:9" x14ac:dyDescent="0.25">
      <c r="A128" s="42" t="s">
        <v>76</v>
      </c>
      <c r="B128" s="43" t="s">
        <v>77</v>
      </c>
      <c r="C128" s="43" t="s">
        <v>152</v>
      </c>
      <c r="D128" s="44" t="s">
        <v>276</v>
      </c>
      <c r="E128" s="63">
        <v>6742.6034</v>
      </c>
      <c r="F128" s="45">
        <v>6742.6034</v>
      </c>
      <c r="G128" s="45">
        <v>14767774.801000001</v>
      </c>
      <c r="H128" s="46">
        <v>4.5657544828916428E-4</v>
      </c>
      <c r="I128" s="47">
        <v>5.4789053794699711E-3</v>
      </c>
    </row>
    <row r="129" spans="1:9" x14ac:dyDescent="0.25">
      <c r="A129" s="48" t="s">
        <v>195</v>
      </c>
      <c r="B129" s="49" t="s">
        <v>225</v>
      </c>
      <c r="C129" s="49" t="s">
        <v>226</v>
      </c>
      <c r="D129" s="50" t="s">
        <v>276</v>
      </c>
      <c r="E129" s="64">
        <v>11757.585499999999</v>
      </c>
      <c r="F129" s="51">
        <v>11757.585499999999</v>
      </c>
      <c r="G129" s="51">
        <v>57824115.480599992</v>
      </c>
      <c r="H129" s="52">
        <v>2.0333359883290686E-4</v>
      </c>
      <c r="I129" s="53">
        <v>2.4400031859948823E-3</v>
      </c>
    </row>
    <row r="130" spans="1:9" x14ac:dyDescent="0.25">
      <c r="A130" s="42" t="s">
        <v>204</v>
      </c>
      <c r="B130" s="43" t="s">
        <v>89</v>
      </c>
      <c r="C130" s="43" t="s">
        <v>152</v>
      </c>
      <c r="D130" s="44" t="s">
        <v>276</v>
      </c>
      <c r="E130" s="63">
        <v>2849.1605</v>
      </c>
      <c r="F130" s="45">
        <v>2849.1605</v>
      </c>
      <c r="G130" s="45">
        <v>5782473.1169999996</v>
      </c>
      <c r="H130" s="46">
        <v>4.9272351852768675E-4</v>
      </c>
      <c r="I130" s="47">
        <v>5.912682222332241E-3</v>
      </c>
    </row>
    <row r="131" spans="1:9" x14ac:dyDescent="0.25">
      <c r="A131" s="48" t="s">
        <v>116</v>
      </c>
      <c r="B131" s="49" t="s">
        <v>117</v>
      </c>
      <c r="C131" s="49" t="s">
        <v>143</v>
      </c>
      <c r="D131" s="50" t="s">
        <v>276</v>
      </c>
      <c r="E131" s="64">
        <v>73127.104000000007</v>
      </c>
      <c r="F131" s="51">
        <v>73127.104000000007</v>
      </c>
      <c r="G131" s="51">
        <v>72243573.271400005</v>
      </c>
      <c r="H131" s="52">
        <v>1.012229886875623E-3</v>
      </c>
      <c r="I131" s="53">
        <v>1.2146758642507475E-2</v>
      </c>
    </row>
    <row r="132" spans="1:9" x14ac:dyDescent="0.25">
      <c r="A132" s="42" t="s">
        <v>112</v>
      </c>
      <c r="B132" s="43" t="s">
        <v>113</v>
      </c>
      <c r="C132" s="43" t="s">
        <v>81</v>
      </c>
      <c r="D132" s="44" t="s">
        <v>276</v>
      </c>
      <c r="E132" s="63">
        <v>124289.8701</v>
      </c>
      <c r="F132" s="45">
        <v>124289.8701</v>
      </c>
      <c r="G132" s="45">
        <v>63795750.004799999</v>
      </c>
      <c r="H132" s="46">
        <v>1.9482468673955305E-3</v>
      </c>
      <c r="I132" s="47">
        <v>2.3378962408746366E-2</v>
      </c>
    </row>
    <row r="133" spans="1:9" x14ac:dyDescent="0.25">
      <c r="A133" s="48" t="s">
        <v>122</v>
      </c>
      <c r="B133" s="49" t="s">
        <v>123</v>
      </c>
      <c r="C133" s="49" t="s">
        <v>152</v>
      </c>
      <c r="D133" s="50" t="s">
        <v>276</v>
      </c>
      <c r="E133" s="64">
        <v>47307.1394</v>
      </c>
      <c r="F133" s="51">
        <v>47307.1394</v>
      </c>
      <c r="G133" s="51">
        <v>92060720.482500002</v>
      </c>
      <c r="H133" s="52">
        <v>5.1386888080017477E-4</v>
      </c>
      <c r="I133" s="53">
        <v>6.1664265696020973E-3</v>
      </c>
    </row>
    <row r="134" spans="1:9" x14ac:dyDescent="0.25">
      <c r="A134" s="42" t="s">
        <v>193</v>
      </c>
      <c r="B134" s="43" t="s">
        <v>232</v>
      </c>
      <c r="C134" s="43" t="s">
        <v>230</v>
      </c>
      <c r="D134" s="44" t="s">
        <v>276</v>
      </c>
      <c r="E134" s="63">
        <v>7444.6680999999999</v>
      </c>
      <c r="F134" s="45">
        <v>7444.6680999999999</v>
      </c>
      <c r="G134" s="45">
        <v>33946394.160099998</v>
      </c>
      <c r="H134" s="46">
        <v>2.1930659453516668E-4</v>
      </c>
      <c r="I134" s="47">
        <v>2.6316791344220001E-3</v>
      </c>
    </row>
    <row r="135" spans="1:9" x14ac:dyDescent="0.25">
      <c r="A135" s="48" t="s">
        <v>203</v>
      </c>
      <c r="B135" s="49" t="s">
        <v>156</v>
      </c>
      <c r="C135" s="49" t="s">
        <v>152</v>
      </c>
      <c r="D135" s="50" t="s">
        <v>276</v>
      </c>
      <c r="E135" s="64">
        <v>2216.4938000000002</v>
      </c>
      <c r="F135" s="51">
        <v>2216.4938000000002</v>
      </c>
      <c r="G135" s="51">
        <v>6798863.3451000005</v>
      </c>
      <c r="H135" s="52">
        <v>3.2600946474346283E-4</v>
      </c>
      <c r="I135" s="53">
        <v>3.912113576921554E-3</v>
      </c>
    </row>
    <row r="136" spans="1:9" x14ac:dyDescent="0.25">
      <c r="A136" s="42" t="s">
        <v>197</v>
      </c>
      <c r="B136" s="43" t="s">
        <v>272</v>
      </c>
      <c r="C136" s="43" t="s">
        <v>67</v>
      </c>
      <c r="D136" s="44" t="s">
        <v>276</v>
      </c>
      <c r="E136" s="63">
        <v>2222.0457999999999</v>
      </c>
      <c r="F136" s="45">
        <v>2222.0457999999999</v>
      </c>
      <c r="G136" s="45">
        <v>24086784.004000001</v>
      </c>
      <c r="H136" s="46">
        <v>9.2251659649996988E-5</v>
      </c>
      <c r="I136" s="47">
        <v>1.107019915799964E-3</v>
      </c>
    </row>
    <row r="137" spans="1:9" x14ac:dyDescent="0.25">
      <c r="A137" s="48" t="s">
        <v>59</v>
      </c>
      <c r="B137" s="49" t="s">
        <v>60</v>
      </c>
      <c r="C137" s="49" t="s">
        <v>143</v>
      </c>
      <c r="D137" s="50" t="s">
        <v>276</v>
      </c>
      <c r="E137" s="64">
        <v>12701.8904</v>
      </c>
      <c r="F137" s="51">
        <v>12701.8904</v>
      </c>
      <c r="G137" s="51">
        <v>42927935.978200004</v>
      </c>
      <c r="H137" s="52">
        <v>2.9588868205660695E-4</v>
      </c>
      <c r="I137" s="53">
        <v>3.5506641846792834E-3</v>
      </c>
    </row>
    <row r="138" spans="1:9" x14ac:dyDescent="0.25">
      <c r="A138" s="42" t="s">
        <v>198</v>
      </c>
      <c r="B138" s="43" t="s">
        <v>242</v>
      </c>
      <c r="C138" s="43" t="s">
        <v>226</v>
      </c>
      <c r="D138" s="44" t="s">
        <v>276</v>
      </c>
      <c r="E138" s="63">
        <v>3934.6493999999998</v>
      </c>
      <c r="F138" s="45">
        <v>3934.6493999999998</v>
      </c>
      <c r="G138" s="45">
        <v>30549130.6415</v>
      </c>
      <c r="H138" s="46">
        <v>1.2879742622380575E-4</v>
      </c>
      <c r="I138" s="47">
        <v>1.5455691146856691E-3</v>
      </c>
    </row>
    <row r="139" spans="1:9" x14ac:dyDescent="0.25">
      <c r="A139" s="48" t="s">
        <v>202</v>
      </c>
      <c r="B139" s="49" t="s">
        <v>273</v>
      </c>
      <c r="C139" s="49" t="s">
        <v>143</v>
      </c>
      <c r="D139" s="50" t="s">
        <v>276</v>
      </c>
      <c r="E139" s="64">
        <v>285.47219999999999</v>
      </c>
      <c r="F139" s="51">
        <v>285.47219999999999</v>
      </c>
      <c r="G139" s="51">
        <v>1454120.89</v>
      </c>
      <c r="H139" s="52">
        <v>1.9631944081348009E-4</v>
      </c>
      <c r="I139" s="53">
        <v>2.3558332897617613E-3</v>
      </c>
    </row>
    <row r="140" spans="1:9" x14ac:dyDescent="0.25">
      <c r="A140" s="42" t="s">
        <v>70</v>
      </c>
      <c r="B140" s="43" t="s">
        <v>71</v>
      </c>
      <c r="C140" s="43" t="s">
        <v>152</v>
      </c>
      <c r="D140" s="44" t="s">
        <v>276</v>
      </c>
      <c r="E140" s="63">
        <v>19006.513999999999</v>
      </c>
      <c r="F140" s="45">
        <v>19006.513999999999</v>
      </c>
      <c r="G140" s="45">
        <v>15897119.736200001</v>
      </c>
      <c r="H140" s="46">
        <v>1.1955948194011187E-3</v>
      </c>
      <c r="I140" s="47">
        <v>1.4347137832813425E-2</v>
      </c>
    </row>
    <row r="141" spans="1:9" x14ac:dyDescent="0.25">
      <c r="A141" s="48" t="s">
        <v>192</v>
      </c>
      <c r="B141" s="49" t="s">
        <v>243</v>
      </c>
      <c r="C141" s="49" t="s">
        <v>230</v>
      </c>
      <c r="D141" s="50" t="s">
        <v>276</v>
      </c>
      <c r="E141" s="64">
        <v>12408.340200000001</v>
      </c>
      <c r="F141" s="51">
        <v>12408.340200000001</v>
      </c>
      <c r="G141" s="51">
        <v>72778771.181799993</v>
      </c>
      <c r="H141" s="52">
        <v>1.7049395034445143E-4</v>
      </c>
      <c r="I141" s="53">
        <v>2.0459274041334172E-3</v>
      </c>
    </row>
    <row r="142" spans="1:9" x14ac:dyDescent="0.25">
      <c r="A142" s="42" t="s">
        <v>72</v>
      </c>
      <c r="B142" s="43" t="s">
        <v>73</v>
      </c>
      <c r="C142" s="43" t="s">
        <v>67</v>
      </c>
      <c r="D142" s="44" t="s">
        <v>276</v>
      </c>
      <c r="E142" s="63">
        <v>66418.720199999996</v>
      </c>
      <c r="F142" s="45">
        <v>66418.720199999996</v>
      </c>
      <c r="G142" s="45">
        <v>153690302.68529999</v>
      </c>
      <c r="H142" s="46">
        <v>4.3215947291092656E-4</v>
      </c>
      <c r="I142" s="47">
        <v>5.1859136749311183E-3</v>
      </c>
    </row>
    <row r="143" spans="1:9" x14ac:dyDescent="0.25">
      <c r="A143" s="48" t="s">
        <v>133</v>
      </c>
      <c r="B143" s="49" t="s">
        <v>134</v>
      </c>
      <c r="C143" s="49" t="s">
        <v>241</v>
      </c>
      <c r="D143" s="50" t="s">
        <v>276</v>
      </c>
      <c r="E143" s="64">
        <v>1401.8405</v>
      </c>
      <c r="F143" s="51">
        <v>1401.8405</v>
      </c>
      <c r="G143" s="51">
        <v>5212981.5769999996</v>
      </c>
      <c r="H143" s="52">
        <v>2.6891338081550258E-4</v>
      </c>
      <c r="I143" s="53">
        <v>3.2269605697860309E-3</v>
      </c>
    </row>
    <row r="144" spans="1:9" x14ac:dyDescent="0.25">
      <c r="A144" s="42" t="s">
        <v>188</v>
      </c>
      <c r="B144" s="43" t="s">
        <v>233</v>
      </c>
      <c r="C144" s="43" t="s">
        <v>226</v>
      </c>
      <c r="D144" s="44" t="s">
        <v>276</v>
      </c>
      <c r="E144" s="63">
        <v>5241.7448999999997</v>
      </c>
      <c r="F144" s="45">
        <v>5241.7448999999997</v>
      </c>
      <c r="G144" s="45">
        <v>42604716.362400003</v>
      </c>
      <c r="H144" s="46">
        <v>1.2303203371695259E-4</v>
      </c>
      <c r="I144" s="47">
        <v>1.4763844046034311E-3</v>
      </c>
    </row>
    <row r="145" spans="1:9" x14ac:dyDescent="0.25">
      <c r="A145" s="48" t="s">
        <v>118</v>
      </c>
      <c r="B145" s="49" t="s">
        <v>119</v>
      </c>
      <c r="C145" s="49" t="s">
        <v>143</v>
      </c>
      <c r="D145" s="50" t="s">
        <v>276</v>
      </c>
      <c r="E145" s="64">
        <v>12534.5728</v>
      </c>
      <c r="F145" s="51">
        <v>12534.5728</v>
      </c>
      <c r="G145" s="51">
        <v>37915234.644000001</v>
      </c>
      <c r="H145" s="52">
        <v>3.3059462555597207E-4</v>
      </c>
      <c r="I145" s="53">
        <v>3.9671355066716648E-3</v>
      </c>
    </row>
    <row r="146" spans="1:9" x14ac:dyDescent="0.25">
      <c r="A146" s="42" t="s">
        <v>194</v>
      </c>
      <c r="B146" s="43" t="s">
        <v>246</v>
      </c>
      <c r="C146" s="43" t="s">
        <v>230</v>
      </c>
      <c r="D146" s="44" t="s">
        <v>276</v>
      </c>
      <c r="E146" s="63">
        <v>24796.1806</v>
      </c>
      <c r="F146" s="45">
        <v>24796.1806</v>
      </c>
      <c r="G146" s="45">
        <v>63982176.577299997</v>
      </c>
      <c r="H146" s="46">
        <v>3.875482505669766E-4</v>
      </c>
      <c r="I146" s="47">
        <v>4.6505790068037192E-3</v>
      </c>
    </row>
    <row r="147" spans="1:9" x14ac:dyDescent="0.25">
      <c r="A147" s="48" t="s">
        <v>57</v>
      </c>
      <c r="B147" s="49" t="s">
        <v>58</v>
      </c>
      <c r="C147" s="49" t="s">
        <v>230</v>
      </c>
      <c r="D147" s="50" t="s">
        <v>276</v>
      </c>
      <c r="E147" s="64">
        <v>6172.7683999999999</v>
      </c>
      <c r="F147" s="51">
        <v>6172.7683999999999</v>
      </c>
      <c r="G147" s="51">
        <v>9676339.2653999999</v>
      </c>
      <c r="H147" s="52">
        <v>6.3792393287326831E-4</v>
      </c>
      <c r="I147" s="53">
        <v>7.6550871944792197E-3</v>
      </c>
    </row>
    <row r="148" spans="1:9" x14ac:dyDescent="0.25">
      <c r="A148" s="42" t="s">
        <v>157</v>
      </c>
      <c r="B148" s="43" t="s">
        <v>158</v>
      </c>
      <c r="C148" s="43" t="s">
        <v>152</v>
      </c>
      <c r="D148" s="44" t="s">
        <v>276</v>
      </c>
      <c r="E148" s="63">
        <v>1307.7088000000001</v>
      </c>
      <c r="F148" s="45">
        <v>1307.7088000000001</v>
      </c>
      <c r="G148" s="45">
        <v>5666950.0492000002</v>
      </c>
      <c r="H148" s="46">
        <v>2.307606011428685E-4</v>
      </c>
      <c r="I148" s="47">
        <v>2.7691272137144217E-3</v>
      </c>
    </row>
    <row r="149" spans="1:9" x14ac:dyDescent="0.25">
      <c r="A149" s="48" t="s">
        <v>74</v>
      </c>
      <c r="B149" s="49" t="s">
        <v>75</v>
      </c>
      <c r="C149" s="49" t="s">
        <v>67</v>
      </c>
      <c r="D149" s="50" t="s">
        <v>276</v>
      </c>
      <c r="E149" s="64">
        <v>987.99950000000001</v>
      </c>
      <c r="F149" s="51">
        <v>987.99950000000001</v>
      </c>
      <c r="G149" s="51">
        <v>40584960.911899999</v>
      </c>
      <c r="H149" s="52">
        <v>2.4343980573116846E-5</v>
      </c>
      <c r="I149" s="53">
        <v>2.9212776687740217E-4</v>
      </c>
    </row>
    <row r="150" spans="1:9" x14ac:dyDescent="0.25">
      <c r="A150" s="42" t="s">
        <v>96</v>
      </c>
      <c r="B150" s="43" t="s">
        <v>97</v>
      </c>
      <c r="C150" s="43" t="s">
        <v>81</v>
      </c>
      <c r="D150" s="44" t="s">
        <v>276</v>
      </c>
      <c r="E150" s="63">
        <v>11870.072099999999</v>
      </c>
      <c r="F150" s="45">
        <v>11870.072099999999</v>
      </c>
      <c r="G150" s="45">
        <v>19509552.746300001</v>
      </c>
      <c r="H150" s="46">
        <v>6.0842358891344478E-4</v>
      </c>
      <c r="I150" s="47">
        <v>7.3010830669613374E-3</v>
      </c>
    </row>
    <row r="151" spans="1:9" x14ac:dyDescent="0.25">
      <c r="A151" s="48" t="s">
        <v>196</v>
      </c>
      <c r="B151" s="49" t="s">
        <v>245</v>
      </c>
      <c r="C151" s="49" t="s">
        <v>143</v>
      </c>
      <c r="D151" s="50" t="s">
        <v>276</v>
      </c>
      <c r="E151" s="64">
        <v>1.3816999999999999</v>
      </c>
      <c r="F151" s="51">
        <v>1.3816999999999999</v>
      </c>
      <c r="G151" s="51">
        <v>12799.8069</v>
      </c>
      <c r="H151" s="52">
        <v>1.0794694098080494E-4</v>
      </c>
      <c r="I151" s="53">
        <v>1.2953632917696593E-3</v>
      </c>
    </row>
    <row r="152" spans="1:9" x14ac:dyDescent="0.25">
      <c r="A152" s="42" t="s">
        <v>100</v>
      </c>
      <c r="B152" s="43" t="s">
        <v>100</v>
      </c>
      <c r="C152" s="43" t="s">
        <v>152</v>
      </c>
      <c r="D152" s="54" t="s">
        <v>277</v>
      </c>
      <c r="E152" s="63">
        <v>1425.1038000000001</v>
      </c>
      <c r="F152" s="45">
        <v>1425.1038000000001</v>
      </c>
      <c r="G152" s="45">
        <v>561211.81200000003</v>
      </c>
      <c r="H152" s="46">
        <v>2.5393332241553036E-3</v>
      </c>
      <c r="I152" s="47">
        <v>3.0471998689863646E-2</v>
      </c>
    </row>
    <row r="153" spans="1:9" x14ac:dyDescent="0.25">
      <c r="A153" s="48" t="s">
        <v>190</v>
      </c>
      <c r="B153" s="49" t="s">
        <v>234</v>
      </c>
      <c r="C153" s="49" t="s">
        <v>143</v>
      </c>
      <c r="D153" s="55" t="s">
        <v>277</v>
      </c>
      <c r="E153" s="64">
        <v>1151.8307</v>
      </c>
      <c r="F153" s="51">
        <v>1151.8307</v>
      </c>
      <c r="G153" s="51">
        <v>8363767.7589999996</v>
      </c>
      <c r="H153" s="52">
        <v>1.3771672447032612E-4</v>
      </c>
      <c r="I153" s="53">
        <v>1.6526006936439133E-3</v>
      </c>
    </row>
    <row r="154" spans="1:9" x14ac:dyDescent="0.25">
      <c r="A154" s="42" t="s">
        <v>65</v>
      </c>
      <c r="B154" s="43" t="s">
        <v>66</v>
      </c>
      <c r="C154" s="43" t="s">
        <v>67</v>
      </c>
      <c r="D154" s="54" t="s">
        <v>277</v>
      </c>
      <c r="E154" s="63">
        <v>40824.143300000003</v>
      </c>
      <c r="F154" s="45">
        <v>40824.143300000003</v>
      </c>
      <c r="G154" s="45">
        <v>212869556.84369999</v>
      </c>
      <c r="H154" s="46">
        <v>1.917800924909861E-4</v>
      </c>
      <c r="I154" s="47">
        <v>2.3013611098918331E-3</v>
      </c>
    </row>
    <row r="155" spans="1:9" x14ac:dyDescent="0.25">
      <c r="A155" s="48" t="s">
        <v>131</v>
      </c>
      <c r="B155" s="49" t="s">
        <v>132</v>
      </c>
      <c r="C155" s="49" t="s">
        <v>67</v>
      </c>
      <c r="D155" s="55" t="s">
        <v>277</v>
      </c>
      <c r="E155" s="64">
        <v>72696.982900000003</v>
      </c>
      <c r="F155" s="51">
        <v>72696.982900000003</v>
      </c>
      <c r="G155" s="51">
        <v>36998507.127400003</v>
      </c>
      <c r="H155" s="52">
        <v>1.9648625997172402E-3</v>
      </c>
      <c r="I155" s="53">
        <v>2.3578351196606881E-2</v>
      </c>
    </row>
    <row r="156" spans="1:9" x14ac:dyDescent="0.25">
      <c r="A156" s="42" t="s">
        <v>82</v>
      </c>
      <c r="B156" s="43" t="s">
        <v>83</v>
      </c>
      <c r="C156" s="43" t="s">
        <v>230</v>
      </c>
      <c r="D156" s="54" t="s">
        <v>277</v>
      </c>
      <c r="E156" s="63">
        <v>29378.158100000001</v>
      </c>
      <c r="F156" s="45">
        <v>29378.158100000001</v>
      </c>
      <c r="G156" s="45">
        <v>50517593.774800003</v>
      </c>
      <c r="H156" s="46">
        <v>5.8154310023085238E-4</v>
      </c>
      <c r="I156" s="47">
        <v>6.9785172027702286E-3</v>
      </c>
    </row>
    <row r="157" spans="1:9" x14ac:dyDescent="0.25">
      <c r="A157" s="48" t="s">
        <v>68</v>
      </c>
      <c r="B157" s="49" t="s">
        <v>69</v>
      </c>
      <c r="C157" s="49" t="s">
        <v>143</v>
      </c>
      <c r="D157" s="55" t="s">
        <v>277</v>
      </c>
      <c r="E157" s="64">
        <v>18953.0681</v>
      </c>
      <c r="F157" s="51">
        <v>18953.0681</v>
      </c>
      <c r="G157" s="51">
        <v>58643032.857300006</v>
      </c>
      <c r="H157" s="52">
        <v>3.2319385912593852E-4</v>
      </c>
      <c r="I157" s="53">
        <v>3.8783263095112622E-3</v>
      </c>
    </row>
    <row r="158" spans="1:9" x14ac:dyDescent="0.25">
      <c r="A158" s="42" t="s">
        <v>79</v>
      </c>
      <c r="B158" s="43" t="s">
        <v>80</v>
      </c>
      <c r="C158" s="43" t="s">
        <v>81</v>
      </c>
      <c r="D158" s="54" t="s">
        <v>277</v>
      </c>
      <c r="E158" s="63">
        <v>52667.958400000003</v>
      </c>
      <c r="F158" s="45">
        <v>52667.958400000003</v>
      </c>
      <c r="G158" s="45">
        <v>9821291.4871999994</v>
      </c>
      <c r="H158" s="46">
        <v>5.3626306141755066E-3</v>
      </c>
      <c r="I158" s="47">
        <v>6.4351567370106083E-2</v>
      </c>
    </row>
    <row r="159" spans="1:9" x14ac:dyDescent="0.25">
      <c r="A159" s="48" t="s">
        <v>114</v>
      </c>
      <c r="B159" s="49" t="s">
        <v>115</v>
      </c>
      <c r="C159" s="49" t="s">
        <v>81</v>
      </c>
      <c r="D159" s="55" t="s">
        <v>277</v>
      </c>
      <c r="E159" s="64">
        <v>15495.154200000001</v>
      </c>
      <c r="F159" s="51">
        <v>15495.154200000001</v>
      </c>
      <c r="G159" s="51">
        <v>57397008.122199997</v>
      </c>
      <c r="H159" s="52">
        <v>2.6996449304483503E-4</v>
      </c>
      <c r="I159" s="53">
        <v>3.2395739165380203E-3</v>
      </c>
    </row>
    <row r="160" spans="1:9" x14ac:dyDescent="0.25">
      <c r="A160" s="42" t="s">
        <v>146</v>
      </c>
      <c r="B160" s="43" t="s">
        <v>147</v>
      </c>
      <c r="C160" s="43" t="s">
        <v>226</v>
      </c>
      <c r="D160" s="54" t="s">
        <v>277</v>
      </c>
      <c r="E160" s="63">
        <v>944.19309999999996</v>
      </c>
      <c r="F160" s="45">
        <v>944.19309999999996</v>
      </c>
      <c r="G160" s="45">
        <v>14553024.655499998</v>
      </c>
      <c r="H160" s="46">
        <v>6.487950940447028E-5</v>
      </c>
      <c r="I160" s="47">
        <v>7.7855411285364341E-4</v>
      </c>
    </row>
    <row r="161" spans="1:9" x14ac:dyDescent="0.25">
      <c r="A161" s="48" t="s">
        <v>90</v>
      </c>
      <c r="B161" s="49" t="s">
        <v>91</v>
      </c>
      <c r="C161" s="49" t="s">
        <v>81</v>
      </c>
      <c r="D161" s="55" t="s">
        <v>277</v>
      </c>
      <c r="E161" s="64">
        <v>38221.309699999998</v>
      </c>
      <c r="F161" s="51">
        <v>38221.309699999998</v>
      </c>
      <c r="G161" s="51">
        <v>85850238.951700002</v>
      </c>
      <c r="H161" s="52">
        <v>4.4520912424604429E-4</v>
      </c>
      <c r="I161" s="53">
        <v>5.3425094909525317E-3</v>
      </c>
    </row>
    <row r="162" spans="1:9" x14ac:dyDescent="0.25">
      <c r="A162" s="42" t="s">
        <v>98</v>
      </c>
      <c r="B162" s="43" t="s">
        <v>99</v>
      </c>
      <c r="C162" s="43" t="s">
        <v>81</v>
      </c>
      <c r="D162" s="54" t="s">
        <v>277</v>
      </c>
      <c r="E162" s="63">
        <v>-469.36590000000001</v>
      </c>
      <c r="F162" s="45">
        <v>-469.36590000000001</v>
      </c>
      <c r="G162" s="45">
        <v>14523513.98</v>
      </c>
      <c r="H162" s="46">
        <v>-3.2317654022735345E-5</v>
      </c>
      <c r="I162" s="47">
        <v>-3.8781184827282411E-4</v>
      </c>
    </row>
    <row r="163" spans="1:9" x14ac:dyDescent="0.25">
      <c r="A163" s="48" t="s">
        <v>120</v>
      </c>
      <c r="B163" s="49" t="s">
        <v>268</v>
      </c>
      <c r="C163" s="49" t="s">
        <v>143</v>
      </c>
      <c r="D163" s="55" t="s">
        <v>277</v>
      </c>
      <c r="E163" s="64">
        <v>127119.9584</v>
      </c>
      <c r="F163" s="51">
        <v>127119.9584</v>
      </c>
      <c r="G163" s="51">
        <v>48226190.885499999</v>
      </c>
      <c r="H163" s="52">
        <v>2.6359112354905211E-3</v>
      </c>
      <c r="I163" s="53">
        <v>3.1630934825886255E-2</v>
      </c>
    </row>
    <row r="164" spans="1:9" x14ac:dyDescent="0.25">
      <c r="A164" s="42" t="s">
        <v>106</v>
      </c>
      <c r="B164" s="43" t="s">
        <v>107</v>
      </c>
      <c r="C164" s="43" t="s">
        <v>143</v>
      </c>
      <c r="D164" s="54" t="s">
        <v>277</v>
      </c>
      <c r="E164" s="63">
        <v>93542.861600000004</v>
      </c>
      <c r="F164" s="45">
        <v>93542.861600000004</v>
      </c>
      <c r="G164" s="45">
        <v>72954871.071899995</v>
      </c>
      <c r="H164" s="46">
        <v>1.2822017258835219E-3</v>
      </c>
      <c r="I164" s="47">
        <v>1.5386420710602262E-2</v>
      </c>
    </row>
    <row r="165" spans="1:9" x14ac:dyDescent="0.25">
      <c r="A165" s="48" t="s">
        <v>206</v>
      </c>
      <c r="B165" s="49" t="s">
        <v>251</v>
      </c>
      <c r="C165" s="49" t="s">
        <v>230</v>
      </c>
      <c r="D165" s="55" t="s">
        <v>277</v>
      </c>
      <c r="E165" s="64">
        <v>768.62840000000006</v>
      </c>
      <c r="F165" s="51">
        <v>768.62840000000006</v>
      </c>
      <c r="G165" s="51">
        <v>5099667.57</v>
      </c>
      <c r="H165" s="52">
        <v>1.5072127534775762E-4</v>
      </c>
      <c r="I165" s="53">
        <v>1.8086553041730914E-3</v>
      </c>
    </row>
    <row r="166" spans="1:9" x14ac:dyDescent="0.25">
      <c r="A166" s="42" t="s">
        <v>54</v>
      </c>
      <c r="B166" s="43" t="s">
        <v>55</v>
      </c>
      <c r="C166" s="43" t="s">
        <v>143</v>
      </c>
      <c r="D166" s="54" t="s">
        <v>277</v>
      </c>
      <c r="E166" s="63">
        <v>11978.5273</v>
      </c>
      <c r="F166" s="45">
        <v>11978.5273</v>
      </c>
      <c r="G166" s="45">
        <v>56563764.080799997</v>
      </c>
      <c r="H166" s="46">
        <v>2.1177033556127835E-4</v>
      </c>
      <c r="I166" s="47">
        <v>2.5412440267353403E-3</v>
      </c>
    </row>
    <row r="167" spans="1:9" x14ac:dyDescent="0.25">
      <c r="A167" s="48" t="s">
        <v>183</v>
      </c>
      <c r="B167" s="49" t="s">
        <v>231</v>
      </c>
      <c r="C167" s="49" t="s">
        <v>230</v>
      </c>
      <c r="D167" s="55" t="s">
        <v>277</v>
      </c>
      <c r="E167" s="64">
        <v>11271.967199999999</v>
      </c>
      <c r="F167" s="51">
        <v>11271.967199999999</v>
      </c>
      <c r="G167" s="51">
        <v>21908528.426100001</v>
      </c>
      <c r="H167" s="52">
        <v>5.1450133850941418E-4</v>
      </c>
      <c r="I167" s="53">
        <v>6.1740160621129702E-3</v>
      </c>
    </row>
    <row r="168" spans="1:9" x14ac:dyDescent="0.25">
      <c r="A168" s="42" t="s">
        <v>94</v>
      </c>
      <c r="B168" s="43" t="s">
        <v>95</v>
      </c>
      <c r="C168" s="43" t="s">
        <v>152</v>
      </c>
      <c r="D168" s="54" t="s">
        <v>277</v>
      </c>
      <c r="E168" s="63">
        <v>69891.283800000005</v>
      </c>
      <c r="F168" s="45">
        <v>69891.283800000005</v>
      </c>
      <c r="G168" s="45">
        <v>56675451.067199998</v>
      </c>
      <c r="H168" s="46">
        <v>1.2331844296595014E-3</v>
      </c>
      <c r="I168" s="47">
        <v>1.4798213155914015E-2</v>
      </c>
    </row>
    <row r="169" spans="1:9" x14ac:dyDescent="0.25">
      <c r="A169" s="48" t="s">
        <v>170</v>
      </c>
      <c r="B169" s="49" t="s">
        <v>171</v>
      </c>
      <c r="C169" s="49" t="s">
        <v>81</v>
      </c>
      <c r="D169" s="55" t="s">
        <v>277</v>
      </c>
      <c r="E169" s="64">
        <v>6808.3265000000001</v>
      </c>
      <c r="F169" s="51">
        <v>6808.3265000000001</v>
      </c>
      <c r="G169" s="51">
        <v>1999433.6543000001</v>
      </c>
      <c r="H169" s="52">
        <v>3.4051274896558592E-3</v>
      </c>
      <c r="I169" s="53">
        <v>4.0861529875870314E-2</v>
      </c>
    </row>
    <row r="170" spans="1:9" x14ac:dyDescent="0.25">
      <c r="A170" s="42" t="s">
        <v>205</v>
      </c>
      <c r="B170" s="43" t="s">
        <v>250</v>
      </c>
      <c r="C170" s="43" t="s">
        <v>152</v>
      </c>
      <c r="D170" s="54" t="s">
        <v>277</v>
      </c>
      <c r="E170" s="63">
        <v>2243.4703</v>
      </c>
      <c r="F170" s="45">
        <v>2243.4703</v>
      </c>
      <c r="G170" s="45">
        <v>5853115.9162999997</v>
      </c>
      <c r="H170" s="46">
        <v>3.832950401259423E-4</v>
      </c>
      <c r="I170" s="47">
        <v>4.5995404815113074E-3</v>
      </c>
    </row>
    <row r="171" spans="1:9" x14ac:dyDescent="0.25">
      <c r="A171" s="48" t="s">
        <v>269</v>
      </c>
      <c r="B171" s="49" t="s">
        <v>270</v>
      </c>
      <c r="C171" s="49" t="s">
        <v>81</v>
      </c>
      <c r="D171" s="55" t="s">
        <v>277</v>
      </c>
      <c r="E171" s="64">
        <v>34427.535600000003</v>
      </c>
      <c r="F171" s="51">
        <v>34427.535600000003</v>
      </c>
      <c r="G171" s="51">
        <v>27499954.184999999</v>
      </c>
      <c r="H171" s="52">
        <v>1.2519124711407226E-3</v>
      </c>
      <c r="I171" s="53">
        <v>1.502294965368867E-2</v>
      </c>
    </row>
    <row r="172" spans="1:9" x14ac:dyDescent="0.25">
      <c r="A172" s="42" t="s">
        <v>148</v>
      </c>
      <c r="B172" s="43" t="s">
        <v>149</v>
      </c>
      <c r="C172" s="43" t="s">
        <v>226</v>
      </c>
      <c r="D172" s="54" t="s">
        <v>277</v>
      </c>
      <c r="E172" s="63">
        <v>1838.5413000000001</v>
      </c>
      <c r="F172" s="45">
        <v>1838.5413000000001</v>
      </c>
      <c r="G172" s="45">
        <v>5560498.2411000002</v>
      </c>
      <c r="H172" s="46">
        <v>3.3064326617542321E-4</v>
      </c>
      <c r="I172" s="47">
        <v>3.967719194105079E-3</v>
      </c>
    </row>
    <row r="173" spans="1:9" x14ac:dyDescent="0.25">
      <c r="A173" s="48" t="s">
        <v>102</v>
      </c>
      <c r="B173" s="49" t="s">
        <v>271</v>
      </c>
      <c r="C173" s="49" t="s">
        <v>152</v>
      </c>
      <c r="D173" s="55" t="s">
        <v>277</v>
      </c>
      <c r="E173" s="64">
        <v>7584.4727999999996</v>
      </c>
      <c r="F173" s="51">
        <v>7584.4727999999996</v>
      </c>
      <c r="G173" s="51">
        <v>20407632.763599999</v>
      </c>
      <c r="H173" s="52">
        <v>3.7164882805653076E-4</v>
      </c>
      <c r="I173" s="53">
        <v>4.4597859366783694E-3</v>
      </c>
    </row>
    <row r="174" spans="1:9" x14ac:dyDescent="0.25">
      <c r="A174" s="42" t="s">
        <v>86</v>
      </c>
      <c r="B174" s="43" t="s">
        <v>87</v>
      </c>
      <c r="C174" s="43" t="s">
        <v>152</v>
      </c>
      <c r="D174" s="54" t="s">
        <v>277</v>
      </c>
      <c r="E174" s="63">
        <v>69544.833599999998</v>
      </c>
      <c r="F174" s="45">
        <v>69544.833599999998</v>
      </c>
      <c r="G174" s="45">
        <v>100143298.9535</v>
      </c>
      <c r="H174" s="46">
        <v>6.9445319184354077E-4</v>
      </c>
      <c r="I174" s="47">
        <v>8.3334383021224888E-3</v>
      </c>
    </row>
    <row r="175" spans="1:9" x14ac:dyDescent="0.25">
      <c r="A175" s="48" t="s">
        <v>124</v>
      </c>
      <c r="B175" s="49" t="s">
        <v>125</v>
      </c>
      <c r="C175" s="49" t="s">
        <v>152</v>
      </c>
      <c r="D175" s="55" t="s">
        <v>277</v>
      </c>
      <c r="E175" s="64">
        <v>32248.120500000001</v>
      </c>
      <c r="F175" s="51">
        <v>32248.120500000001</v>
      </c>
      <c r="G175" s="51">
        <v>37058329.402900003</v>
      </c>
      <c r="H175" s="52">
        <v>8.7019898143267133E-4</v>
      </c>
      <c r="I175" s="53">
        <v>1.0442387777192056E-2</v>
      </c>
    </row>
    <row r="176" spans="1:9" x14ac:dyDescent="0.25">
      <c r="A176" s="42" t="s">
        <v>200</v>
      </c>
      <c r="B176" s="43" t="s">
        <v>244</v>
      </c>
      <c r="C176" s="43" t="s">
        <v>230</v>
      </c>
      <c r="D176" s="54" t="s">
        <v>277</v>
      </c>
      <c r="E176" s="63">
        <v>14564.8686</v>
      </c>
      <c r="F176" s="45">
        <v>14564.8686</v>
      </c>
      <c r="G176" s="45">
        <v>16447657.124200001</v>
      </c>
      <c r="H176" s="46">
        <v>8.8552846706478399E-4</v>
      </c>
      <c r="I176" s="47">
        <v>1.0626341604777408E-2</v>
      </c>
    </row>
    <row r="177" spans="1:9" x14ac:dyDescent="0.25">
      <c r="A177" s="48" t="s">
        <v>63</v>
      </c>
      <c r="B177" s="49" t="s">
        <v>64</v>
      </c>
      <c r="C177" s="49" t="s">
        <v>143</v>
      </c>
      <c r="D177" s="55" t="s">
        <v>277</v>
      </c>
      <c r="E177" s="64">
        <v>18774.917700000002</v>
      </c>
      <c r="F177" s="51">
        <v>18774.917700000002</v>
      </c>
      <c r="G177" s="51">
        <v>62759727.166500002</v>
      </c>
      <c r="H177" s="52">
        <v>2.9915550222502736E-4</v>
      </c>
      <c r="I177" s="53">
        <v>3.5898660267003283E-3</v>
      </c>
    </row>
    <row r="178" spans="1:9" x14ac:dyDescent="0.25">
      <c r="A178" s="42" t="s">
        <v>61</v>
      </c>
      <c r="B178" s="43" t="s">
        <v>62</v>
      </c>
      <c r="C178" s="43" t="s">
        <v>226</v>
      </c>
      <c r="D178" s="54" t="s">
        <v>277</v>
      </c>
      <c r="E178" s="63">
        <v>95.578199999999995</v>
      </c>
      <c r="F178" s="45">
        <v>95.578199999999995</v>
      </c>
      <c r="G178" s="45">
        <v>21023912.422600001</v>
      </c>
      <c r="H178" s="46">
        <v>4.5461661977461732E-6</v>
      </c>
      <c r="I178" s="47">
        <v>5.4553994372954079E-5</v>
      </c>
    </row>
    <row r="179" spans="1:9" x14ac:dyDescent="0.25">
      <c r="A179" s="48" t="s">
        <v>76</v>
      </c>
      <c r="B179" s="49" t="s">
        <v>77</v>
      </c>
      <c r="C179" s="49" t="s">
        <v>152</v>
      </c>
      <c r="D179" s="55" t="s">
        <v>277</v>
      </c>
      <c r="E179" s="64">
        <v>22632.796399999999</v>
      </c>
      <c r="F179" s="51">
        <v>22632.796399999999</v>
      </c>
      <c r="G179" s="51">
        <v>29677305.770100001</v>
      </c>
      <c r="H179" s="52">
        <v>7.6262975403928448E-4</v>
      </c>
      <c r="I179" s="53">
        <v>9.1515570484714138E-3</v>
      </c>
    </row>
    <row r="180" spans="1:9" x14ac:dyDescent="0.25">
      <c r="A180" s="42" t="s">
        <v>195</v>
      </c>
      <c r="B180" s="43" t="s">
        <v>225</v>
      </c>
      <c r="C180" s="43" t="s">
        <v>226</v>
      </c>
      <c r="D180" s="54" t="s">
        <v>277</v>
      </c>
      <c r="E180" s="63">
        <v>16196.245000000001</v>
      </c>
      <c r="F180" s="45">
        <v>16196.245000000001</v>
      </c>
      <c r="G180" s="45">
        <v>56555093.505900003</v>
      </c>
      <c r="H180" s="46">
        <v>2.8637995264405952E-4</v>
      </c>
      <c r="I180" s="47">
        <v>3.436559431728714E-3</v>
      </c>
    </row>
    <row r="181" spans="1:9" x14ac:dyDescent="0.25">
      <c r="A181" s="48" t="s">
        <v>204</v>
      </c>
      <c r="B181" s="49" t="s">
        <v>89</v>
      </c>
      <c r="C181" s="49" t="s">
        <v>152</v>
      </c>
      <c r="D181" s="55" t="s">
        <v>277</v>
      </c>
      <c r="E181" s="64">
        <v>5534.5208000000002</v>
      </c>
      <c r="F181" s="51">
        <v>5534.5208000000002</v>
      </c>
      <c r="G181" s="51">
        <v>6693008.1942000007</v>
      </c>
      <c r="H181" s="52">
        <v>8.2691080593567511E-4</v>
      </c>
      <c r="I181" s="53">
        <v>9.9229296712281014E-3</v>
      </c>
    </row>
    <row r="182" spans="1:9" x14ac:dyDescent="0.25">
      <c r="A182" s="42" t="s">
        <v>116</v>
      </c>
      <c r="B182" s="43" t="s">
        <v>117</v>
      </c>
      <c r="C182" s="43" t="s">
        <v>143</v>
      </c>
      <c r="D182" s="54" t="s">
        <v>277</v>
      </c>
      <c r="E182" s="63">
        <v>47461.407399999996</v>
      </c>
      <c r="F182" s="45">
        <v>47461.407399999996</v>
      </c>
      <c r="G182" s="45">
        <v>70719585.469999999</v>
      </c>
      <c r="H182" s="46">
        <v>6.7112111990720905E-4</v>
      </c>
      <c r="I182" s="47">
        <v>8.0534534388865091E-3</v>
      </c>
    </row>
    <row r="183" spans="1:9" x14ac:dyDescent="0.25">
      <c r="A183" s="48" t="s">
        <v>112</v>
      </c>
      <c r="B183" s="49" t="s">
        <v>113</v>
      </c>
      <c r="C183" s="49" t="s">
        <v>81</v>
      </c>
      <c r="D183" s="55" t="s">
        <v>277</v>
      </c>
      <c r="E183" s="64">
        <v>51174.9931</v>
      </c>
      <c r="F183" s="51">
        <v>51174.9931</v>
      </c>
      <c r="G183" s="51">
        <v>66378329.461199999</v>
      </c>
      <c r="H183" s="52">
        <v>7.7095934042620371E-4</v>
      </c>
      <c r="I183" s="53">
        <v>9.2515120851144449E-3</v>
      </c>
    </row>
    <row r="184" spans="1:9" x14ac:dyDescent="0.25">
      <c r="A184" s="42" t="s">
        <v>122</v>
      </c>
      <c r="B184" s="43" t="s">
        <v>123</v>
      </c>
      <c r="C184" s="43" t="s">
        <v>152</v>
      </c>
      <c r="D184" s="54" t="s">
        <v>277</v>
      </c>
      <c r="E184" s="63">
        <v>83489.8171</v>
      </c>
      <c r="F184" s="45">
        <v>83489.8171</v>
      </c>
      <c r="G184" s="45">
        <v>88490607.982700005</v>
      </c>
      <c r="H184" s="46">
        <v>9.434878910123698E-4</v>
      </c>
      <c r="I184" s="47">
        <v>1.1321854692148439E-2</v>
      </c>
    </row>
    <row r="185" spans="1:9" x14ac:dyDescent="0.25">
      <c r="A185" s="48" t="s">
        <v>203</v>
      </c>
      <c r="B185" s="49" t="s">
        <v>156</v>
      </c>
      <c r="C185" s="49" t="s">
        <v>152</v>
      </c>
      <c r="D185" s="55" t="s">
        <v>277</v>
      </c>
      <c r="E185" s="64">
        <v>3736.7442000000001</v>
      </c>
      <c r="F185" s="51">
        <v>3736.7442000000001</v>
      </c>
      <c r="G185" s="51">
        <v>7250915.025799999</v>
      </c>
      <c r="H185" s="52">
        <v>5.1534795080400517E-4</v>
      </c>
      <c r="I185" s="53">
        <v>6.1841754096480621E-3</v>
      </c>
    </row>
    <row r="186" spans="1:9" x14ac:dyDescent="0.25">
      <c r="A186" s="42" t="s">
        <v>197</v>
      </c>
      <c r="B186" s="43" t="s">
        <v>272</v>
      </c>
      <c r="C186" s="43" t="s">
        <v>67</v>
      </c>
      <c r="D186" s="54" t="s">
        <v>277</v>
      </c>
      <c r="E186" s="63">
        <v>5329.7887000000001</v>
      </c>
      <c r="F186" s="45">
        <v>5329.7887000000001</v>
      </c>
      <c r="G186" s="45">
        <v>22848154.154899999</v>
      </c>
      <c r="H186" s="46">
        <v>2.3326999038375177E-4</v>
      </c>
      <c r="I186" s="47">
        <v>2.7992398846050214E-3</v>
      </c>
    </row>
    <row r="187" spans="1:9" x14ac:dyDescent="0.25">
      <c r="A187" s="48" t="s">
        <v>59</v>
      </c>
      <c r="B187" s="49" t="s">
        <v>60</v>
      </c>
      <c r="C187" s="49" t="s">
        <v>143</v>
      </c>
      <c r="D187" s="55" t="s">
        <v>277</v>
      </c>
      <c r="E187" s="64">
        <v>16300.367899999999</v>
      </c>
      <c r="F187" s="51">
        <v>16300.367899999999</v>
      </c>
      <c r="G187" s="51">
        <v>41621077.056100003</v>
      </c>
      <c r="H187" s="52">
        <v>3.9163733985137249E-4</v>
      </c>
      <c r="I187" s="53">
        <v>4.6996480782164696E-3</v>
      </c>
    </row>
    <row r="188" spans="1:9" x14ac:dyDescent="0.25">
      <c r="A188" s="42" t="s">
        <v>198</v>
      </c>
      <c r="B188" s="43" t="s">
        <v>242</v>
      </c>
      <c r="C188" s="43" t="s">
        <v>226</v>
      </c>
      <c r="D188" s="54" t="s">
        <v>277</v>
      </c>
      <c r="E188" s="63">
        <v>5117.4944999999998</v>
      </c>
      <c r="F188" s="45">
        <v>5117.4944999999998</v>
      </c>
      <c r="G188" s="45">
        <v>28029691.861499999</v>
      </c>
      <c r="H188" s="46">
        <v>1.8257405487318614E-4</v>
      </c>
      <c r="I188" s="47">
        <v>2.190888658478234E-3</v>
      </c>
    </row>
    <row r="189" spans="1:9" x14ac:dyDescent="0.25">
      <c r="A189" s="48" t="s">
        <v>202</v>
      </c>
      <c r="B189" s="49" t="s">
        <v>273</v>
      </c>
      <c r="C189" s="49" t="s">
        <v>143</v>
      </c>
      <c r="D189" s="55" t="s">
        <v>277</v>
      </c>
      <c r="E189" s="64">
        <v>303.83960000000002</v>
      </c>
      <c r="F189" s="51">
        <v>303.83960000000002</v>
      </c>
      <c r="G189" s="51">
        <v>1472033.7171</v>
      </c>
      <c r="H189" s="52">
        <v>2.0640804383107705E-4</v>
      </c>
      <c r="I189" s="53">
        <v>2.4768965259729246E-3</v>
      </c>
    </row>
    <row r="190" spans="1:9" x14ac:dyDescent="0.25">
      <c r="A190" s="42" t="s">
        <v>70</v>
      </c>
      <c r="B190" s="43" t="s">
        <v>71</v>
      </c>
      <c r="C190" s="43" t="s">
        <v>152</v>
      </c>
      <c r="D190" s="54" t="s">
        <v>277</v>
      </c>
      <c r="E190" s="63">
        <v>22795.950400000002</v>
      </c>
      <c r="F190" s="45">
        <v>22795.950400000002</v>
      </c>
      <c r="G190" s="45">
        <v>31117973.793499999</v>
      </c>
      <c r="H190" s="46">
        <v>7.3256538331431076E-4</v>
      </c>
      <c r="I190" s="47">
        <v>8.7907845997717282E-3</v>
      </c>
    </row>
    <row r="191" spans="1:9" x14ac:dyDescent="0.25">
      <c r="A191" s="48" t="s">
        <v>72</v>
      </c>
      <c r="B191" s="49" t="s">
        <v>73</v>
      </c>
      <c r="C191" s="49" t="s">
        <v>67</v>
      </c>
      <c r="D191" s="55" t="s">
        <v>277</v>
      </c>
      <c r="E191" s="64">
        <v>58227.548799999997</v>
      </c>
      <c r="F191" s="51">
        <v>58227.548799999997</v>
      </c>
      <c r="G191" s="51">
        <v>159191619.30430001</v>
      </c>
      <c r="H191" s="52">
        <v>3.6577018975286708E-4</v>
      </c>
      <c r="I191" s="53">
        <v>4.3892422770344048E-3</v>
      </c>
    </row>
    <row r="192" spans="1:9" x14ac:dyDescent="0.25">
      <c r="A192" s="42" t="s">
        <v>133</v>
      </c>
      <c r="B192" s="43" t="s">
        <v>134</v>
      </c>
      <c r="C192" s="43" t="s">
        <v>241</v>
      </c>
      <c r="D192" s="54" t="s">
        <v>277</v>
      </c>
      <c r="E192" s="63">
        <v>1444.0881999999999</v>
      </c>
      <c r="F192" s="45">
        <v>1444.0881999999999</v>
      </c>
      <c r="G192" s="45">
        <v>5230635.3638000004</v>
      </c>
      <c r="H192" s="46">
        <v>2.7608275086315434E-4</v>
      </c>
      <c r="I192" s="47">
        <v>3.3129930103578519E-3</v>
      </c>
    </row>
    <row r="193" spans="1:9" x14ac:dyDescent="0.25">
      <c r="A193" s="48" t="s">
        <v>188</v>
      </c>
      <c r="B193" s="49" t="s">
        <v>233</v>
      </c>
      <c r="C193" s="49" t="s">
        <v>226</v>
      </c>
      <c r="D193" s="55" t="s">
        <v>277</v>
      </c>
      <c r="E193" s="64">
        <v>5860.4431999999997</v>
      </c>
      <c r="F193" s="51">
        <v>5860.4431999999997</v>
      </c>
      <c r="G193" s="51">
        <v>40988695.451499999</v>
      </c>
      <c r="H193" s="52">
        <v>1.429770607589692E-4</v>
      </c>
      <c r="I193" s="53">
        <v>1.7157247291076302E-3</v>
      </c>
    </row>
    <row r="194" spans="1:9" x14ac:dyDescent="0.25">
      <c r="A194" s="42" t="s">
        <v>118</v>
      </c>
      <c r="B194" s="43" t="s">
        <v>119</v>
      </c>
      <c r="C194" s="43" t="s">
        <v>143</v>
      </c>
      <c r="D194" s="54" t="s">
        <v>277</v>
      </c>
      <c r="E194" s="63">
        <v>15699.2943</v>
      </c>
      <c r="F194" s="45">
        <v>15699.2943</v>
      </c>
      <c r="G194" s="45">
        <v>40610312.167800002</v>
      </c>
      <c r="H194" s="46">
        <v>3.8658393550710014E-4</v>
      </c>
      <c r="I194" s="47">
        <v>4.6390072260852015E-3</v>
      </c>
    </row>
    <row r="195" spans="1:9" x14ac:dyDescent="0.25">
      <c r="A195" s="48" t="s">
        <v>57</v>
      </c>
      <c r="B195" s="49" t="s">
        <v>58</v>
      </c>
      <c r="C195" s="49" t="s">
        <v>230</v>
      </c>
      <c r="D195" s="55" t="s">
        <v>277</v>
      </c>
      <c r="E195" s="64">
        <v>3205.7894999999999</v>
      </c>
      <c r="F195" s="51">
        <v>3205.7894999999999</v>
      </c>
      <c r="G195" s="51">
        <v>10889596.170600001</v>
      </c>
      <c r="H195" s="52">
        <v>2.9439011784983076E-4</v>
      </c>
      <c r="I195" s="53">
        <v>3.5326814141979691E-3</v>
      </c>
    </row>
    <row r="196" spans="1:9" x14ac:dyDescent="0.25">
      <c r="A196" s="42" t="s">
        <v>157</v>
      </c>
      <c r="B196" s="43" t="s">
        <v>158</v>
      </c>
      <c r="C196" s="43" t="s">
        <v>152</v>
      </c>
      <c r="D196" s="54" t="s">
        <v>277</v>
      </c>
      <c r="E196" s="63">
        <v>2904.0583999999999</v>
      </c>
      <c r="F196" s="45">
        <v>2904.0583999999999</v>
      </c>
      <c r="G196" s="45">
        <v>6405293.4020999996</v>
      </c>
      <c r="H196" s="46">
        <v>4.5338413366792746E-4</v>
      </c>
      <c r="I196" s="47">
        <v>5.4406096040151295E-3</v>
      </c>
    </row>
    <row r="197" spans="1:9" x14ac:dyDescent="0.25">
      <c r="A197" s="48" t="s">
        <v>74</v>
      </c>
      <c r="B197" s="49" t="s">
        <v>75</v>
      </c>
      <c r="C197" s="49" t="s">
        <v>67</v>
      </c>
      <c r="D197" s="55" t="s">
        <v>277</v>
      </c>
      <c r="E197" s="64">
        <v>798.61890000000005</v>
      </c>
      <c r="F197" s="51">
        <v>798.61890000000005</v>
      </c>
      <c r="G197" s="51">
        <v>42585813.158</v>
      </c>
      <c r="H197" s="52">
        <v>1.8753167798792512E-5</v>
      </c>
      <c r="I197" s="53">
        <v>2.2503801358551015E-4</v>
      </c>
    </row>
    <row r="198" spans="1:9" x14ac:dyDescent="0.25">
      <c r="A198" s="42" t="s">
        <v>96</v>
      </c>
      <c r="B198" s="43" t="s">
        <v>97</v>
      </c>
      <c r="C198" s="43" t="s">
        <v>81</v>
      </c>
      <c r="D198" s="54" t="s">
        <v>277</v>
      </c>
      <c r="E198" s="63">
        <v>7361.3878000000004</v>
      </c>
      <c r="F198" s="45">
        <v>7361.3878000000004</v>
      </c>
      <c r="G198" s="45">
        <v>20269342.1646</v>
      </c>
      <c r="H198" s="46">
        <v>3.6317842681922436E-4</v>
      </c>
      <c r="I198" s="47">
        <v>4.3581411218306925E-3</v>
      </c>
    </row>
    <row r="199" spans="1:9" x14ac:dyDescent="0.25">
      <c r="A199" s="48" t="s">
        <v>196</v>
      </c>
      <c r="B199" s="49" t="s">
        <v>245</v>
      </c>
      <c r="C199" s="49" t="s">
        <v>143</v>
      </c>
      <c r="D199" s="55" t="s">
        <v>277</v>
      </c>
      <c r="E199" s="64">
        <v>1.1606000000000001</v>
      </c>
      <c r="F199" s="51">
        <v>1.1606000000000001</v>
      </c>
      <c r="G199" s="51">
        <v>12931.277</v>
      </c>
      <c r="H199" s="52">
        <v>8.9751383409387953E-5</v>
      </c>
      <c r="I199" s="53">
        <v>1.0770166009126554E-3</v>
      </c>
    </row>
    <row r="200" spans="1:9" x14ac:dyDescent="0.25">
      <c r="A200" s="42" t="s">
        <v>100</v>
      </c>
      <c r="B200" s="43" t="s">
        <v>100</v>
      </c>
      <c r="C200" s="43" t="s">
        <v>152</v>
      </c>
      <c r="D200" s="44" t="s">
        <v>278</v>
      </c>
      <c r="E200" s="63">
        <v>32.561700000000002</v>
      </c>
      <c r="F200" s="45">
        <v>32.561700000000002</v>
      </c>
      <c r="G200" s="45">
        <v>60096.787900000003</v>
      </c>
      <c r="H200" s="46">
        <v>5.4182097143331675E-4</v>
      </c>
      <c r="I200" s="47">
        <v>6.501851657199801E-3</v>
      </c>
    </row>
    <row r="201" spans="1:9" x14ac:dyDescent="0.25">
      <c r="A201" s="48" t="s">
        <v>190</v>
      </c>
      <c r="B201" s="49" t="s">
        <v>234</v>
      </c>
      <c r="C201" s="49" t="s">
        <v>143</v>
      </c>
      <c r="D201" s="50" t="s">
        <v>278</v>
      </c>
      <c r="E201" s="64">
        <v>1911.3036999999999</v>
      </c>
      <c r="F201" s="51">
        <v>1911.3036999999999</v>
      </c>
      <c r="G201" s="51">
        <v>7610251.0492000002</v>
      </c>
      <c r="H201" s="52">
        <v>2.5114857415918214E-4</v>
      </c>
      <c r="I201" s="53">
        <v>3.0137828899101859E-3</v>
      </c>
    </row>
    <row r="202" spans="1:9" x14ac:dyDescent="0.25">
      <c r="A202" s="42" t="s">
        <v>65</v>
      </c>
      <c r="B202" s="43" t="s">
        <v>66</v>
      </c>
      <c r="C202" s="43" t="s">
        <v>67</v>
      </c>
      <c r="D202" s="44" t="s">
        <v>278</v>
      </c>
      <c r="E202" s="63">
        <v>55689.188499999997</v>
      </c>
      <c r="F202" s="45">
        <v>55689.188499999997</v>
      </c>
      <c r="G202" s="45">
        <v>211082645.07420003</v>
      </c>
      <c r="H202" s="46">
        <v>2.638264670239662E-4</v>
      </c>
      <c r="I202" s="47">
        <v>3.1659176042875947E-3</v>
      </c>
    </row>
    <row r="203" spans="1:9" x14ac:dyDescent="0.25">
      <c r="A203" s="48" t="s">
        <v>131</v>
      </c>
      <c r="B203" s="49" t="s">
        <v>132</v>
      </c>
      <c r="C203" s="49" t="s">
        <v>67</v>
      </c>
      <c r="D203" s="50" t="s">
        <v>278</v>
      </c>
      <c r="E203" s="64">
        <v>115205.3048</v>
      </c>
      <c r="F203" s="51">
        <v>115205.3048</v>
      </c>
      <c r="G203" s="51">
        <v>38793465.4802</v>
      </c>
      <c r="H203" s="52">
        <v>2.9697090315068718E-3</v>
      </c>
      <c r="I203" s="53">
        <v>3.5636508378082465E-2</v>
      </c>
    </row>
    <row r="204" spans="1:9" x14ac:dyDescent="0.25">
      <c r="A204" s="42" t="s">
        <v>82</v>
      </c>
      <c r="B204" s="43" t="s">
        <v>83</v>
      </c>
      <c r="C204" s="43" t="s">
        <v>230</v>
      </c>
      <c r="D204" s="44" t="s">
        <v>278</v>
      </c>
      <c r="E204" s="63">
        <v>65822.0677</v>
      </c>
      <c r="F204" s="45">
        <v>65822.0677</v>
      </c>
      <c r="G204" s="45">
        <v>51618151.365699999</v>
      </c>
      <c r="H204" s="46">
        <v>1.2751728986508887E-3</v>
      </c>
      <c r="I204" s="47">
        <v>1.5302074783810665E-2</v>
      </c>
    </row>
    <row r="205" spans="1:9" x14ac:dyDescent="0.25">
      <c r="A205" s="48" t="s">
        <v>68</v>
      </c>
      <c r="B205" s="49" t="s">
        <v>69</v>
      </c>
      <c r="C205" s="49" t="s">
        <v>143</v>
      </c>
      <c r="D205" s="50" t="s">
        <v>278</v>
      </c>
      <c r="E205" s="64">
        <v>15392.663500000001</v>
      </c>
      <c r="F205" s="51">
        <v>15392.663500000001</v>
      </c>
      <c r="G205" s="51">
        <v>58982520.593900003</v>
      </c>
      <c r="H205" s="52">
        <v>2.6096991693488116E-4</v>
      </c>
      <c r="I205" s="53">
        <v>3.1316390032185741E-3</v>
      </c>
    </row>
    <row r="206" spans="1:9" x14ac:dyDescent="0.25">
      <c r="A206" s="42" t="s">
        <v>79</v>
      </c>
      <c r="B206" s="43" t="s">
        <v>80</v>
      </c>
      <c r="C206" s="43" t="s">
        <v>81</v>
      </c>
      <c r="D206" s="44" t="s">
        <v>278</v>
      </c>
      <c r="E206" s="63">
        <v>37935.1368</v>
      </c>
      <c r="F206" s="45">
        <v>37935.1368</v>
      </c>
      <c r="G206" s="45">
        <v>10257222.455399999</v>
      </c>
      <c r="H206" s="46">
        <v>3.6983829652664627E-3</v>
      </c>
      <c r="I206" s="47">
        <v>4.4380595583197555E-2</v>
      </c>
    </row>
    <row r="207" spans="1:9" x14ac:dyDescent="0.25">
      <c r="A207" s="48" t="s">
        <v>114</v>
      </c>
      <c r="B207" s="49" t="s">
        <v>115</v>
      </c>
      <c r="C207" s="49" t="s">
        <v>226</v>
      </c>
      <c r="D207" s="50" t="s">
        <v>278</v>
      </c>
      <c r="E207" s="64">
        <v>8467.2309999999998</v>
      </c>
      <c r="F207" s="51">
        <v>8467.2309999999998</v>
      </c>
      <c r="G207" s="51">
        <v>57853094.1074</v>
      </c>
      <c r="H207" s="52">
        <v>1.4635744432754471E-4</v>
      </c>
      <c r="I207" s="53">
        <v>1.7562893319305365E-3</v>
      </c>
    </row>
    <row r="208" spans="1:9" x14ac:dyDescent="0.25">
      <c r="A208" s="42" t="s">
        <v>146</v>
      </c>
      <c r="B208" s="43" t="s">
        <v>147</v>
      </c>
      <c r="C208" s="43" t="s">
        <v>226</v>
      </c>
      <c r="D208" s="44" t="s">
        <v>278</v>
      </c>
      <c r="E208" s="63">
        <v>1238.2297000000001</v>
      </c>
      <c r="F208" s="45">
        <v>1238.2297000000001</v>
      </c>
      <c r="G208" s="45">
        <v>15363804.210100001</v>
      </c>
      <c r="H208" s="46">
        <v>8.0593952062081155E-5</v>
      </c>
      <c r="I208" s="47">
        <v>9.6712742474497392E-4</v>
      </c>
    </row>
    <row r="209" spans="1:9" x14ac:dyDescent="0.25">
      <c r="A209" s="48" t="s">
        <v>90</v>
      </c>
      <c r="B209" s="49" t="s">
        <v>91</v>
      </c>
      <c r="C209" s="49" t="s">
        <v>81</v>
      </c>
      <c r="D209" s="50" t="s">
        <v>278</v>
      </c>
      <c r="E209" s="64">
        <v>59792.9202</v>
      </c>
      <c r="F209" s="51">
        <v>59792.9202</v>
      </c>
      <c r="G209" s="51">
        <v>83868869.762400001</v>
      </c>
      <c r="H209" s="52">
        <v>7.1293342058135491E-4</v>
      </c>
      <c r="I209" s="53">
        <v>8.5552010469762581E-3</v>
      </c>
    </row>
    <row r="210" spans="1:9" x14ac:dyDescent="0.25">
      <c r="A210" s="42" t="s">
        <v>98</v>
      </c>
      <c r="B210" s="43" t="s">
        <v>99</v>
      </c>
      <c r="C210" s="43" t="s">
        <v>81</v>
      </c>
      <c r="D210" s="44" t="s">
        <v>278</v>
      </c>
      <c r="E210" s="63">
        <v>51513.777399999999</v>
      </c>
      <c r="F210" s="45">
        <v>51513.777399999999</v>
      </c>
      <c r="G210" s="45">
        <v>14972826.5112</v>
      </c>
      <c r="H210" s="46">
        <v>3.440484491119067E-3</v>
      </c>
      <c r="I210" s="47">
        <v>4.1285813893428808E-2</v>
      </c>
    </row>
    <row r="211" spans="1:9" x14ac:dyDescent="0.25">
      <c r="A211" s="48" t="s">
        <v>120</v>
      </c>
      <c r="B211" s="49" t="s">
        <v>268</v>
      </c>
      <c r="C211" s="49" t="s">
        <v>143</v>
      </c>
      <c r="D211" s="50" t="s">
        <v>278</v>
      </c>
      <c r="E211" s="64">
        <v>23942.005900000004</v>
      </c>
      <c r="F211" s="51">
        <v>23942.005900000004</v>
      </c>
      <c r="G211" s="51">
        <v>49071940.857699998</v>
      </c>
      <c r="H211" s="52">
        <v>4.878960457143444E-4</v>
      </c>
      <c r="I211" s="53">
        <v>5.8547525485721326E-3</v>
      </c>
    </row>
    <row r="212" spans="1:9" x14ac:dyDescent="0.25">
      <c r="A212" s="42" t="s">
        <v>106</v>
      </c>
      <c r="B212" s="43" t="s">
        <v>107</v>
      </c>
      <c r="C212" s="43" t="s">
        <v>143</v>
      </c>
      <c r="D212" s="44" t="s">
        <v>278</v>
      </c>
      <c r="E212" s="63">
        <v>110699.1859</v>
      </c>
      <c r="F212" s="45">
        <v>110699.1859</v>
      </c>
      <c r="G212" s="45">
        <v>73053695.791500002</v>
      </c>
      <c r="H212" s="46">
        <v>1.5153126026086711E-3</v>
      </c>
      <c r="I212" s="47">
        <v>1.8183751231304054E-2</v>
      </c>
    </row>
    <row r="213" spans="1:9" x14ac:dyDescent="0.25">
      <c r="A213" s="48" t="s">
        <v>206</v>
      </c>
      <c r="B213" s="49" t="s">
        <v>251</v>
      </c>
      <c r="C213" s="49" t="s">
        <v>230</v>
      </c>
      <c r="D213" s="50" t="s">
        <v>278</v>
      </c>
      <c r="E213" s="64">
        <v>640.12969999999996</v>
      </c>
      <c r="F213" s="51">
        <v>640.12969999999996</v>
      </c>
      <c r="G213" s="51">
        <v>5163033.6952</v>
      </c>
      <c r="H213" s="52">
        <v>1.2398325050543823E-4</v>
      </c>
      <c r="I213" s="53">
        <v>1.4877990060652587E-3</v>
      </c>
    </row>
    <row r="214" spans="1:9" x14ac:dyDescent="0.25">
      <c r="A214" s="42" t="s">
        <v>54</v>
      </c>
      <c r="B214" s="43" t="s">
        <v>55</v>
      </c>
      <c r="C214" s="43" t="s">
        <v>143</v>
      </c>
      <c r="D214" s="44" t="s">
        <v>278</v>
      </c>
      <c r="E214" s="63">
        <v>13657.895500000001</v>
      </c>
      <c r="F214" s="45">
        <v>13657.895500000001</v>
      </c>
      <c r="G214" s="45">
        <v>55132210.3257</v>
      </c>
      <c r="H214" s="46">
        <v>2.4772987368571625E-4</v>
      </c>
      <c r="I214" s="47">
        <v>2.972758484228595E-3</v>
      </c>
    </row>
    <row r="215" spans="1:9" x14ac:dyDescent="0.25">
      <c r="A215" s="48" t="s">
        <v>183</v>
      </c>
      <c r="B215" s="49" t="s">
        <v>231</v>
      </c>
      <c r="C215" s="49" t="s">
        <v>230</v>
      </c>
      <c r="D215" s="50" t="s">
        <v>278</v>
      </c>
      <c r="E215" s="64">
        <v>1323.135</v>
      </c>
      <c r="F215" s="51">
        <v>1323.135</v>
      </c>
      <c r="G215" s="51">
        <v>0</v>
      </c>
      <c r="H215" s="52">
        <v>0</v>
      </c>
      <c r="I215" s="53">
        <v>0</v>
      </c>
    </row>
    <row r="216" spans="1:9" x14ac:dyDescent="0.25">
      <c r="A216" s="42" t="s">
        <v>94</v>
      </c>
      <c r="B216" s="43" t="s">
        <v>95</v>
      </c>
      <c r="C216" s="43" t="s">
        <v>152</v>
      </c>
      <c r="D216" s="44" t="s">
        <v>278</v>
      </c>
      <c r="E216" s="63">
        <v>43343.760199999997</v>
      </c>
      <c r="F216" s="45">
        <v>43343.760199999997</v>
      </c>
      <c r="G216" s="45">
        <v>74523542.157199994</v>
      </c>
      <c r="H216" s="46">
        <v>5.8161164841803487E-4</v>
      </c>
      <c r="I216" s="47">
        <v>6.9793397810164184E-3</v>
      </c>
    </row>
    <row r="217" spans="1:9" x14ac:dyDescent="0.25">
      <c r="A217" s="48" t="s">
        <v>170</v>
      </c>
      <c r="B217" s="49" t="s">
        <v>171</v>
      </c>
      <c r="C217" s="49" t="s">
        <v>81</v>
      </c>
      <c r="D217" s="50" t="s">
        <v>278</v>
      </c>
      <c r="E217" s="64">
        <v>14282.7161</v>
      </c>
      <c r="F217" s="51">
        <v>14282.7161</v>
      </c>
      <c r="G217" s="51">
        <v>2236355.906</v>
      </c>
      <c r="H217" s="52">
        <v>6.3866024462744886E-3</v>
      </c>
      <c r="I217" s="53">
        <v>7.6639229355293867E-2</v>
      </c>
    </row>
    <row r="218" spans="1:9" x14ac:dyDescent="0.25">
      <c r="A218" s="42" t="s">
        <v>205</v>
      </c>
      <c r="B218" s="43" t="s">
        <v>250</v>
      </c>
      <c r="C218" s="43" t="s">
        <v>152</v>
      </c>
      <c r="D218" s="44" t="s">
        <v>278</v>
      </c>
      <c r="E218" s="63">
        <v>13026.903</v>
      </c>
      <c r="F218" s="45">
        <v>13026.903</v>
      </c>
      <c r="G218" s="45">
        <v>16421266.769099997</v>
      </c>
      <c r="H218" s="46">
        <v>7.9329464548452537E-4</v>
      </c>
      <c r="I218" s="47">
        <v>9.5195357458143053E-3</v>
      </c>
    </row>
    <row r="219" spans="1:9" x14ac:dyDescent="0.25">
      <c r="A219" s="48" t="s">
        <v>269</v>
      </c>
      <c r="B219" s="49" t="s">
        <v>270</v>
      </c>
      <c r="C219" s="49" t="s">
        <v>81</v>
      </c>
      <c r="D219" s="50" t="s">
        <v>278</v>
      </c>
      <c r="E219" s="64">
        <v>34391.750599999999</v>
      </c>
      <c r="F219" s="51">
        <v>34391.750599999999</v>
      </c>
      <c r="G219" s="51">
        <v>17326033.928599998</v>
      </c>
      <c r="H219" s="52">
        <v>1.9849753695350735E-3</v>
      </c>
      <c r="I219" s="53">
        <v>2.3819704434420882E-2</v>
      </c>
    </row>
    <row r="220" spans="1:9" x14ac:dyDescent="0.25">
      <c r="A220" s="42" t="s">
        <v>148</v>
      </c>
      <c r="B220" s="43" t="s">
        <v>149</v>
      </c>
      <c r="C220" s="43" t="s">
        <v>226</v>
      </c>
      <c r="D220" s="44" t="s">
        <v>278</v>
      </c>
      <c r="E220" s="63">
        <v>7859.4588000000003</v>
      </c>
      <c r="F220" s="45">
        <v>7859.4588000000003</v>
      </c>
      <c r="G220" s="45">
        <v>10357926.596000001</v>
      </c>
      <c r="H220" s="46">
        <v>7.5878687951265716E-4</v>
      </c>
      <c r="I220" s="47">
        <v>9.1054425541518859E-3</v>
      </c>
    </row>
    <row r="221" spans="1:9" x14ac:dyDescent="0.25">
      <c r="A221" s="48" t="s">
        <v>102</v>
      </c>
      <c r="B221" s="49" t="s">
        <v>271</v>
      </c>
      <c r="C221" s="49" t="s">
        <v>152</v>
      </c>
      <c r="D221" s="50" t="s">
        <v>278</v>
      </c>
      <c r="E221" s="64">
        <v>46655.671799999996</v>
      </c>
      <c r="F221" s="51">
        <v>46655.671799999996</v>
      </c>
      <c r="G221" s="51">
        <v>27726675.537799999</v>
      </c>
      <c r="H221" s="52">
        <v>1.6826998150713723E-3</v>
      </c>
      <c r="I221" s="53">
        <v>2.0192397780856467E-2</v>
      </c>
    </row>
    <row r="222" spans="1:9" x14ac:dyDescent="0.25">
      <c r="A222" s="42" t="s">
        <v>86</v>
      </c>
      <c r="B222" s="43" t="s">
        <v>87</v>
      </c>
      <c r="C222" s="43" t="s">
        <v>152</v>
      </c>
      <c r="D222" s="44" t="s">
        <v>278</v>
      </c>
      <c r="E222" s="63">
        <v>152716.3009</v>
      </c>
      <c r="F222" s="45">
        <v>152716.3009</v>
      </c>
      <c r="G222" s="45">
        <v>85742738.668200001</v>
      </c>
      <c r="H222" s="46">
        <v>1.7810989393628846E-3</v>
      </c>
      <c r="I222" s="47">
        <v>2.1373187272354616E-2</v>
      </c>
    </row>
    <row r="223" spans="1:9" x14ac:dyDescent="0.25">
      <c r="A223" s="48" t="s">
        <v>124</v>
      </c>
      <c r="B223" s="49" t="s">
        <v>125</v>
      </c>
      <c r="C223" s="49" t="s">
        <v>152</v>
      </c>
      <c r="D223" s="50" t="s">
        <v>278</v>
      </c>
      <c r="E223" s="64">
        <v>46993.869500000001</v>
      </c>
      <c r="F223" s="51">
        <v>46993.869500000001</v>
      </c>
      <c r="G223" s="51">
        <v>48137645.107699998</v>
      </c>
      <c r="H223" s="52">
        <v>9.7623947733336365E-4</v>
      </c>
      <c r="I223" s="53">
        <v>1.1714873728000364E-2</v>
      </c>
    </row>
    <row r="224" spans="1:9" x14ac:dyDescent="0.25">
      <c r="A224" s="42" t="s">
        <v>200</v>
      </c>
      <c r="B224" s="43" t="s">
        <v>244</v>
      </c>
      <c r="C224" s="43" t="s">
        <v>230</v>
      </c>
      <c r="D224" s="44" t="s">
        <v>278</v>
      </c>
      <c r="E224" s="63">
        <v>4196.5853999999999</v>
      </c>
      <c r="F224" s="45">
        <v>4196.5853999999999</v>
      </c>
      <c r="G224" s="45">
        <v>17394684.663699999</v>
      </c>
      <c r="H224" s="46">
        <v>2.4125676786527903E-4</v>
      </c>
      <c r="I224" s="47">
        <v>2.8950812143833486E-3</v>
      </c>
    </row>
    <row r="225" spans="1:9" x14ac:dyDescent="0.25">
      <c r="A225" s="48" t="s">
        <v>63</v>
      </c>
      <c r="B225" s="49" t="s">
        <v>64</v>
      </c>
      <c r="C225" s="49" t="s">
        <v>143</v>
      </c>
      <c r="D225" s="50" t="s">
        <v>278</v>
      </c>
      <c r="E225" s="64">
        <v>14005.827300000001</v>
      </c>
      <c r="F225" s="51">
        <v>14005.827300000001</v>
      </c>
      <c r="G225" s="51">
        <v>64238731.349900007</v>
      </c>
      <c r="H225" s="52">
        <v>2.1802776931742447E-4</v>
      </c>
      <c r="I225" s="53">
        <v>2.6163332318090938E-3</v>
      </c>
    </row>
    <row r="226" spans="1:9" x14ac:dyDescent="0.25">
      <c r="A226" s="42" t="s">
        <v>61</v>
      </c>
      <c r="B226" s="43" t="s">
        <v>62</v>
      </c>
      <c r="C226" s="43" t="s">
        <v>226</v>
      </c>
      <c r="D226" s="44" t="s">
        <v>278</v>
      </c>
      <c r="E226" s="63">
        <v>18730.344700000001</v>
      </c>
      <c r="F226" s="45">
        <v>18730.344700000001</v>
      </c>
      <c r="G226" s="45">
        <v>20682094.387600001</v>
      </c>
      <c r="H226" s="46">
        <v>9.0563094573390139E-4</v>
      </c>
      <c r="I226" s="47">
        <v>1.0867571348806816E-2</v>
      </c>
    </row>
    <row r="227" spans="1:9" x14ac:dyDescent="0.25">
      <c r="A227" s="48" t="s">
        <v>76</v>
      </c>
      <c r="B227" s="49" t="s">
        <v>77</v>
      </c>
      <c r="C227" s="49" t="s">
        <v>152</v>
      </c>
      <c r="D227" s="50" t="s">
        <v>278</v>
      </c>
      <c r="E227" s="64">
        <v>38960.191400000003</v>
      </c>
      <c r="F227" s="51">
        <v>38960.191400000003</v>
      </c>
      <c r="G227" s="51">
        <v>35384842.396600001</v>
      </c>
      <c r="H227" s="52">
        <v>1.101041823595731E-3</v>
      </c>
      <c r="I227" s="53">
        <v>1.3212501883148771E-2</v>
      </c>
    </row>
    <row r="228" spans="1:9" x14ac:dyDescent="0.25">
      <c r="A228" s="42" t="s">
        <v>204</v>
      </c>
      <c r="B228" s="43" t="s">
        <v>89</v>
      </c>
      <c r="C228" s="43" t="s">
        <v>152</v>
      </c>
      <c r="D228" s="44" t="s">
        <v>278</v>
      </c>
      <c r="E228" s="63">
        <v>8254.5272999999997</v>
      </c>
      <c r="F228" s="45">
        <v>8254.5272999999997</v>
      </c>
      <c r="G228" s="45">
        <v>17032284.877</v>
      </c>
      <c r="H228" s="46">
        <v>4.8464004445737755E-4</v>
      </c>
      <c r="I228" s="47">
        <v>5.8156805334885304E-3</v>
      </c>
    </row>
    <row r="229" spans="1:9" x14ac:dyDescent="0.25">
      <c r="A229" s="48" t="s">
        <v>116</v>
      </c>
      <c r="B229" s="49" t="s">
        <v>117</v>
      </c>
      <c r="C229" s="49" t="s">
        <v>143</v>
      </c>
      <c r="D229" s="50" t="s">
        <v>278</v>
      </c>
      <c r="E229" s="64">
        <v>81497.994900000005</v>
      </c>
      <c r="F229" s="51">
        <v>81497.994900000005</v>
      </c>
      <c r="G229" s="51">
        <v>73011952.937700003</v>
      </c>
      <c r="H229" s="52">
        <v>1.1162281191073058E-3</v>
      </c>
      <c r="I229" s="53">
        <v>1.3394737429287668E-2</v>
      </c>
    </row>
    <row r="230" spans="1:9" x14ac:dyDescent="0.25">
      <c r="A230" s="42" t="s">
        <v>112</v>
      </c>
      <c r="B230" s="43" t="s">
        <v>113</v>
      </c>
      <c r="C230" s="43" t="s">
        <v>81</v>
      </c>
      <c r="D230" s="44" t="s">
        <v>278</v>
      </c>
      <c r="E230" s="63">
        <v>69241.854699999996</v>
      </c>
      <c r="F230" s="45">
        <v>69241.854699999996</v>
      </c>
      <c r="G230" s="45">
        <v>67313774.527500004</v>
      </c>
      <c r="H230" s="46">
        <v>1.0286431742393574E-3</v>
      </c>
      <c r="I230" s="47">
        <v>1.2343718090872289E-2</v>
      </c>
    </row>
    <row r="231" spans="1:9" x14ac:dyDescent="0.25">
      <c r="A231" s="48" t="s">
        <v>122</v>
      </c>
      <c r="B231" s="49" t="s">
        <v>123</v>
      </c>
      <c r="C231" s="49" t="s">
        <v>152</v>
      </c>
      <c r="D231" s="50" t="s">
        <v>278</v>
      </c>
      <c r="E231" s="64">
        <v>63562.964399999997</v>
      </c>
      <c r="F231" s="51">
        <v>63562.964399999997</v>
      </c>
      <c r="G231" s="51">
        <v>100053134.6584</v>
      </c>
      <c r="H231" s="52">
        <v>6.3529208372147233E-4</v>
      </c>
      <c r="I231" s="53">
        <v>7.6235050046576675E-3</v>
      </c>
    </row>
    <row r="232" spans="1:9" x14ac:dyDescent="0.25">
      <c r="A232" s="42" t="s">
        <v>203</v>
      </c>
      <c r="B232" s="43" t="s">
        <v>156</v>
      </c>
      <c r="C232" s="43" t="s">
        <v>152</v>
      </c>
      <c r="D232" s="44" t="s">
        <v>278</v>
      </c>
      <c r="E232" s="63">
        <v>6446.9645</v>
      </c>
      <c r="F232" s="45">
        <v>6446.9645</v>
      </c>
      <c r="G232" s="45">
        <v>17554570.281500001</v>
      </c>
      <c r="H232" s="46">
        <v>3.6725276646584602E-4</v>
      </c>
      <c r="I232" s="47">
        <v>4.407033197590152E-3</v>
      </c>
    </row>
    <row r="233" spans="1:9" x14ac:dyDescent="0.25">
      <c r="A233" s="48" t="s">
        <v>197</v>
      </c>
      <c r="B233" s="49" t="s">
        <v>272</v>
      </c>
      <c r="C233" s="49" t="s">
        <v>67</v>
      </c>
      <c r="D233" s="50" t="s">
        <v>278</v>
      </c>
      <c r="E233" s="64">
        <v>3800.8506000000002</v>
      </c>
      <c r="F233" s="51">
        <v>3800.8506000000002</v>
      </c>
      <c r="G233" s="51">
        <v>17834784.749899998</v>
      </c>
      <c r="H233" s="52">
        <v>2.1311446441882692E-4</v>
      </c>
      <c r="I233" s="53">
        <v>2.5573735730259231E-3</v>
      </c>
    </row>
    <row r="234" spans="1:9" x14ac:dyDescent="0.25">
      <c r="A234" s="42" t="s">
        <v>59</v>
      </c>
      <c r="B234" s="43" t="s">
        <v>60</v>
      </c>
      <c r="C234" s="43" t="s">
        <v>143</v>
      </c>
      <c r="D234" s="44" t="s">
        <v>278</v>
      </c>
      <c r="E234" s="63">
        <v>12925.038500000001</v>
      </c>
      <c r="F234" s="45">
        <v>12925.038500000001</v>
      </c>
      <c r="G234" s="45">
        <v>41348784.662600003</v>
      </c>
      <c r="H234" s="46">
        <v>3.1258569279523968E-4</v>
      </c>
      <c r="I234" s="47">
        <v>3.7510283135428761E-3</v>
      </c>
    </row>
    <row r="235" spans="1:9" x14ac:dyDescent="0.25">
      <c r="A235" s="48" t="s">
        <v>202</v>
      </c>
      <c r="B235" s="49" t="s">
        <v>273</v>
      </c>
      <c r="C235" s="49" t="s">
        <v>143</v>
      </c>
      <c r="D235" s="50" t="s">
        <v>278</v>
      </c>
      <c r="E235" s="64">
        <v>322.22559999999999</v>
      </c>
      <c r="F235" s="51">
        <v>322.22559999999999</v>
      </c>
      <c r="G235" s="51">
        <v>1484943.2201</v>
      </c>
      <c r="H235" s="52">
        <v>2.1699523297483419E-4</v>
      </c>
      <c r="I235" s="53">
        <v>2.6039427956980102E-3</v>
      </c>
    </row>
    <row r="236" spans="1:9" x14ac:dyDescent="0.25">
      <c r="A236" s="42" t="s">
        <v>70</v>
      </c>
      <c r="B236" s="43" t="s">
        <v>71</v>
      </c>
      <c r="C236" s="43" t="s">
        <v>152</v>
      </c>
      <c r="D236" s="44" t="s">
        <v>278</v>
      </c>
      <c r="E236" s="63">
        <v>44437.8537</v>
      </c>
      <c r="F236" s="45">
        <v>44437.8537</v>
      </c>
      <c r="G236" s="45">
        <v>39028132.174999997</v>
      </c>
      <c r="H236" s="46">
        <v>1.1386108231042961E-3</v>
      </c>
      <c r="I236" s="47">
        <v>1.3663329877251553E-2</v>
      </c>
    </row>
    <row r="237" spans="1:9" x14ac:dyDescent="0.25">
      <c r="A237" s="48" t="s">
        <v>72</v>
      </c>
      <c r="B237" s="49" t="s">
        <v>73</v>
      </c>
      <c r="C237" s="49" t="s">
        <v>67</v>
      </c>
      <c r="D237" s="50" t="s">
        <v>278</v>
      </c>
      <c r="E237" s="64">
        <v>56536.746099999997</v>
      </c>
      <c r="F237" s="51">
        <v>56536.746099999997</v>
      </c>
      <c r="G237" s="51">
        <v>177979408.23719999</v>
      </c>
      <c r="H237" s="52">
        <v>3.1765891717457166E-4</v>
      </c>
      <c r="I237" s="53">
        <v>3.8119070060948597E-3</v>
      </c>
    </row>
    <row r="238" spans="1:9" x14ac:dyDescent="0.25">
      <c r="A238" s="42" t="s">
        <v>133</v>
      </c>
      <c r="B238" s="43" t="s">
        <v>134</v>
      </c>
      <c r="C238" s="43" t="s">
        <v>241</v>
      </c>
      <c r="D238" s="44" t="s">
        <v>278</v>
      </c>
      <c r="E238" s="63">
        <v>2216.5796999999998</v>
      </c>
      <c r="F238" s="45">
        <v>2216.5796999999998</v>
      </c>
      <c r="G238" s="45">
        <v>5503012.9983000001</v>
      </c>
      <c r="H238" s="46">
        <v>4.0279383324821319E-4</v>
      </c>
      <c r="I238" s="47">
        <v>4.8335259989785578E-3</v>
      </c>
    </row>
    <row r="239" spans="1:9" x14ac:dyDescent="0.25">
      <c r="A239" s="48" t="s">
        <v>118</v>
      </c>
      <c r="B239" s="49" t="s">
        <v>119</v>
      </c>
      <c r="C239" s="49" t="s">
        <v>143</v>
      </c>
      <c r="D239" s="50" t="s">
        <v>278</v>
      </c>
      <c r="E239" s="64">
        <v>60816.970699999998</v>
      </c>
      <c r="F239" s="51">
        <v>60816.970699999998</v>
      </c>
      <c r="G239" s="51">
        <v>41931020.900600001</v>
      </c>
      <c r="H239" s="52">
        <v>1.4504051986754694E-3</v>
      </c>
      <c r="I239" s="53">
        <v>1.7404862384105633E-2</v>
      </c>
    </row>
    <row r="240" spans="1:9" x14ac:dyDescent="0.25">
      <c r="A240" s="42" t="s">
        <v>57</v>
      </c>
      <c r="B240" s="43" t="s">
        <v>58</v>
      </c>
      <c r="C240" s="43" t="s">
        <v>230</v>
      </c>
      <c r="D240" s="44" t="s">
        <v>278</v>
      </c>
      <c r="E240" s="63">
        <v>4411.5788000000002</v>
      </c>
      <c r="F240" s="45">
        <v>4411.5788000000002</v>
      </c>
      <c r="G240" s="45">
        <v>10877714.831</v>
      </c>
      <c r="H240" s="46">
        <v>4.0556117424843716E-4</v>
      </c>
      <c r="I240" s="47">
        <v>4.8667340909812461E-3</v>
      </c>
    </row>
    <row r="241" spans="1:9" x14ac:dyDescent="0.25">
      <c r="A241" s="48" t="s">
        <v>157</v>
      </c>
      <c r="B241" s="49" t="s">
        <v>158</v>
      </c>
      <c r="C241" s="49" t="s">
        <v>152</v>
      </c>
      <c r="D241" s="50" t="s">
        <v>278</v>
      </c>
      <c r="E241" s="64">
        <v>3969.9958000000001</v>
      </c>
      <c r="F241" s="51">
        <v>3969.9958000000001</v>
      </c>
      <c r="G241" s="51">
        <v>5929806.2956999997</v>
      </c>
      <c r="H241" s="52">
        <v>6.6949839539933093E-4</v>
      </c>
      <c r="I241" s="53">
        <v>8.0339807447919707E-3</v>
      </c>
    </row>
    <row r="242" spans="1:9" x14ac:dyDescent="0.25">
      <c r="A242" s="42" t="s">
        <v>74</v>
      </c>
      <c r="B242" s="43" t="s">
        <v>75</v>
      </c>
      <c r="C242" s="43" t="s">
        <v>67</v>
      </c>
      <c r="D242" s="44" t="s">
        <v>278</v>
      </c>
      <c r="E242" s="63">
        <v>634.11220000000003</v>
      </c>
      <c r="F242" s="45">
        <v>634.11220000000003</v>
      </c>
      <c r="G242" s="45">
        <v>43535149.794699997</v>
      </c>
      <c r="H242" s="46">
        <v>1.4565522410978297E-5</v>
      </c>
      <c r="I242" s="47">
        <v>1.7478626893173958E-4</v>
      </c>
    </row>
    <row r="243" spans="1:9" x14ac:dyDescent="0.25">
      <c r="A243" s="48" t="s">
        <v>96</v>
      </c>
      <c r="B243" s="49" t="s">
        <v>97</v>
      </c>
      <c r="C243" s="49" t="s">
        <v>81</v>
      </c>
      <c r="D243" s="50" t="s">
        <v>278</v>
      </c>
      <c r="E243" s="64">
        <v>30723.616399999999</v>
      </c>
      <c r="F243" s="51">
        <v>30723.616399999999</v>
      </c>
      <c r="G243" s="51">
        <v>20328472.335200001</v>
      </c>
      <c r="H243" s="52">
        <v>1.5113588415987447E-3</v>
      </c>
      <c r="I243" s="53">
        <v>1.8136306099184936E-2</v>
      </c>
    </row>
    <row r="244" spans="1:9" x14ac:dyDescent="0.25">
      <c r="A244" s="42" t="s">
        <v>196</v>
      </c>
      <c r="B244" s="43" t="s">
        <v>245</v>
      </c>
      <c r="C244" s="43" t="s">
        <v>143</v>
      </c>
      <c r="D244" s="44" t="s">
        <v>278</v>
      </c>
      <c r="E244" s="63">
        <v>1.2342</v>
      </c>
      <c r="F244" s="45">
        <v>1.2342</v>
      </c>
      <c r="G244" s="45">
        <v>12986.097599999999</v>
      </c>
      <c r="H244" s="46">
        <v>9.5040098882361715E-5</v>
      </c>
      <c r="I244" s="47">
        <v>1.1404811865883405E-3</v>
      </c>
    </row>
    <row r="245" spans="1:9" x14ac:dyDescent="0.25">
      <c r="A245" s="48" t="s">
        <v>100</v>
      </c>
      <c r="B245" s="49" t="s">
        <v>100</v>
      </c>
      <c r="C245" s="49" t="s">
        <v>152</v>
      </c>
      <c r="D245" s="50" t="s">
        <v>279</v>
      </c>
      <c r="E245" s="64">
        <v>400.78070000000002</v>
      </c>
      <c r="F245" s="51">
        <v>400.78070000000002</v>
      </c>
      <c r="G245" s="51">
        <v>8916.2940660000004</v>
      </c>
      <c r="H245" s="56">
        <v>4.4949246518043233E-4</v>
      </c>
      <c r="I245" s="57">
        <v>5.3939095821651881E-3</v>
      </c>
    </row>
    <row r="246" spans="1:9" x14ac:dyDescent="0.25">
      <c r="A246" s="42" t="s">
        <v>207</v>
      </c>
      <c r="B246" s="43" t="s">
        <v>129</v>
      </c>
      <c r="C246" s="43" t="s">
        <v>67</v>
      </c>
      <c r="D246" s="44" t="s">
        <v>279</v>
      </c>
      <c r="E246" s="63">
        <v>125373.8101</v>
      </c>
      <c r="F246" s="45">
        <v>125373.8101</v>
      </c>
      <c r="G246" s="45">
        <v>1614532.8896079999</v>
      </c>
      <c r="H246" s="58">
        <v>7.7653302021267652E-4</v>
      </c>
      <c r="I246" s="59">
        <v>9.3183962425521186E-3</v>
      </c>
    </row>
    <row r="247" spans="1:9" x14ac:dyDescent="0.25">
      <c r="A247" s="48" t="s">
        <v>190</v>
      </c>
      <c r="B247" s="49" t="s">
        <v>234</v>
      </c>
      <c r="C247" s="49" t="s">
        <v>143</v>
      </c>
      <c r="D247" s="50" t="s">
        <v>279</v>
      </c>
      <c r="E247" s="64">
        <v>4542.8806999999997</v>
      </c>
      <c r="F247" s="51">
        <v>4542.8806999999997</v>
      </c>
      <c r="G247" s="51">
        <v>83266.094318000003</v>
      </c>
      <c r="H247" s="56">
        <v>5.4558589990427167E-4</v>
      </c>
      <c r="I247" s="57">
        <v>6.54703079885126E-3</v>
      </c>
    </row>
    <row r="248" spans="1:9" x14ac:dyDescent="0.25">
      <c r="A248" s="42" t="s">
        <v>65</v>
      </c>
      <c r="B248" s="43" t="s">
        <v>66</v>
      </c>
      <c r="C248" s="43" t="s">
        <v>67</v>
      </c>
      <c r="D248" s="44" t="s">
        <v>279</v>
      </c>
      <c r="E248" s="63">
        <v>61826.887900000002</v>
      </c>
      <c r="F248" s="45">
        <v>61826.887900000002</v>
      </c>
      <c r="G248" s="45">
        <v>2191702.7814930002</v>
      </c>
      <c r="H248" s="58">
        <v>2.8209522031031589E-4</v>
      </c>
      <c r="I248" s="59">
        <v>3.3851426437237907E-3</v>
      </c>
    </row>
    <row r="249" spans="1:9" x14ac:dyDescent="0.25">
      <c r="A249" s="48" t="s">
        <v>131</v>
      </c>
      <c r="B249" s="49" t="s">
        <v>132</v>
      </c>
      <c r="C249" s="49" t="s">
        <v>67</v>
      </c>
      <c r="D249" s="50" t="s">
        <v>279</v>
      </c>
      <c r="E249" s="64">
        <v>65905.000400000004</v>
      </c>
      <c r="F249" s="51">
        <v>65905.000400000004</v>
      </c>
      <c r="G249" s="51">
        <v>409937.58608599997</v>
      </c>
      <c r="H249" s="56">
        <v>1.6076837703331241E-3</v>
      </c>
      <c r="I249" s="57">
        <v>1.9292205243997489E-2</v>
      </c>
    </row>
    <row r="250" spans="1:9" x14ac:dyDescent="0.25">
      <c r="A250" s="42" t="s">
        <v>82</v>
      </c>
      <c r="B250" s="43" t="s">
        <v>83</v>
      </c>
      <c r="C250" s="43" t="s">
        <v>230</v>
      </c>
      <c r="D250" s="44" t="s">
        <v>279</v>
      </c>
      <c r="E250" s="63">
        <v>47830.525399999999</v>
      </c>
      <c r="F250" s="45">
        <v>47830.525399999999</v>
      </c>
      <c r="G250" s="45">
        <v>517338.85451099998</v>
      </c>
      <c r="H250" s="58">
        <v>9.2454925785944418E-4</v>
      </c>
      <c r="I250" s="59">
        <v>1.1094591094313331E-2</v>
      </c>
    </row>
    <row r="251" spans="1:9" x14ac:dyDescent="0.25">
      <c r="A251" s="48" t="s">
        <v>68</v>
      </c>
      <c r="B251" s="49" t="s">
        <v>69</v>
      </c>
      <c r="C251" s="49" t="s">
        <v>143</v>
      </c>
      <c r="D251" s="50" t="s">
        <v>279</v>
      </c>
      <c r="E251" s="64">
        <v>29555.426899999999</v>
      </c>
      <c r="F251" s="51">
        <v>29555.426899999999</v>
      </c>
      <c r="G251" s="51">
        <v>594120.85486700002</v>
      </c>
      <c r="H251" s="56">
        <v>4.9746489553234552E-4</v>
      </c>
      <c r="I251" s="57">
        <v>5.9695787463881463E-3</v>
      </c>
    </row>
    <row r="252" spans="1:9" x14ac:dyDescent="0.25">
      <c r="A252" s="42" t="s">
        <v>79</v>
      </c>
      <c r="B252" s="43" t="s">
        <v>80</v>
      </c>
      <c r="C252" s="43" t="s">
        <v>81</v>
      </c>
      <c r="D252" s="44" t="s">
        <v>279</v>
      </c>
      <c r="E252" s="63">
        <v>16793.179100000001</v>
      </c>
      <c r="F252" s="45">
        <v>16793.179100000001</v>
      </c>
      <c r="G252" s="45">
        <v>108390.69353399999</v>
      </c>
      <c r="H252" s="58">
        <v>1.5493192775570088E-3</v>
      </c>
      <c r="I252" s="59">
        <v>1.8591831330684105E-2</v>
      </c>
    </row>
    <row r="253" spans="1:9" x14ac:dyDescent="0.25">
      <c r="A253" s="48" t="s">
        <v>114</v>
      </c>
      <c r="B253" s="49" t="s">
        <v>115</v>
      </c>
      <c r="C253" s="49" t="s">
        <v>226</v>
      </c>
      <c r="D253" s="50" t="s">
        <v>279</v>
      </c>
      <c r="E253" s="64">
        <v>10777.33</v>
      </c>
      <c r="F253" s="51">
        <v>10777.33</v>
      </c>
      <c r="G253" s="51">
        <v>570951.08870299999</v>
      </c>
      <c r="H253" s="56">
        <v>1.8876100270659438E-4</v>
      </c>
      <c r="I253" s="57">
        <v>2.2651320324791327E-3</v>
      </c>
    </row>
    <row r="254" spans="1:9" x14ac:dyDescent="0.25">
      <c r="A254" s="42" t="s">
        <v>146</v>
      </c>
      <c r="B254" s="43" t="s">
        <v>147</v>
      </c>
      <c r="C254" s="43" t="s">
        <v>226</v>
      </c>
      <c r="D254" s="44" t="s">
        <v>279</v>
      </c>
      <c r="E254" s="63">
        <v>1295.9775</v>
      </c>
      <c r="F254" s="45">
        <v>1295.9775</v>
      </c>
      <c r="G254" s="45">
        <v>155165.80579800002</v>
      </c>
      <c r="H254" s="58">
        <v>8.3522106777001281E-5</v>
      </c>
      <c r="I254" s="59">
        <v>1.0022652813240153E-3</v>
      </c>
    </row>
    <row r="255" spans="1:9" x14ac:dyDescent="0.25">
      <c r="A255" s="48" t="s">
        <v>90</v>
      </c>
      <c r="B255" s="49" t="s">
        <v>91</v>
      </c>
      <c r="C255" s="49" t="s">
        <v>81</v>
      </c>
      <c r="D255" s="50" t="s">
        <v>279</v>
      </c>
      <c r="E255" s="64">
        <v>30041.9797</v>
      </c>
      <c r="F255" s="51">
        <v>30041.9797</v>
      </c>
      <c r="G255" s="51">
        <v>839826.39101100003</v>
      </c>
      <c r="H255" s="56">
        <v>3.5771654739064415E-4</v>
      </c>
      <c r="I255" s="57">
        <v>4.2925985686877296E-3</v>
      </c>
    </row>
    <row r="256" spans="1:9" x14ac:dyDescent="0.25">
      <c r="A256" s="42" t="s">
        <v>98</v>
      </c>
      <c r="B256" s="43" t="s">
        <v>99</v>
      </c>
      <c r="C256" s="43" t="s">
        <v>81</v>
      </c>
      <c r="D256" s="44" t="s">
        <v>279</v>
      </c>
      <c r="E256" s="63">
        <v>2115.8989999999999</v>
      </c>
      <c r="F256" s="45">
        <v>2115.8989999999999</v>
      </c>
      <c r="G256" s="45">
        <v>157841.017223</v>
      </c>
      <c r="H256" s="58">
        <v>1.3405254459369253E-4</v>
      </c>
      <c r="I256" s="59">
        <v>1.6086305351243103E-3</v>
      </c>
    </row>
    <row r="257" spans="1:9" x14ac:dyDescent="0.25">
      <c r="A257" s="48" t="s">
        <v>120</v>
      </c>
      <c r="B257" s="49" t="s">
        <v>268</v>
      </c>
      <c r="C257" s="49" t="s">
        <v>143</v>
      </c>
      <c r="D257" s="50" t="s">
        <v>279</v>
      </c>
      <c r="E257" s="64">
        <v>27370.1113</v>
      </c>
      <c r="F257" s="51">
        <v>27370.1113</v>
      </c>
      <c r="G257" s="51">
        <v>505363.91443499998</v>
      </c>
      <c r="H257" s="56">
        <v>5.4159211843607705E-4</v>
      </c>
      <c r="I257" s="57">
        <v>6.4991054212329251E-3</v>
      </c>
    </row>
    <row r="258" spans="1:9" x14ac:dyDescent="0.25">
      <c r="A258" s="42" t="s">
        <v>106</v>
      </c>
      <c r="B258" s="43" t="s">
        <v>107</v>
      </c>
      <c r="C258" s="43" t="s">
        <v>143</v>
      </c>
      <c r="D258" s="44" t="s">
        <v>279</v>
      </c>
      <c r="E258" s="63">
        <v>100339.00930000001</v>
      </c>
      <c r="F258" s="45">
        <v>100339.00930000001</v>
      </c>
      <c r="G258" s="45">
        <v>707340.75329400005</v>
      </c>
      <c r="H258" s="58">
        <v>1.4185385025920452E-3</v>
      </c>
      <c r="I258" s="59">
        <v>1.7022462031104545E-2</v>
      </c>
    </row>
    <row r="259" spans="1:9" x14ac:dyDescent="0.25">
      <c r="A259" s="48" t="s">
        <v>206</v>
      </c>
      <c r="B259" s="49" t="s">
        <v>251</v>
      </c>
      <c r="C259" s="49" t="s">
        <v>230</v>
      </c>
      <c r="D259" s="50" t="s">
        <v>279</v>
      </c>
      <c r="E259" s="64">
        <v>352.23309999999998</v>
      </c>
      <c r="F259" s="51">
        <v>352.23309999999998</v>
      </c>
      <c r="G259" s="51">
        <v>50415.649132999999</v>
      </c>
      <c r="H259" s="56">
        <v>6.9865826594989284E-5</v>
      </c>
      <c r="I259" s="57">
        <v>8.3838991913987135E-4</v>
      </c>
    </row>
    <row r="260" spans="1:9" x14ac:dyDescent="0.25">
      <c r="A260" s="42" t="s">
        <v>54</v>
      </c>
      <c r="B260" s="43" t="s">
        <v>55</v>
      </c>
      <c r="C260" s="43" t="s">
        <v>143</v>
      </c>
      <c r="D260" s="44" t="s">
        <v>279</v>
      </c>
      <c r="E260" s="63">
        <v>18085.406900000002</v>
      </c>
      <c r="F260" s="45">
        <v>18085.406900000002</v>
      </c>
      <c r="G260" s="45">
        <v>548909.96154100006</v>
      </c>
      <c r="H260" s="58">
        <v>3.2947856965880805E-4</v>
      </c>
      <c r="I260" s="59">
        <v>3.9537428359056968E-3</v>
      </c>
    </row>
    <row r="261" spans="1:9" x14ac:dyDescent="0.25">
      <c r="A261" s="48" t="s">
        <v>94</v>
      </c>
      <c r="B261" s="49" t="s">
        <v>95</v>
      </c>
      <c r="C261" s="49" t="s">
        <v>152</v>
      </c>
      <c r="D261" s="50" t="s">
        <v>279</v>
      </c>
      <c r="E261" s="64">
        <v>127145.87420000001</v>
      </c>
      <c r="F261" s="51">
        <v>127145.87420000001</v>
      </c>
      <c r="G261" s="51">
        <v>632990.13665400003</v>
      </c>
      <c r="H261" s="56">
        <v>2.0086549037256081E-3</v>
      </c>
      <c r="I261" s="57">
        <v>2.4103858844707296E-2</v>
      </c>
    </row>
    <row r="262" spans="1:9" x14ac:dyDescent="0.25">
      <c r="A262" s="42" t="s">
        <v>170</v>
      </c>
      <c r="B262" s="43" t="s">
        <v>171</v>
      </c>
      <c r="C262" s="43" t="s">
        <v>81</v>
      </c>
      <c r="D262" s="44" t="s">
        <v>279</v>
      </c>
      <c r="E262" s="63">
        <v>13135.125599999999</v>
      </c>
      <c r="F262" s="45">
        <v>13135.125599999999</v>
      </c>
      <c r="G262" s="45">
        <v>21490.720758000003</v>
      </c>
      <c r="H262" s="58">
        <v>6.1119986378820722E-3</v>
      </c>
      <c r="I262" s="59">
        <v>7.334398365458486E-2</v>
      </c>
    </row>
    <row r="263" spans="1:9" x14ac:dyDescent="0.25">
      <c r="A263" s="48" t="s">
        <v>205</v>
      </c>
      <c r="B263" s="49" t="s">
        <v>250</v>
      </c>
      <c r="C263" s="49" t="s">
        <v>152</v>
      </c>
      <c r="D263" s="50" t="s">
        <v>279</v>
      </c>
      <c r="E263" s="64">
        <v>2347.7033000000001</v>
      </c>
      <c r="F263" s="51">
        <v>2347.7033000000001</v>
      </c>
      <c r="G263" s="51">
        <v>159856.983266</v>
      </c>
      <c r="H263" s="56">
        <v>1.4686273017509979E-4</v>
      </c>
      <c r="I263" s="57">
        <v>1.7623527621011975E-3</v>
      </c>
    </row>
    <row r="264" spans="1:9" x14ac:dyDescent="0.25">
      <c r="A264" s="42" t="s">
        <v>148</v>
      </c>
      <c r="B264" s="43" t="s">
        <v>149</v>
      </c>
      <c r="C264" s="43" t="s">
        <v>226</v>
      </c>
      <c r="D264" s="44" t="s">
        <v>279</v>
      </c>
      <c r="E264" s="63">
        <v>2773.5425</v>
      </c>
      <c r="F264" s="45">
        <v>2773.5425</v>
      </c>
      <c r="G264" s="45">
        <v>104444.84179400001</v>
      </c>
      <c r="H264" s="58">
        <v>2.6555093122457394E-4</v>
      </c>
      <c r="I264" s="59">
        <v>3.1866111746948872E-3</v>
      </c>
    </row>
    <row r="265" spans="1:9" x14ac:dyDescent="0.25">
      <c r="A265" s="48" t="s">
        <v>102</v>
      </c>
      <c r="B265" s="49" t="s">
        <v>271</v>
      </c>
      <c r="C265" s="49" t="s">
        <v>152</v>
      </c>
      <c r="D265" s="50" t="s">
        <v>279</v>
      </c>
      <c r="E265" s="64">
        <v>6988.9151000000002</v>
      </c>
      <c r="F265" s="51">
        <v>6988.9151000000002</v>
      </c>
      <c r="G265" s="51">
        <v>237609.51310899999</v>
      </c>
      <c r="H265" s="56">
        <v>2.9413448176184487E-4</v>
      </c>
      <c r="I265" s="57">
        <v>3.5296137811421384E-3</v>
      </c>
    </row>
    <row r="266" spans="1:9" x14ac:dyDescent="0.25">
      <c r="A266" s="42" t="s">
        <v>86</v>
      </c>
      <c r="B266" s="43" t="s">
        <v>87</v>
      </c>
      <c r="C266" s="43" t="s">
        <v>152</v>
      </c>
      <c r="D266" s="44" t="s">
        <v>279</v>
      </c>
      <c r="E266" s="63">
        <v>63709.877200000003</v>
      </c>
      <c r="F266" s="45">
        <v>63709.877200000003</v>
      </c>
      <c r="G266" s="45">
        <v>795460.44325299992</v>
      </c>
      <c r="H266" s="58">
        <v>8.0091823220600775E-4</v>
      </c>
      <c r="I266" s="59">
        <v>9.611018786472093E-3</v>
      </c>
    </row>
    <row r="267" spans="1:9" x14ac:dyDescent="0.25">
      <c r="A267" s="48" t="s">
        <v>124</v>
      </c>
      <c r="B267" s="49" t="s">
        <v>125</v>
      </c>
      <c r="C267" s="49" t="s">
        <v>152</v>
      </c>
      <c r="D267" s="50" t="s">
        <v>279</v>
      </c>
      <c r="E267" s="64">
        <v>44657.099099999999</v>
      </c>
      <c r="F267" s="51">
        <v>44657.099099999999</v>
      </c>
      <c r="G267" s="51">
        <v>423803.287962</v>
      </c>
      <c r="H267" s="56">
        <v>1.0537223369537459E-3</v>
      </c>
      <c r="I267" s="57">
        <v>1.264466804344495E-2</v>
      </c>
    </row>
    <row r="268" spans="1:9" x14ac:dyDescent="0.25">
      <c r="A268" s="42" t="s">
        <v>200</v>
      </c>
      <c r="B268" s="43" t="s">
        <v>244</v>
      </c>
      <c r="C268" s="43" t="s">
        <v>230</v>
      </c>
      <c r="D268" s="44" t="s">
        <v>279</v>
      </c>
      <c r="E268" s="63">
        <v>7489.3271000000004</v>
      </c>
      <c r="F268" s="45">
        <v>7489.3271000000004</v>
      </c>
      <c r="G268" s="45">
        <v>174483.78839</v>
      </c>
      <c r="H268" s="58">
        <v>4.2922767605550386E-4</v>
      </c>
      <c r="I268" s="59">
        <v>5.1507321126660465E-3</v>
      </c>
    </row>
    <row r="269" spans="1:9" x14ac:dyDescent="0.25">
      <c r="A269" s="48" t="s">
        <v>63</v>
      </c>
      <c r="B269" s="49" t="s">
        <v>64</v>
      </c>
      <c r="C269" s="49" t="s">
        <v>143</v>
      </c>
      <c r="D269" s="50" t="s">
        <v>279</v>
      </c>
      <c r="E269" s="64">
        <v>22814.743200000001</v>
      </c>
      <c r="F269" s="51">
        <v>22814.743200000001</v>
      </c>
      <c r="G269" s="51">
        <v>647528.33060099999</v>
      </c>
      <c r="H269" s="56">
        <v>3.5233583029216061E-4</v>
      </c>
      <c r="I269" s="57">
        <v>4.2280299635059273E-3</v>
      </c>
    </row>
    <row r="270" spans="1:9" x14ac:dyDescent="0.25">
      <c r="A270" s="42" t="s">
        <v>61</v>
      </c>
      <c r="B270" s="43" t="s">
        <v>62</v>
      </c>
      <c r="C270" s="43" t="s">
        <v>226</v>
      </c>
      <c r="D270" s="44" t="s">
        <v>279</v>
      </c>
      <c r="E270" s="63">
        <v>9450.7787000000008</v>
      </c>
      <c r="F270" s="45">
        <v>9450.7787000000008</v>
      </c>
      <c r="G270" s="45">
        <v>225879.17627500001</v>
      </c>
      <c r="H270" s="58">
        <v>4.1839973280644553E-4</v>
      </c>
      <c r="I270" s="59">
        <v>5.0207967936773462E-3</v>
      </c>
    </row>
    <row r="271" spans="1:9" x14ac:dyDescent="0.25">
      <c r="A271" s="48" t="s">
        <v>76</v>
      </c>
      <c r="B271" s="49" t="s">
        <v>77</v>
      </c>
      <c r="C271" s="49" t="s">
        <v>152</v>
      </c>
      <c r="D271" s="50" t="s">
        <v>279</v>
      </c>
      <c r="E271" s="64">
        <v>42947.670700000002</v>
      </c>
      <c r="F271" s="51">
        <v>42947.670700000002</v>
      </c>
      <c r="G271" s="51">
        <v>344735.58182099997</v>
      </c>
      <c r="H271" s="56">
        <v>1.2458148495475031E-3</v>
      </c>
      <c r="I271" s="57">
        <v>1.4949778194570038E-2</v>
      </c>
    </row>
    <row r="272" spans="1:9" x14ac:dyDescent="0.25">
      <c r="A272" s="42" t="s">
        <v>163</v>
      </c>
      <c r="B272" s="43" t="s">
        <v>164</v>
      </c>
      <c r="C272" s="43" t="s">
        <v>67</v>
      </c>
      <c r="D272" s="44" t="s">
        <v>279</v>
      </c>
      <c r="E272" s="63">
        <v>798.99099999999999</v>
      </c>
      <c r="F272" s="45">
        <v>798.99099999999999</v>
      </c>
      <c r="G272" s="45">
        <v>9724.1353820000004</v>
      </c>
      <c r="H272" s="58">
        <v>8.2165762673253571E-4</v>
      </c>
      <c r="I272" s="59">
        <v>9.859891520790429E-3</v>
      </c>
    </row>
    <row r="273" spans="1:9" x14ac:dyDescent="0.25">
      <c r="A273" s="48" t="s">
        <v>204</v>
      </c>
      <c r="B273" s="49" t="s">
        <v>89</v>
      </c>
      <c r="C273" s="49" t="s">
        <v>152</v>
      </c>
      <c r="D273" s="50" t="s">
        <v>279</v>
      </c>
      <c r="E273" s="64">
        <v>7563.7383</v>
      </c>
      <c r="F273" s="51">
        <v>7563.7383</v>
      </c>
      <c r="G273" s="51">
        <v>164540.61963</v>
      </c>
      <c r="H273" s="56">
        <v>4.5968821054694358E-4</v>
      </c>
      <c r="I273" s="57">
        <v>5.5162585265633229E-3</v>
      </c>
    </row>
    <row r="274" spans="1:9" x14ac:dyDescent="0.25">
      <c r="A274" s="42" t="s">
        <v>116</v>
      </c>
      <c r="B274" s="43" t="s">
        <v>117</v>
      </c>
      <c r="C274" s="43" t="s">
        <v>143</v>
      </c>
      <c r="D274" s="44" t="s">
        <v>279</v>
      </c>
      <c r="E274" s="63">
        <v>53820.161399999997</v>
      </c>
      <c r="F274" s="45">
        <v>53820.161399999997</v>
      </c>
      <c r="G274" s="45">
        <v>742063.00968600006</v>
      </c>
      <c r="H274" s="58">
        <v>7.2527751279198929E-4</v>
      </c>
      <c r="I274" s="59">
        <v>8.7033301535038715E-3</v>
      </c>
    </row>
    <row r="275" spans="1:9" x14ac:dyDescent="0.25">
      <c r="A275" s="48" t="s">
        <v>112</v>
      </c>
      <c r="B275" s="49" t="s">
        <v>113</v>
      </c>
      <c r="C275" s="49" t="s">
        <v>81</v>
      </c>
      <c r="D275" s="50" t="s">
        <v>279</v>
      </c>
      <c r="E275" s="64">
        <v>40559.7408</v>
      </c>
      <c r="F275" s="51">
        <v>40559.7408</v>
      </c>
      <c r="G275" s="51">
        <v>699519.525288</v>
      </c>
      <c r="H275" s="56">
        <v>5.7982285459867754E-4</v>
      </c>
      <c r="I275" s="57">
        <v>6.9578742551841301E-3</v>
      </c>
    </row>
    <row r="276" spans="1:9" x14ac:dyDescent="0.25">
      <c r="A276" s="42" t="s">
        <v>122</v>
      </c>
      <c r="B276" s="43" t="s">
        <v>123</v>
      </c>
      <c r="C276" s="43" t="s">
        <v>152</v>
      </c>
      <c r="D276" s="44" t="s">
        <v>279</v>
      </c>
      <c r="E276" s="63">
        <v>43497.805800000002</v>
      </c>
      <c r="F276" s="45">
        <v>43497.805800000002</v>
      </c>
      <c r="G276" s="45">
        <v>1055274.035168</v>
      </c>
      <c r="H276" s="58">
        <v>4.1219440970207452E-4</v>
      </c>
      <c r="I276" s="59">
        <v>4.9463329164248938E-3</v>
      </c>
    </row>
    <row r="277" spans="1:9" x14ac:dyDescent="0.25">
      <c r="A277" s="48" t="s">
        <v>203</v>
      </c>
      <c r="B277" s="49" t="s">
        <v>156</v>
      </c>
      <c r="C277" s="49" t="s">
        <v>152</v>
      </c>
      <c r="D277" s="50" t="s">
        <v>279</v>
      </c>
      <c r="E277" s="64">
        <v>3583.5617999999999</v>
      </c>
      <c r="F277" s="51">
        <v>3583.5617999999999</v>
      </c>
      <c r="G277" s="51">
        <v>172965.76922400002</v>
      </c>
      <c r="H277" s="56">
        <v>2.071832950575957E-4</v>
      </c>
      <c r="I277" s="57">
        <v>2.4861995406911487E-3</v>
      </c>
    </row>
    <row r="278" spans="1:9" x14ac:dyDescent="0.25">
      <c r="A278" s="42" t="s">
        <v>197</v>
      </c>
      <c r="B278" s="43" t="s">
        <v>272</v>
      </c>
      <c r="C278" s="43" t="s">
        <v>67</v>
      </c>
      <c r="D278" s="44" t="s">
        <v>279</v>
      </c>
      <c r="E278" s="63">
        <v>2219.1547999999998</v>
      </c>
      <c r="F278" s="45">
        <v>2219.1547999999998</v>
      </c>
      <c r="G278" s="45">
        <v>112643.40318199999</v>
      </c>
      <c r="H278" s="58">
        <v>1.9700708051358063E-4</v>
      </c>
      <c r="I278" s="59">
        <v>2.3640849661629676E-3</v>
      </c>
    </row>
    <row r="279" spans="1:9" x14ac:dyDescent="0.25">
      <c r="A279" s="48" t="s">
        <v>59</v>
      </c>
      <c r="B279" s="49" t="s">
        <v>60</v>
      </c>
      <c r="C279" s="49" t="s">
        <v>143</v>
      </c>
      <c r="D279" s="50" t="s">
        <v>279</v>
      </c>
      <c r="E279" s="64">
        <v>28062.165700000001</v>
      </c>
      <c r="F279" s="51">
        <v>28062.165700000001</v>
      </c>
      <c r="G279" s="51">
        <v>413745.99701300001</v>
      </c>
      <c r="H279" s="56">
        <v>6.7824621634027032E-4</v>
      </c>
      <c r="I279" s="57">
        <v>8.1389545960832439E-3</v>
      </c>
    </row>
    <row r="280" spans="1:9" x14ac:dyDescent="0.25">
      <c r="A280" s="42" t="s">
        <v>202</v>
      </c>
      <c r="B280" s="43" t="s">
        <v>273</v>
      </c>
      <c r="C280" s="43" t="s">
        <v>143</v>
      </c>
      <c r="D280" s="44" t="s">
        <v>279</v>
      </c>
      <c r="E280" s="63">
        <v>309.94510000000002</v>
      </c>
      <c r="F280" s="45">
        <v>309.94510000000002</v>
      </c>
      <c r="G280" s="45">
        <v>14953.680983</v>
      </c>
      <c r="H280" s="58">
        <v>2.0727010316213057E-4</v>
      </c>
      <c r="I280" s="59">
        <v>2.4872412379455667E-3</v>
      </c>
    </row>
    <row r="281" spans="1:9" x14ac:dyDescent="0.25">
      <c r="A281" s="48" t="s">
        <v>70</v>
      </c>
      <c r="B281" s="49" t="s">
        <v>71</v>
      </c>
      <c r="C281" s="49" t="s">
        <v>152</v>
      </c>
      <c r="D281" s="50" t="s">
        <v>279</v>
      </c>
      <c r="E281" s="64">
        <v>46379.520700000001</v>
      </c>
      <c r="F281" s="51">
        <v>46379.520700000001</v>
      </c>
      <c r="G281" s="51">
        <v>385757.83679099998</v>
      </c>
      <c r="H281" s="56">
        <v>1.2022962666375587E-3</v>
      </c>
      <c r="I281" s="57">
        <v>1.4427555199650704E-2</v>
      </c>
    </row>
    <row r="282" spans="1:9" x14ac:dyDescent="0.25">
      <c r="A282" s="42" t="s">
        <v>72</v>
      </c>
      <c r="B282" s="43" t="s">
        <v>73</v>
      </c>
      <c r="C282" s="43" t="s">
        <v>67</v>
      </c>
      <c r="D282" s="44" t="s">
        <v>279</v>
      </c>
      <c r="E282" s="63">
        <v>87112.689199999993</v>
      </c>
      <c r="F282" s="45">
        <v>87112.689199999993</v>
      </c>
      <c r="G282" s="45">
        <v>1729666.8038299999</v>
      </c>
      <c r="H282" s="58">
        <v>5.0363855632256131E-4</v>
      </c>
      <c r="I282" s="59">
        <v>6.0436626758707361E-3</v>
      </c>
    </row>
    <row r="283" spans="1:9" x14ac:dyDescent="0.25">
      <c r="A283" s="48" t="s">
        <v>133</v>
      </c>
      <c r="B283" s="49" t="s">
        <v>134</v>
      </c>
      <c r="C283" s="49" t="s">
        <v>241</v>
      </c>
      <c r="D283" s="50" t="s">
        <v>279</v>
      </c>
      <c r="E283" s="64">
        <v>5777.1704</v>
      </c>
      <c r="F283" s="51">
        <v>5777.1704</v>
      </c>
      <c r="G283" s="51">
        <v>62529.920038999997</v>
      </c>
      <c r="H283" s="56">
        <v>9.2390497163546211E-4</v>
      </c>
      <c r="I283" s="57">
        <v>1.1086859659625546E-2</v>
      </c>
    </row>
    <row r="284" spans="1:9" x14ac:dyDescent="0.25">
      <c r="A284" s="42" t="s">
        <v>118</v>
      </c>
      <c r="B284" s="43" t="s">
        <v>119</v>
      </c>
      <c r="C284" s="43" t="s">
        <v>143</v>
      </c>
      <c r="D284" s="44" t="s">
        <v>279</v>
      </c>
      <c r="E284" s="63">
        <v>14482.5468</v>
      </c>
      <c r="F284" s="45">
        <v>14482.5468</v>
      </c>
      <c r="G284" s="45">
        <v>417357.00610600004</v>
      </c>
      <c r="H284" s="58">
        <v>3.4700619824557904E-4</v>
      </c>
      <c r="I284" s="59">
        <v>4.1640743789469487E-3</v>
      </c>
    </row>
    <row r="285" spans="1:9" x14ac:dyDescent="0.25">
      <c r="A285" s="48" t="s">
        <v>57</v>
      </c>
      <c r="B285" s="49" t="s">
        <v>58</v>
      </c>
      <c r="C285" s="49" t="s">
        <v>230</v>
      </c>
      <c r="D285" s="50" t="s">
        <v>279</v>
      </c>
      <c r="E285" s="64">
        <v>4481.9602999999997</v>
      </c>
      <c r="F285" s="51">
        <v>4481.9602999999997</v>
      </c>
      <c r="G285" s="51">
        <v>108725.30008</v>
      </c>
      <c r="H285" s="56">
        <v>4.1222790801241074E-4</v>
      </c>
      <c r="I285" s="57">
        <v>4.9467348961489289E-3</v>
      </c>
    </row>
    <row r="286" spans="1:9" x14ac:dyDescent="0.25">
      <c r="A286" s="42" t="s">
        <v>157</v>
      </c>
      <c r="B286" s="43" t="s">
        <v>158</v>
      </c>
      <c r="C286" s="43" t="s">
        <v>152</v>
      </c>
      <c r="D286" s="44" t="s">
        <v>279</v>
      </c>
      <c r="E286" s="63">
        <v>1643.9052999999999</v>
      </c>
      <c r="F286" s="45">
        <v>1643.9052999999999</v>
      </c>
      <c r="G286" s="45">
        <v>66969.700727000003</v>
      </c>
      <c r="H286" s="58">
        <v>2.4547000839996748E-4</v>
      </c>
      <c r="I286" s="59">
        <v>2.9456401007996098E-3</v>
      </c>
    </row>
    <row r="287" spans="1:9" x14ac:dyDescent="0.25">
      <c r="A287" s="48" t="s">
        <v>74</v>
      </c>
      <c r="B287" s="49" t="s">
        <v>75</v>
      </c>
      <c r="C287" s="49" t="s">
        <v>67</v>
      </c>
      <c r="D287" s="50" t="s">
        <v>279</v>
      </c>
      <c r="E287" s="64">
        <v>661.42439999999999</v>
      </c>
      <c r="F287" s="51">
        <v>661.42439999999999</v>
      </c>
      <c r="G287" s="51">
        <v>441140.29960100004</v>
      </c>
      <c r="H287" s="56">
        <v>1.499351568193251E-5</v>
      </c>
      <c r="I287" s="57">
        <v>1.7992218818319012E-4</v>
      </c>
    </row>
    <row r="288" spans="1:9" x14ac:dyDescent="0.25">
      <c r="A288" s="42" t="s">
        <v>96</v>
      </c>
      <c r="B288" s="43" t="s">
        <v>97</v>
      </c>
      <c r="C288" s="43" t="s">
        <v>81</v>
      </c>
      <c r="D288" s="44" t="s">
        <v>279</v>
      </c>
      <c r="E288" s="63">
        <v>33709.547200000001</v>
      </c>
      <c r="F288" s="45">
        <v>33709.547200000001</v>
      </c>
      <c r="G288" s="45">
        <v>266803.57281899999</v>
      </c>
      <c r="H288" s="58">
        <v>1.2634593624002411E-3</v>
      </c>
      <c r="I288" s="59">
        <v>1.5161512348802893E-2</v>
      </c>
    </row>
    <row r="289" spans="1:9" x14ac:dyDescent="0.25">
      <c r="A289" s="48" t="s">
        <v>196</v>
      </c>
      <c r="B289" s="49" t="s">
        <v>245</v>
      </c>
      <c r="C289" s="49" t="s">
        <v>143</v>
      </c>
      <c r="D289" s="50" t="s">
        <v>279</v>
      </c>
      <c r="E289" s="64">
        <v>1.1788000000000001</v>
      </c>
      <c r="F289" s="51">
        <v>1.1788000000000001</v>
      </c>
      <c r="G289" s="51">
        <v>131.435453</v>
      </c>
      <c r="H289" s="52">
        <v>0</v>
      </c>
      <c r="I289" s="53">
        <v>0</v>
      </c>
    </row>
    <row r="290" spans="1:9" x14ac:dyDescent="0.25">
      <c r="A290" s="42" t="s">
        <v>100</v>
      </c>
      <c r="B290" s="43" t="s">
        <v>100</v>
      </c>
      <c r="C290" s="43" t="s">
        <v>152</v>
      </c>
      <c r="D290" s="44" t="s">
        <v>280</v>
      </c>
      <c r="E290" s="63">
        <v>531.83820000000003</v>
      </c>
      <c r="F290" s="45">
        <v>531.83820000000003</v>
      </c>
      <c r="G290" s="45">
        <v>25045.737416</v>
      </c>
      <c r="H290" s="46">
        <v>2.1234679225705095E-4</v>
      </c>
      <c r="I290" s="47">
        <v>2.5481615070846115E-3</v>
      </c>
    </row>
    <row r="291" spans="1:9" x14ac:dyDescent="0.25">
      <c r="A291" s="48" t="s">
        <v>207</v>
      </c>
      <c r="B291" s="49" t="s">
        <v>129</v>
      </c>
      <c r="C291" s="49" t="s">
        <v>67</v>
      </c>
      <c r="D291" s="50" t="s">
        <v>280</v>
      </c>
      <c r="E291" s="64">
        <v>120038.3603</v>
      </c>
      <c r="F291" s="51">
        <v>120038.3603</v>
      </c>
      <c r="G291" s="51">
        <v>1645803.64815</v>
      </c>
      <c r="H291" s="52">
        <v>7.2936015444449666E-4</v>
      </c>
      <c r="I291" s="53">
        <v>8.7523218533339595E-3</v>
      </c>
    </row>
    <row r="292" spans="1:9" x14ac:dyDescent="0.25">
      <c r="A292" s="42" t="s">
        <v>190</v>
      </c>
      <c r="B292" s="43" t="s">
        <v>234</v>
      </c>
      <c r="C292" s="43" t="s">
        <v>143</v>
      </c>
      <c r="D292" s="44" t="s">
        <v>280</v>
      </c>
      <c r="E292" s="63">
        <v>4491.473</v>
      </c>
      <c r="F292" s="45">
        <v>4491.473</v>
      </c>
      <c r="G292" s="45">
        <v>94618.062730999998</v>
      </c>
      <c r="H292" s="46">
        <v>4.7469509207446976E-4</v>
      </c>
      <c r="I292" s="47">
        <v>5.6963411048936369E-3</v>
      </c>
    </row>
    <row r="293" spans="1:9" x14ac:dyDescent="0.25">
      <c r="A293" s="48" t="s">
        <v>65</v>
      </c>
      <c r="B293" s="49" t="s">
        <v>66</v>
      </c>
      <c r="C293" s="49" t="s">
        <v>67</v>
      </c>
      <c r="D293" s="50" t="s">
        <v>280</v>
      </c>
      <c r="E293" s="64">
        <v>115441.5126</v>
      </c>
      <c r="F293" s="51">
        <v>115441.5126</v>
      </c>
      <c r="G293" s="51">
        <v>2611322.3876200002</v>
      </c>
      <c r="H293" s="52">
        <v>4.4208066053925721E-4</v>
      </c>
      <c r="I293" s="53">
        <v>5.3049679264710863E-3</v>
      </c>
    </row>
    <row r="294" spans="1:9" x14ac:dyDescent="0.25">
      <c r="A294" s="42" t="s">
        <v>131</v>
      </c>
      <c r="B294" s="43" t="s">
        <v>132</v>
      </c>
      <c r="C294" s="43" t="s">
        <v>67</v>
      </c>
      <c r="D294" s="44" t="s">
        <v>280</v>
      </c>
      <c r="E294" s="63">
        <v>170042.99460000001</v>
      </c>
      <c r="F294" s="45">
        <v>170042.99460000001</v>
      </c>
      <c r="G294" s="45">
        <v>441556.24081600003</v>
      </c>
      <c r="H294" s="46">
        <v>3.8509928947161741E-3</v>
      </c>
      <c r="I294" s="47">
        <v>4.6211914736594091E-2</v>
      </c>
    </row>
    <row r="295" spans="1:9" x14ac:dyDescent="0.25">
      <c r="A295" s="48" t="s">
        <v>82</v>
      </c>
      <c r="B295" s="49" t="s">
        <v>83</v>
      </c>
      <c r="C295" s="49" t="s">
        <v>226</v>
      </c>
      <c r="D295" s="50" t="s">
        <v>280</v>
      </c>
      <c r="E295" s="64">
        <v>27104.804100000001</v>
      </c>
      <c r="F295" s="51">
        <v>27104.804100000001</v>
      </c>
      <c r="G295" s="51">
        <v>592261.34519599995</v>
      </c>
      <c r="H295" s="52">
        <v>4.5764938603295264E-4</v>
      </c>
      <c r="I295" s="53">
        <v>5.4917926323954317E-3</v>
      </c>
    </row>
    <row r="296" spans="1:9" x14ac:dyDescent="0.25">
      <c r="A296" s="42" t="s">
        <v>68</v>
      </c>
      <c r="B296" s="43" t="s">
        <v>69</v>
      </c>
      <c r="C296" s="43" t="s">
        <v>143</v>
      </c>
      <c r="D296" s="44" t="s">
        <v>280</v>
      </c>
      <c r="E296" s="63">
        <v>23539.173200000001</v>
      </c>
      <c r="F296" s="45">
        <v>23539.173200000001</v>
      </c>
      <c r="G296" s="45">
        <v>595013.41741400003</v>
      </c>
      <c r="H296" s="46">
        <v>3.9560743524581483E-4</v>
      </c>
      <c r="I296" s="47">
        <v>4.7472892229497785E-3</v>
      </c>
    </row>
    <row r="297" spans="1:9" x14ac:dyDescent="0.25">
      <c r="A297" s="48" t="s">
        <v>79</v>
      </c>
      <c r="B297" s="49" t="s">
        <v>80</v>
      </c>
      <c r="C297" s="49" t="s">
        <v>81</v>
      </c>
      <c r="D297" s="50" t="s">
        <v>280</v>
      </c>
      <c r="E297" s="64">
        <v>17884.498200000002</v>
      </c>
      <c r="F297" s="51">
        <v>17884.498200000002</v>
      </c>
      <c r="G297" s="51">
        <v>107603.334573</v>
      </c>
      <c r="H297" s="52">
        <v>1.6620765769918445E-3</v>
      </c>
      <c r="I297" s="53">
        <v>1.9944918923902134E-2</v>
      </c>
    </row>
    <row r="298" spans="1:9" x14ac:dyDescent="0.25">
      <c r="A298" s="42" t="s">
        <v>114</v>
      </c>
      <c r="B298" s="43" t="s">
        <v>115</v>
      </c>
      <c r="C298" s="43" t="s">
        <v>226</v>
      </c>
      <c r="D298" s="44" t="s">
        <v>280</v>
      </c>
      <c r="E298" s="63">
        <v>18143.642400000001</v>
      </c>
      <c r="F298" s="45">
        <v>18143.642400000001</v>
      </c>
      <c r="G298" s="45">
        <v>570077.88056700001</v>
      </c>
      <c r="H298" s="46">
        <v>3.1826603028263989E-4</v>
      </c>
      <c r="I298" s="47">
        <v>3.8191923633916786E-3</v>
      </c>
    </row>
    <row r="299" spans="1:9" x14ac:dyDescent="0.25">
      <c r="A299" s="48" t="s">
        <v>146</v>
      </c>
      <c r="B299" s="49" t="s">
        <v>147</v>
      </c>
      <c r="C299" s="49" t="s">
        <v>81</v>
      </c>
      <c r="D299" s="50" t="s">
        <v>280</v>
      </c>
      <c r="E299" s="64">
        <v>1404.0079000000001</v>
      </c>
      <c r="F299" s="51">
        <v>1404.0079000000001</v>
      </c>
      <c r="G299" s="51">
        <v>157803.78092700001</v>
      </c>
      <c r="H299" s="52">
        <v>8.8971752878943609E-5</v>
      </c>
      <c r="I299" s="53">
        <v>1.0676610345473232E-3</v>
      </c>
    </row>
    <row r="300" spans="1:9" x14ac:dyDescent="0.25">
      <c r="A300" s="42" t="s">
        <v>45</v>
      </c>
      <c r="B300" s="43" t="s">
        <v>45</v>
      </c>
      <c r="C300" s="43" t="s">
        <v>152</v>
      </c>
      <c r="D300" s="44" t="s">
        <v>280</v>
      </c>
      <c r="E300" s="63">
        <v>3099.1127999999999</v>
      </c>
      <c r="F300" s="45">
        <v>3099.1127999999999</v>
      </c>
      <c r="G300" s="45">
        <v>141434.17138800002</v>
      </c>
      <c r="H300" s="46">
        <v>2.1912051165472055E-4</v>
      </c>
      <c r="I300" s="47">
        <v>2.6294461398566468E-3</v>
      </c>
    </row>
    <row r="301" spans="1:9" x14ac:dyDescent="0.25">
      <c r="A301" s="48" t="s">
        <v>90</v>
      </c>
      <c r="B301" s="49" t="s">
        <v>91</v>
      </c>
      <c r="C301" s="49" t="s">
        <v>81</v>
      </c>
      <c r="D301" s="50" t="s">
        <v>280</v>
      </c>
      <c r="E301" s="64">
        <v>40965.817799999997</v>
      </c>
      <c r="F301" s="51">
        <v>40965.817799999997</v>
      </c>
      <c r="G301" s="51">
        <v>822597.35664599994</v>
      </c>
      <c r="H301" s="52">
        <v>4.9800570678990648E-4</v>
      </c>
      <c r="I301" s="53">
        <v>5.9760684814788778E-3</v>
      </c>
    </row>
    <row r="302" spans="1:9" x14ac:dyDescent="0.25">
      <c r="A302" s="42" t="s">
        <v>98</v>
      </c>
      <c r="B302" s="43" t="s">
        <v>99</v>
      </c>
      <c r="C302" s="43" t="s">
        <v>81</v>
      </c>
      <c r="D302" s="44" t="s">
        <v>280</v>
      </c>
      <c r="E302" s="63">
        <v>41759.052199999998</v>
      </c>
      <c r="F302" s="45">
        <v>41759.052199999998</v>
      </c>
      <c r="G302" s="45">
        <v>181566.27405900002</v>
      </c>
      <c r="H302" s="46">
        <v>2.2999344132837345E-3</v>
      </c>
      <c r="I302" s="47">
        <v>2.7599212959404814E-2</v>
      </c>
    </row>
    <row r="303" spans="1:9" x14ac:dyDescent="0.25">
      <c r="A303" s="48" t="s">
        <v>120</v>
      </c>
      <c r="B303" s="49" t="s">
        <v>268</v>
      </c>
      <c r="C303" s="49" t="s">
        <v>143</v>
      </c>
      <c r="D303" s="50" t="s">
        <v>280</v>
      </c>
      <c r="E303" s="64">
        <v>28375.873200000002</v>
      </c>
      <c r="F303" s="51">
        <v>28375.873200000002</v>
      </c>
      <c r="G303" s="51">
        <v>526495.84266000008</v>
      </c>
      <c r="H303" s="52">
        <v>5.3895721296938221E-4</v>
      </c>
      <c r="I303" s="53">
        <v>6.4674865556325865E-3</v>
      </c>
    </row>
    <row r="304" spans="1:9" x14ac:dyDescent="0.25">
      <c r="A304" s="42" t="s">
        <v>106</v>
      </c>
      <c r="B304" s="43" t="s">
        <v>107</v>
      </c>
      <c r="C304" s="43" t="s">
        <v>143</v>
      </c>
      <c r="D304" s="44" t="s">
        <v>280</v>
      </c>
      <c r="E304" s="63">
        <v>88061.7503</v>
      </c>
      <c r="F304" s="45">
        <v>88061.7503</v>
      </c>
      <c r="G304" s="45">
        <v>758931.43000400008</v>
      </c>
      <c r="H304" s="46">
        <v>1.1603386922522877E-3</v>
      </c>
      <c r="I304" s="47">
        <v>1.3924064307027452E-2</v>
      </c>
    </row>
    <row r="305" spans="1:9" x14ac:dyDescent="0.25">
      <c r="A305" s="48" t="s">
        <v>206</v>
      </c>
      <c r="B305" s="49" t="s">
        <v>251</v>
      </c>
      <c r="C305" s="49" t="s">
        <v>226</v>
      </c>
      <c r="D305" s="50" t="s">
        <v>280</v>
      </c>
      <c r="E305" s="64">
        <v>394.37830000000002</v>
      </c>
      <c r="F305" s="51">
        <v>394.37830000000002</v>
      </c>
      <c r="G305" s="51">
        <v>48253.498224000003</v>
      </c>
      <c r="H305" s="52">
        <v>8.1730509603518596E-5</v>
      </c>
      <c r="I305" s="53">
        <v>9.807661152422232E-4</v>
      </c>
    </row>
    <row r="306" spans="1:9" x14ac:dyDescent="0.25">
      <c r="A306" s="42" t="s">
        <v>54</v>
      </c>
      <c r="B306" s="43" t="s">
        <v>55</v>
      </c>
      <c r="C306" s="43" t="s">
        <v>143</v>
      </c>
      <c r="D306" s="44" t="s">
        <v>280</v>
      </c>
      <c r="E306" s="63">
        <v>30915.989399999999</v>
      </c>
      <c r="F306" s="45">
        <v>30915.989399999999</v>
      </c>
      <c r="G306" s="45">
        <v>553423.44826099998</v>
      </c>
      <c r="H306" s="46">
        <v>5.5863172218571615E-4</v>
      </c>
      <c r="I306" s="47">
        <v>6.7035806662285938E-3</v>
      </c>
    </row>
    <row r="307" spans="1:9" x14ac:dyDescent="0.25">
      <c r="A307" s="48" t="s">
        <v>94</v>
      </c>
      <c r="B307" s="49" t="s">
        <v>95</v>
      </c>
      <c r="C307" s="49" t="s">
        <v>152</v>
      </c>
      <c r="D307" s="50" t="s">
        <v>280</v>
      </c>
      <c r="E307" s="64">
        <v>76710.657299999992</v>
      </c>
      <c r="F307" s="51">
        <v>76710.657299999992</v>
      </c>
      <c r="G307" s="51">
        <v>561461.07819000003</v>
      </c>
      <c r="H307" s="52">
        <v>1.3662684784365568E-3</v>
      </c>
      <c r="I307" s="53">
        <v>1.6395221741238683E-2</v>
      </c>
    </row>
    <row r="308" spans="1:9" x14ac:dyDescent="0.25">
      <c r="A308" s="42" t="s">
        <v>170</v>
      </c>
      <c r="B308" s="43" t="s">
        <v>171</v>
      </c>
      <c r="C308" s="43" t="s">
        <v>81</v>
      </c>
      <c r="D308" s="44" t="s">
        <v>280</v>
      </c>
      <c r="E308" s="63">
        <v>6049.3846000000003</v>
      </c>
      <c r="F308" s="45">
        <v>6049.3846000000003</v>
      </c>
      <c r="G308" s="45">
        <v>29009.914810999999</v>
      </c>
      <c r="H308" s="46">
        <v>2.0852817526048682E-3</v>
      </c>
      <c r="I308" s="47">
        <v>2.5023381031258417E-2</v>
      </c>
    </row>
    <row r="309" spans="1:9" x14ac:dyDescent="0.25">
      <c r="A309" s="48" t="s">
        <v>148</v>
      </c>
      <c r="B309" s="49" t="s">
        <v>149</v>
      </c>
      <c r="C309" s="49" t="s">
        <v>226</v>
      </c>
      <c r="D309" s="50" t="s">
        <v>280</v>
      </c>
      <c r="E309" s="64">
        <v>12479.5101</v>
      </c>
      <c r="F309" s="51">
        <v>12479.5101</v>
      </c>
      <c r="G309" s="51">
        <v>103776.71477499999</v>
      </c>
      <c r="H309" s="52">
        <v>1.2025347041537239E-3</v>
      </c>
      <c r="I309" s="53">
        <v>1.4430416449844687E-2</v>
      </c>
    </row>
    <row r="310" spans="1:9" x14ac:dyDescent="0.25">
      <c r="A310" s="42" t="s">
        <v>102</v>
      </c>
      <c r="B310" s="43" t="s">
        <v>271</v>
      </c>
      <c r="C310" s="43" t="s">
        <v>152</v>
      </c>
      <c r="D310" s="44" t="s">
        <v>280</v>
      </c>
      <c r="E310" s="63">
        <v>6235.0320000000002</v>
      </c>
      <c r="F310" s="45">
        <v>6235.0320000000002</v>
      </c>
      <c r="G310" s="45">
        <v>217996.84140500001</v>
      </c>
      <c r="H310" s="46">
        <v>2.8601478626088904E-4</v>
      </c>
      <c r="I310" s="47">
        <v>3.4321774351306683E-3</v>
      </c>
    </row>
    <row r="311" spans="1:9" x14ac:dyDescent="0.25">
      <c r="A311" s="48" t="s">
        <v>86</v>
      </c>
      <c r="B311" s="49" t="s">
        <v>87</v>
      </c>
      <c r="C311" s="49" t="s">
        <v>152</v>
      </c>
      <c r="D311" s="50" t="s">
        <v>280</v>
      </c>
      <c r="E311" s="64">
        <v>80647.223700000002</v>
      </c>
      <c r="F311" s="51">
        <v>80647.223700000002</v>
      </c>
      <c r="G311" s="51">
        <v>763146.27912700002</v>
      </c>
      <c r="H311" s="52">
        <v>1.0567728089070456E-3</v>
      </c>
      <c r="I311" s="53">
        <v>1.2681273706884547E-2</v>
      </c>
    </row>
    <row r="312" spans="1:9" x14ac:dyDescent="0.25">
      <c r="A312" s="42" t="s">
        <v>124</v>
      </c>
      <c r="B312" s="43" t="s">
        <v>125</v>
      </c>
      <c r="C312" s="43" t="s">
        <v>152</v>
      </c>
      <c r="D312" s="44" t="s">
        <v>280</v>
      </c>
      <c r="E312" s="63">
        <v>31563.048999999999</v>
      </c>
      <c r="F312" s="45">
        <v>31563.048999999999</v>
      </c>
      <c r="G312" s="45">
        <v>461850.11249199999</v>
      </c>
      <c r="H312" s="46">
        <v>6.8340459699566978E-4</v>
      </c>
      <c r="I312" s="47">
        <v>8.2008551639480374E-3</v>
      </c>
    </row>
    <row r="313" spans="1:9" x14ac:dyDescent="0.25">
      <c r="A313" s="48" t="s">
        <v>200</v>
      </c>
      <c r="B313" s="49" t="s">
        <v>244</v>
      </c>
      <c r="C313" s="49" t="s">
        <v>226</v>
      </c>
      <c r="D313" s="50" t="s">
        <v>280</v>
      </c>
      <c r="E313" s="64">
        <v>4229.0275000000001</v>
      </c>
      <c r="F313" s="51">
        <v>4229.0275000000001</v>
      </c>
      <c r="G313" s="51">
        <v>10.754263000000002</v>
      </c>
      <c r="H313" s="52">
        <v>3.9324196367524205</v>
      </c>
      <c r="I313" s="53">
        <v>47.189035641029044</v>
      </c>
    </row>
    <row r="314" spans="1:9" x14ac:dyDescent="0.25">
      <c r="A314" s="42" t="s">
        <v>63</v>
      </c>
      <c r="B314" s="43" t="s">
        <v>64</v>
      </c>
      <c r="C314" s="43" t="s">
        <v>143</v>
      </c>
      <c r="D314" s="44" t="s">
        <v>280</v>
      </c>
      <c r="E314" s="63">
        <v>13656.745800000001</v>
      </c>
      <c r="F314" s="45">
        <v>13656.745800000001</v>
      </c>
      <c r="G314" s="45">
        <v>638168.03365800006</v>
      </c>
      <c r="H314" s="46">
        <v>2.1399921462250446E-4</v>
      </c>
      <c r="I314" s="47">
        <v>2.5679905754700536E-3</v>
      </c>
    </row>
    <row r="315" spans="1:9" x14ac:dyDescent="0.25">
      <c r="A315" s="48" t="s">
        <v>61</v>
      </c>
      <c r="B315" s="49" t="s">
        <v>62</v>
      </c>
      <c r="C315" s="49" t="s">
        <v>226</v>
      </c>
      <c r="D315" s="50" t="s">
        <v>280</v>
      </c>
      <c r="E315" s="64">
        <v>8286.7510000000002</v>
      </c>
      <c r="F315" s="51">
        <v>8286.7510000000002</v>
      </c>
      <c r="G315" s="51">
        <v>218029.54355599999</v>
      </c>
      <c r="H315" s="52">
        <v>3.8007468459757535E-4</v>
      </c>
      <c r="I315" s="53">
        <v>4.5608962151709037E-3</v>
      </c>
    </row>
    <row r="316" spans="1:9" x14ac:dyDescent="0.25">
      <c r="A316" s="42" t="s">
        <v>76</v>
      </c>
      <c r="B316" s="43" t="s">
        <v>77</v>
      </c>
      <c r="C316" s="43" t="s">
        <v>152</v>
      </c>
      <c r="D316" s="44" t="s">
        <v>280</v>
      </c>
      <c r="E316" s="63">
        <v>48078.768899999995</v>
      </c>
      <c r="F316" s="45">
        <v>48078.768899999995</v>
      </c>
      <c r="G316" s="45">
        <v>310133.05557700002</v>
      </c>
      <c r="H316" s="46">
        <v>1.5502626384198176E-3</v>
      </c>
      <c r="I316" s="47">
        <v>1.8603151661037813E-2</v>
      </c>
    </row>
    <row r="317" spans="1:9" x14ac:dyDescent="0.25">
      <c r="A317" s="48" t="s">
        <v>208</v>
      </c>
      <c r="B317" s="49" t="s">
        <v>164</v>
      </c>
      <c r="C317" s="49" t="s">
        <v>67</v>
      </c>
      <c r="D317" s="50" t="s">
        <v>280</v>
      </c>
      <c r="E317" s="64">
        <v>2794.9542999999999</v>
      </c>
      <c r="F317" s="51">
        <v>2794.9542999999999</v>
      </c>
      <c r="G317" s="51">
        <v>201197.625218</v>
      </c>
      <c r="H317" s="52">
        <v>1.389158692589753E-4</v>
      </c>
      <c r="I317" s="53">
        <v>1.6669904311077035E-3</v>
      </c>
    </row>
    <row r="318" spans="1:9" x14ac:dyDescent="0.25">
      <c r="A318" s="42" t="s">
        <v>163</v>
      </c>
      <c r="B318" s="43" t="s">
        <v>164</v>
      </c>
      <c r="C318" s="43" t="s">
        <v>67</v>
      </c>
      <c r="D318" s="44" t="s">
        <v>280</v>
      </c>
      <c r="E318" s="63">
        <v>23.575700000000001</v>
      </c>
      <c r="F318" s="45">
        <v>23.575700000000001</v>
      </c>
      <c r="G318" s="45">
        <v>9814.0129940000006</v>
      </c>
      <c r="H318" s="46">
        <v>2.4022487044202499E-5</v>
      </c>
      <c r="I318" s="47">
        <v>2.8826984453042998E-4</v>
      </c>
    </row>
    <row r="319" spans="1:9" x14ac:dyDescent="0.25">
      <c r="A319" s="48" t="s">
        <v>204</v>
      </c>
      <c r="B319" s="49" t="s">
        <v>89</v>
      </c>
      <c r="C319" s="49" t="s">
        <v>152</v>
      </c>
      <c r="D319" s="50" t="s">
        <v>280</v>
      </c>
      <c r="E319" s="64">
        <v>9999.4056999999993</v>
      </c>
      <c r="F319" s="51">
        <v>9999.4056999999993</v>
      </c>
      <c r="G319" s="51">
        <v>196182.22993500001</v>
      </c>
      <c r="H319" s="52">
        <v>5.09699869519938E-4</v>
      </c>
      <c r="I319" s="53">
        <v>6.116398434239256E-3</v>
      </c>
    </row>
    <row r="320" spans="1:9" x14ac:dyDescent="0.25">
      <c r="A320" s="42" t="s">
        <v>116</v>
      </c>
      <c r="B320" s="43" t="s">
        <v>117</v>
      </c>
      <c r="C320" s="43" t="s">
        <v>143</v>
      </c>
      <c r="D320" s="44" t="s">
        <v>280</v>
      </c>
      <c r="E320" s="63">
        <v>56734.591699999997</v>
      </c>
      <c r="F320" s="45">
        <v>56734.591699999997</v>
      </c>
      <c r="G320" s="45">
        <v>750424.20622799988</v>
      </c>
      <c r="H320" s="46">
        <v>7.5603360378226445E-4</v>
      </c>
      <c r="I320" s="47">
        <v>9.0724032453871738E-3</v>
      </c>
    </row>
    <row r="321" spans="1:9" x14ac:dyDescent="0.25">
      <c r="A321" s="48" t="s">
        <v>84</v>
      </c>
      <c r="B321" s="49" t="s">
        <v>85</v>
      </c>
      <c r="C321" s="49" t="s">
        <v>67</v>
      </c>
      <c r="D321" s="50" t="s">
        <v>280</v>
      </c>
      <c r="E321" s="64">
        <v>5445.4588999999996</v>
      </c>
      <c r="F321" s="51">
        <v>5445.4588999999996</v>
      </c>
      <c r="G321" s="51">
        <v>221374.77366799998</v>
      </c>
      <c r="H321" s="52">
        <v>2.4598371394234195E-4</v>
      </c>
      <c r="I321" s="53">
        <v>2.9518045673081034E-3</v>
      </c>
    </row>
    <row r="322" spans="1:9" x14ac:dyDescent="0.25">
      <c r="A322" s="42" t="s">
        <v>112</v>
      </c>
      <c r="B322" s="43" t="s">
        <v>113</v>
      </c>
      <c r="C322" s="43" t="s">
        <v>81</v>
      </c>
      <c r="D322" s="44" t="s">
        <v>280</v>
      </c>
      <c r="E322" s="63">
        <v>25893.3305</v>
      </c>
      <c r="F322" s="45">
        <v>25893.3305</v>
      </c>
      <c r="G322" s="45">
        <v>745915.71469400008</v>
      </c>
      <c r="H322" s="46">
        <v>3.4713480343583216E-4</v>
      </c>
      <c r="I322" s="47">
        <v>4.1656176412299857E-3</v>
      </c>
    </row>
    <row r="323" spans="1:9" x14ac:dyDescent="0.25">
      <c r="A323" s="48" t="s">
        <v>122</v>
      </c>
      <c r="B323" s="49" t="s">
        <v>123</v>
      </c>
      <c r="C323" s="49" t="s">
        <v>152</v>
      </c>
      <c r="D323" s="50" t="s">
        <v>280</v>
      </c>
      <c r="E323" s="64">
        <v>79295.222600000008</v>
      </c>
      <c r="F323" s="51">
        <v>79295.222600000008</v>
      </c>
      <c r="G323" s="51">
        <v>1028259.2360789999</v>
      </c>
      <c r="H323" s="52">
        <v>7.7115983808102504E-4</v>
      </c>
      <c r="I323" s="53">
        <v>9.2539180569723E-3</v>
      </c>
    </row>
    <row r="324" spans="1:9" x14ac:dyDescent="0.25">
      <c r="A324" s="42" t="s">
        <v>203</v>
      </c>
      <c r="B324" s="43" t="s">
        <v>156</v>
      </c>
      <c r="C324" s="43" t="s">
        <v>152</v>
      </c>
      <c r="D324" s="44" t="s">
        <v>280</v>
      </c>
      <c r="E324" s="63">
        <v>4063.5444000000002</v>
      </c>
      <c r="F324" s="45">
        <v>4063.5444000000002</v>
      </c>
      <c r="G324" s="45">
        <v>170379.36464099999</v>
      </c>
      <c r="H324" s="46">
        <v>2.3849979770508849E-4</v>
      </c>
      <c r="I324" s="47">
        <v>2.8619975724610619E-3</v>
      </c>
    </row>
    <row r="325" spans="1:9" x14ac:dyDescent="0.25">
      <c r="A325" s="48" t="s">
        <v>59</v>
      </c>
      <c r="B325" s="49" t="s">
        <v>60</v>
      </c>
      <c r="C325" s="49" t="s">
        <v>143</v>
      </c>
      <c r="D325" s="50" t="s">
        <v>280</v>
      </c>
      <c r="E325" s="64">
        <v>12699.742200000001</v>
      </c>
      <c r="F325" s="51">
        <v>12699.742200000001</v>
      </c>
      <c r="G325" s="51">
        <v>414381.16877499997</v>
      </c>
      <c r="H325" s="52">
        <v>3.0647488730106085E-4</v>
      </c>
      <c r="I325" s="53">
        <v>3.67769864761273E-3</v>
      </c>
    </row>
    <row r="326" spans="1:9" x14ac:dyDescent="0.25">
      <c r="A326" s="42" t="s">
        <v>70</v>
      </c>
      <c r="B326" s="43" t="s">
        <v>71</v>
      </c>
      <c r="C326" s="43" t="s">
        <v>152</v>
      </c>
      <c r="D326" s="44" t="s">
        <v>280</v>
      </c>
      <c r="E326" s="63">
        <v>33007.6351</v>
      </c>
      <c r="F326" s="45">
        <v>33007.6351</v>
      </c>
      <c r="G326" s="45">
        <v>309110.55848499999</v>
      </c>
      <c r="H326" s="46">
        <v>1.067826193378048E-3</v>
      </c>
      <c r="I326" s="47">
        <v>1.2813914320536576E-2</v>
      </c>
    </row>
    <row r="327" spans="1:9" x14ac:dyDescent="0.25">
      <c r="A327" s="48" t="s">
        <v>72</v>
      </c>
      <c r="B327" s="49" t="s">
        <v>73</v>
      </c>
      <c r="C327" s="49" t="s">
        <v>67</v>
      </c>
      <c r="D327" s="50" t="s">
        <v>280</v>
      </c>
      <c r="E327" s="64">
        <v>54799.251199999999</v>
      </c>
      <c r="F327" s="51">
        <v>54799.251199999999</v>
      </c>
      <c r="G327" s="51">
        <v>1754764.907345</v>
      </c>
      <c r="H327" s="52">
        <v>3.1228827845043093E-4</v>
      </c>
      <c r="I327" s="53">
        <v>3.7474593414051714E-3</v>
      </c>
    </row>
    <row r="328" spans="1:9" x14ac:dyDescent="0.25">
      <c r="A328" s="42" t="s">
        <v>133</v>
      </c>
      <c r="B328" s="43" t="s">
        <v>134</v>
      </c>
      <c r="C328" s="43" t="s">
        <v>241</v>
      </c>
      <c r="D328" s="44" t="s">
        <v>280</v>
      </c>
      <c r="E328" s="63">
        <v>5675.7582000000002</v>
      </c>
      <c r="F328" s="45">
        <v>5675.7582000000002</v>
      </c>
      <c r="G328" s="45">
        <v>66887.996540000007</v>
      </c>
      <c r="H328" s="46">
        <v>8.4854659932979363E-4</v>
      </c>
      <c r="I328" s="47">
        <v>1.0182559191957524E-2</v>
      </c>
    </row>
    <row r="329" spans="1:9" x14ac:dyDescent="0.25">
      <c r="A329" s="48" t="s">
        <v>118</v>
      </c>
      <c r="B329" s="49" t="s">
        <v>119</v>
      </c>
      <c r="C329" s="49" t="s">
        <v>143</v>
      </c>
      <c r="D329" s="50" t="s">
        <v>280</v>
      </c>
      <c r="E329" s="64">
        <v>18793.863499999999</v>
      </c>
      <c r="F329" s="51">
        <v>18793.863499999999</v>
      </c>
      <c r="G329" s="51">
        <v>409620.09479199996</v>
      </c>
      <c r="H329" s="52">
        <v>4.588120489924522E-4</v>
      </c>
      <c r="I329" s="53">
        <v>5.5057445879094259E-3</v>
      </c>
    </row>
    <row r="330" spans="1:9" x14ac:dyDescent="0.25">
      <c r="A330" s="42" t="s">
        <v>57</v>
      </c>
      <c r="B330" s="43" t="s">
        <v>58</v>
      </c>
      <c r="C330" s="43" t="s">
        <v>226</v>
      </c>
      <c r="D330" s="44" t="s">
        <v>280</v>
      </c>
      <c r="E330" s="63">
        <v>3691.8213000000001</v>
      </c>
      <c r="F330" s="45">
        <v>3691.8213000000001</v>
      </c>
      <c r="G330" s="45">
        <v>106744.30399900001</v>
      </c>
      <c r="H330" s="46">
        <v>3.4585651521364412E-4</v>
      </c>
      <c r="I330" s="47">
        <v>4.1502781825637292E-3</v>
      </c>
    </row>
    <row r="331" spans="1:9" x14ac:dyDescent="0.25">
      <c r="A331" s="48" t="s">
        <v>157</v>
      </c>
      <c r="B331" s="49" t="s">
        <v>158</v>
      </c>
      <c r="C331" s="49" t="s">
        <v>226</v>
      </c>
      <c r="D331" s="50" t="s">
        <v>280</v>
      </c>
      <c r="E331" s="64">
        <v>2200.3261000000002</v>
      </c>
      <c r="F331" s="51">
        <v>2200.3261000000002</v>
      </c>
      <c r="G331" s="51">
        <v>41874.754667000001</v>
      </c>
      <c r="H331" s="52">
        <v>5.254540874323017E-4</v>
      </c>
      <c r="I331" s="53">
        <v>6.3054490491876204E-3</v>
      </c>
    </row>
    <row r="332" spans="1:9" x14ac:dyDescent="0.25">
      <c r="A332" s="42" t="s">
        <v>74</v>
      </c>
      <c r="B332" s="43" t="s">
        <v>75</v>
      </c>
      <c r="C332" s="43" t="s">
        <v>67</v>
      </c>
      <c r="D332" s="44" t="s">
        <v>280</v>
      </c>
      <c r="E332" s="63">
        <v>1111.2835</v>
      </c>
      <c r="F332" s="45">
        <v>1111.2835</v>
      </c>
      <c r="G332" s="45">
        <v>470688.42168600002</v>
      </c>
      <c r="H332" s="46">
        <v>2.3609747952146274E-5</v>
      </c>
      <c r="I332" s="47">
        <v>2.8331697542575529E-4</v>
      </c>
    </row>
    <row r="333" spans="1:9" x14ac:dyDescent="0.25">
      <c r="A333" s="48" t="s">
        <v>96</v>
      </c>
      <c r="B333" s="49" t="s">
        <v>97</v>
      </c>
      <c r="C333" s="49" t="s">
        <v>81</v>
      </c>
      <c r="D333" s="50" t="s">
        <v>280</v>
      </c>
      <c r="E333" s="64">
        <v>104673.5968</v>
      </c>
      <c r="F333" s="51">
        <v>104673.5968</v>
      </c>
      <c r="G333" s="51">
        <v>294753.20192600001</v>
      </c>
      <c r="H333" s="52">
        <v>3.5512284893271179E-3</v>
      </c>
      <c r="I333" s="53">
        <v>4.2614741871925418E-2</v>
      </c>
    </row>
    <row r="334" spans="1:9" x14ac:dyDescent="0.25">
      <c r="A334" s="42" t="s">
        <v>196</v>
      </c>
      <c r="B334" s="43" t="s">
        <v>245</v>
      </c>
      <c r="C334" s="43" t="s">
        <v>143</v>
      </c>
      <c r="D334" s="44" t="s">
        <v>280</v>
      </c>
      <c r="E334" s="63">
        <v>1.2303999999999999</v>
      </c>
      <c r="F334" s="45">
        <v>1.2303999999999999</v>
      </c>
      <c r="G334" s="45">
        <v>117.875885</v>
      </c>
      <c r="H334" s="46">
        <v>1.043809766518402E-4</v>
      </c>
      <c r="I334" s="47">
        <v>1.2525717198220824E-3</v>
      </c>
    </row>
    <row r="335" spans="1:9" x14ac:dyDescent="0.25">
      <c r="A335" s="48" t="s">
        <v>100</v>
      </c>
      <c r="B335" s="49" t="s">
        <v>100</v>
      </c>
      <c r="C335" s="49" t="s">
        <v>152</v>
      </c>
      <c r="D335" s="50" t="s">
        <v>281</v>
      </c>
      <c r="E335" s="64">
        <v>5235.2806</v>
      </c>
      <c r="F335" s="60">
        <v>5235.2806</v>
      </c>
      <c r="G335" s="51">
        <v>366894.274339</v>
      </c>
      <c r="H335" s="52">
        <v>1.4269180431970296E-4</v>
      </c>
      <c r="I335" s="53">
        <v>1.7123016518364354E-3</v>
      </c>
    </row>
    <row r="336" spans="1:9" x14ac:dyDescent="0.25">
      <c r="A336" s="42" t="s">
        <v>128</v>
      </c>
      <c r="B336" s="43" t="s">
        <v>129</v>
      </c>
      <c r="C336" s="43" t="s">
        <v>67</v>
      </c>
      <c r="D336" s="44" t="s">
        <v>281</v>
      </c>
      <c r="E336" s="63">
        <v>153877.75830000002</v>
      </c>
      <c r="F336" s="61">
        <v>153877.75830000002</v>
      </c>
      <c r="G336" s="45">
        <v>1715464.4501589998</v>
      </c>
      <c r="H336" s="46">
        <v>8.9700348081091198E-4</v>
      </c>
      <c r="I336" s="47">
        <v>1.0764041769730944E-2</v>
      </c>
    </row>
    <row r="337" spans="1:9" x14ac:dyDescent="0.25">
      <c r="A337" s="48" t="s">
        <v>190</v>
      </c>
      <c r="B337" s="49" t="s">
        <v>234</v>
      </c>
      <c r="C337" s="49" t="s">
        <v>143</v>
      </c>
      <c r="D337" s="50" t="s">
        <v>281</v>
      </c>
      <c r="E337" s="64">
        <v>2040.4989</v>
      </c>
      <c r="F337" s="60">
        <v>2040.4989</v>
      </c>
      <c r="G337" s="51">
        <v>98829.904280999996</v>
      </c>
      <c r="H337" s="52">
        <v>2.0646573674687702E-4</v>
      </c>
      <c r="I337" s="53">
        <v>2.4775888409625242E-3</v>
      </c>
    </row>
    <row r="338" spans="1:9" x14ac:dyDescent="0.25">
      <c r="A338" s="42" t="s">
        <v>65</v>
      </c>
      <c r="B338" s="43" t="s">
        <v>66</v>
      </c>
      <c r="C338" s="43" t="s">
        <v>67</v>
      </c>
      <c r="D338" s="44" t="s">
        <v>281</v>
      </c>
      <c r="E338" s="63">
        <v>130738.0607</v>
      </c>
      <c r="F338" s="61">
        <v>130738.0607</v>
      </c>
      <c r="G338" s="45">
        <v>2507110.024067</v>
      </c>
      <c r="H338" s="46">
        <v>5.214691794336113E-4</v>
      </c>
      <c r="I338" s="47">
        <v>6.2576301532033356E-3</v>
      </c>
    </row>
    <row r="339" spans="1:9" x14ac:dyDescent="0.25">
      <c r="A339" s="48" t="s">
        <v>131</v>
      </c>
      <c r="B339" s="49" t="s">
        <v>132</v>
      </c>
      <c r="C339" s="49" t="s">
        <v>67</v>
      </c>
      <c r="D339" s="50" t="s">
        <v>281</v>
      </c>
      <c r="E339" s="64">
        <v>239118.50520000001</v>
      </c>
      <c r="F339" s="60">
        <v>239118.50520000001</v>
      </c>
      <c r="G339" s="51">
        <v>401178.11590499996</v>
      </c>
      <c r="H339" s="52">
        <v>5.960407502801671E-3</v>
      </c>
      <c r="I339" s="53">
        <v>7.1524890033620059E-2</v>
      </c>
    </row>
    <row r="340" spans="1:9" x14ac:dyDescent="0.25">
      <c r="A340" s="42" t="s">
        <v>82</v>
      </c>
      <c r="B340" s="43" t="s">
        <v>83</v>
      </c>
      <c r="C340" s="43" t="s">
        <v>226</v>
      </c>
      <c r="D340" s="44" t="s">
        <v>281</v>
      </c>
      <c r="E340" s="63">
        <v>84547.8462</v>
      </c>
      <c r="F340" s="61">
        <v>84547.8462</v>
      </c>
      <c r="G340" s="45">
        <v>597079.09497900004</v>
      </c>
      <c r="H340" s="46">
        <v>1.4160242237751372E-3</v>
      </c>
      <c r="I340" s="47">
        <v>1.6992290685301645E-2</v>
      </c>
    </row>
    <row r="341" spans="1:9" x14ac:dyDescent="0.25">
      <c r="A341" s="48" t="s">
        <v>68</v>
      </c>
      <c r="B341" s="49" t="s">
        <v>69</v>
      </c>
      <c r="C341" s="49" t="s">
        <v>143</v>
      </c>
      <c r="D341" s="50" t="s">
        <v>281</v>
      </c>
      <c r="E341" s="64">
        <v>17301.024300000001</v>
      </c>
      <c r="F341" s="60">
        <v>17301.024300000001</v>
      </c>
      <c r="G341" s="51">
        <v>592468.32434699999</v>
      </c>
      <c r="H341" s="52">
        <v>2.9201602160028805E-4</v>
      </c>
      <c r="I341" s="53">
        <v>3.5041922592034566E-3</v>
      </c>
    </row>
    <row r="342" spans="1:9" x14ac:dyDescent="0.25">
      <c r="A342" s="42" t="s">
        <v>79</v>
      </c>
      <c r="B342" s="43" t="s">
        <v>80</v>
      </c>
      <c r="C342" s="43" t="s">
        <v>81</v>
      </c>
      <c r="D342" s="44" t="s">
        <v>281</v>
      </c>
      <c r="E342" s="63">
        <v>17730.4931</v>
      </c>
      <c r="F342" s="61">
        <v>17730.4931</v>
      </c>
      <c r="G342" s="45">
        <v>120941.40469699999</v>
      </c>
      <c r="H342" s="46">
        <v>1.4660399508688534E-3</v>
      </c>
      <c r="I342" s="47">
        <v>1.7592479410426243E-2</v>
      </c>
    </row>
    <row r="343" spans="1:9" x14ac:dyDescent="0.25">
      <c r="A343" s="48" t="s">
        <v>114</v>
      </c>
      <c r="B343" s="49" t="s">
        <v>115</v>
      </c>
      <c r="C343" s="49" t="s">
        <v>226</v>
      </c>
      <c r="D343" s="50" t="s">
        <v>281</v>
      </c>
      <c r="E343" s="64">
        <v>18252.6273</v>
      </c>
      <c r="F343" s="60">
        <v>18252.6273</v>
      </c>
      <c r="G343" s="51">
        <v>565676.26179000002</v>
      </c>
      <c r="H343" s="52">
        <v>3.2266914015875833E-4</v>
      </c>
      <c r="I343" s="53">
        <v>3.8720296819051E-3</v>
      </c>
    </row>
    <row r="344" spans="1:9" x14ac:dyDescent="0.25">
      <c r="A344" s="42" t="s">
        <v>92</v>
      </c>
      <c r="B344" s="43" t="s">
        <v>282</v>
      </c>
      <c r="C344" s="43" t="s">
        <v>81</v>
      </c>
      <c r="D344" s="44" t="s">
        <v>281</v>
      </c>
      <c r="E344" s="63">
        <v>352.89839999999998</v>
      </c>
      <c r="F344" s="61">
        <v>352.89839999999998</v>
      </c>
      <c r="G344" s="45">
        <v>36497.794056999999</v>
      </c>
      <c r="H344" s="46">
        <v>9.669033680470252E-5</v>
      </c>
      <c r="I344" s="47">
        <v>1.1602840416564302E-3</v>
      </c>
    </row>
    <row r="345" spans="1:9" x14ac:dyDescent="0.25">
      <c r="A345" s="48" t="s">
        <v>146</v>
      </c>
      <c r="B345" s="49" t="s">
        <v>147</v>
      </c>
      <c r="C345" s="49" t="s">
        <v>226</v>
      </c>
      <c r="D345" s="50" t="s">
        <v>281</v>
      </c>
      <c r="E345" s="64">
        <v>1112.5878</v>
      </c>
      <c r="F345" s="60">
        <v>1112.5878</v>
      </c>
      <c r="G345" s="51">
        <v>166944.14227000001</v>
      </c>
      <c r="H345" s="52">
        <v>6.6644314970968165E-5</v>
      </c>
      <c r="I345" s="53">
        <v>7.9973177965161793E-4</v>
      </c>
    </row>
    <row r="346" spans="1:9" x14ac:dyDescent="0.25">
      <c r="A346" s="42" t="s">
        <v>45</v>
      </c>
      <c r="B346" s="43" t="s">
        <v>45</v>
      </c>
      <c r="C346" s="43" t="s">
        <v>152</v>
      </c>
      <c r="D346" s="44" t="s">
        <v>281</v>
      </c>
      <c r="E346" s="63">
        <v>2373.9956999999999</v>
      </c>
      <c r="F346" s="61">
        <v>2373.9956999999999</v>
      </c>
      <c r="G346" s="45">
        <v>140703.443332</v>
      </c>
      <c r="H346" s="46">
        <v>1.6872335486476934E-4</v>
      </c>
      <c r="I346" s="47">
        <v>2.024680258377232E-3</v>
      </c>
    </row>
    <row r="347" spans="1:9" x14ac:dyDescent="0.25">
      <c r="A347" s="48" t="s">
        <v>90</v>
      </c>
      <c r="B347" s="49" t="s">
        <v>91</v>
      </c>
      <c r="C347" s="49" t="s">
        <v>81</v>
      </c>
      <c r="D347" s="50" t="s">
        <v>281</v>
      </c>
      <c r="E347" s="64">
        <v>36560.788699999997</v>
      </c>
      <c r="F347" s="60">
        <v>36560.788699999997</v>
      </c>
      <c r="G347" s="51">
        <v>819950.87419400003</v>
      </c>
      <c r="H347" s="52">
        <v>4.4588998988431751E-4</v>
      </c>
      <c r="I347" s="53">
        <v>5.3506798786118106E-3</v>
      </c>
    </row>
    <row r="348" spans="1:9" x14ac:dyDescent="0.25">
      <c r="A348" s="42" t="s">
        <v>98</v>
      </c>
      <c r="B348" s="43" t="s">
        <v>99</v>
      </c>
      <c r="C348" s="43" t="s">
        <v>81</v>
      </c>
      <c r="D348" s="44" t="s">
        <v>281</v>
      </c>
      <c r="E348" s="63">
        <v>4184.5118000000002</v>
      </c>
      <c r="F348" s="61">
        <v>4184.5118000000002</v>
      </c>
      <c r="G348" s="45">
        <v>197983.32995400002</v>
      </c>
      <c r="H348" s="46">
        <v>2.1135677437955213E-4</v>
      </c>
      <c r="I348" s="47">
        <v>2.5362812925546255E-3</v>
      </c>
    </row>
    <row r="349" spans="1:9" x14ac:dyDescent="0.25">
      <c r="A349" s="48" t="s">
        <v>120</v>
      </c>
      <c r="B349" s="49" t="s">
        <v>268</v>
      </c>
      <c r="C349" s="49" t="s">
        <v>143</v>
      </c>
      <c r="D349" s="50" t="s">
        <v>281</v>
      </c>
      <c r="E349" s="64">
        <v>25636.536200000002</v>
      </c>
      <c r="F349" s="60">
        <v>25636.536200000002</v>
      </c>
      <c r="G349" s="51">
        <v>530648.18851800007</v>
      </c>
      <c r="H349" s="52">
        <v>4.8311737898508602E-4</v>
      </c>
      <c r="I349" s="53">
        <v>5.797408547821032E-3</v>
      </c>
    </row>
    <row r="350" spans="1:9" x14ac:dyDescent="0.25">
      <c r="A350" s="42" t="s">
        <v>106</v>
      </c>
      <c r="B350" s="43" t="s">
        <v>107</v>
      </c>
      <c r="C350" s="43" t="s">
        <v>143</v>
      </c>
      <c r="D350" s="44" t="s">
        <v>281</v>
      </c>
      <c r="E350" s="63">
        <v>114887.4158</v>
      </c>
      <c r="F350" s="61">
        <v>114887.4158</v>
      </c>
      <c r="G350" s="45">
        <v>761080.21633399988</v>
      </c>
      <c r="H350" s="46">
        <v>1.5095309710373773E-3</v>
      </c>
      <c r="I350" s="47">
        <v>1.8114371652448526E-2</v>
      </c>
    </row>
    <row r="351" spans="1:9" x14ac:dyDescent="0.25">
      <c r="A351" s="48" t="s">
        <v>206</v>
      </c>
      <c r="B351" s="49" t="s">
        <v>251</v>
      </c>
      <c r="C351" s="49" t="s">
        <v>226</v>
      </c>
      <c r="D351" s="50" t="s">
        <v>281</v>
      </c>
      <c r="E351" s="64">
        <v>381.67750000000001</v>
      </c>
      <c r="F351" s="60">
        <v>381.67750000000001</v>
      </c>
      <c r="G351" s="51">
        <v>49339.450349000006</v>
      </c>
      <c r="H351" s="52">
        <v>7.7357468982776318E-5</v>
      </c>
      <c r="I351" s="53">
        <v>9.2828962779331582E-4</v>
      </c>
    </row>
    <row r="352" spans="1:9" x14ac:dyDescent="0.25">
      <c r="A352" s="42" t="s">
        <v>54</v>
      </c>
      <c r="B352" s="43" t="s">
        <v>55</v>
      </c>
      <c r="C352" s="43" t="s">
        <v>143</v>
      </c>
      <c r="D352" s="44" t="s">
        <v>281</v>
      </c>
      <c r="E352" s="63">
        <v>36682.736900000004</v>
      </c>
      <c r="F352" s="61">
        <v>36682.736900000004</v>
      </c>
      <c r="G352" s="45">
        <v>575915.80932899995</v>
      </c>
      <c r="H352" s="46">
        <v>6.3694617000945139E-4</v>
      </c>
      <c r="I352" s="47">
        <v>7.6433540401134167E-3</v>
      </c>
    </row>
    <row r="353" spans="1:9" x14ac:dyDescent="0.25">
      <c r="A353" s="48" t="s">
        <v>94</v>
      </c>
      <c r="B353" s="49" t="s">
        <v>95</v>
      </c>
      <c r="C353" s="49" t="s">
        <v>152</v>
      </c>
      <c r="D353" s="50" t="s">
        <v>281</v>
      </c>
      <c r="E353" s="64">
        <v>51919.450499999999</v>
      </c>
      <c r="F353" s="60">
        <v>51919.450499999999</v>
      </c>
      <c r="G353" s="51">
        <v>536563.26523500006</v>
      </c>
      <c r="H353" s="52">
        <v>9.6762961357894483E-4</v>
      </c>
      <c r="I353" s="53">
        <v>1.1611555362947338E-2</v>
      </c>
    </row>
    <row r="354" spans="1:9" x14ac:dyDescent="0.25">
      <c r="A354" s="42" t="s">
        <v>170</v>
      </c>
      <c r="B354" s="43" t="s">
        <v>171</v>
      </c>
      <c r="C354" s="43" t="s">
        <v>81</v>
      </c>
      <c r="D354" s="44" t="s">
        <v>281</v>
      </c>
      <c r="E354" s="63">
        <v>1693.7941000000001</v>
      </c>
      <c r="F354" s="61">
        <v>1693.7941000000001</v>
      </c>
      <c r="G354" s="45">
        <v>41746.402853</v>
      </c>
      <c r="H354" s="46">
        <v>4.057341433618346E-4</v>
      </c>
      <c r="I354" s="47">
        <v>4.8688097203420152E-3</v>
      </c>
    </row>
    <row r="355" spans="1:9" x14ac:dyDescent="0.25">
      <c r="A355" s="48" t="s">
        <v>148</v>
      </c>
      <c r="B355" s="49" t="s">
        <v>149</v>
      </c>
      <c r="C355" s="49" t="s">
        <v>226</v>
      </c>
      <c r="D355" s="50" t="s">
        <v>281</v>
      </c>
      <c r="E355" s="64">
        <v>6630.9050999999999</v>
      </c>
      <c r="F355" s="60">
        <v>6630.9050999999999</v>
      </c>
      <c r="G355" s="51">
        <v>106230.915603</v>
      </c>
      <c r="H355" s="52">
        <v>6.2419730286243907E-4</v>
      </c>
      <c r="I355" s="53">
        <v>7.4903676343492688E-3</v>
      </c>
    </row>
    <row r="356" spans="1:9" x14ac:dyDescent="0.25">
      <c r="A356" s="42" t="s">
        <v>102</v>
      </c>
      <c r="B356" s="43" t="s">
        <v>271</v>
      </c>
      <c r="C356" s="43" t="s">
        <v>152</v>
      </c>
      <c r="D356" s="44" t="s">
        <v>281</v>
      </c>
      <c r="E356" s="63">
        <v>8308.3793999999998</v>
      </c>
      <c r="F356" s="61">
        <v>8308.3793999999998</v>
      </c>
      <c r="G356" s="45">
        <v>304222.79634399997</v>
      </c>
      <c r="H356" s="46">
        <v>2.7310180235820655E-4</v>
      </c>
      <c r="I356" s="47">
        <v>3.2772216282984786E-3</v>
      </c>
    </row>
    <row r="357" spans="1:9" x14ac:dyDescent="0.25">
      <c r="A357" s="48" t="s">
        <v>86</v>
      </c>
      <c r="B357" s="49" t="s">
        <v>87</v>
      </c>
      <c r="C357" s="49" t="s">
        <v>152</v>
      </c>
      <c r="D357" s="50" t="s">
        <v>281</v>
      </c>
      <c r="E357" s="64">
        <v>57123.55</v>
      </c>
      <c r="F357" s="60">
        <v>57123.55</v>
      </c>
      <c r="G357" s="51">
        <v>777743.99947400007</v>
      </c>
      <c r="H357" s="52">
        <v>7.3447754066419688E-4</v>
      </c>
      <c r="I357" s="53">
        <v>8.8137304879703626E-3</v>
      </c>
    </row>
    <row r="358" spans="1:9" x14ac:dyDescent="0.25">
      <c r="A358" s="42" t="s">
        <v>124</v>
      </c>
      <c r="B358" s="43" t="s">
        <v>125</v>
      </c>
      <c r="C358" s="43" t="s">
        <v>152</v>
      </c>
      <c r="D358" s="44" t="s">
        <v>281</v>
      </c>
      <c r="E358" s="63">
        <v>24848.175500000001</v>
      </c>
      <c r="F358" s="61">
        <v>24848.175500000001</v>
      </c>
      <c r="G358" s="45">
        <v>308092.97446</v>
      </c>
      <c r="H358" s="46">
        <v>8.065154859033004E-4</v>
      </c>
      <c r="I358" s="47">
        <v>9.6781858308396043E-3</v>
      </c>
    </row>
    <row r="359" spans="1:9" x14ac:dyDescent="0.25">
      <c r="A359" s="48" t="s">
        <v>63</v>
      </c>
      <c r="B359" s="49" t="s">
        <v>64</v>
      </c>
      <c r="C359" s="49" t="s">
        <v>226</v>
      </c>
      <c r="D359" s="50" t="s">
        <v>281</v>
      </c>
      <c r="E359" s="64">
        <v>17184.159599999999</v>
      </c>
      <c r="F359" s="60">
        <v>17184.159599999999</v>
      </c>
      <c r="G359" s="51">
        <v>556581.25982799998</v>
      </c>
      <c r="H359" s="52">
        <v>3.0874484716410342E-4</v>
      </c>
      <c r="I359" s="53">
        <v>3.704938165969241E-3</v>
      </c>
    </row>
    <row r="360" spans="1:9" x14ac:dyDescent="0.25">
      <c r="A360" s="42" t="s">
        <v>61</v>
      </c>
      <c r="B360" s="43" t="s">
        <v>62</v>
      </c>
      <c r="C360" s="43" t="s">
        <v>226</v>
      </c>
      <c r="D360" s="44" t="s">
        <v>281</v>
      </c>
      <c r="E360" s="63">
        <v>15862.870199999999</v>
      </c>
      <c r="F360" s="61">
        <v>15862.870199999999</v>
      </c>
      <c r="G360" s="45">
        <v>230115.90232999998</v>
      </c>
      <c r="H360" s="46">
        <v>6.8934263296813333E-4</v>
      </c>
      <c r="I360" s="47">
        <v>8.272111595617599E-3</v>
      </c>
    </row>
    <row r="361" spans="1:9" x14ac:dyDescent="0.25">
      <c r="A361" s="48" t="s">
        <v>76</v>
      </c>
      <c r="B361" s="49" t="s">
        <v>77</v>
      </c>
      <c r="C361" s="49" t="s">
        <v>152</v>
      </c>
      <c r="D361" s="50" t="s">
        <v>281</v>
      </c>
      <c r="E361" s="64">
        <v>13142.2798</v>
      </c>
      <c r="F361" s="60">
        <v>13142.2798</v>
      </c>
      <c r="G361" s="51">
        <v>261570.15383900001</v>
      </c>
      <c r="H361" s="52">
        <v>5.0243804987358195E-4</v>
      </c>
      <c r="I361" s="53">
        <v>6.0292565984829839E-3</v>
      </c>
    </row>
    <row r="362" spans="1:9" x14ac:dyDescent="0.25">
      <c r="A362" s="42" t="s">
        <v>163</v>
      </c>
      <c r="B362" s="43" t="s">
        <v>164</v>
      </c>
      <c r="C362" s="43" t="s">
        <v>67</v>
      </c>
      <c r="D362" s="44" t="s">
        <v>281</v>
      </c>
      <c r="E362" s="63">
        <v>6.3331999999999997</v>
      </c>
      <c r="F362" s="61">
        <v>6.3331999999999997</v>
      </c>
      <c r="G362" s="45">
        <v>9872.7645389999998</v>
      </c>
      <c r="H362" s="46">
        <v>6.4148192484305734E-6</v>
      </c>
      <c r="I362" s="47">
        <v>7.6977830981166885E-5</v>
      </c>
    </row>
    <row r="363" spans="1:9" x14ac:dyDescent="0.25">
      <c r="A363" s="48" t="s">
        <v>88</v>
      </c>
      <c r="B363" s="49" t="s">
        <v>89</v>
      </c>
      <c r="C363" s="49" t="s">
        <v>152</v>
      </c>
      <c r="D363" s="50" t="s">
        <v>281</v>
      </c>
      <c r="E363" s="64">
        <v>2507.6527999999998</v>
      </c>
      <c r="F363" s="60">
        <v>2507.6527999999998</v>
      </c>
      <c r="G363" s="51">
        <v>140754.87701699999</v>
      </c>
      <c r="H363" s="52">
        <v>1.7815743604373527E-4</v>
      </c>
      <c r="I363" s="53">
        <v>2.1378892325248232E-3</v>
      </c>
    </row>
    <row r="364" spans="1:9" x14ac:dyDescent="0.25">
      <c r="A364" s="42" t="s">
        <v>116</v>
      </c>
      <c r="B364" s="43" t="s">
        <v>117</v>
      </c>
      <c r="C364" s="43" t="s">
        <v>143</v>
      </c>
      <c r="D364" s="44" t="s">
        <v>281</v>
      </c>
      <c r="E364" s="63">
        <v>50134.961000000003</v>
      </c>
      <c r="F364" s="61">
        <v>50134.961000000003</v>
      </c>
      <c r="G364" s="45">
        <v>751707.44878400001</v>
      </c>
      <c r="H364" s="46">
        <v>6.6694777444471049E-4</v>
      </c>
      <c r="I364" s="47">
        <v>8.0033732933365263E-3</v>
      </c>
    </row>
    <row r="365" spans="1:9" x14ac:dyDescent="0.25">
      <c r="A365" s="48" t="s">
        <v>112</v>
      </c>
      <c r="B365" s="49" t="s">
        <v>113</v>
      </c>
      <c r="C365" s="49" t="s">
        <v>81</v>
      </c>
      <c r="D365" s="50" t="s">
        <v>281</v>
      </c>
      <c r="E365" s="64">
        <v>50000.685700000002</v>
      </c>
      <c r="F365" s="60">
        <v>50000.685700000002</v>
      </c>
      <c r="G365" s="51">
        <v>765782.33480499999</v>
      </c>
      <c r="H365" s="52">
        <v>6.5293600318858558E-4</v>
      </c>
      <c r="I365" s="53">
        <v>7.8352320382630274E-3</v>
      </c>
    </row>
    <row r="366" spans="1:9" x14ac:dyDescent="0.25">
      <c r="A366" s="42" t="s">
        <v>122</v>
      </c>
      <c r="B366" s="43" t="s">
        <v>123</v>
      </c>
      <c r="C366" s="43" t="s">
        <v>152</v>
      </c>
      <c r="D366" s="44" t="s">
        <v>281</v>
      </c>
      <c r="E366" s="63">
        <v>51168.495600000002</v>
      </c>
      <c r="F366" s="61">
        <v>51168.495600000002</v>
      </c>
      <c r="G366" s="45">
        <v>1061371.715607</v>
      </c>
      <c r="H366" s="46">
        <v>4.8209778767975428E-4</v>
      </c>
      <c r="I366" s="47">
        <v>5.7851734521570516E-3</v>
      </c>
    </row>
    <row r="367" spans="1:9" x14ac:dyDescent="0.25">
      <c r="A367" s="48" t="s">
        <v>203</v>
      </c>
      <c r="B367" s="49" t="s">
        <v>156</v>
      </c>
      <c r="C367" s="49" t="s">
        <v>152</v>
      </c>
      <c r="D367" s="50" t="s">
        <v>281</v>
      </c>
      <c r="E367" s="64">
        <v>173.31309999999999</v>
      </c>
      <c r="F367" s="60">
        <v>173.31309999999999</v>
      </c>
      <c r="G367" s="51">
        <v>523.80560400000002</v>
      </c>
      <c r="H367" s="52">
        <v>3.3087293964880909E-3</v>
      </c>
      <c r="I367" s="53">
        <v>3.9704752757857092E-2</v>
      </c>
    </row>
    <row r="368" spans="1:9" x14ac:dyDescent="0.25">
      <c r="A368" s="42" t="s">
        <v>155</v>
      </c>
      <c r="B368" s="43" t="s">
        <v>156</v>
      </c>
      <c r="C368" s="43" t="s">
        <v>152</v>
      </c>
      <c r="D368" s="44" t="s">
        <v>281</v>
      </c>
      <c r="E368" s="63">
        <v>2792.9063999999998</v>
      </c>
      <c r="F368" s="61">
        <v>2792.9063999999998</v>
      </c>
      <c r="G368" s="45">
        <v>110289.52787000001</v>
      </c>
      <c r="H368" s="46">
        <v>2.5323405167642412E-4</v>
      </c>
      <c r="I368" s="47">
        <v>3.0388086201170892E-3</v>
      </c>
    </row>
    <row r="369" spans="1:9" x14ac:dyDescent="0.25">
      <c r="A369" s="48" t="s">
        <v>197</v>
      </c>
      <c r="B369" s="49" t="s">
        <v>272</v>
      </c>
      <c r="C369" s="49" t="s">
        <v>67</v>
      </c>
      <c r="D369" s="50" t="s">
        <v>281</v>
      </c>
      <c r="E369" s="64">
        <v>1230.9944</v>
      </c>
      <c r="F369" s="60">
        <v>1230.9944</v>
      </c>
      <c r="G369" s="51">
        <v>30057.938750000001</v>
      </c>
      <c r="H369" s="52">
        <v>4.0954052446460587E-4</v>
      </c>
      <c r="I369" s="53">
        <v>4.9144862935752709E-3</v>
      </c>
    </row>
    <row r="370" spans="1:9" x14ac:dyDescent="0.25">
      <c r="A370" s="42" t="s">
        <v>59</v>
      </c>
      <c r="B370" s="43" t="s">
        <v>60</v>
      </c>
      <c r="C370" s="43" t="s">
        <v>143</v>
      </c>
      <c r="D370" s="44" t="s">
        <v>281</v>
      </c>
      <c r="E370" s="63">
        <v>16654.993600000002</v>
      </c>
      <c r="F370" s="61">
        <v>16654.993600000002</v>
      </c>
      <c r="G370" s="45">
        <v>395883.39157700003</v>
      </c>
      <c r="H370" s="46">
        <v>4.2070452952458796E-4</v>
      </c>
      <c r="I370" s="47">
        <v>5.0484543542950559E-3</v>
      </c>
    </row>
    <row r="371" spans="1:9" x14ac:dyDescent="0.25">
      <c r="A371" s="48" t="s">
        <v>70</v>
      </c>
      <c r="B371" s="49" t="s">
        <v>71</v>
      </c>
      <c r="C371" s="49" t="s">
        <v>152</v>
      </c>
      <c r="D371" s="50" t="s">
        <v>281</v>
      </c>
      <c r="E371" s="64">
        <v>30214.257399999999</v>
      </c>
      <c r="F371" s="60">
        <v>30214.257399999999</v>
      </c>
      <c r="G371" s="51">
        <v>260331.179018</v>
      </c>
      <c r="H371" s="52">
        <v>1.1606084800895441E-3</v>
      </c>
      <c r="I371" s="53">
        <v>1.3927301761074529E-2</v>
      </c>
    </row>
    <row r="372" spans="1:9" x14ac:dyDescent="0.25">
      <c r="A372" s="42" t="s">
        <v>72</v>
      </c>
      <c r="B372" s="43" t="s">
        <v>73</v>
      </c>
      <c r="C372" s="43" t="s">
        <v>67</v>
      </c>
      <c r="D372" s="44" t="s">
        <v>281</v>
      </c>
      <c r="E372" s="63">
        <v>116838.95699999999</v>
      </c>
      <c r="F372" s="61">
        <v>116838.95699999999</v>
      </c>
      <c r="G372" s="45">
        <v>1771871.681324</v>
      </c>
      <c r="H372" s="46">
        <v>6.5940981071887855E-4</v>
      </c>
      <c r="I372" s="47">
        <v>7.912917728626543E-3</v>
      </c>
    </row>
    <row r="373" spans="1:9" x14ac:dyDescent="0.25">
      <c r="A373" s="48" t="s">
        <v>133</v>
      </c>
      <c r="B373" s="49" t="s">
        <v>134</v>
      </c>
      <c r="C373" s="49" t="s">
        <v>241</v>
      </c>
      <c r="D373" s="50" t="s">
        <v>281</v>
      </c>
      <c r="E373" s="64">
        <v>2746.6075999999998</v>
      </c>
      <c r="F373" s="60">
        <v>2746.6075999999998</v>
      </c>
      <c r="G373" s="51">
        <v>173770.85449299999</v>
      </c>
      <c r="H373" s="52">
        <v>1.5805916406485998E-4</v>
      </c>
      <c r="I373" s="53">
        <v>1.8967099687783196E-3</v>
      </c>
    </row>
    <row r="374" spans="1:9" x14ac:dyDescent="0.25">
      <c r="A374" s="42" t="s">
        <v>118</v>
      </c>
      <c r="B374" s="43" t="s">
        <v>119</v>
      </c>
      <c r="C374" s="43" t="s">
        <v>143</v>
      </c>
      <c r="D374" s="44" t="s">
        <v>281</v>
      </c>
      <c r="E374" s="63">
        <v>26705.055499999999</v>
      </c>
      <c r="F374" s="61">
        <v>26705.055499999999</v>
      </c>
      <c r="G374" s="45">
        <v>359138.69705100002</v>
      </c>
      <c r="H374" s="46">
        <v>7.4358613313696214E-4</v>
      </c>
      <c r="I374" s="47">
        <v>8.9230335976435461E-3</v>
      </c>
    </row>
    <row r="375" spans="1:9" x14ac:dyDescent="0.25">
      <c r="A375" s="48" t="s">
        <v>283</v>
      </c>
      <c r="B375" s="49" t="s">
        <v>283</v>
      </c>
      <c r="C375" s="49" t="s">
        <v>81</v>
      </c>
      <c r="D375" s="50" t="s">
        <v>281</v>
      </c>
      <c r="E375" s="64">
        <v>1510.07</v>
      </c>
      <c r="F375" s="60">
        <v>1510.07</v>
      </c>
      <c r="G375" s="51">
        <v>0</v>
      </c>
      <c r="H375" s="52">
        <v>0</v>
      </c>
      <c r="I375" s="53">
        <v>0</v>
      </c>
    </row>
    <row r="376" spans="1:9" x14ac:dyDescent="0.25">
      <c r="A376" s="42" t="s">
        <v>57</v>
      </c>
      <c r="B376" s="43" t="s">
        <v>58</v>
      </c>
      <c r="C376" s="43" t="s">
        <v>226</v>
      </c>
      <c r="D376" s="44" t="s">
        <v>281</v>
      </c>
      <c r="E376" s="63">
        <v>3937.2847999999999</v>
      </c>
      <c r="F376" s="61">
        <v>3937.2847999999999</v>
      </c>
      <c r="G376" s="45">
        <v>110914.28822</v>
      </c>
      <c r="H376" s="46">
        <v>3.5498445359811011E-4</v>
      </c>
      <c r="I376" s="47">
        <v>4.2598134431773215E-3</v>
      </c>
    </row>
    <row r="377" spans="1:9" x14ac:dyDescent="0.25">
      <c r="A377" s="48" t="s">
        <v>157</v>
      </c>
      <c r="B377" s="49" t="s">
        <v>158</v>
      </c>
      <c r="C377" s="49" t="s">
        <v>226</v>
      </c>
      <c r="D377" s="50" t="s">
        <v>281</v>
      </c>
      <c r="E377" s="64">
        <v>1875.5863999999999</v>
      </c>
      <c r="F377" s="60">
        <v>1875.5863999999999</v>
      </c>
      <c r="G377" s="51">
        <v>40077.283678</v>
      </c>
      <c r="H377" s="52">
        <v>4.6799239565968468E-4</v>
      </c>
      <c r="I377" s="53">
        <v>5.6159087479162161E-3</v>
      </c>
    </row>
    <row r="378" spans="1:9" x14ac:dyDescent="0.25">
      <c r="A378" s="42" t="s">
        <v>74</v>
      </c>
      <c r="B378" s="43" t="s">
        <v>75</v>
      </c>
      <c r="C378" s="43" t="s">
        <v>67</v>
      </c>
      <c r="D378" s="44" t="s">
        <v>281</v>
      </c>
      <c r="E378" s="63">
        <v>17086.982100000001</v>
      </c>
      <c r="F378" s="61">
        <v>17086.982100000001</v>
      </c>
      <c r="G378" s="45">
        <v>499555.02683799999</v>
      </c>
      <c r="H378" s="46">
        <v>3.4204404283857026E-4</v>
      </c>
      <c r="I378" s="47">
        <v>4.1045285140628432E-3</v>
      </c>
    </row>
    <row r="379" spans="1:9" x14ac:dyDescent="0.25">
      <c r="A379" s="48" t="s">
        <v>96</v>
      </c>
      <c r="B379" s="49" t="s">
        <v>97</v>
      </c>
      <c r="C379" s="49" t="s">
        <v>81</v>
      </c>
      <c r="D379" s="50" t="s">
        <v>281</v>
      </c>
      <c r="E379" s="64">
        <v>19595.645400000001</v>
      </c>
      <c r="F379" s="60">
        <v>19595.645400000001</v>
      </c>
      <c r="G379" s="51">
        <v>211380.07742699998</v>
      </c>
      <c r="H379" s="52">
        <v>9.270336939282912E-4</v>
      </c>
      <c r="I379" s="53">
        <v>1.1124404327139494E-2</v>
      </c>
    </row>
    <row r="380" spans="1:9" x14ac:dyDescent="0.25">
      <c r="A380" s="42" t="s">
        <v>100</v>
      </c>
      <c r="B380" s="43" t="s">
        <v>100</v>
      </c>
      <c r="C380" s="43" t="s">
        <v>152</v>
      </c>
      <c r="D380" s="44" t="s">
        <v>284</v>
      </c>
      <c r="E380" s="63">
        <v>5309.5204999999996</v>
      </c>
      <c r="F380" s="45">
        <v>5309.5204999999996</v>
      </c>
      <c r="G380" s="45">
        <v>365518.91279500001</v>
      </c>
      <c r="H380" s="46">
        <v>1.4525980227397497E-4</v>
      </c>
      <c r="I380" s="47">
        <v>1.7431176272876996E-3</v>
      </c>
    </row>
    <row r="381" spans="1:9" x14ac:dyDescent="0.25">
      <c r="A381" s="48" t="s">
        <v>128</v>
      </c>
      <c r="B381" s="49" t="s">
        <v>129</v>
      </c>
      <c r="C381" s="49" t="s">
        <v>67</v>
      </c>
      <c r="D381" s="50" t="s">
        <v>284</v>
      </c>
      <c r="E381" s="64">
        <v>140135.35920000001</v>
      </c>
      <c r="F381" s="51">
        <v>140135.35920000001</v>
      </c>
      <c r="G381" s="51">
        <v>1833058.2916850001</v>
      </c>
      <c r="H381" s="52">
        <v>7.6448937731916607E-4</v>
      </c>
      <c r="I381" s="53">
        <v>9.1738725278299928E-3</v>
      </c>
    </row>
    <row r="382" spans="1:9" x14ac:dyDescent="0.25">
      <c r="A382" s="42" t="s">
        <v>190</v>
      </c>
      <c r="B382" s="43" t="s">
        <v>234</v>
      </c>
      <c r="C382" s="43" t="s">
        <v>226</v>
      </c>
      <c r="D382" s="44" t="s">
        <v>284</v>
      </c>
      <c r="E382" s="63">
        <v>2159.4016000000001</v>
      </c>
      <c r="F382" s="45">
        <v>2159.4016000000001</v>
      </c>
      <c r="G382" s="45">
        <v>104240.579465</v>
      </c>
      <c r="H382" s="46">
        <v>2.0715556370492401E-4</v>
      </c>
      <c r="I382" s="47">
        <v>2.4858667644590882E-3</v>
      </c>
    </row>
    <row r="383" spans="1:9" x14ac:dyDescent="0.25">
      <c r="A383" s="48" t="s">
        <v>65</v>
      </c>
      <c r="B383" s="49" t="s">
        <v>66</v>
      </c>
      <c r="C383" s="49" t="s">
        <v>67</v>
      </c>
      <c r="D383" s="50" t="s">
        <v>284</v>
      </c>
      <c r="E383" s="64">
        <v>128478.4121</v>
      </c>
      <c r="F383" s="51">
        <v>128478.4121</v>
      </c>
      <c r="G383" s="51">
        <v>2543327.110719</v>
      </c>
      <c r="H383" s="52">
        <v>5.0515881955773701E-4</v>
      </c>
      <c r="I383" s="53">
        <v>6.0619058346928437E-3</v>
      </c>
    </row>
    <row r="384" spans="1:9" x14ac:dyDescent="0.25">
      <c r="A384" s="42" t="s">
        <v>131</v>
      </c>
      <c r="B384" s="43" t="s">
        <v>132</v>
      </c>
      <c r="C384" s="43" t="s">
        <v>67</v>
      </c>
      <c r="D384" s="44" t="s">
        <v>284</v>
      </c>
      <c r="E384" s="63">
        <v>134474.39869999999</v>
      </c>
      <c r="F384" s="45">
        <v>134474.39869999999</v>
      </c>
      <c r="G384" s="45">
        <v>430910.77432999999</v>
      </c>
      <c r="H384" s="46">
        <v>3.1207017023207879E-3</v>
      </c>
      <c r="I384" s="47">
        <v>3.7448420427849453E-2</v>
      </c>
    </row>
    <row r="385" spans="1:9" x14ac:dyDescent="0.25">
      <c r="A385" s="48" t="s">
        <v>82</v>
      </c>
      <c r="B385" s="49" t="s">
        <v>83</v>
      </c>
      <c r="C385" s="49" t="s">
        <v>226</v>
      </c>
      <c r="D385" s="50" t="s">
        <v>284</v>
      </c>
      <c r="E385" s="64">
        <v>29054.140500000001</v>
      </c>
      <c r="F385" s="51">
        <v>29054.140500000001</v>
      </c>
      <c r="G385" s="51">
        <v>632790.84610099997</v>
      </c>
      <c r="H385" s="52">
        <v>4.5914286970204785E-4</v>
      </c>
      <c r="I385" s="53">
        <v>5.5097144364245742E-3</v>
      </c>
    </row>
    <row r="386" spans="1:9" x14ac:dyDescent="0.25">
      <c r="A386" s="42" t="s">
        <v>68</v>
      </c>
      <c r="B386" s="43" t="s">
        <v>69</v>
      </c>
      <c r="C386" s="43" t="s">
        <v>226</v>
      </c>
      <c r="D386" s="44" t="s">
        <v>284</v>
      </c>
      <c r="E386" s="63">
        <v>29419.995599999998</v>
      </c>
      <c r="F386" s="45">
        <v>29419.995599999998</v>
      </c>
      <c r="G386" s="45">
        <v>597567.96561199997</v>
      </c>
      <c r="H386" s="46">
        <v>4.9232886120107648E-4</v>
      </c>
      <c r="I386" s="47">
        <v>5.9079463344129182E-3</v>
      </c>
    </row>
    <row r="387" spans="1:9" x14ac:dyDescent="0.25">
      <c r="A387" s="48" t="s">
        <v>79</v>
      </c>
      <c r="B387" s="49" t="s">
        <v>80</v>
      </c>
      <c r="C387" s="49" t="s">
        <v>81</v>
      </c>
      <c r="D387" s="50" t="s">
        <v>284</v>
      </c>
      <c r="E387" s="64">
        <v>17586.743399999999</v>
      </c>
      <c r="F387" s="51">
        <v>17586.743399999999</v>
      </c>
      <c r="G387" s="51">
        <v>127068.880754</v>
      </c>
      <c r="H387" s="52">
        <v>1.3840322898607405E-3</v>
      </c>
      <c r="I387" s="53">
        <v>1.6608387478328886E-2</v>
      </c>
    </row>
    <row r="388" spans="1:9" x14ac:dyDescent="0.25">
      <c r="A388" s="42" t="s">
        <v>114</v>
      </c>
      <c r="B388" s="43" t="s">
        <v>115</v>
      </c>
      <c r="C388" s="43" t="s">
        <v>226</v>
      </c>
      <c r="D388" s="44" t="s">
        <v>284</v>
      </c>
      <c r="E388" s="63">
        <v>15176.516600000001</v>
      </c>
      <c r="F388" s="45">
        <v>15176.516600000001</v>
      </c>
      <c r="G388" s="45">
        <v>500788.444594</v>
      </c>
      <c r="H388" s="46">
        <v>3.030524518652568E-4</v>
      </c>
      <c r="I388" s="47">
        <v>3.6366294223830814E-3</v>
      </c>
    </row>
    <row r="389" spans="1:9" x14ac:dyDescent="0.25">
      <c r="A389" s="48" t="s">
        <v>92</v>
      </c>
      <c r="B389" s="49" t="s">
        <v>282</v>
      </c>
      <c r="C389" s="49" t="s">
        <v>81</v>
      </c>
      <c r="D389" s="50" t="s">
        <v>284</v>
      </c>
      <c r="E389" s="64">
        <v>8901.3302999999996</v>
      </c>
      <c r="F389" s="51">
        <v>8901.3302999999996</v>
      </c>
      <c r="G389" s="51">
        <v>39899.836647999997</v>
      </c>
      <c r="H389" s="52">
        <v>2.2309189830846551E-3</v>
      </c>
      <c r="I389" s="53">
        <v>2.6771027797015859E-2</v>
      </c>
    </row>
    <row r="390" spans="1:9" x14ac:dyDescent="0.25">
      <c r="A390" s="42" t="s">
        <v>146</v>
      </c>
      <c r="B390" s="43" t="s">
        <v>147</v>
      </c>
      <c r="C390" s="43" t="s">
        <v>226</v>
      </c>
      <c r="D390" s="44" t="s">
        <v>284</v>
      </c>
      <c r="E390" s="63">
        <v>4023.3058000000001</v>
      </c>
      <c r="F390" s="45">
        <v>4023.3058000000001</v>
      </c>
      <c r="G390" s="45">
        <v>174899.28181099999</v>
      </c>
      <c r="H390" s="46">
        <v>2.3003558152672534E-4</v>
      </c>
      <c r="I390" s="47">
        <v>2.7604269783207038E-3</v>
      </c>
    </row>
    <row r="391" spans="1:9" x14ac:dyDescent="0.25">
      <c r="A391" s="48" t="s">
        <v>45</v>
      </c>
      <c r="B391" s="49" t="s">
        <v>45</v>
      </c>
      <c r="C391" s="49" t="s">
        <v>152</v>
      </c>
      <c r="D391" s="50" t="s">
        <v>284</v>
      </c>
      <c r="E391" s="64">
        <v>3419.1709999999998</v>
      </c>
      <c r="F391" s="51">
        <v>3419.1709999999998</v>
      </c>
      <c r="G391" s="51">
        <v>150733.30721999999</v>
      </c>
      <c r="H391" s="52">
        <v>2.2683579781140293E-4</v>
      </c>
      <c r="I391" s="53">
        <v>2.7220295737368349E-3</v>
      </c>
    </row>
    <row r="392" spans="1:9" x14ac:dyDescent="0.25">
      <c r="A392" s="42" t="s">
        <v>90</v>
      </c>
      <c r="B392" s="43" t="s">
        <v>91</v>
      </c>
      <c r="C392" s="43" t="s">
        <v>81</v>
      </c>
      <c r="D392" s="44" t="s">
        <v>284</v>
      </c>
      <c r="E392" s="63">
        <v>54219.863599999997</v>
      </c>
      <c r="F392" s="45">
        <v>54219.863599999997</v>
      </c>
      <c r="G392" s="45">
        <v>824083.54146599991</v>
      </c>
      <c r="H392" s="46">
        <v>6.5794134783405333E-4</v>
      </c>
      <c r="I392" s="47">
        <v>7.8952961740086404E-3</v>
      </c>
    </row>
    <row r="393" spans="1:9" x14ac:dyDescent="0.25">
      <c r="A393" s="48" t="s">
        <v>285</v>
      </c>
      <c r="B393" s="49" t="s">
        <v>255</v>
      </c>
      <c r="C393" s="49" t="s">
        <v>67</v>
      </c>
      <c r="D393" s="50" t="s">
        <v>284</v>
      </c>
      <c r="E393" s="64">
        <v>15627.5</v>
      </c>
      <c r="F393" s="51">
        <v>15627.5</v>
      </c>
      <c r="G393" s="51">
        <v>0</v>
      </c>
      <c r="H393" s="52">
        <v>0</v>
      </c>
      <c r="I393" s="53">
        <v>0</v>
      </c>
    </row>
    <row r="394" spans="1:9" x14ac:dyDescent="0.25">
      <c r="A394" s="42" t="s">
        <v>98</v>
      </c>
      <c r="B394" s="43" t="s">
        <v>99</v>
      </c>
      <c r="C394" s="43" t="s">
        <v>81</v>
      </c>
      <c r="D394" s="44" t="s">
        <v>284</v>
      </c>
      <c r="E394" s="63">
        <v>31222.329899999997</v>
      </c>
      <c r="F394" s="45">
        <v>31222.329899999997</v>
      </c>
      <c r="G394" s="45">
        <v>211015.47118200001</v>
      </c>
      <c r="H394" s="46">
        <v>1.4796227842967429E-3</v>
      </c>
      <c r="I394" s="47">
        <v>1.7755473411560915E-2</v>
      </c>
    </row>
    <row r="395" spans="1:9" x14ac:dyDescent="0.25">
      <c r="A395" s="48" t="s">
        <v>120</v>
      </c>
      <c r="B395" s="49" t="s">
        <v>268</v>
      </c>
      <c r="C395" s="49" t="s">
        <v>67</v>
      </c>
      <c r="D395" s="50" t="s">
        <v>284</v>
      </c>
      <c r="E395" s="64">
        <v>27686.6518</v>
      </c>
      <c r="F395" s="51">
        <v>27686.6518</v>
      </c>
      <c r="G395" s="51">
        <v>532765.96480800002</v>
      </c>
      <c r="H395" s="52">
        <v>5.1967756254808447E-4</v>
      </c>
      <c r="I395" s="53">
        <v>6.2361307505770132E-3</v>
      </c>
    </row>
    <row r="396" spans="1:9" x14ac:dyDescent="0.25">
      <c r="A396" s="42" t="s">
        <v>106</v>
      </c>
      <c r="B396" s="43" t="s">
        <v>107</v>
      </c>
      <c r="C396" s="43" t="s">
        <v>226</v>
      </c>
      <c r="D396" s="44" t="s">
        <v>284</v>
      </c>
      <c r="E396" s="63">
        <v>96911.676099999997</v>
      </c>
      <c r="F396" s="45">
        <v>96911.676099999997</v>
      </c>
      <c r="G396" s="45">
        <v>759998.03140599991</v>
      </c>
      <c r="H396" s="46">
        <v>1.2751569358767014E-3</v>
      </c>
      <c r="I396" s="47">
        <v>1.5301883230520417E-2</v>
      </c>
    </row>
    <row r="397" spans="1:9" x14ac:dyDescent="0.25">
      <c r="A397" s="48" t="s">
        <v>206</v>
      </c>
      <c r="B397" s="49" t="s">
        <v>251</v>
      </c>
      <c r="C397" s="49" t="s">
        <v>226</v>
      </c>
      <c r="D397" s="50" t="s">
        <v>284</v>
      </c>
      <c r="E397" s="64">
        <v>22.209299999999999</v>
      </c>
      <c r="F397" s="51">
        <v>22.209299999999999</v>
      </c>
      <c r="G397" s="51">
        <v>0</v>
      </c>
      <c r="H397" s="52">
        <v>0</v>
      </c>
      <c r="I397" s="53">
        <v>0</v>
      </c>
    </row>
    <row r="398" spans="1:9" x14ac:dyDescent="0.25">
      <c r="A398" s="42" t="s">
        <v>54</v>
      </c>
      <c r="B398" s="43" t="s">
        <v>55</v>
      </c>
      <c r="C398" s="43" t="s">
        <v>152</v>
      </c>
      <c r="D398" s="44" t="s">
        <v>284</v>
      </c>
      <c r="E398" s="63">
        <v>38169.122499999998</v>
      </c>
      <c r="F398" s="45">
        <v>38169.122499999998</v>
      </c>
      <c r="G398" s="45">
        <v>594341.28762100008</v>
      </c>
      <c r="H398" s="46">
        <v>6.4220883345966892E-4</v>
      </c>
      <c r="I398" s="47">
        <v>7.706506001516027E-3</v>
      </c>
    </row>
    <row r="399" spans="1:9" x14ac:dyDescent="0.25">
      <c r="A399" s="48" t="s">
        <v>94</v>
      </c>
      <c r="B399" s="49" t="s">
        <v>95</v>
      </c>
      <c r="C399" s="49" t="s">
        <v>152</v>
      </c>
      <c r="D399" s="50" t="s">
        <v>284</v>
      </c>
      <c r="E399" s="64">
        <v>76636.887000000002</v>
      </c>
      <c r="F399" s="51">
        <v>76636.887000000002</v>
      </c>
      <c r="G399" s="51">
        <v>527484.23321500001</v>
      </c>
      <c r="H399" s="52">
        <v>1.4528754069652577E-3</v>
      </c>
      <c r="I399" s="53">
        <v>1.7434504883583092E-2</v>
      </c>
    </row>
    <row r="400" spans="1:9" x14ac:dyDescent="0.25">
      <c r="A400" s="42" t="s">
        <v>159</v>
      </c>
      <c r="B400" s="43" t="s">
        <v>159</v>
      </c>
      <c r="C400" s="43" t="s">
        <v>152</v>
      </c>
      <c r="D400" s="44" t="s">
        <v>284</v>
      </c>
      <c r="E400" s="63">
        <v>317.23219999999998</v>
      </c>
      <c r="F400" s="45">
        <v>317.23219999999998</v>
      </c>
      <c r="G400" s="45">
        <v>1411.4596059999999</v>
      </c>
      <c r="H400" s="46">
        <v>2.2475471395105588E-3</v>
      </c>
      <c r="I400" s="47">
        <v>2.6970565674126708E-2</v>
      </c>
    </row>
    <row r="401" spans="1:9" x14ac:dyDescent="0.25">
      <c r="A401" s="48" t="s">
        <v>170</v>
      </c>
      <c r="B401" s="49" t="s">
        <v>171</v>
      </c>
      <c r="C401" s="49" t="s">
        <v>81</v>
      </c>
      <c r="D401" s="50" t="s">
        <v>284</v>
      </c>
      <c r="E401" s="64">
        <v>1194.4627</v>
      </c>
      <c r="F401" s="51">
        <v>1194.4627</v>
      </c>
      <c r="G401" s="51">
        <v>53807.794029999997</v>
      </c>
      <c r="H401" s="52">
        <v>2.2198692987377246E-4</v>
      </c>
      <c r="I401" s="53">
        <v>2.6638431584852696E-3</v>
      </c>
    </row>
    <row r="402" spans="1:9" x14ac:dyDescent="0.25">
      <c r="A402" s="42" t="s">
        <v>148</v>
      </c>
      <c r="B402" s="43" t="s">
        <v>149</v>
      </c>
      <c r="C402" s="43" t="s">
        <v>226</v>
      </c>
      <c r="D402" s="44" t="s">
        <v>284</v>
      </c>
      <c r="E402" s="63">
        <v>5160.2190000000001</v>
      </c>
      <c r="F402" s="45">
        <v>5160.2190000000001</v>
      </c>
      <c r="G402" s="45">
        <v>92244.296490000008</v>
      </c>
      <c r="H402" s="46">
        <v>5.5940791966031279E-4</v>
      </c>
      <c r="I402" s="47">
        <v>6.7128950359237535E-3</v>
      </c>
    </row>
    <row r="403" spans="1:9" x14ac:dyDescent="0.25">
      <c r="A403" s="48" t="s">
        <v>137</v>
      </c>
      <c r="B403" s="49" t="s">
        <v>138</v>
      </c>
      <c r="C403" s="49" t="s">
        <v>152</v>
      </c>
      <c r="D403" s="50" t="s">
        <v>284</v>
      </c>
      <c r="E403" s="64">
        <v>43.866799999999998</v>
      </c>
      <c r="F403" s="51">
        <v>43.866799999999998</v>
      </c>
      <c r="G403" s="51">
        <v>2069.7130300000003</v>
      </c>
      <c r="H403" s="52">
        <v>2.1194629093097023E-4</v>
      </c>
      <c r="I403" s="53">
        <v>2.5433554911716426E-3</v>
      </c>
    </row>
    <row r="404" spans="1:9" x14ac:dyDescent="0.25">
      <c r="A404" s="42" t="s">
        <v>102</v>
      </c>
      <c r="B404" s="43" t="s">
        <v>271</v>
      </c>
      <c r="C404" s="43" t="s">
        <v>152</v>
      </c>
      <c r="D404" s="44" t="s">
        <v>284</v>
      </c>
      <c r="E404" s="63">
        <v>7985.5776999999998</v>
      </c>
      <c r="F404" s="45">
        <v>7985.5776999999998</v>
      </c>
      <c r="G404" s="45">
        <v>290099.11011800001</v>
      </c>
      <c r="H404" s="46">
        <v>2.7527067203866309E-4</v>
      </c>
      <c r="I404" s="47">
        <v>3.3032480644639571E-3</v>
      </c>
    </row>
    <row r="405" spans="1:9" x14ac:dyDescent="0.25">
      <c r="A405" s="48" t="s">
        <v>86</v>
      </c>
      <c r="B405" s="49" t="s">
        <v>87</v>
      </c>
      <c r="C405" s="49" t="s">
        <v>152</v>
      </c>
      <c r="D405" s="50" t="s">
        <v>284</v>
      </c>
      <c r="E405" s="64">
        <v>74562.141999999993</v>
      </c>
      <c r="F405" s="51">
        <v>74562.141999999993</v>
      </c>
      <c r="G405" s="51">
        <v>740724.47923199995</v>
      </c>
      <c r="H405" s="52">
        <v>1.0066110151686592E-3</v>
      </c>
      <c r="I405" s="53">
        <v>1.2079332182023911E-2</v>
      </c>
    </row>
    <row r="406" spans="1:9" x14ac:dyDescent="0.25">
      <c r="A406" s="42" t="s">
        <v>144</v>
      </c>
      <c r="B406" s="43" t="s">
        <v>286</v>
      </c>
      <c r="C406" s="43" t="s">
        <v>67</v>
      </c>
      <c r="D406" s="44" t="s">
        <v>284</v>
      </c>
      <c r="E406" s="63">
        <v>114.9134</v>
      </c>
      <c r="F406" s="45">
        <v>114.9134</v>
      </c>
      <c r="G406" s="45">
        <v>22232.319800000001</v>
      </c>
      <c r="H406" s="46">
        <v>5.1687543645355433E-5</v>
      </c>
      <c r="I406" s="47">
        <v>6.2025052374426522E-4</v>
      </c>
    </row>
    <row r="407" spans="1:9" x14ac:dyDescent="0.25">
      <c r="A407" s="48" t="s">
        <v>124</v>
      </c>
      <c r="B407" s="49" t="s">
        <v>125</v>
      </c>
      <c r="C407" s="49" t="s">
        <v>152</v>
      </c>
      <c r="D407" s="50" t="s">
        <v>284</v>
      </c>
      <c r="E407" s="64">
        <v>26564.558699999998</v>
      </c>
      <c r="F407" s="51">
        <v>26564.558699999998</v>
      </c>
      <c r="G407" s="51">
        <v>307351.89432900003</v>
      </c>
      <c r="H407" s="52">
        <v>8.6430437521769045E-4</v>
      </c>
      <c r="I407" s="53">
        <v>1.0371652502612285E-2</v>
      </c>
    </row>
    <row r="408" spans="1:9" x14ac:dyDescent="0.25">
      <c r="A408" s="42" t="s">
        <v>200</v>
      </c>
      <c r="B408" s="43" t="s">
        <v>244</v>
      </c>
      <c r="C408" s="43" t="s">
        <v>230</v>
      </c>
      <c r="D408" s="44" t="s">
        <v>284</v>
      </c>
      <c r="E408" s="63">
        <v>1396.31</v>
      </c>
      <c r="F408" s="45">
        <v>1396.31</v>
      </c>
      <c r="G408" s="45">
        <v>0</v>
      </c>
      <c r="H408" s="46">
        <v>0</v>
      </c>
      <c r="I408" s="47">
        <v>0</v>
      </c>
    </row>
    <row r="409" spans="1:9" x14ac:dyDescent="0.25">
      <c r="A409" s="48" t="s">
        <v>63</v>
      </c>
      <c r="B409" s="49" t="s">
        <v>64</v>
      </c>
      <c r="C409" s="49" t="s">
        <v>226</v>
      </c>
      <c r="D409" s="50" t="s">
        <v>284</v>
      </c>
      <c r="E409" s="64">
        <v>24955.1535</v>
      </c>
      <c r="F409" s="51">
        <v>24955.1535</v>
      </c>
      <c r="G409" s="51">
        <v>578912.89004700002</v>
      </c>
      <c r="H409" s="52">
        <v>4.3106923215985006E-4</v>
      </c>
      <c r="I409" s="53">
        <v>5.172830785918201E-3</v>
      </c>
    </row>
    <row r="410" spans="1:9" x14ac:dyDescent="0.25">
      <c r="A410" s="42" t="s">
        <v>61</v>
      </c>
      <c r="B410" s="43" t="s">
        <v>62</v>
      </c>
      <c r="C410" s="43" t="s">
        <v>226</v>
      </c>
      <c r="D410" s="44" t="s">
        <v>284</v>
      </c>
      <c r="E410" s="63">
        <v>15527.3243</v>
      </c>
      <c r="F410" s="45">
        <v>15527.3243</v>
      </c>
      <c r="G410" s="45">
        <v>231582.191353</v>
      </c>
      <c r="H410" s="46">
        <v>6.7048870248972428E-4</v>
      </c>
      <c r="I410" s="47">
        <v>8.0458644298766913E-3</v>
      </c>
    </row>
    <row r="411" spans="1:9" x14ac:dyDescent="0.25">
      <c r="A411" s="48" t="s">
        <v>76</v>
      </c>
      <c r="B411" s="49" t="s">
        <v>77</v>
      </c>
      <c r="C411" s="49" t="s">
        <v>152</v>
      </c>
      <c r="D411" s="50" t="s">
        <v>284</v>
      </c>
      <c r="E411" s="64">
        <v>27130.697099999998</v>
      </c>
      <c r="F411" s="51">
        <v>27130.697099999998</v>
      </c>
      <c r="G411" s="51">
        <v>248359.37127500001</v>
      </c>
      <c r="H411" s="52">
        <v>1.0923967539746703E-3</v>
      </c>
      <c r="I411" s="53">
        <v>1.3108761047696043E-2</v>
      </c>
    </row>
    <row r="412" spans="1:9" x14ac:dyDescent="0.25">
      <c r="A412" s="42" t="s">
        <v>163</v>
      </c>
      <c r="B412" s="43" t="s">
        <v>164</v>
      </c>
      <c r="C412" s="43" t="s">
        <v>67</v>
      </c>
      <c r="D412" s="44" t="s">
        <v>284</v>
      </c>
      <c r="E412" s="63">
        <v>6.6348000000000003</v>
      </c>
      <c r="F412" s="45">
        <v>6.6348000000000003</v>
      </c>
      <c r="G412" s="45">
        <v>9848.2545339999997</v>
      </c>
      <c r="H412" s="46">
        <v>6.737031396877582E-6</v>
      </c>
      <c r="I412" s="47">
        <v>8.0844376762530978E-5</v>
      </c>
    </row>
    <row r="413" spans="1:9" x14ac:dyDescent="0.25">
      <c r="A413" s="48" t="s">
        <v>88</v>
      </c>
      <c r="B413" s="49" t="s">
        <v>89</v>
      </c>
      <c r="C413" s="49" t="s">
        <v>152</v>
      </c>
      <c r="D413" s="50" t="s">
        <v>284</v>
      </c>
      <c r="E413" s="64">
        <v>8218.7813999999998</v>
      </c>
      <c r="F413" s="51">
        <v>8218.7813999999998</v>
      </c>
      <c r="G413" s="51">
        <v>153010.432696</v>
      </c>
      <c r="H413" s="52">
        <v>5.3713862873187304E-4</v>
      </c>
      <c r="I413" s="53">
        <v>6.4456635447824769E-3</v>
      </c>
    </row>
    <row r="414" spans="1:9" x14ac:dyDescent="0.25">
      <c r="A414" s="42" t="s">
        <v>116</v>
      </c>
      <c r="B414" s="43" t="s">
        <v>117</v>
      </c>
      <c r="C414" s="43" t="s">
        <v>152</v>
      </c>
      <c r="D414" s="44" t="s">
        <v>284</v>
      </c>
      <c r="E414" s="63">
        <v>64726.167099999999</v>
      </c>
      <c r="F414" s="45">
        <v>64726.167099999999</v>
      </c>
      <c r="G414" s="45">
        <v>754699.79138399998</v>
      </c>
      <c r="H414" s="46">
        <v>8.5764124806901631E-4</v>
      </c>
      <c r="I414" s="47">
        <v>1.0291694976828195E-2</v>
      </c>
    </row>
    <row r="415" spans="1:9" x14ac:dyDescent="0.25">
      <c r="A415" s="48" t="s">
        <v>84</v>
      </c>
      <c r="B415" s="49" t="s">
        <v>85</v>
      </c>
      <c r="C415" s="49" t="s">
        <v>67</v>
      </c>
      <c r="D415" s="50" t="s">
        <v>284</v>
      </c>
      <c r="E415" s="64">
        <v>35363.306299999997</v>
      </c>
      <c r="F415" s="51">
        <v>35363.306299999997</v>
      </c>
      <c r="G415" s="51">
        <v>587610.11018800002</v>
      </c>
      <c r="H415" s="52">
        <v>6.018158245896392E-4</v>
      </c>
      <c r="I415" s="53">
        <v>7.2217898950756709E-3</v>
      </c>
    </row>
    <row r="416" spans="1:9" x14ac:dyDescent="0.25">
      <c r="A416" s="42" t="s">
        <v>112</v>
      </c>
      <c r="B416" s="43" t="s">
        <v>113</v>
      </c>
      <c r="C416" s="43" t="s">
        <v>81</v>
      </c>
      <c r="D416" s="44" t="s">
        <v>284</v>
      </c>
      <c r="E416" s="63">
        <v>70014.273000000001</v>
      </c>
      <c r="F416" s="45">
        <v>70014.273000000001</v>
      </c>
      <c r="G416" s="45">
        <v>914846.519845</v>
      </c>
      <c r="H416" s="46">
        <v>7.6531168323034488E-4</v>
      </c>
      <c r="I416" s="47">
        <v>9.1837401987641381E-3</v>
      </c>
    </row>
    <row r="417" spans="1:9" x14ac:dyDescent="0.25">
      <c r="A417" s="48" t="s">
        <v>122</v>
      </c>
      <c r="B417" s="49" t="s">
        <v>123</v>
      </c>
      <c r="C417" s="49" t="s">
        <v>152</v>
      </c>
      <c r="D417" s="50" t="s">
        <v>284</v>
      </c>
      <c r="E417" s="64">
        <v>115309.06820000001</v>
      </c>
      <c r="F417" s="51">
        <v>115309.06820000001</v>
      </c>
      <c r="G417" s="51">
        <v>1063885.2900720001</v>
      </c>
      <c r="H417" s="52">
        <v>1.0838486938022829E-3</v>
      </c>
      <c r="I417" s="53">
        <v>1.3006184325627394E-2</v>
      </c>
    </row>
    <row r="418" spans="1:9" x14ac:dyDescent="0.25">
      <c r="A418" s="42" t="s">
        <v>155</v>
      </c>
      <c r="B418" s="43" t="s">
        <v>156</v>
      </c>
      <c r="C418" s="43" t="s">
        <v>152</v>
      </c>
      <c r="D418" s="44" t="s">
        <v>284</v>
      </c>
      <c r="E418" s="63">
        <v>3842.7316000000001</v>
      </c>
      <c r="F418" s="45">
        <v>3842.7316000000001</v>
      </c>
      <c r="G418" s="45">
        <v>144022.88710600001</v>
      </c>
      <c r="H418" s="46">
        <v>2.6681395417186519E-4</v>
      </c>
      <c r="I418" s="47">
        <v>3.2017674500623822E-3</v>
      </c>
    </row>
    <row r="419" spans="1:9" x14ac:dyDescent="0.25">
      <c r="A419" s="48" t="s">
        <v>59</v>
      </c>
      <c r="B419" s="49" t="s">
        <v>60</v>
      </c>
      <c r="C419" s="49" t="s">
        <v>226</v>
      </c>
      <c r="D419" s="50" t="s">
        <v>284</v>
      </c>
      <c r="E419" s="64">
        <v>15672.6659</v>
      </c>
      <c r="F419" s="51">
        <v>15672.6659</v>
      </c>
      <c r="G419" s="51">
        <v>394847.797792</v>
      </c>
      <c r="H419" s="52">
        <v>3.9692929750759632E-4</v>
      </c>
      <c r="I419" s="53">
        <v>4.7631515700911559E-3</v>
      </c>
    </row>
    <row r="420" spans="1:9" x14ac:dyDescent="0.25">
      <c r="A420" s="42" t="s">
        <v>50</v>
      </c>
      <c r="B420" s="43" t="s">
        <v>51</v>
      </c>
      <c r="C420" s="43" t="s">
        <v>152</v>
      </c>
      <c r="D420" s="44" t="s">
        <v>284</v>
      </c>
      <c r="E420" s="63">
        <v>58.721699999999998</v>
      </c>
      <c r="F420" s="45">
        <v>58.721699999999998</v>
      </c>
      <c r="G420" s="45">
        <v>4691.7179839999999</v>
      </c>
      <c r="H420" s="46">
        <v>1.2516033615033242E-4</v>
      </c>
      <c r="I420" s="47">
        <v>1.5019240338039891E-3</v>
      </c>
    </row>
    <row r="421" spans="1:9" x14ac:dyDescent="0.25">
      <c r="A421" s="48" t="s">
        <v>70</v>
      </c>
      <c r="B421" s="49" t="s">
        <v>71</v>
      </c>
      <c r="C421" s="49" t="s">
        <v>152</v>
      </c>
      <c r="D421" s="50" t="s">
        <v>284</v>
      </c>
      <c r="E421" s="64">
        <v>27108.141900000002</v>
      </c>
      <c r="F421" s="51">
        <v>27108.141900000002</v>
      </c>
      <c r="G421" s="51">
        <v>267462.20026900002</v>
      </c>
      <c r="H421" s="52">
        <v>1.0135317017782699E-3</v>
      </c>
      <c r="I421" s="53">
        <v>1.2162380421339238E-2</v>
      </c>
    </row>
    <row r="422" spans="1:9" x14ac:dyDescent="0.25">
      <c r="A422" s="42" t="s">
        <v>72</v>
      </c>
      <c r="B422" s="43" t="s">
        <v>73</v>
      </c>
      <c r="C422" s="43" t="s">
        <v>67</v>
      </c>
      <c r="D422" s="44" t="s">
        <v>284</v>
      </c>
      <c r="E422" s="63">
        <v>87155.893500000006</v>
      </c>
      <c r="F422" s="45">
        <v>87155.893500000006</v>
      </c>
      <c r="G422" s="45">
        <v>1782324.0621689998</v>
      </c>
      <c r="H422" s="46">
        <v>4.890013850451843E-4</v>
      </c>
      <c r="I422" s="47">
        <v>5.8680166205422116E-3</v>
      </c>
    </row>
    <row r="423" spans="1:9" x14ac:dyDescent="0.25">
      <c r="A423" s="48" t="s">
        <v>133</v>
      </c>
      <c r="B423" s="49" t="s">
        <v>134</v>
      </c>
      <c r="C423" s="49" t="s">
        <v>152</v>
      </c>
      <c r="D423" s="50" t="s">
        <v>284</v>
      </c>
      <c r="E423" s="64">
        <v>11326.4519</v>
      </c>
      <c r="F423" s="51">
        <v>11326.4519</v>
      </c>
      <c r="G423" s="51">
        <v>176592.67851900001</v>
      </c>
      <c r="H423" s="52">
        <v>6.4138853292161613E-4</v>
      </c>
      <c r="I423" s="53">
        <v>7.6966623950593931E-3</v>
      </c>
    </row>
    <row r="424" spans="1:9" x14ac:dyDescent="0.25">
      <c r="A424" s="42" t="s">
        <v>118</v>
      </c>
      <c r="B424" s="43" t="s">
        <v>119</v>
      </c>
      <c r="C424" s="43" t="s">
        <v>226</v>
      </c>
      <c r="D424" s="44" t="s">
        <v>284</v>
      </c>
      <c r="E424" s="63">
        <v>16539.750899999999</v>
      </c>
      <c r="F424" s="45">
        <v>16539.750899999999</v>
      </c>
      <c r="G424" s="45">
        <v>357584.91954199999</v>
      </c>
      <c r="H424" s="46">
        <v>4.6254050425796356E-4</v>
      </c>
      <c r="I424" s="47">
        <v>5.550486051095563E-3</v>
      </c>
    </row>
    <row r="425" spans="1:9" x14ac:dyDescent="0.25">
      <c r="A425" s="48" t="s">
        <v>57</v>
      </c>
      <c r="B425" s="49" t="s">
        <v>58</v>
      </c>
      <c r="C425" s="49" t="s">
        <v>226</v>
      </c>
      <c r="D425" s="50" t="s">
        <v>284</v>
      </c>
      <c r="E425" s="64">
        <v>4594.8415000000005</v>
      </c>
      <c r="F425" s="51">
        <v>4594.8415000000005</v>
      </c>
      <c r="G425" s="51">
        <v>112279.32836500001</v>
      </c>
      <c r="H425" s="52">
        <v>4.0923307673011657E-4</v>
      </c>
      <c r="I425" s="53">
        <v>4.9107969207613988E-3</v>
      </c>
    </row>
    <row r="426" spans="1:9" x14ac:dyDescent="0.25">
      <c r="A426" s="42" t="s">
        <v>157</v>
      </c>
      <c r="B426" s="43" t="s">
        <v>158</v>
      </c>
      <c r="C426" s="43" t="s">
        <v>226</v>
      </c>
      <c r="D426" s="44" t="s">
        <v>284</v>
      </c>
      <c r="E426" s="63">
        <v>388.26179999999999</v>
      </c>
      <c r="F426" s="45">
        <v>388.26179999999999</v>
      </c>
      <c r="G426" s="45">
        <v>0</v>
      </c>
      <c r="H426" s="46">
        <v>0</v>
      </c>
      <c r="I426" s="47">
        <v>0</v>
      </c>
    </row>
    <row r="427" spans="1:9" x14ac:dyDescent="0.25">
      <c r="A427" s="48" t="s">
        <v>74</v>
      </c>
      <c r="B427" s="49" t="s">
        <v>75</v>
      </c>
      <c r="C427" s="49" t="s">
        <v>67</v>
      </c>
      <c r="D427" s="50" t="s">
        <v>284</v>
      </c>
      <c r="E427" s="64">
        <v>9450.2433999999994</v>
      </c>
      <c r="F427" s="51">
        <v>9450.2433999999994</v>
      </c>
      <c r="G427" s="51">
        <v>581271.90676499996</v>
      </c>
      <c r="H427" s="52">
        <v>1.6257870524990982E-4</v>
      </c>
      <c r="I427" s="53">
        <v>0</v>
      </c>
    </row>
    <row r="428" spans="1:9" x14ac:dyDescent="0.25">
      <c r="A428" s="42" t="s">
        <v>96</v>
      </c>
      <c r="B428" s="43" t="s">
        <v>97</v>
      </c>
      <c r="C428" s="43" t="s">
        <v>81</v>
      </c>
      <c r="D428" s="44" t="s">
        <v>284</v>
      </c>
      <c r="E428" s="63">
        <v>18516.002899999999</v>
      </c>
      <c r="F428" s="45">
        <v>18516.002899999999</v>
      </c>
      <c r="G428" s="45">
        <v>204109.59825599997</v>
      </c>
      <c r="H428" s="46">
        <v>9.0715983266875615E-4</v>
      </c>
      <c r="I428" s="47">
        <v>1.0885917992025073E-2</v>
      </c>
    </row>
    <row r="429" spans="1:9" x14ac:dyDescent="0.25">
      <c r="A429" s="48" t="s">
        <v>100</v>
      </c>
      <c r="B429" s="49" t="s">
        <v>100</v>
      </c>
      <c r="C429" s="49" t="s">
        <v>52</v>
      </c>
      <c r="D429" s="50" t="s">
        <v>287</v>
      </c>
      <c r="E429" s="64">
        <v>3847.3697999999999</v>
      </c>
      <c r="F429" s="51">
        <v>3847.3697999999999</v>
      </c>
      <c r="G429" s="51">
        <v>144294.45869100001</v>
      </c>
      <c r="H429" s="52">
        <v>2.6663323282836293E-4</v>
      </c>
      <c r="I429" s="53">
        <v>3.199598793940355E-3</v>
      </c>
    </row>
    <row r="430" spans="1:9" x14ac:dyDescent="0.25">
      <c r="A430" s="42" t="s">
        <v>128</v>
      </c>
      <c r="B430" s="43" t="s">
        <v>129</v>
      </c>
      <c r="C430" s="43" t="s">
        <v>67</v>
      </c>
      <c r="D430" s="44" t="s">
        <v>287</v>
      </c>
      <c r="E430" s="63">
        <v>121966.3956</v>
      </c>
      <c r="F430" s="45">
        <v>121966.3956</v>
      </c>
      <c r="G430" s="45">
        <v>2118981.609993</v>
      </c>
      <c r="H430" s="46">
        <v>5.7558968433144128E-4</v>
      </c>
      <c r="I430" s="47">
        <v>6.9070762119772949E-3</v>
      </c>
    </row>
    <row r="431" spans="1:9" x14ac:dyDescent="0.25">
      <c r="A431" s="48" t="s">
        <v>190</v>
      </c>
      <c r="B431" s="49" t="s">
        <v>234</v>
      </c>
      <c r="C431" s="49" t="s">
        <v>226</v>
      </c>
      <c r="D431" s="50" t="s">
        <v>287</v>
      </c>
      <c r="E431" s="64">
        <v>968.79570000000001</v>
      </c>
      <c r="F431" s="51">
        <v>968.79570000000001</v>
      </c>
      <c r="G431" s="51">
        <v>102867.08784199999</v>
      </c>
      <c r="H431" s="52">
        <v>9.4179364879856819E-5</v>
      </c>
      <c r="I431" s="53">
        <v>1.1301523785582819E-3</v>
      </c>
    </row>
    <row r="432" spans="1:9" x14ac:dyDescent="0.25">
      <c r="A432" s="42" t="s">
        <v>65</v>
      </c>
      <c r="B432" s="43" t="s">
        <v>66</v>
      </c>
      <c r="C432" s="43" t="s">
        <v>67</v>
      </c>
      <c r="D432" s="44" t="s">
        <v>287</v>
      </c>
      <c r="E432" s="63">
        <v>52951.176500000001</v>
      </c>
      <c r="F432" s="45">
        <v>52951.176500000001</v>
      </c>
      <c r="G432" s="45">
        <v>2509701.3795670001</v>
      </c>
      <c r="H432" s="46">
        <v>2.1098596403184704E-4</v>
      </c>
      <c r="I432" s="47">
        <v>2.5318315683821643E-3</v>
      </c>
    </row>
    <row r="433" spans="1:9" x14ac:dyDescent="0.25">
      <c r="A433" s="48" t="s">
        <v>131</v>
      </c>
      <c r="B433" s="49" t="s">
        <v>132</v>
      </c>
      <c r="C433" s="49" t="s">
        <v>67</v>
      </c>
      <c r="D433" s="50" t="s">
        <v>287</v>
      </c>
      <c r="E433" s="64">
        <v>130266.0613</v>
      </c>
      <c r="F433" s="51">
        <v>130266.0613</v>
      </c>
      <c r="G433" s="51">
        <v>425966.35625800001</v>
      </c>
      <c r="H433" s="52">
        <v>3.0581302815638391E-3</v>
      </c>
      <c r="I433" s="53">
        <v>3.669756337876607E-2</v>
      </c>
    </row>
    <row r="434" spans="1:9" x14ac:dyDescent="0.25">
      <c r="A434" s="42" t="s">
        <v>82</v>
      </c>
      <c r="B434" s="43" t="s">
        <v>83</v>
      </c>
      <c r="C434" s="43" t="s">
        <v>226</v>
      </c>
      <c r="D434" s="44" t="s">
        <v>287</v>
      </c>
      <c r="E434" s="63">
        <v>25093.967400000001</v>
      </c>
      <c r="F434" s="45">
        <v>25093.967400000001</v>
      </c>
      <c r="G434" s="45">
        <v>636458.70552600001</v>
      </c>
      <c r="H434" s="46">
        <v>3.9427487097157612E-4</v>
      </c>
      <c r="I434" s="47">
        <v>4.7312984516589135E-3</v>
      </c>
    </row>
    <row r="435" spans="1:9" x14ac:dyDescent="0.25">
      <c r="A435" s="48" t="s">
        <v>68</v>
      </c>
      <c r="B435" s="49" t="s">
        <v>69</v>
      </c>
      <c r="C435" s="49" t="s">
        <v>226</v>
      </c>
      <c r="D435" s="50" t="s">
        <v>287</v>
      </c>
      <c r="E435" s="64">
        <v>23501.986000000001</v>
      </c>
      <c r="F435" s="51">
        <v>23501.986000000001</v>
      </c>
      <c r="G435" s="51">
        <v>592673.68611699995</v>
      </c>
      <c r="H435" s="52">
        <v>3.9654174886651647E-4</v>
      </c>
      <c r="I435" s="53">
        <v>4.7585009863981981E-3</v>
      </c>
    </row>
    <row r="436" spans="1:9" x14ac:dyDescent="0.25">
      <c r="A436" s="42" t="s">
        <v>79</v>
      </c>
      <c r="B436" s="43" t="s">
        <v>80</v>
      </c>
      <c r="C436" s="43" t="s">
        <v>81</v>
      </c>
      <c r="D436" s="44" t="s">
        <v>287</v>
      </c>
      <c r="E436" s="63">
        <v>8696.8491999999987</v>
      </c>
      <c r="F436" s="45">
        <v>8696.8491999999987</v>
      </c>
      <c r="G436" s="45">
        <v>129196.87761</v>
      </c>
      <c r="H436" s="46">
        <v>6.7314701104872923E-4</v>
      </c>
      <c r="I436" s="47">
        <v>8.0777641325847499E-3</v>
      </c>
    </row>
    <row r="437" spans="1:9" x14ac:dyDescent="0.25">
      <c r="A437" s="48" t="s">
        <v>114</v>
      </c>
      <c r="B437" s="49" t="s">
        <v>115</v>
      </c>
      <c r="C437" s="49" t="s">
        <v>226</v>
      </c>
      <c r="D437" s="50" t="s">
        <v>287</v>
      </c>
      <c r="E437" s="64">
        <v>11923.505800000001</v>
      </c>
      <c r="F437" s="51">
        <v>11923.505800000001</v>
      </c>
      <c r="G437" s="51">
        <v>506493.13203699997</v>
      </c>
      <c r="H437" s="52">
        <v>2.3541298086405193E-4</v>
      </c>
      <c r="I437" s="53">
        <v>2.8249557703686231E-3</v>
      </c>
    </row>
    <row r="438" spans="1:9" x14ac:dyDescent="0.25">
      <c r="A438" s="42" t="s">
        <v>92</v>
      </c>
      <c r="B438" s="43" t="s">
        <v>282</v>
      </c>
      <c r="C438" s="43" t="s">
        <v>81</v>
      </c>
      <c r="D438" s="44" t="s">
        <v>287</v>
      </c>
      <c r="E438" s="63">
        <v>2039.8085000000001</v>
      </c>
      <c r="F438" s="45">
        <v>2039.8085000000001</v>
      </c>
      <c r="G438" s="45">
        <v>41635.823650000006</v>
      </c>
      <c r="H438" s="46">
        <v>4.8991669220887384E-4</v>
      </c>
      <c r="I438" s="47">
        <v>5.8790003065064857E-3</v>
      </c>
    </row>
    <row r="439" spans="1:9" x14ac:dyDescent="0.25">
      <c r="A439" s="48" t="s">
        <v>146</v>
      </c>
      <c r="B439" s="49" t="s">
        <v>147</v>
      </c>
      <c r="C439" s="49" t="s">
        <v>226</v>
      </c>
      <c r="D439" s="50" t="s">
        <v>287</v>
      </c>
      <c r="E439" s="64">
        <v>1796.8615</v>
      </c>
      <c r="F439" s="51">
        <v>1796.8615</v>
      </c>
      <c r="G439" s="51">
        <v>180161.517899</v>
      </c>
      <c r="H439" s="52">
        <v>9.9736143486942375E-5</v>
      </c>
      <c r="I439" s="53">
        <v>1.1968337218433084E-3</v>
      </c>
    </row>
    <row r="440" spans="1:9" x14ac:dyDescent="0.25">
      <c r="A440" s="42" t="s">
        <v>90</v>
      </c>
      <c r="B440" s="43" t="s">
        <v>91</v>
      </c>
      <c r="C440" s="43" t="s">
        <v>81</v>
      </c>
      <c r="D440" s="44" t="s">
        <v>287</v>
      </c>
      <c r="E440" s="63">
        <v>180487.07630000002</v>
      </c>
      <c r="F440" s="45">
        <v>180487.07630000002</v>
      </c>
      <c r="G440" s="45">
        <v>794041.13681299996</v>
      </c>
      <c r="H440" s="46">
        <v>2.2730192169188018E-3</v>
      </c>
      <c r="I440" s="47">
        <v>2.7276230603025621E-2</v>
      </c>
    </row>
    <row r="441" spans="1:9" x14ac:dyDescent="0.25">
      <c r="A441" s="48" t="s">
        <v>98</v>
      </c>
      <c r="B441" s="49" t="s">
        <v>99</v>
      </c>
      <c r="C441" s="49" t="s">
        <v>81</v>
      </c>
      <c r="D441" s="50" t="s">
        <v>287</v>
      </c>
      <c r="E441" s="64">
        <v>15266.157300000001</v>
      </c>
      <c r="F441" s="51">
        <v>15266.157300000001</v>
      </c>
      <c r="G441" s="51">
        <v>224471.73681899998</v>
      </c>
      <c r="H441" s="52">
        <v>6.8009262619595087E-4</v>
      </c>
      <c r="I441" s="53">
        <v>8.1611115143514108E-3</v>
      </c>
    </row>
    <row r="442" spans="1:9" x14ac:dyDescent="0.25">
      <c r="A442" s="42" t="s">
        <v>120</v>
      </c>
      <c r="B442" s="43" t="s">
        <v>268</v>
      </c>
      <c r="C442" s="43" t="s">
        <v>67</v>
      </c>
      <c r="D442" s="44" t="s">
        <v>287</v>
      </c>
      <c r="E442" s="63">
        <v>29501.491599999998</v>
      </c>
      <c r="F442" s="45">
        <v>29501.491599999998</v>
      </c>
      <c r="G442" s="45">
        <v>539415.98705</v>
      </c>
      <c r="H442" s="46">
        <v>5.4691541052277748E-4</v>
      </c>
      <c r="I442" s="47">
        <v>6.5629849262733297E-3</v>
      </c>
    </row>
    <row r="443" spans="1:9" x14ac:dyDescent="0.25">
      <c r="A443" s="48" t="s">
        <v>106</v>
      </c>
      <c r="B443" s="49" t="s">
        <v>107</v>
      </c>
      <c r="C443" s="49" t="s">
        <v>226</v>
      </c>
      <c r="D443" s="50" t="s">
        <v>287</v>
      </c>
      <c r="E443" s="64">
        <v>101662.9387</v>
      </c>
      <c r="F443" s="51">
        <v>101662.9387</v>
      </c>
      <c r="G443" s="51">
        <v>745350.66052300006</v>
      </c>
      <c r="H443" s="52">
        <v>1.3639612075833519E-3</v>
      </c>
      <c r="I443" s="53">
        <v>1.6367534491000223E-2</v>
      </c>
    </row>
    <row r="444" spans="1:9" x14ac:dyDescent="0.25">
      <c r="A444" s="42" t="s">
        <v>45</v>
      </c>
      <c r="B444" s="43" t="s">
        <v>46</v>
      </c>
      <c r="C444" s="43" t="s">
        <v>52</v>
      </c>
      <c r="D444" s="44" t="s">
        <v>287</v>
      </c>
      <c r="E444" s="63">
        <v>3854.5162</v>
      </c>
      <c r="F444" s="45">
        <v>3854.5162</v>
      </c>
      <c r="G444" s="45">
        <v>150852.43758</v>
      </c>
      <c r="H444" s="46">
        <v>2.5551567225792256E-4</v>
      </c>
      <c r="I444" s="47">
        <v>3.0661880670950709E-3</v>
      </c>
    </row>
    <row r="445" spans="1:9" x14ac:dyDescent="0.25">
      <c r="A445" s="48" t="s">
        <v>54</v>
      </c>
      <c r="B445" s="49" t="s">
        <v>55</v>
      </c>
      <c r="C445" s="49" t="s">
        <v>52</v>
      </c>
      <c r="D445" s="50" t="s">
        <v>287</v>
      </c>
      <c r="E445" s="64">
        <v>36059.907599999999</v>
      </c>
      <c r="F445" s="51">
        <v>36059.907599999999</v>
      </c>
      <c r="G445" s="51">
        <v>589955.42709200003</v>
      </c>
      <c r="H445" s="52">
        <v>6.1123105143291907E-4</v>
      </c>
      <c r="I445" s="53">
        <v>7.3347726171950293E-3</v>
      </c>
    </row>
    <row r="446" spans="1:9" x14ac:dyDescent="0.25">
      <c r="A446" s="42" t="s">
        <v>94</v>
      </c>
      <c r="B446" s="43" t="s">
        <v>95</v>
      </c>
      <c r="C446" s="43" t="s">
        <v>52</v>
      </c>
      <c r="D446" s="44" t="s">
        <v>287</v>
      </c>
      <c r="E446" s="63">
        <v>105309.96679999999</v>
      </c>
      <c r="F446" s="45">
        <v>105309.96679999999</v>
      </c>
      <c r="G446" s="45">
        <v>483534.68998600001</v>
      </c>
      <c r="H446" s="46">
        <v>2.1779195780772024E-3</v>
      </c>
      <c r="I446" s="47">
        <v>2.6135034936926427E-2</v>
      </c>
    </row>
    <row r="447" spans="1:9" x14ac:dyDescent="0.25">
      <c r="A447" s="48" t="s">
        <v>170</v>
      </c>
      <c r="B447" s="49" t="s">
        <v>171</v>
      </c>
      <c r="C447" s="49" t="s">
        <v>81</v>
      </c>
      <c r="D447" s="50" t="s">
        <v>287</v>
      </c>
      <c r="E447" s="64">
        <v>1102.2811999999999</v>
      </c>
      <c r="F447" s="51">
        <v>1102.2811999999999</v>
      </c>
      <c r="G447" s="51">
        <v>51559.530634000002</v>
      </c>
      <c r="H447" s="52">
        <v>2.1378805944232557E-4</v>
      </c>
      <c r="I447" s="53">
        <v>2.5654567133079069E-3</v>
      </c>
    </row>
    <row r="448" spans="1:9" x14ac:dyDescent="0.25">
      <c r="A448" s="42" t="s">
        <v>148</v>
      </c>
      <c r="B448" s="43" t="s">
        <v>149</v>
      </c>
      <c r="C448" s="43" t="s">
        <v>226</v>
      </c>
      <c r="D448" s="44" t="s">
        <v>287</v>
      </c>
      <c r="E448" s="63">
        <v>3793.7882</v>
      </c>
      <c r="F448" s="45">
        <v>3793.7882</v>
      </c>
      <c r="G448" s="45">
        <v>91725.794859000001</v>
      </c>
      <c r="H448" s="46">
        <v>4.1360101657682817E-4</v>
      </c>
      <c r="I448" s="47">
        <v>4.9632121989219378E-3</v>
      </c>
    </row>
    <row r="449" spans="1:9" x14ac:dyDescent="0.25">
      <c r="A449" s="48" t="s">
        <v>137</v>
      </c>
      <c r="B449" s="49" t="s">
        <v>138</v>
      </c>
      <c r="C449" s="49" t="s">
        <v>52</v>
      </c>
      <c r="D449" s="50" t="s">
        <v>287</v>
      </c>
      <c r="E449" s="64">
        <v>128.03489999999999</v>
      </c>
      <c r="F449" s="51">
        <v>128.03489999999999</v>
      </c>
      <c r="G449" s="51">
        <v>2196.0805350000001</v>
      </c>
      <c r="H449" s="52">
        <v>5.8301550402840754E-4</v>
      </c>
      <c r="I449" s="53">
        <v>6.99618604834089E-3</v>
      </c>
    </row>
    <row r="450" spans="1:9" x14ac:dyDescent="0.25">
      <c r="A450" s="42" t="s">
        <v>102</v>
      </c>
      <c r="B450" s="43" t="s">
        <v>271</v>
      </c>
      <c r="C450" s="43" t="s">
        <v>52</v>
      </c>
      <c r="D450" s="44" t="s">
        <v>287</v>
      </c>
      <c r="E450" s="63">
        <v>18731.6538</v>
      </c>
      <c r="F450" s="45">
        <v>18731.6538</v>
      </c>
      <c r="G450" s="45">
        <v>197489.29927399999</v>
      </c>
      <c r="H450" s="46">
        <v>9.4848955709804744E-4</v>
      </c>
      <c r="I450" s="47">
        <v>1.1381874685176568E-2</v>
      </c>
    </row>
    <row r="451" spans="1:9" x14ac:dyDescent="0.25">
      <c r="A451" s="48" t="s">
        <v>86</v>
      </c>
      <c r="B451" s="49" t="s">
        <v>87</v>
      </c>
      <c r="C451" s="49" t="s">
        <v>52</v>
      </c>
      <c r="D451" s="50" t="s">
        <v>287</v>
      </c>
      <c r="E451" s="64">
        <v>125499.7359</v>
      </c>
      <c r="F451" s="51">
        <v>125499.7359</v>
      </c>
      <c r="G451" s="51">
        <v>736139.73761999991</v>
      </c>
      <c r="H451" s="52">
        <v>1.7048357735142913E-3</v>
      </c>
      <c r="I451" s="53">
        <v>2.0458029282171497E-2</v>
      </c>
    </row>
    <row r="452" spans="1:9" x14ac:dyDescent="0.25">
      <c r="A452" s="42" t="s">
        <v>144</v>
      </c>
      <c r="B452" s="43" t="s">
        <v>286</v>
      </c>
      <c r="C452" s="43" t="s">
        <v>67</v>
      </c>
      <c r="D452" s="44" t="s">
        <v>287</v>
      </c>
      <c r="E452" s="63">
        <v>743.52620000000002</v>
      </c>
      <c r="F452" s="45">
        <v>743.52620000000002</v>
      </c>
      <c r="G452" s="45">
        <v>21513.733963999999</v>
      </c>
      <c r="H452" s="46">
        <v>3.4560537061775488E-4</v>
      </c>
      <c r="I452" s="47">
        <v>4.1472644474130583E-3</v>
      </c>
    </row>
    <row r="453" spans="1:9" x14ac:dyDescent="0.25">
      <c r="A453" s="48" t="s">
        <v>124</v>
      </c>
      <c r="B453" s="49" t="s">
        <v>125</v>
      </c>
      <c r="C453" s="49" t="s">
        <v>52</v>
      </c>
      <c r="D453" s="50" t="s">
        <v>287</v>
      </c>
      <c r="E453" s="64">
        <v>80896.804700000008</v>
      </c>
      <c r="F453" s="51">
        <v>80896.804700000008</v>
      </c>
      <c r="G453" s="51">
        <v>322901.15269299998</v>
      </c>
      <c r="H453" s="52">
        <v>2.5053117347311883E-3</v>
      </c>
      <c r="I453" s="53">
        <v>3.0063740816774258E-2</v>
      </c>
    </row>
    <row r="454" spans="1:9" x14ac:dyDescent="0.25">
      <c r="A454" s="42" t="s">
        <v>63</v>
      </c>
      <c r="B454" s="43" t="s">
        <v>64</v>
      </c>
      <c r="C454" s="43" t="s">
        <v>226</v>
      </c>
      <c r="D454" s="44" t="s">
        <v>287</v>
      </c>
      <c r="E454" s="63">
        <v>27608.015100000001</v>
      </c>
      <c r="F454" s="45">
        <v>27608.015100000001</v>
      </c>
      <c r="G454" s="45">
        <v>625133.29100800003</v>
      </c>
      <c r="H454" s="46">
        <v>4.4163405624236216E-4</v>
      </c>
      <c r="I454" s="47">
        <v>5.2996086749083461E-3</v>
      </c>
    </row>
    <row r="455" spans="1:9" x14ac:dyDescent="0.25">
      <c r="A455" s="48" t="s">
        <v>61</v>
      </c>
      <c r="B455" s="49" t="s">
        <v>62</v>
      </c>
      <c r="C455" s="49" t="s">
        <v>226</v>
      </c>
      <c r="D455" s="50" t="s">
        <v>287</v>
      </c>
      <c r="E455" s="64">
        <v>29740.113400000002</v>
      </c>
      <c r="F455" s="51">
        <v>29740.113400000002</v>
      </c>
      <c r="G455" s="51">
        <v>238884.84571299999</v>
      </c>
      <c r="H455" s="52">
        <v>1.2449560503193342E-3</v>
      </c>
      <c r="I455" s="53">
        <v>1.4939472603832011E-2</v>
      </c>
    </row>
    <row r="456" spans="1:9" x14ac:dyDescent="0.25">
      <c r="A456" s="42" t="s">
        <v>76</v>
      </c>
      <c r="B456" s="43" t="s">
        <v>77</v>
      </c>
      <c r="C456" s="43" t="s">
        <v>52</v>
      </c>
      <c r="D456" s="44" t="s">
        <v>287</v>
      </c>
      <c r="E456" s="63">
        <v>21383.710299999999</v>
      </c>
      <c r="F456" s="45">
        <v>21383.710299999999</v>
      </c>
      <c r="G456" s="45">
        <v>280774.88389900001</v>
      </c>
      <c r="H456" s="46">
        <v>7.6159626541568164E-4</v>
      </c>
      <c r="I456" s="47">
        <v>9.1391551849881805E-3</v>
      </c>
    </row>
    <row r="457" spans="1:9" x14ac:dyDescent="0.25">
      <c r="A457" s="48" t="s">
        <v>163</v>
      </c>
      <c r="B457" s="49" t="s">
        <v>164</v>
      </c>
      <c r="C457" s="49" t="s">
        <v>67</v>
      </c>
      <c r="D457" s="50" t="s">
        <v>287</v>
      </c>
      <c r="E457" s="64">
        <v>4155.9296999999997</v>
      </c>
      <c r="F457" s="51">
        <v>4155.9296999999997</v>
      </c>
      <c r="G457" s="51">
        <v>9206.7870710000007</v>
      </c>
      <c r="H457" s="52">
        <v>4.5139848113687295E-3</v>
      </c>
      <c r="I457" s="53">
        <v>5.4167817736424755E-2</v>
      </c>
    </row>
    <row r="458" spans="1:9" x14ac:dyDescent="0.25">
      <c r="A458" s="42" t="s">
        <v>88</v>
      </c>
      <c r="B458" s="43" t="s">
        <v>89</v>
      </c>
      <c r="C458" s="43" t="s">
        <v>52</v>
      </c>
      <c r="D458" s="44" t="s">
        <v>287</v>
      </c>
      <c r="E458" s="63">
        <v>29873.364699999998</v>
      </c>
      <c r="F458" s="45">
        <v>29873.364699999998</v>
      </c>
      <c r="G458" s="45">
        <v>174709.71677499998</v>
      </c>
      <c r="H458" s="46">
        <v>1.7098857036367604E-3</v>
      </c>
      <c r="I458" s="47">
        <v>2.0518628443641124E-2</v>
      </c>
    </row>
    <row r="459" spans="1:9" x14ac:dyDescent="0.25">
      <c r="A459" s="48" t="s">
        <v>116</v>
      </c>
      <c r="B459" s="49" t="s">
        <v>117</v>
      </c>
      <c r="C459" s="49" t="s">
        <v>52</v>
      </c>
      <c r="D459" s="50" t="s">
        <v>287</v>
      </c>
      <c r="E459" s="64">
        <v>50847.318099999997</v>
      </c>
      <c r="F459" s="51">
        <v>50847.318099999997</v>
      </c>
      <c r="G459" s="51">
        <v>823001.57527099992</v>
      </c>
      <c r="H459" s="52">
        <v>6.178277129452258E-4</v>
      </c>
      <c r="I459" s="53">
        <v>7.4139325553427091E-3</v>
      </c>
    </row>
    <row r="460" spans="1:9" x14ac:dyDescent="0.25">
      <c r="A460" s="42" t="s">
        <v>84</v>
      </c>
      <c r="B460" s="43" t="s">
        <v>85</v>
      </c>
      <c r="C460" s="43" t="s">
        <v>67</v>
      </c>
      <c r="D460" s="44" t="s">
        <v>287</v>
      </c>
      <c r="E460" s="63">
        <v>6553.6872999999996</v>
      </c>
      <c r="F460" s="45">
        <v>6553.6872999999996</v>
      </c>
      <c r="G460" s="45">
        <v>580175.07040099998</v>
      </c>
      <c r="H460" s="46">
        <v>1.1296051199632351E-4</v>
      </c>
      <c r="I460" s="47">
        <v>1.3555261439558821E-3</v>
      </c>
    </row>
    <row r="461" spans="1:9" x14ac:dyDescent="0.25">
      <c r="A461" s="48" t="s">
        <v>112</v>
      </c>
      <c r="B461" s="49" t="s">
        <v>113</v>
      </c>
      <c r="C461" s="49" t="s">
        <v>81</v>
      </c>
      <c r="D461" s="50" t="s">
        <v>287</v>
      </c>
      <c r="E461" s="64">
        <v>60005.447899999999</v>
      </c>
      <c r="F461" s="51">
        <v>60005.447899999999</v>
      </c>
      <c r="G461" s="51">
        <v>763220.34358899994</v>
      </c>
      <c r="H461" s="52">
        <v>7.8621394730947318E-4</v>
      </c>
      <c r="I461" s="53">
        <v>9.4345673677136786E-3</v>
      </c>
    </row>
    <row r="462" spans="1:9" x14ac:dyDescent="0.25">
      <c r="A462" s="42" t="s">
        <v>122</v>
      </c>
      <c r="B462" s="43" t="s">
        <v>123</v>
      </c>
      <c r="C462" s="43" t="s">
        <v>52</v>
      </c>
      <c r="D462" s="44" t="s">
        <v>287</v>
      </c>
      <c r="E462" s="63">
        <v>193398.35370000001</v>
      </c>
      <c r="F462" s="45">
        <v>193398.35370000001</v>
      </c>
      <c r="G462" s="45">
        <v>1108678.9411160001</v>
      </c>
      <c r="H462" s="46">
        <v>1.7444036007874791E-3</v>
      </c>
      <c r="I462" s="47">
        <v>2.0932843209449749E-2</v>
      </c>
    </row>
    <row r="463" spans="1:9" x14ac:dyDescent="0.25">
      <c r="A463" s="48" t="s">
        <v>155</v>
      </c>
      <c r="B463" s="49" t="s">
        <v>156</v>
      </c>
      <c r="C463" s="49" t="s">
        <v>52</v>
      </c>
      <c r="D463" s="50" t="s">
        <v>287</v>
      </c>
      <c r="E463" s="64">
        <v>3467.3395</v>
      </c>
      <c r="F463" s="51">
        <v>3467.3395</v>
      </c>
      <c r="G463" s="51">
        <v>141937.963689</v>
      </c>
      <c r="H463" s="52">
        <v>2.4428556038730281E-4</v>
      </c>
      <c r="I463" s="53">
        <v>2.9314267246476336E-3</v>
      </c>
    </row>
    <row r="464" spans="1:9" x14ac:dyDescent="0.25">
      <c r="A464" s="42" t="s">
        <v>59</v>
      </c>
      <c r="B464" s="43" t="s">
        <v>60</v>
      </c>
      <c r="C464" s="43" t="s">
        <v>226</v>
      </c>
      <c r="D464" s="44" t="s">
        <v>287</v>
      </c>
      <c r="E464" s="63">
        <v>5599.7938000000004</v>
      </c>
      <c r="F464" s="45">
        <v>5599.7938000000004</v>
      </c>
      <c r="G464" s="45">
        <v>409192.17449100001</v>
      </c>
      <c r="H464" s="46">
        <v>1.3684997292447403E-4</v>
      </c>
      <c r="I464" s="47">
        <v>1.6421996750936884E-3</v>
      </c>
    </row>
    <row r="465" spans="1:9" x14ac:dyDescent="0.25">
      <c r="A465" s="48" t="s">
        <v>168</v>
      </c>
      <c r="B465" s="49" t="s">
        <v>288</v>
      </c>
      <c r="C465" s="49" t="s">
        <v>226</v>
      </c>
      <c r="D465" s="50" t="s">
        <v>287</v>
      </c>
      <c r="E465" s="64">
        <v>-2485.0680000000002</v>
      </c>
      <c r="F465" s="51">
        <v>-2485.0680000000002</v>
      </c>
      <c r="G465" s="51">
        <v>30533.848346000002</v>
      </c>
      <c r="H465" s="52">
        <v>-8.1387317177972066E-4</v>
      </c>
      <c r="I465" s="53">
        <v>-9.7664780613566475E-3</v>
      </c>
    </row>
    <row r="466" spans="1:9" x14ac:dyDescent="0.25">
      <c r="A466" s="42" t="s">
        <v>50</v>
      </c>
      <c r="B466" s="43" t="s">
        <v>51</v>
      </c>
      <c r="C466" s="43" t="s">
        <v>52</v>
      </c>
      <c r="D466" s="44" t="s">
        <v>287</v>
      </c>
      <c r="E466" s="63">
        <v>1613.4476</v>
      </c>
      <c r="F466" s="45">
        <v>1613.4476</v>
      </c>
      <c r="G466" s="45">
        <v>166193.555559</v>
      </c>
      <c r="H466" s="46">
        <v>9.7082440686288435E-5</v>
      </c>
      <c r="I466" s="47">
        <v>1.1649892882354613E-3</v>
      </c>
    </row>
    <row r="467" spans="1:9" x14ac:dyDescent="0.25">
      <c r="A467" s="48" t="s">
        <v>70</v>
      </c>
      <c r="B467" s="49" t="s">
        <v>71</v>
      </c>
      <c r="C467" s="49" t="s">
        <v>52</v>
      </c>
      <c r="D467" s="50" t="s">
        <v>287</v>
      </c>
      <c r="E467" s="64">
        <v>34293.451199999996</v>
      </c>
      <c r="F467" s="51">
        <v>34293.451199999996</v>
      </c>
      <c r="G467" s="51">
        <v>236606.87760699997</v>
      </c>
      <c r="H467" s="52">
        <v>1.4493852227305429E-3</v>
      </c>
      <c r="I467" s="53">
        <v>1.7392622672766513E-2</v>
      </c>
    </row>
    <row r="468" spans="1:9" x14ac:dyDescent="0.25">
      <c r="A468" s="42" t="s">
        <v>72</v>
      </c>
      <c r="B468" s="43" t="s">
        <v>73</v>
      </c>
      <c r="C468" s="43" t="s">
        <v>67</v>
      </c>
      <c r="D468" s="44" t="s">
        <v>287</v>
      </c>
      <c r="E468" s="63">
        <v>125173.36</v>
      </c>
      <c r="F468" s="45">
        <v>125173.36</v>
      </c>
      <c r="G468" s="45">
        <v>1759408.3466999999</v>
      </c>
      <c r="H468" s="46">
        <v>7.1145143897698095E-4</v>
      </c>
      <c r="I468" s="47">
        <v>8.5374172677237722E-3</v>
      </c>
    </row>
    <row r="469" spans="1:9" x14ac:dyDescent="0.25">
      <c r="A469" s="48" t="s">
        <v>133</v>
      </c>
      <c r="B469" s="49" t="s">
        <v>134</v>
      </c>
      <c r="C469" s="49" t="s">
        <v>52</v>
      </c>
      <c r="D469" s="50" t="s">
        <v>287</v>
      </c>
      <c r="E469" s="64">
        <v>7391.4105</v>
      </c>
      <c r="F469" s="51">
        <v>7391.4105</v>
      </c>
      <c r="G469" s="51">
        <v>181537.839916</v>
      </c>
      <c r="H469" s="52">
        <v>4.0715536239828041E-4</v>
      </c>
      <c r="I469" s="53">
        <v>4.8858643487793649E-3</v>
      </c>
    </row>
    <row r="470" spans="1:9" x14ac:dyDescent="0.25">
      <c r="A470" s="42" t="s">
        <v>118</v>
      </c>
      <c r="B470" s="43" t="s">
        <v>119</v>
      </c>
      <c r="C470" s="43" t="s">
        <v>226</v>
      </c>
      <c r="D470" s="44" t="s">
        <v>287</v>
      </c>
      <c r="E470" s="63">
        <v>21324.642</v>
      </c>
      <c r="F470" s="45">
        <v>21324.642</v>
      </c>
      <c r="G470" s="45">
        <v>366607.32862400002</v>
      </c>
      <c r="H470" s="46">
        <v>5.8167527856135663E-4</v>
      </c>
      <c r="I470" s="47">
        <v>6.98010334273628E-3</v>
      </c>
    </row>
    <row r="471" spans="1:9" x14ac:dyDescent="0.25">
      <c r="A471" s="48" t="s">
        <v>57</v>
      </c>
      <c r="B471" s="49" t="s">
        <v>58</v>
      </c>
      <c r="C471" s="49" t="s">
        <v>226</v>
      </c>
      <c r="D471" s="50" t="s">
        <v>287</v>
      </c>
      <c r="E471" s="64">
        <v>4628.5078999999996</v>
      </c>
      <c r="F471" s="51">
        <v>4628.5078999999996</v>
      </c>
      <c r="G471" s="51">
        <v>96978.231071000002</v>
      </c>
      <c r="H471" s="52">
        <v>4.7727287339478916E-4</v>
      </c>
      <c r="I471" s="53">
        <v>5.7272744807374699E-3</v>
      </c>
    </row>
    <row r="472" spans="1:9" x14ac:dyDescent="0.25">
      <c r="A472" s="42" t="s">
        <v>157</v>
      </c>
      <c r="B472" s="43" t="s">
        <v>158</v>
      </c>
      <c r="C472" s="43" t="s">
        <v>226</v>
      </c>
      <c r="D472" s="44" t="s">
        <v>287</v>
      </c>
      <c r="E472" s="63">
        <v>3326.92</v>
      </c>
      <c r="F472" s="45">
        <v>3326.92</v>
      </c>
      <c r="G472" s="45">
        <v>0</v>
      </c>
      <c r="H472" s="46">
        <v>0</v>
      </c>
      <c r="I472" s="47">
        <v>0</v>
      </c>
    </row>
    <row r="473" spans="1:9" x14ac:dyDescent="0.25">
      <c r="A473" s="48" t="s">
        <v>74</v>
      </c>
      <c r="B473" s="49" t="s">
        <v>75</v>
      </c>
      <c r="C473" s="49" t="s">
        <v>67</v>
      </c>
      <c r="D473" s="50" t="s">
        <v>287</v>
      </c>
      <c r="E473" s="64">
        <v>37108.102700000003</v>
      </c>
      <c r="F473" s="51">
        <v>37108.102700000003</v>
      </c>
      <c r="G473" s="51">
        <v>674842.01262299996</v>
      </c>
      <c r="H473" s="52">
        <v>5.4987837161718652E-4</v>
      </c>
      <c r="I473" s="53">
        <v>6.5985404594062387E-3</v>
      </c>
    </row>
    <row r="474" spans="1:9" x14ac:dyDescent="0.25">
      <c r="A474" s="42" t="s">
        <v>96</v>
      </c>
      <c r="B474" s="43" t="s">
        <v>97</v>
      </c>
      <c r="C474" s="43" t="s">
        <v>81</v>
      </c>
      <c r="D474" s="44" t="s">
        <v>287</v>
      </c>
      <c r="E474" s="63">
        <v>19835.091899999999</v>
      </c>
      <c r="F474" s="45">
        <v>19835.091899999999</v>
      </c>
      <c r="G474" s="45">
        <v>203800.23993900002</v>
      </c>
      <c r="H474" s="46">
        <v>9.7326145964974785E-4</v>
      </c>
      <c r="I474" s="47">
        <v>1.1679137515796974E-2</v>
      </c>
    </row>
    <row r="475" spans="1:9" x14ac:dyDescent="0.25">
      <c r="A475" s="48" t="s">
        <v>100</v>
      </c>
      <c r="B475" s="49" t="s">
        <v>100</v>
      </c>
      <c r="C475" s="49" t="s">
        <v>52</v>
      </c>
      <c r="D475" s="50" t="s">
        <v>289</v>
      </c>
      <c r="E475" s="64">
        <v>1357.1464000000001</v>
      </c>
      <c r="F475" s="51">
        <v>1357.1464000000001</v>
      </c>
      <c r="G475" s="51">
        <v>47996.754282000002</v>
      </c>
      <c r="H475" s="52">
        <v>2.8275795317871409E-4</v>
      </c>
      <c r="I475" s="53">
        <v>3.3930954381445689E-3</v>
      </c>
    </row>
    <row r="476" spans="1:9" x14ac:dyDescent="0.25">
      <c r="A476" s="42" t="s">
        <v>128</v>
      </c>
      <c r="B476" s="43" t="s">
        <v>129</v>
      </c>
      <c r="C476" s="43" t="s">
        <v>67</v>
      </c>
      <c r="D476" s="44" t="s">
        <v>289</v>
      </c>
      <c r="E476" s="63">
        <v>114868.7396</v>
      </c>
      <c r="F476" s="45">
        <v>114868.7396</v>
      </c>
      <c r="G476" s="45">
        <v>2128537.7988109998</v>
      </c>
      <c r="H476" s="46">
        <v>5.3966032298869966E-4</v>
      </c>
      <c r="I476" s="47">
        <v>6.4759238758643964E-3</v>
      </c>
    </row>
    <row r="477" spans="1:9" x14ac:dyDescent="0.25">
      <c r="A477" s="48" t="s">
        <v>65</v>
      </c>
      <c r="B477" s="49" t="s">
        <v>66</v>
      </c>
      <c r="C477" s="49" t="s">
        <v>67</v>
      </c>
      <c r="D477" s="50" t="s">
        <v>289</v>
      </c>
      <c r="E477" s="64">
        <v>91062.400999999998</v>
      </c>
      <c r="F477" s="51">
        <v>91062.400999999998</v>
      </c>
      <c r="G477" s="51">
        <v>2431522.887381</v>
      </c>
      <c r="H477" s="52">
        <v>3.7450768599625871E-4</v>
      </c>
      <c r="I477" s="53">
        <v>4.4940922319551043E-3</v>
      </c>
    </row>
    <row r="478" spans="1:9" x14ac:dyDescent="0.25">
      <c r="A478" s="42" t="s">
        <v>131</v>
      </c>
      <c r="B478" s="43" t="s">
        <v>132</v>
      </c>
      <c r="C478" s="43" t="s">
        <v>67</v>
      </c>
      <c r="D478" s="44" t="s">
        <v>289</v>
      </c>
      <c r="E478" s="63">
        <v>66753.710500000001</v>
      </c>
      <c r="F478" s="45">
        <v>66753.710500000001</v>
      </c>
      <c r="G478" s="45">
        <v>430957.96641200001</v>
      </c>
      <c r="H478" s="46">
        <v>1.5489610519505469E-3</v>
      </c>
      <c r="I478" s="47">
        <v>1.8587532623406563E-2</v>
      </c>
    </row>
    <row r="479" spans="1:9" x14ac:dyDescent="0.25">
      <c r="A479" s="48" t="s">
        <v>82</v>
      </c>
      <c r="B479" s="49" t="s">
        <v>83</v>
      </c>
      <c r="C479" s="49" t="s">
        <v>226</v>
      </c>
      <c r="D479" s="50" t="s">
        <v>289</v>
      </c>
      <c r="E479" s="64">
        <v>21210.251400000001</v>
      </c>
      <c r="F479" s="51">
        <v>21210.251400000001</v>
      </c>
      <c r="G479" s="51">
        <v>640572.80756700004</v>
      </c>
      <c r="H479" s="52">
        <v>3.3111382733463186E-4</v>
      </c>
      <c r="I479" s="53">
        <v>3.9733659280155823E-3</v>
      </c>
    </row>
    <row r="480" spans="1:9" x14ac:dyDescent="0.25">
      <c r="A480" s="42" t="s">
        <v>68</v>
      </c>
      <c r="B480" s="43" t="s">
        <v>69</v>
      </c>
      <c r="C480" s="43" t="s">
        <v>226</v>
      </c>
      <c r="D480" s="44" t="s">
        <v>289</v>
      </c>
      <c r="E480" s="63">
        <v>18149.2366</v>
      </c>
      <c r="F480" s="45">
        <v>18149.2366</v>
      </c>
      <c r="G480" s="45">
        <v>580197.99603499996</v>
      </c>
      <c r="H480" s="46">
        <v>3.1281108731897727E-4</v>
      </c>
      <c r="I480" s="47">
        <v>3.7537330478277274E-3</v>
      </c>
    </row>
    <row r="481" spans="1:9" x14ac:dyDescent="0.25">
      <c r="A481" s="48" t="s">
        <v>79</v>
      </c>
      <c r="B481" s="49" t="s">
        <v>80</v>
      </c>
      <c r="C481" s="49" t="s">
        <v>81</v>
      </c>
      <c r="D481" s="50" t="s">
        <v>289</v>
      </c>
      <c r="E481" s="64">
        <v>13808.4645</v>
      </c>
      <c r="F481" s="51">
        <v>13808.4645</v>
      </c>
      <c r="G481" s="51">
        <v>137358.36774300001</v>
      </c>
      <c r="H481" s="52">
        <v>1.0052874627802717E-3</v>
      </c>
      <c r="I481" s="53">
        <v>1.206344955336326E-2</v>
      </c>
    </row>
    <row r="482" spans="1:9" x14ac:dyDescent="0.25">
      <c r="A482" s="42" t="s">
        <v>114</v>
      </c>
      <c r="B482" s="43" t="s">
        <v>115</v>
      </c>
      <c r="C482" s="43" t="s">
        <v>226</v>
      </c>
      <c r="D482" s="44" t="s">
        <v>289</v>
      </c>
      <c r="E482" s="63">
        <v>10227.363499999999</v>
      </c>
      <c r="F482" s="45">
        <v>10227.363499999999</v>
      </c>
      <c r="G482" s="45">
        <v>518896.74847300001</v>
      </c>
      <c r="H482" s="46">
        <v>1.970982383315544E-4</v>
      </c>
      <c r="I482" s="47">
        <v>2.3651788599786529E-3</v>
      </c>
    </row>
    <row r="483" spans="1:9" x14ac:dyDescent="0.25">
      <c r="A483" s="48" t="s">
        <v>92</v>
      </c>
      <c r="B483" s="49" t="s">
        <v>282</v>
      </c>
      <c r="C483" s="49" t="s">
        <v>81</v>
      </c>
      <c r="D483" s="50" t="s">
        <v>289</v>
      </c>
      <c r="E483" s="64">
        <v>4770.8433999999997</v>
      </c>
      <c r="F483" s="51">
        <v>4770.8433999999997</v>
      </c>
      <c r="G483" s="51">
        <v>85637.031791999994</v>
      </c>
      <c r="H483" s="52">
        <v>5.5710050899331618E-4</v>
      </c>
      <c r="I483" s="53">
        <v>6.6852061079197937E-3</v>
      </c>
    </row>
    <row r="484" spans="1:9" x14ac:dyDescent="0.25">
      <c r="A484" s="42" t="s">
        <v>146</v>
      </c>
      <c r="B484" s="43" t="s">
        <v>147</v>
      </c>
      <c r="C484" s="43" t="s">
        <v>226</v>
      </c>
      <c r="D484" s="44" t="s">
        <v>289</v>
      </c>
      <c r="E484" s="63">
        <v>1152.7416000000001</v>
      </c>
      <c r="F484" s="45">
        <v>1152.7416000000001</v>
      </c>
      <c r="G484" s="45">
        <v>184618.49608100002</v>
      </c>
      <c r="H484" s="46">
        <v>6.2439117665341774E-5</v>
      </c>
      <c r="I484" s="47">
        <v>7.4926941198410124E-4</v>
      </c>
    </row>
    <row r="485" spans="1:9" x14ac:dyDescent="0.25">
      <c r="A485" s="48" t="s">
        <v>90</v>
      </c>
      <c r="B485" s="49" t="s">
        <v>91</v>
      </c>
      <c r="C485" s="49" t="s">
        <v>81</v>
      </c>
      <c r="D485" s="50" t="s">
        <v>289</v>
      </c>
      <c r="E485" s="64">
        <v>107482.1632</v>
      </c>
      <c r="F485" s="51">
        <v>107482.1632</v>
      </c>
      <c r="G485" s="51">
        <v>800790.32914599997</v>
      </c>
      <c r="H485" s="52">
        <v>1.3422010642239396E-3</v>
      </c>
      <c r="I485" s="53">
        <v>1.6106412770687275E-2</v>
      </c>
    </row>
    <row r="486" spans="1:9" x14ac:dyDescent="0.25">
      <c r="A486" s="42" t="s">
        <v>98</v>
      </c>
      <c r="B486" s="43" t="s">
        <v>99</v>
      </c>
      <c r="C486" s="43" t="s">
        <v>81</v>
      </c>
      <c r="D486" s="44" t="s">
        <v>289</v>
      </c>
      <c r="E486" s="63">
        <v>20306.384300000002</v>
      </c>
      <c r="F486" s="45">
        <v>20306.384300000002</v>
      </c>
      <c r="G486" s="45">
        <v>233157.09387800001</v>
      </c>
      <c r="H486" s="46">
        <v>8.7093143778097372E-4</v>
      </c>
      <c r="I486" s="47">
        <v>1.0451177253371684E-2</v>
      </c>
    </row>
    <row r="487" spans="1:9" x14ac:dyDescent="0.25">
      <c r="A487" s="48" t="s">
        <v>120</v>
      </c>
      <c r="B487" s="49" t="s">
        <v>268</v>
      </c>
      <c r="C487" s="49" t="s">
        <v>67</v>
      </c>
      <c r="D487" s="50" t="s">
        <v>289</v>
      </c>
      <c r="E487" s="64">
        <v>37332.078500000003</v>
      </c>
      <c r="F487" s="51">
        <v>37332.078500000003</v>
      </c>
      <c r="G487" s="51">
        <v>513529.86705200002</v>
      </c>
      <c r="H487" s="52">
        <v>7.2696995628142812E-4</v>
      </c>
      <c r="I487" s="53">
        <v>8.723639475377137E-3</v>
      </c>
    </row>
    <row r="488" spans="1:9" x14ac:dyDescent="0.25">
      <c r="A488" s="42" t="s">
        <v>106</v>
      </c>
      <c r="B488" s="43" t="s">
        <v>107</v>
      </c>
      <c r="C488" s="43" t="s">
        <v>226</v>
      </c>
      <c r="D488" s="44" t="s">
        <v>289</v>
      </c>
      <c r="E488" s="63">
        <v>86114.395300000004</v>
      </c>
      <c r="F488" s="45">
        <v>86114.395300000004</v>
      </c>
      <c r="G488" s="45">
        <v>751693.35976200004</v>
      </c>
      <c r="H488" s="46">
        <v>1.1456053746073452E-3</v>
      </c>
      <c r="I488" s="47">
        <v>1.3747264495288142E-2</v>
      </c>
    </row>
    <row r="489" spans="1:9" x14ac:dyDescent="0.25">
      <c r="A489" s="48" t="s">
        <v>45</v>
      </c>
      <c r="B489" s="49" t="s">
        <v>46</v>
      </c>
      <c r="C489" s="49" t="s">
        <v>52</v>
      </c>
      <c r="D489" s="50" t="s">
        <v>289</v>
      </c>
      <c r="E489" s="64">
        <v>6947.3850000000002</v>
      </c>
      <c r="F489" s="51">
        <v>6947.3850000000002</v>
      </c>
      <c r="G489" s="51">
        <v>234066.90007</v>
      </c>
      <c r="H489" s="52">
        <v>2.968119370112697E-4</v>
      </c>
      <c r="I489" s="53">
        <v>3.5617432441352364E-3</v>
      </c>
    </row>
    <row r="490" spans="1:9" x14ac:dyDescent="0.25">
      <c r="A490" s="42" t="s">
        <v>54</v>
      </c>
      <c r="B490" s="43" t="s">
        <v>55</v>
      </c>
      <c r="C490" s="43" t="s">
        <v>226</v>
      </c>
      <c r="D490" s="44" t="s">
        <v>289</v>
      </c>
      <c r="E490" s="63">
        <v>59547.886200000001</v>
      </c>
      <c r="F490" s="45">
        <v>59547.886200000001</v>
      </c>
      <c r="G490" s="45">
        <v>599521.19300600002</v>
      </c>
      <c r="H490" s="46">
        <v>9.9325740098405563E-4</v>
      </c>
      <c r="I490" s="47">
        <v>1.1919088811808667E-2</v>
      </c>
    </row>
    <row r="491" spans="1:9" x14ac:dyDescent="0.25">
      <c r="A491" s="48" t="s">
        <v>94</v>
      </c>
      <c r="B491" s="49" t="s">
        <v>95</v>
      </c>
      <c r="C491" s="49" t="s">
        <v>52</v>
      </c>
      <c r="D491" s="50" t="s">
        <v>289</v>
      </c>
      <c r="E491" s="64">
        <v>99301.150399999999</v>
      </c>
      <c r="F491" s="51">
        <v>99301.150399999999</v>
      </c>
      <c r="G491" s="51">
        <v>506883.69140600006</v>
      </c>
      <c r="H491" s="52">
        <v>1.9590519893144969E-3</v>
      </c>
      <c r="I491" s="53">
        <v>2.3508623871773965E-2</v>
      </c>
    </row>
    <row r="492" spans="1:9" x14ac:dyDescent="0.25">
      <c r="A492" s="42" t="s">
        <v>159</v>
      </c>
      <c r="B492" s="43" t="s">
        <v>159</v>
      </c>
      <c r="C492" s="43" t="s">
        <v>52</v>
      </c>
      <c r="D492" s="44" t="s">
        <v>289</v>
      </c>
      <c r="E492" s="63">
        <v>105.901</v>
      </c>
      <c r="F492" s="45">
        <v>105.901</v>
      </c>
      <c r="G492" s="45">
        <v>2372.9543060000001</v>
      </c>
      <c r="H492" s="46">
        <v>4.4628335123112135E-4</v>
      </c>
      <c r="I492" s="47">
        <v>5.3554002147734557E-3</v>
      </c>
    </row>
    <row r="493" spans="1:9" x14ac:dyDescent="0.25">
      <c r="A493" s="48" t="s">
        <v>135</v>
      </c>
      <c r="B493" s="49" t="s">
        <v>290</v>
      </c>
      <c r="C493" s="49" t="s">
        <v>226</v>
      </c>
      <c r="D493" s="50" t="s">
        <v>289</v>
      </c>
      <c r="E493" s="64">
        <v>230.43100000000001</v>
      </c>
      <c r="F493" s="51">
        <v>230.43100000000001</v>
      </c>
      <c r="G493" s="51">
        <v>45969.516584999998</v>
      </c>
      <c r="H493" s="52">
        <v>5.012691390259048E-5</v>
      </c>
      <c r="I493" s="53">
        <v>6.0152296683108574E-4</v>
      </c>
    </row>
    <row r="494" spans="1:9" x14ac:dyDescent="0.25">
      <c r="A494" s="42" t="s">
        <v>137</v>
      </c>
      <c r="B494" s="43" t="s">
        <v>138</v>
      </c>
      <c r="C494" s="43" t="s">
        <v>52</v>
      </c>
      <c r="D494" s="44" t="s">
        <v>289</v>
      </c>
      <c r="E494" s="63">
        <v>43.838099999999997</v>
      </c>
      <c r="F494" s="45">
        <v>43.838099999999997</v>
      </c>
      <c r="G494" s="45">
        <v>2267.7582320000001</v>
      </c>
      <c r="H494" s="46">
        <v>1.9331028934834E-4</v>
      </c>
      <c r="I494" s="47">
        <v>2.3197234721800799E-3</v>
      </c>
    </row>
    <row r="495" spans="1:9" x14ac:dyDescent="0.25">
      <c r="A495" s="48" t="s">
        <v>102</v>
      </c>
      <c r="B495" s="49" t="s">
        <v>271</v>
      </c>
      <c r="C495" s="49" t="s">
        <v>52</v>
      </c>
      <c r="D495" s="50" t="s">
        <v>289</v>
      </c>
      <c r="E495" s="64">
        <v>17855.97</v>
      </c>
      <c r="F495" s="51">
        <v>17855.97</v>
      </c>
      <c r="G495" s="51">
        <v>201642.27824000001</v>
      </c>
      <c r="H495" s="52">
        <v>8.8552709064055257E-4</v>
      </c>
      <c r="I495" s="53">
        <v>1.0626325087686631E-2</v>
      </c>
    </row>
    <row r="496" spans="1:9" x14ac:dyDescent="0.25">
      <c r="A496" s="42" t="s">
        <v>86</v>
      </c>
      <c r="B496" s="43" t="s">
        <v>87</v>
      </c>
      <c r="C496" s="43" t="s">
        <v>52</v>
      </c>
      <c r="D496" s="44" t="s">
        <v>289</v>
      </c>
      <c r="E496" s="63">
        <v>41417.052499999998</v>
      </c>
      <c r="F496" s="45">
        <v>41417.052499999998</v>
      </c>
      <c r="G496" s="45">
        <v>730756.10016200005</v>
      </c>
      <c r="H496" s="46">
        <v>5.6676984962312766E-4</v>
      </c>
      <c r="I496" s="47">
        <v>6.801238195477532E-3</v>
      </c>
    </row>
    <row r="497" spans="1:9" x14ac:dyDescent="0.25">
      <c r="A497" s="48" t="s">
        <v>144</v>
      </c>
      <c r="B497" s="49" t="s">
        <v>286</v>
      </c>
      <c r="C497" s="49" t="s">
        <v>67</v>
      </c>
      <c r="D497" s="50" t="s">
        <v>289</v>
      </c>
      <c r="E497" s="64">
        <v>328.90480000000002</v>
      </c>
      <c r="F497" s="51">
        <v>328.90480000000002</v>
      </c>
      <c r="G497" s="51">
        <v>21637.329596000003</v>
      </c>
      <c r="H497" s="52">
        <v>1.5200803710121565E-4</v>
      </c>
      <c r="I497" s="53">
        <v>1.8240964452145877E-3</v>
      </c>
    </row>
    <row r="498" spans="1:9" x14ac:dyDescent="0.25">
      <c r="A498" s="42" t="s">
        <v>124</v>
      </c>
      <c r="B498" s="43" t="s">
        <v>125</v>
      </c>
      <c r="C498" s="43" t="s">
        <v>52</v>
      </c>
      <c r="D498" s="44" t="s">
        <v>289</v>
      </c>
      <c r="E498" s="63">
        <v>43048.693899999998</v>
      </c>
      <c r="F498" s="45">
        <v>43048.693899999998</v>
      </c>
      <c r="G498" s="45">
        <v>352788.42662899999</v>
      </c>
      <c r="H498" s="46">
        <v>1.220241103466553E-3</v>
      </c>
      <c r="I498" s="47">
        <v>1.4642893241598636E-2</v>
      </c>
    </row>
    <row r="499" spans="1:9" x14ac:dyDescent="0.25">
      <c r="A499" s="48" t="s">
        <v>63</v>
      </c>
      <c r="B499" s="49" t="s">
        <v>64</v>
      </c>
      <c r="C499" s="49" t="s">
        <v>226</v>
      </c>
      <c r="D499" s="50" t="s">
        <v>289</v>
      </c>
      <c r="E499" s="64">
        <v>18111.422699999999</v>
      </c>
      <c r="F499" s="51">
        <v>18111.422699999999</v>
      </c>
      <c r="G499" s="51">
        <v>615888.60120200005</v>
      </c>
      <c r="H499" s="52">
        <v>2.9406978250048481E-4</v>
      </c>
      <c r="I499" s="53">
        <v>3.5288373900058175E-3</v>
      </c>
    </row>
    <row r="500" spans="1:9" x14ac:dyDescent="0.25">
      <c r="A500" s="42" t="s">
        <v>61</v>
      </c>
      <c r="B500" s="43" t="s">
        <v>62</v>
      </c>
      <c r="C500" s="43" t="s">
        <v>226</v>
      </c>
      <c r="D500" s="44" t="s">
        <v>289</v>
      </c>
      <c r="E500" s="63">
        <v>27330.432199999999</v>
      </c>
      <c r="F500" s="45">
        <v>27330.432199999999</v>
      </c>
      <c r="G500" s="45">
        <v>246802.510572</v>
      </c>
      <c r="H500" s="46">
        <v>1.1073806395509441E-3</v>
      </c>
      <c r="I500" s="47">
        <v>1.328856767461133E-2</v>
      </c>
    </row>
    <row r="501" spans="1:9" x14ac:dyDescent="0.25">
      <c r="A501" s="48" t="s">
        <v>76</v>
      </c>
      <c r="B501" s="49" t="s">
        <v>77</v>
      </c>
      <c r="C501" s="49" t="s">
        <v>52</v>
      </c>
      <c r="D501" s="50" t="s">
        <v>289</v>
      </c>
      <c r="E501" s="64">
        <v>30142.676500000001</v>
      </c>
      <c r="F501" s="51">
        <v>30142.676500000001</v>
      </c>
      <c r="G501" s="51">
        <v>301262.41331799998</v>
      </c>
      <c r="H501" s="52">
        <v>1.0005455432697027E-3</v>
      </c>
      <c r="I501" s="53">
        <v>1.2006546519236432E-2</v>
      </c>
    </row>
    <row r="502" spans="1:9" x14ac:dyDescent="0.25">
      <c r="A502" s="42" t="s">
        <v>163</v>
      </c>
      <c r="B502" s="43" t="s">
        <v>164</v>
      </c>
      <c r="C502" s="43" t="s">
        <v>67</v>
      </c>
      <c r="D502" s="44" t="s">
        <v>289</v>
      </c>
      <c r="E502" s="63">
        <v>529.90740000000005</v>
      </c>
      <c r="F502" s="45">
        <v>529.90740000000005</v>
      </c>
      <c r="G502" s="45">
        <v>9139.7037479999999</v>
      </c>
      <c r="H502" s="46">
        <v>5.7978618849211308E-4</v>
      </c>
      <c r="I502" s="47">
        <v>6.957434261905357E-3</v>
      </c>
    </row>
    <row r="503" spans="1:9" x14ac:dyDescent="0.25">
      <c r="A503" s="48" t="s">
        <v>88</v>
      </c>
      <c r="B503" s="49" t="s">
        <v>89</v>
      </c>
      <c r="C503" s="49" t="s">
        <v>52</v>
      </c>
      <c r="D503" s="50" t="s">
        <v>289</v>
      </c>
      <c r="E503" s="64">
        <v>40230.507400000002</v>
      </c>
      <c r="F503" s="51">
        <v>40230.507400000002</v>
      </c>
      <c r="G503" s="51">
        <v>240452.81198600002</v>
      </c>
      <c r="H503" s="52">
        <v>1.6731144488483821E-3</v>
      </c>
      <c r="I503" s="53">
        <v>2.0077373386180587E-2</v>
      </c>
    </row>
    <row r="504" spans="1:9" x14ac:dyDescent="0.25">
      <c r="A504" s="42" t="s">
        <v>116</v>
      </c>
      <c r="B504" s="43" t="s">
        <v>117</v>
      </c>
      <c r="C504" s="43" t="s">
        <v>52</v>
      </c>
      <c r="D504" s="44" t="s">
        <v>289</v>
      </c>
      <c r="E504" s="63">
        <v>67458.0052</v>
      </c>
      <c r="F504" s="45">
        <v>67458.0052</v>
      </c>
      <c r="G504" s="45">
        <v>833586.00718899991</v>
      </c>
      <c r="H504" s="46">
        <v>8.0925069060936339E-4</v>
      </c>
      <c r="I504" s="47">
        <v>9.7110082873123615E-3</v>
      </c>
    </row>
    <row r="505" spans="1:9" x14ac:dyDescent="0.25">
      <c r="A505" s="48" t="s">
        <v>84</v>
      </c>
      <c r="B505" s="49" t="s">
        <v>85</v>
      </c>
      <c r="C505" s="49" t="s">
        <v>67</v>
      </c>
      <c r="D505" s="50" t="s">
        <v>289</v>
      </c>
      <c r="E505" s="64">
        <v>27082.955399999999</v>
      </c>
      <c r="F505" s="51">
        <v>27082.955399999999</v>
      </c>
      <c r="G505" s="51">
        <v>625869.50912399997</v>
      </c>
      <c r="H505" s="52">
        <v>4.3272527268354601E-4</v>
      </c>
      <c r="I505" s="53">
        <v>5.1927032722025521E-3</v>
      </c>
    </row>
    <row r="506" spans="1:9" x14ac:dyDescent="0.25">
      <c r="A506" s="42" t="s">
        <v>112</v>
      </c>
      <c r="B506" s="43" t="s">
        <v>113</v>
      </c>
      <c r="C506" s="43" t="s">
        <v>81</v>
      </c>
      <c r="D506" s="44" t="s">
        <v>289</v>
      </c>
      <c r="E506" s="63">
        <v>41680.813300000002</v>
      </c>
      <c r="F506" s="45">
        <v>41680.813300000002</v>
      </c>
      <c r="G506" s="45">
        <v>744166.89429299999</v>
      </c>
      <c r="H506" s="46">
        <v>5.6010034334568316E-4</v>
      </c>
      <c r="I506" s="47">
        <v>6.7212041201481984E-3</v>
      </c>
    </row>
    <row r="507" spans="1:9" x14ac:dyDescent="0.25">
      <c r="A507" s="48" t="s">
        <v>122</v>
      </c>
      <c r="B507" s="49" t="s">
        <v>123</v>
      </c>
      <c r="C507" s="49" t="s">
        <v>52</v>
      </c>
      <c r="D507" s="50" t="s">
        <v>289</v>
      </c>
      <c r="E507" s="64">
        <v>88717.695900000006</v>
      </c>
      <c r="F507" s="51">
        <v>88717.695900000006</v>
      </c>
      <c r="G507" s="51">
        <v>1101186.0517770001</v>
      </c>
      <c r="H507" s="52">
        <v>8.0565582679543524E-4</v>
      </c>
      <c r="I507" s="53">
        <v>9.6678699215452229E-3</v>
      </c>
    </row>
    <row r="508" spans="1:9" x14ac:dyDescent="0.25">
      <c r="A508" s="42" t="s">
        <v>59</v>
      </c>
      <c r="B508" s="43" t="s">
        <v>60</v>
      </c>
      <c r="C508" s="43" t="s">
        <v>226</v>
      </c>
      <c r="D508" s="44" t="s">
        <v>289</v>
      </c>
      <c r="E508" s="63">
        <v>26554.538</v>
      </c>
      <c r="F508" s="45">
        <v>26554.538</v>
      </c>
      <c r="G508" s="45">
        <v>408901.66087399999</v>
      </c>
      <c r="H508" s="46">
        <v>6.4941135096495937E-4</v>
      </c>
      <c r="I508" s="47">
        <v>7.7929362115795129E-3</v>
      </c>
    </row>
    <row r="509" spans="1:9" x14ac:dyDescent="0.25">
      <c r="A509" s="48" t="s">
        <v>168</v>
      </c>
      <c r="B509" s="49" t="s">
        <v>288</v>
      </c>
      <c r="C509" s="49" t="s">
        <v>226</v>
      </c>
      <c r="D509" s="50" t="s">
        <v>289</v>
      </c>
      <c r="E509" s="64">
        <v>3791.48</v>
      </c>
      <c r="F509" s="51">
        <v>3791.48</v>
      </c>
      <c r="G509" s="51">
        <v>90.549832999999992</v>
      </c>
      <c r="H509" s="52">
        <v>0.41871750332217622</v>
      </c>
      <c r="I509" s="53">
        <v>0</v>
      </c>
    </row>
    <row r="510" spans="1:9" x14ac:dyDescent="0.25">
      <c r="A510" s="42" t="s">
        <v>50</v>
      </c>
      <c r="B510" s="43" t="s">
        <v>51</v>
      </c>
      <c r="C510" s="43" t="s">
        <v>52</v>
      </c>
      <c r="D510" s="44" t="s">
        <v>289</v>
      </c>
      <c r="E510" s="63">
        <v>5151.3788999999997</v>
      </c>
      <c r="F510" s="45">
        <v>5151.3788999999997</v>
      </c>
      <c r="G510" s="45">
        <v>258323.769554</v>
      </c>
      <c r="H510" s="46">
        <v>1.9941559806493749E-4</v>
      </c>
      <c r="I510" s="47">
        <v>2.3929871767792497E-3</v>
      </c>
    </row>
    <row r="511" spans="1:9" x14ac:dyDescent="0.25">
      <c r="A511" s="48" t="s">
        <v>70</v>
      </c>
      <c r="B511" s="49" t="s">
        <v>71</v>
      </c>
      <c r="C511" s="49" t="s">
        <v>52</v>
      </c>
      <c r="D511" s="50" t="s">
        <v>289</v>
      </c>
      <c r="E511" s="64">
        <v>30744.510300000002</v>
      </c>
      <c r="F511" s="51">
        <v>30744.510300000002</v>
      </c>
      <c r="G511" s="51">
        <v>292397.75724300003</v>
      </c>
      <c r="H511" s="52">
        <v>1.0514619055182928E-3</v>
      </c>
      <c r="I511" s="53">
        <v>1.2617542866219513E-2</v>
      </c>
    </row>
    <row r="512" spans="1:9" x14ac:dyDescent="0.25">
      <c r="A512" s="42" t="s">
        <v>72</v>
      </c>
      <c r="B512" s="43" t="s">
        <v>73</v>
      </c>
      <c r="C512" s="43" t="s">
        <v>67</v>
      </c>
      <c r="D512" s="44" t="s">
        <v>289</v>
      </c>
      <c r="E512" s="63">
        <v>72149.756399999998</v>
      </c>
      <c r="F512" s="45">
        <v>72149.756399999998</v>
      </c>
      <c r="G512" s="45">
        <v>1766077.9570460001</v>
      </c>
      <c r="H512" s="46">
        <v>4.0853098308683979E-4</v>
      </c>
      <c r="I512" s="47">
        <v>4.9023717970420773E-3</v>
      </c>
    </row>
    <row r="513" spans="1:9" x14ac:dyDescent="0.25">
      <c r="A513" s="48" t="s">
        <v>133</v>
      </c>
      <c r="B513" s="49" t="s">
        <v>134</v>
      </c>
      <c r="C513" s="49" t="s">
        <v>52</v>
      </c>
      <c r="D513" s="50" t="s">
        <v>289</v>
      </c>
      <c r="E513" s="64">
        <v>9888.4123</v>
      </c>
      <c r="F513" s="51">
        <v>9888.4123</v>
      </c>
      <c r="G513" s="51">
        <v>207162.50551199997</v>
      </c>
      <c r="H513" s="52">
        <v>4.7732635186859186E-4</v>
      </c>
      <c r="I513" s="53">
        <v>5.7279162224231021E-3</v>
      </c>
    </row>
    <row r="514" spans="1:9" x14ac:dyDescent="0.25">
      <c r="A514" s="42" t="s">
        <v>118</v>
      </c>
      <c r="B514" s="43" t="s">
        <v>119</v>
      </c>
      <c r="C514" s="43" t="s">
        <v>226</v>
      </c>
      <c r="D514" s="44" t="s">
        <v>289</v>
      </c>
      <c r="E514" s="63">
        <v>17578.951799999999</v>
      </c>
      <c r="F514" s="45">
        <v>17578.951799999999</v>
      </c>
      <c r="G514" s="45">
        <v>368182.60062299995</v>
      </c>
      <c r="H514" s="46">
        <v>4.7745199719527058E-4</v>
      </c>
      <c r="I514" s="47">
        <v>5.7294239663432467E-3</v>
      </c>
    </row>
    <row r="515" spans="1:9" x14ac:dyDescent="0.25">
      <c r="A515" s="48" t="s">
        <v>57</v>
      </c>
      <c r="B515" s="49" t="s">
        <v>58</v>
      </c>
      <c r="C515" s="49" t="s">
        <v>226</v>
      </c>
      <c r="D515" s="50" t="s">
        <v>289</v>
      </c>
      <c r="E515" s="64">
        <v>2339.0003000000002</v>
      </c>
      <c r="F515" s="51">
        <v>2339.0003000000002</v>
      </c>
      <c r="G515" s="51">
        <v>97054.764646000011</v>
      </c>
      <c r="H515" s="52">
        <v>2.4099798794333577E-4</v>
      </c>
      <c r="I515" s="53">
        <v>2.891975855320029E-3</v>
      </c>
    </row>
    <row r="516" spans="1:9" x14ac:dyDescent="0.25">
      <c r="A516" s="42" t="s">
        <v>74</v>
      </c>
      <c r="B516" s="43" t="s">
        <v>75</v>
      </c>
      <c r="C516" s="43" t="s">
        <v>67</v>
      </c>
      <c r="D516" s="44" t="s">
        <v>289</v>
      </c>
      <c r="E516" s="63">
        <v>24340.870599999998</v>
      </c>
      <c r="F516" s="45">
        <v>24340.870599999998</v>
      </c>
      <c r="G516" s="45">
        <v>713758.908452</v>
      </c>
      <c r="H516" s="46">
        <v>3.4102370298663546E-4</v>
      </c>
      <c r="I516" s="47">
        <v>4.0922844358396255E-3</v>
      </c>
    </row>
    <row r="517" spans="1:9" x14ac:dyDescent="0.25">
      <c r="A517" s="48" t="s">
        <v>96</v>
      </c>
      <c r="B517" s="49" t="s">
        <v>97</v>
      </c>
      <c r="C517" s="49" t="s">
        <v>81</v>
      </c>
      <c r="D517" s="50" t="s">
        <v>289</v>
      </c>
      <c r="E517" s="64">
        <v>16297.022999999999</v>
      </c>
      <c r="F517" s="51">
        <v>16297.022999999999</v>
      </c>
      <c r="G517" s="51">
        <v>222336.59262099999</v>
      </c>
      <c r="H517" s="52">
        <v>7.3298879000904165E-4</v>
      </c>
      <c r="I517" s="53">
        <v>8.7958654801084998E-3</v>
      </c>
    </row>
    <row r="518" spans="1:9" x14ac:dyDescent="0.25">
      <c r="A518" s="42" t="s">
        <v>100</v>
      </c>
      <c r="B518" s="43" t="s">
        <v>100</v>
      </c>
      <c r="C518" s="43" t="s">
        <v>52</v>
      </c>
      <c r="D518" s="44" t="s">
        <v>291</v>
      </c>
      <c r="E518" s="63">
        <v>2042.0092999999999</v>
      </c>
      <c r="F518" s="45">
        <v>2042.0092999999999</v>
      </c>
      <c r="G518" s="45">
        <v>50010.887424</v>
      </c>
      <c r="H518" s="46">
        <v>4.0831295047566961E-4</v>
      </c>
      <c r="I518" s="47">
        <v>4.8997554057080353E-3</v>
      </c>
    </row>
    <row r="519" spans="1:9" x14ac:dyDescent="0.25">
      <c r="A519" s="48" t="s">
        <v>128</v>
      </c>
      <c r="B519" s="49" t="s">
        <v>129</v>
      </c>
      <c r="C519" s="49" t="s">
        <v>67</v>
      </c>
      <c r="D519" s="50" t="s">
        <v>291</v>
      </c>
      <c r="E519" s="64">
        <v>135760.52000000002</v>
      </c>
      <c r="F519" s="51">
        <v>135760.52000000002</v>
      </c>
      <c r="G519" s="51">
        <v>2132319.2733760001</v>
      </c>
      <c r="H519" s="52">
        <v>6.3668007739317958E-4</v>
      </c>
      <c r="I519" s="53">
        <v>7.6401609287181545E-3</v>
      </c>
    </row>
    <row r="520" spans="1:9" x14ac:dyDescent="0.25">
      <c r="A520" s="42" t="s">
        <v>65</v>
      </c>
      <c r="B520" s="43" t="s">
        <v>66</v>
      </c>
      <c r="C520" s="43" t="s">
        <v>67</v>
      </c>
      <c r="D520" s="44" t="s">
        <v>291</v>
      </c>
      <c r="E520" s="63">
        <v>120799.39659999999</v>
      </c>
      <c r="F520" s="45">
        <v>120799.39659999999</v>
      </c>
      <c r="G520" s="45">
        <v>2461293.6090230001</v>
      </c>
      <c r="H520" s="46">
        <v>4.9079636885723192E-4</v>
      </c>
      <c r="I520" s="47">
        <v>5.8895564262867826E-3</v>
      </c>
    </row>
    <row r="521" spans="1:9" x14ac:dyDescent="0.25">
      <c r="A521" s="48" t="s">
        <v>131</v>
      </c>
      <c r="B521" s="49" t="s">
        <v>132</v>
      </c>
      <c r="C521" s="49" t="s">
        <v>67</v>
      </c>
      <c r="D521" s="50" t="s">
        <v>291</v>
      </c>
      <c r="E521" s="64">
        <v>7672.8867</v>
      </c>
      <c r="F521" s="51">
        <v>7672.8867</v>
      </c>
      <c r="G521" s="51">
        <v>427396.20396399999</v>
      </c>
      <c r="H521" s="52">
        <v>1.7952631840984474E-4</v>
      </c>
      <c r="I521" s="53">
        <v>2.1543158209181368E-3</v>
      </c>
    </row>
    <row r="522" spans="1:9" x14ac:dyDescent="0.25">
      <c r="A522" s="42" t="s">
        <v>82</v>
      </c>
      <c r="B522" s="43" t="s">
        <v>83</v>
      </c>
      <c r="C522" s="43" t="s">
        <v>226</v>
      </c>
      <c r="D522" s="44" t="s">
        <v>291</v>
      </c>
      <c r="E522" s="63">
        <v>18578.483</v>
      </c>
      <c r="F522" s="45">
        <v>18578.483</v>
      </c>
      <c r="G522" s="45">
        <v>658016.11548799998</v>
      </c>
      <c r="H522" s="46">
        <v>2.8234085097173899E-4</v>
      </c>
      <c r="I522" s="47">
        <v>3.3880902116608679E-3</v>
      </c>
    </row>
    <row r="523" spans="1:9" x14ac:dyDescent="0.25">
      <c r="A523" s="48" t="s">
        <v>68</v>
      </c>
      <c r="B523" s="49" t="s">
        <v>69</v>
      </c>
      <c r="C523" s="49" t="s">
        <v>226</v>
      </c>
      <c r="D523" s="50" t="s">
        <v>291</v>
      </c>
      <c r="E523" s="64">
        <v>27011.7389</v>
      </c>
      <c r="F523" s="51">
        <v>27011.7389</v>
      </c>
      <c r="G523" s="51">
        <v>625307.69457000005</v>
      </c>
      <c r="H523" s="52">
        <v>4.3197515614412727E-4</v>
      </c>
      <c r="I523" s="53">
        <v>5.1837018737295269E-3</v>
      </c>
    </row>
    <row r="524" spans="1:9" x14ac:dyDescent="0.25">
      <c r="A524" s="42" t="s">
        <v>79</v>
      </c>
      <c r="B524" s="43" t="s">
        <v>80</v>
      </c>
      <c r="C524" s="43" t="s">
        <v>81</v>
      </c>
      <c r="D524" s="44" t="s">
        <v>291</v>
      </c>
      <c r="E524" s="63">
        <v>34010.146399999998</v>
      </c>
      <c r="F524" s="45">
        <v>34010.146399999998</v>
      </c>
      <c r="G524" s="45">
        <v>138746.96378200001</v>
      </c>
      <c r="H524" s="46">
        <v>2.4512353620535386E-3</v>
      </c>
      <c r="I524" s="47">
        <v>2.9414824344642463E-2</v>
      </c>
    </row>
    <row r="525" spans="1:9" x14ac:dyDescent="0.25">
      <c r="A525" s="48" t="s">
        <v>114</v>
      </c>
      <c r="B525" s="49" t="s">
        <v>115</v>
      </c>
      <c r="C525" s="49" t="s">
        <v>226</v>
      </c>
      <c r="D525" s="50" t="s">
        <v>291</v>
      </c>
      <c r="E525" s="64">
        <v>8348.4457000000002</v>
      </c>
      <c r="F525" s="51">
        <v>8348.4457000000002</v>
      </c>
      <c r="G525" s="51">
        <v>528872.05938400002</v>
      </c>
      <c r="H525" s="52">
        <v>1.578537862205047E-4</v>
      </c>
      <c r="I525" s="53">
        <v>1.8942454346460563E-3</v>
      </c>
    </row>
    <row r="526" spans="1:9" x14ac:dyDescent="0.25">
      <c r="A526" s="42" t="s">
        <v>92</v>
      </c>
      <c r="B526" s="43" t="s">
        <v>282</v>
      </c>
      <c r="C526" s="43" t="s">
        <v>81</v>
      </c>
      <c r="D526" s="44" t="s">
        <v>291</v>
      </c>
      <c r="E526" s="63">
        <v>12738.993900000001</v>
      </c>
      <c r="F526" s="45">
        <v>12738.993900000001</v>
      </c>
      <c r="G526" s="45">
        <v>84039.416142999995</v>
      </c>
      <c r="H526" s="46">
        <v>1.5158356024658182E-3</v>
      </c>
      <c r="I526" s="47">
        <v>1.8190027229589817E-2</v>
      </c>
    </row>
    <row r="527" spans="1:9" x14ac:dyDescent="0.25">
      <c r="A527" s="48" t="s">
        <v>146</v>
      </c>
      <c r="B527" s="49" t="s">
        <v>147</v>
      </c>
      <c r="C527" s="49" t="s">
        <v>226</v>
      </c>
      <c r="D527" s="50" t="s">
        <v>291</v>
      </c>
      <c r="E527" s="64">
        <v>1850.1242999999999</v>
      </c>
      <c r="F527" s="51">
        <v>1850.1242999999999</v>
      </c>
      <c r="G527" s="51">
        <v>190845.68917199998</v>
      </c>
      <c r="H527" s="52">
        <v>9.6943468203390876E-5</v>
      </c>
      <c r="I527" s="53">
        <v>1.1633216184406905E-3</v>
      </c>
    </row>
    <row r="528" spans="1:9" x14ac:dyDescent="0.25">
      <c r="A528" s="42" t="s">
        <v>90</v>
      </c>
      <c r="B528" s="43" t="s">
        <v>91</v>
      </c>
      <c r="C528" s="43" t="s">
        <v>81</v>
      </c>
      <c r="D528" s="44" t="s">
        <v>291</v>
      </c>
      <c r="E528" s="63">
        <v>74295.549100000004</v>
      </c>
      <c r="F528" s="45">
        <v>74295.549100000004</v>
      </c>
      <c r="G528" s="45">
        <v>789423.07223299996</v>
      </c>
      <c r="H528" s="46">
        <v>9.4113729017121397E-4</v>
      </c>
      <c r="I528" s="47">
        <v>1.1293647482054567E-2</v>
      </c>
    </row>
    <row r="529" spans="1:9" x14ac:dyDescent="0.25">
      <c r="A529" s="48" t="s">
        <v>98</v>
      </c>
      <c r="B529" s="49" t="s">
        <v>99</v>
      </c>
      <c r="C529" s="49" t="s">
        <v>81</v>
      </c>
      <c r="D529" s="50" t="s">
        <v>291</v>
      </c>
      <c r="E529" s="64">
        <v>25084.7435</v>
      </c>
      <c r="F529" s="51">
        <v>25084.7435</v>
      </c>
      <c r="G529" s="51">
        <v>250216.62271699999</v>
      </c>
      <c r="H529" s="52">
        <v>1.0025210646525009E-3</v>
      </c>
      <c r="I529" s="53">
        <v>1.2030252775830011E-2</v>
      </c>
    </row>
    <row r="530" spans="1:9" x14ac:dyDescent="0.25">
      <c r="A530" s="42" t="s">
        <v>120</v>
      </c>
      <c r="B530" s="43" t="s">
        <v>268</v>
      </c>
      <c r="C530" s="43" t="s">
        <v>67</v>
      </c>
      <c r="D530" s="44" t="s">
        <v>291</v>
      </c>
      <c r="E530" s="63">
        <v>114947.33900000001</v>
      </c>
      <c r="F530" s="45">
        <v>114947.33900000001</v>
      </c>
      <c r="G530" s="45">
        <v>526584.64553099999</v>
      </c>
      <c r="H530" s="46">
        <v>2.1828843658000864E-3</v>
      </c>
      <c r="I530" s="47">
        <v>2.6194612389601038E-2</v>
      </c>
    </row>
    <row r="531" spans="1:9" x14ac:dyDescent="0.25">
      <c r="A531" s="48" t="s">
        <v>106</v>
      </c>
      <c r="B531" s="49" t="s">
        <v>107</v>
      </c>
      <c r="C531" s="49" t="s">
        <v>226</v>
      </c>
      <c r="D531" s="50" t="s">
        <v>291</v>
      </c>
      <c r="E531" s="64">
        <v>116660.4626</v>
      </c>
      <c r="F531" s="51">
        <v>116660.4626</v>
      </c>
      <c r="G531" s="51">
        <v>765107.14926900005</v>
      </c>
      <c r="H531" s="52">
        <v>1.5247598027473661E-3</v>
      </c>
      <c r="I531" s="53">
        <v>1.8297117632968395E-2</v>
      </c>
    </row>
    <row r="532" spans="1:9" x14ac:dyDescent="0.25">
      <c r="A532" s="42" t="s">
        <v>45</v>
      </c>
      <c r="B532" s="43" t="s">
        <v>46</v>
      </c>
      <c r="C532" s="43" t="s">
        <v>52</v>
      </c>
      <c r="D532" s="44" t="s">
        <v>291</v>
      </c>
      <c r="E532" s="63">
        <v>7225.0056000000004</v>
      </c>
      <c r="F532" s="45">
        <v>7225.0056000000004</v>
      </c>
      <c r="G532" s="45">
        <v>226882.92351399999</v>
      </c>
      <c r="H532" s="46">
        <v>3.1844642549989775E-4</v>
      </c>
      <c r="I532" s="47">
        <v>3.8213571059987732E-3</v>
      </c>
    </row>
    <row r="533" spans="1:9" x14ac:dyDescent="0.25">
      <c r="A533" s="48" t="s">
        <v>54</v>
      </c>
      <c r="B533" s="49" t="s">
        <v>55</v>
      </c>
      <c r="C533" s="49" t="s">
        <v>226</v>
      </c>
      <c r="D533" s="50" t="s">
        <v>291</v>
      </c>
      <c r="E533" s="64">
        <v>30101.630099999998</v>
      </c>
      <c r="F533" s="51">
        <v>30101.630099999998</v>
      </c>
      <c r="G533" s="51">
        <v>612024.53211099992</v>
      </c>
      <c r="H533" s="52">
        <v>4.9183698562169098E-4</v>
      </c>
      <c r="I533" s="53">
        <v>5.9020438274602922E-3</v>
      </c>
    </row>
    <row r="534" spans="1:9" x14ac:dyDescent="0.25">
      <c r="A534" s="42" t="s">
        <v>94</v>
      </c>
      <c r="B534" s="43" t="s">
        <v>95</v>
      </c>
      <c r="C534" s="43" t="s">
        <v>52</v>
      </c>
      <c r="D534" s="44" t="s">
        <v>291</v>
      </c>
      <c r="E534" s="63">
        <v>55914.630000000005</v>
      </c>
      <c r="F534" s="45">
        <v>55914.630000000005</v>
      </c>
      <c r="G534" s="45">
        <v>498981.453759</v>
      </c>
      <c r="H534" s="46">
        <v>1.1205753155508235E-3</v>
      </c>
      <c r="I534" s="47">
        <v>1.34469037866099E-2</v>
      </c>
    </row>
    <row r="535" spans="1:9" x14ac:dyDescent="0.25">
      <c r="A535" s="48" t="s">
        <v>159</v>
      </c>
      <c r="B535" s="49" t="s">
        <v>159</v>
      </c>
      <c r="C535" s="49" t="s">
        <v>52</v>
      </c>
      <c r="D535" s="50" t="s">
        <v>291</v>
      </c>
      <c r="E535" s="64">
        <v>2352.1282000000001</v>
      </c>
      <c r="F535" s="51">
        <v>2352.1282000000001</v>
      </c>
      <c r="G535" s="51">
        <v>2400.1985970000001</v>
      </c>
      <c r="H535" s="52">
        <v>9.7997232518172335E-3</v>
      </c>
      <c r="I535" s="53">
        <v>0.1175966790218068</v>
      </c>
    </row>
    <row r="536" spans="1:9" x14ac:dyDescent="0.25">
      <c r="A536" s="42" t="s">
        <v>135</v>
      </c>
      <c r="B536" s="43" t="s">
        <v>290</v>
      </c>
      <c r="C536" s="43" t="s">
        <v>226</v>
      </c>
      <c r="D536" s="44" t="s">
        <v>291</v>
      </c>
      <c r="E536" s="63">
        <v>1517.2592</v>
      </c>
      <c r="F536" s="45">
        <v>1517.2592</v>
      </c>
      <c r="G536" s="45">
        <v>168626.58223599999</v>
      </c>
      <c r="H536" s="46">
        <v>8.9977462620723233E-5</v>
      </c>
      <c r="I536" s="47">
        <v>1.0797295514486788E-3</v>
      </c>
    </row>
    <row r="537" spans="1:9" x14ac:dyDescent="0.25">
      <c r="A537" s="48" t="s">
        <v>137</v>
      </c>
      <c r="B537" s="49" t="s">
        <v>138</v>
      </c>
      <c r="C537" s="49" t="s">
        <v>52</v>
      </c>
      <c r="D537" s="50" t="s">
        <v>291</v>
      </c>
      <c r="E537" s="64">
        <v>50.621600000000001</v>
      </c>
      <c r="F537" s="51">
        <v>50.621600000000001</v>
      </c>
      <c r="G537" s="51">
        <v>2260.640942</v>
      </c>
      <c r="H537" s="52">
        <v>2.239258745584552E-4</v>
      </c>
      <c r="I537" s="53">
        <v>2.6871104947014625E-3</v>
      </c>
    </row>
    <row r="538" spans="1:9" x14ac:dyDescent="0.25">
      <c r="A538" s="42" t="s">
        <v>102</v>
      </c>
      <c r="B538" s="43" t="s">
        <v>271</v>
      </c>
      <c r="C538" s="43" t="s">
        <v>52</v>
      </c>
      <c r="D538" s="44" t="s">
        <v>291</v>
      </c>
      <c r="E538" s="63">
        <v>10455.9403</v>
      </c>
      <c r="F538" s="45">
        <v>10455.9403</v>
      </c>
      <c r="G538" s="45">
        <v>182785.136096</v>
      </c>
      <c r="H538" s="46">
        <v>5.720344948895882E-4</v>
      </c>
      <c r="I538" s="47">
        <v>6.8644139386750585E-3</v>
      </c>
    </row>
    <row r="539" spans="1:9" x14ac:dyDescent="0.25">
      <c r="A539" s="48" t="s">
        <v>86</v>
      </c>
      <c r="B539" s="49" t="s">
        <v>87</v>
      </c>
      <c r="C539" s="49" t="s">
        <v>52</v>
      </c>
      <c r="D539" s="50" t="s">
        <v>291</v>
      </c>
      <c r="E539" s="64">
        <v>55034.026700000002</v>
      </c>
      <c r="F539" s="51">
        <v>55034.026700000002</v>
      </c>
      <c r="G539" s="51">
        <v>685713.19001100003</v>
      </c>
      <c r="H539" s="52">
        <v>8.0258083848609013E-4</v>
      </c>
      <c r="I539" s="53">
        <v>9.6309700618330812E-3</v>
      </c>
    </row>
    <row r="540" spans="1:9" x14ac:dyDescent="0.25">
      <c r="A540" s="42" t="s">
        <v>144</v>
      </c>
      <c r="B540" s="43" t="s">
        <v>286</v>
      </c>
      <c r="C540" s="43" t="s">
        <v>67</v>
      </c>
      <c r="D540" s="44" t="s">
        <v>291</v>
      </c>
      <c r="E540" s="63">
        <v>136.4134</v>
      </c>
      <c r="F540" s="45">
        <v>136.4134</v>
      </c>
      <c r="G540" s="45">
        <v>51155.648005999996</v>
      </c>
      <c r="H540" s="46">
        <v>2.6666341903048555E-5</v>
      </c>
      <c r="I540" s="47">
        <v>3.1999610283658269E-4</v>
      </c>
    </row>
    <row r="541" spans="1:9" x14ac:dyDescent="0.25">
      <c r="A541" s="48" t="s">
        <v>124</v>
      </c>
      <c r="B541" s="49" t="s">
        <v>125</v>
      </c>
      <c r="C541" s="49" t="s">
        <v>52</v>
      </c>
      <c r="D541" s="50" t="s">
        <v>291</v>
      </c>
      <c r="E541" s="64">
        <v>19052.3266</v>
      </c>
      <c r="F541" s="51">
        <v>19052.3266</v>
      </c>
      <c r="G541" s="51">
        <v>312242.40520400001</v>
      </c>
      <c r="H541" s="52">
        <v>6.1017742249174585E-4</v>
      </c>
      <c r="I541" s="53">
        <v>7.3221290699009497E-3</v>
      </c>
    </row>
    <row r="542" spans="1:9" x14ac:dyDescent="0.25">
      <c r="A542" s="42" t="s">
        <v>63</v>
      </c>
      <c r="B542" s="43" t="s">
        <v>64</v>
      </c>
      <c r="C542" s="43" t="s">
        <v>226</v>
      </c>
      <c r="D542" s="44" t="s">
        <v>291</v>
      </c>
      <c r="E542" s="63">
        <v>40896.217000000004</v>
      </c>
      <c r="F542" s="45">
        <v>40896.217000000004</v>
      </c>
      <c r="G542" s="45">
        <v>615415.686537</v>
      </c>
      <c r="H542" s="46">
        <v>6.6452997371787409E-4</v>
      </c>
      <c r="I542" s="47">
        <v>7.9743596846144887E-3</v>
      </c>
    </row>
    <row r="543" spans="1:9" x14ac:dyDescent="0.25">
      <c r="A543" s="48" t="s">
        <v>61</v>
      </c>
      <c r="B543" s="49" t="s">
        <v>62</v>
      </c>
      <c r="C543" s="49" t="s">
        <v>226</v>
      </c>
      <c r="D543" s="50" t="s">
        <v>291</v>
      </c>
      <c r="E543" s="64">
        <v>17329.0396</v>
      </c>
      <c r="F543" s="51">
        <v>17329.0396</v>
      </c>
      <c r="G543" s="51">
        <v>239639.956362</v>
      </c>
      <c r="H543" s="52">
        <v>7.2312814035998087E-4</v>
      </c>
      <c r="I543" s="53">
        <v>8.67753768431977E-3</v>
      </c>
    </row>
    <row r="544" spans="1:9" x14ac:dyDescent="0.25">
      <c r="A544" s="42" t="s">
        <v>76</v>
      </c>
      <c r="B544" s="43" t="s">
        <v>77</v>
      </c>
      <c r="C544" s="43" t="s">
        <v>52</v>
      </c>
      <c r="D544" s="44" t="s">
        <v>291</v>
      </c>
      <c r="E544" s="63">
        <v>15147.9007</v>
      </c>
      <c r="F544" s="45">
        <v>15147.9007</v>
      </c>
      <c r="G544" s="45">
        <v>292117.38686099998</v>
      </c>
      <c r="H544" s="46">
        <v>5.1855525830812388E-4</v>
      </c>
      <c r="I544" s="47">
        <v>6.2226630996974862E-3</v>
      </c>
    </row>
    <row r="545" spans="1:9" x14ac:dyDescent="0.25">
      <c r="A545" s="48" t="s">
        <v>163</v>
      </c>
      <c r="B545" s="49" t="s">
        <v>164</v>
      </c>
      <c r="C545" s="49" t="s">
        <v>67</v>
      </c>
      <c r="D545" s="50" t="s">
        <v>291</v>
      </c>
      <c r="E545" s="64">
        <v>6.9180000000000001</v>
      </c>
      <c r="F545" s="51">
        <v>6.9180000000000001</v>
      </c>
      <c r="G545" s="51">
        <v>9216.7033670000001</v>
      </c>
      <c r="H545" s="52">
        <v>7.5059375619807767E-6</v>
      </c>
      <c r="I545" s="53">
        <v>9.007125074376932E-5</v>
      </c>
    </row>
    <row r="546" spans="1:9" x14ac:dyDescent="0.25">
      <c r="A546" s="42" t="s">
        <v>88</v>
      </c>
      <c r="B546" s="43" t="s">
        <v>89</v>
      </c>
      <c r="C546" s="43" t="s">
        <v>52</v>
      </c>
      <c r="D546" s="44" t="s">
        <v>291</v>
      </c>
      <c r="E546" s="63">
        <v>12047.5905</v>
      </c>
      <c r="F546" s="45">
        <v>12047.5905</v>
      </c>
      <c r="G546" s="45">
        <v>220506.61532400001</v>
      </c>
      <c r="H546" s="46">
        <v>5.4635959480389966E-4</v>
      </c>
      <c r="I546" s="47">
        <v>6.5563151376467959E-3</v>
      </c>
    </row>
    <row r="547" spans="1:9" x14ac:dyDescent="0.25">
      <c r="A547" s="48" t="s">
        <v>116</v>
      </c>
      <c r="B547" s="49" t="s">
        <v>117</v>
      </c>
      <c r="C547" s="49" t="s">
        <v>52</v>
      </c>
      <c r="D547" s="50" t="s">
        <v>291</v>
      </c>
      <c r="E547" s="64">
        <v>56701.082600000002</v>
      </c>
      <c r="F547" s="51">
        <v>56701.082600000002</v>
      </c>
      <c r="G547" s="51">
        <v>827178.66668500006</v>
      </c>
      <c r="H547" s="52">
        <v>6.8547564007223703E-4</v>
      </c>
      <c r="I547" s="53">
        <v>8.2257076808668443E-3</v>
      </c>
    </row>
    <row r="548" spans="1:9" x14ac:dyDescent="0.25">
      <c r="A548" s="42" t="s">
        <v>84</v>
      </c>
      <c r="B548" s="43" t="s">
        <v>85</v>
      </c>
      <c r="C548" s="43" t="s">
        <v>67</v>
      </c>
      <c r="D548" s="44" t="s">
        <v>291</v>
      </c>
      <c r="E548" s="63">
        <v>7662.5104000000001</v>
      </c>
      <c r="F548" s="45">
        <v>7662.5104000000001</v>
      </c>
      <c r="G548" s="45">
        <v>645405.97970600007</v>
      </c>
      <c r="H548" s="46">
        <v>1.1872388296573394E-4</v>
      </c>
      <c r="I548" s="47">
        <v>1.4246865955888073E-3</v>
      </c>
    </row>
    <row r="549" spans="1:9" x14ac:dyDescent="0.25">
      <c r="A549" s="48" t="s">
        <v>112</v>
      </c>
      <c r="B549" s="49" t="s">
        <v>113</v>
      </c>
      <c r="C549" s="49" t="s">
        <v>81</v>
      </c>
      <c r="D549" s="50" t="s">
        <v>291</v>
      </c>
      <c r="E549" s="64">
        <v>61572.429700000001</v>
      </c>
      <c r="F549" s="51">
        <v>61572.429700000001</v>
      </c>
      <c r="G549" s="51">
        <v>793513.09279000002</v>
      </c>
      <c r="H549" s="52">
        <v>7.7594724346022716E-4</v>
      </c>
      <c r="I549" s="53">
        <v>9.3113669215227259E-3</v>
      </c>
    </row>
    <row r="550" spans="1:9" x14ac:dyDescent="0.25">
      <c r="A550" s="42" t="s">
        <v>122</v>
      </c>
      <c r="B550" s="43" t="s">
        <v>123</v>
      </c>
      <c r="C550" s="43" t="s">
        <v>52</v>
      </c>
      <c r="D550" s="44" t="s">
        <v>291</v>
      </c>
      <c r="E550" s="63">
        <v>60571.6368</v>
      </c>
      <c r="F550" s="45">
        <v>60571.6368</v>
      </c>
      <c r="G550" s="45">
        <v>1142219.4424010001</v>
      </c>
      <c r="H550" s="46">
        <v>5.3029772171164866E-4</v>
      </c>
      <c r="I550" s="47">
        <v>6.363572660539784E-3</v>
      </c>
    </row>
    <row r="551" spans="1:9" x14ac:dyDescent="0.25">
      <c r="A551" s="48" t="s">
        <v>59</v>
      </c>
      <c r="B551" s="49" t="s">
        <v>60</v>
      </c>
      <c r="C551" s="49" t="s">
        <v>226</v>
      </c>
      <c r="D551" s="50" t="s">
        <v>291</v>
      </c>
      <c r="E551" s="64">
        <v>14285.4619</v>
      </c>
      <c r="F551" s="51">
        <v>14285.4619</v>
      </c>
      <c r="G551" s="51">
        <v>406674.50184500002</v>
      </c>
      <c r="H551" s="52">
        <v>3.5127508204202006E-4</v>
      </c>
      <c r="I551" s="53">
        <v>4.2153009845042402E-3</v>
      </c>
    </row>
    <row r="552" spans="1:9" x14ac:dyDescent="0.25">
      <c r="A552" s="42" t="s">
        <v>168</v>
      </c>
      <c r="B552" s="43" t="s">
        <v>288</v>
      </c>
      <c r="C552" s="43" t="s">
        <v>226</v>
      </c>
      <c r="D552" s="44" t="s">
        <v>291</v>
      </c>
      <c r="E552" s="63">
        <v>549.07709999999997</v>
      </c>
      <c r="F552" s="45">
        <v>549.07709999999997</v>
      </c>
      <c r="G552" s="45">
        <v>2656.4842739999999</v>
      </c>
      <c r="H552" s="46">
        <v>2.0669314905193371E-3</v>
      </c>
      <c r="I552" s="47">
        <v>2.4803177886232045E-2</v>
      </c>
    </row>
    <row r="553" spans="1:9" x14ac:dyDescent="0.25">
      <c r="A553" s="48" t="s">
        <v>50</v>
      </c>
      <c r="B553" s="49" t="s">
        <v>51</v>
      </c>
      <c r="C553" s="49" t="s">
        <v>52</v>
      </c>
      <c r="D553" s="50" t="s">
        <v>291</v>
      </c>
      <c r="E553" s="64">
        <v>5500.6057000000001</v>
      </c>
      <c r="F553" s="51">
        <v>5500.6057000000001</v>
      </c>
      <c r="G553" s="51">
        <v>247500.78594700003</v>
      </c>
      <c r="H553" s="52">
        <v>2.2224598919770314E-4</v>
      </c>
      <c r="I553" s="53">
        <v>2.6669518703724376E-3</v>
      </c>
    </row>
    <row r="554" spans="1:9" x14ac:dyDescent="0.25">
      <c r="A554" s="42" t="s">
        <v>70</v>
      </c>
      <c r="B554" s="43" t="s">
        <v>71</v>
      </c>
      <c r="C554" s="43" t="s">
        <v>52</v>
      </c>
      <c r="D554" s="44" t="s">
        <v>291</v>
      </c>
      <c r="E554" s="63">
        <v>23242.083599999998</v>
      </c>
      <c r="F554" s="45">
        <v>23242.083599999998</v>
      </c>
      <c r="G554" s="45">
        <v>284118.37240699999</v>
      </c>
      <c r="H554" s="46">
        <v>8.1804226186068944E-4</v>
      </c>
      <c r="I554" s="47">
        <v>9.8165071423282728E-3</v>
      </c>
    </row>
    <row r="555" spans="1:9" x14ac:dyDescent="0.25">
      <c r="A555" s="48" t="s">
        <v>72</v>
      </c>
      <c r="B555" s="49" t="s">
        <v>73</v>
      </c>
      <c r="C555" s="49" t="s">
        <v>67</v>
      </c>
      <c r="D555" s="50" t="s">
        <v>291</v>
      </c>
      <c r="E555" s="64">
        <v>119003.91310000001</v>
      </c>
      <c r="F555" s="51">
        <v>119003.91310000001</v>
      </c>
      <c r="G555" s="51">
        <v>1644866.5261260001</v>
      </c>
      <c r="H555" s="52">
        <v>7.2348674624851629E-4</v>
      </c>
      <c r="I555" s="53">
        <v>8.6818409549821954E-3</v>
      </c>
    </row>
    <row r="556" spans="1:9" x14ac:dyDescent="0.25">
      <c r="A556" s="42" t="s">
        <v>133</v>
      </c>
      <c r="B556" s="43" t="s">
        <v>134</v>
      </c>
      <c r="C556" s="43" t="s">
        <v>52</v>
      </c>
      <c r="D556" s="44" t="s">
        <v>291</v>
      </c>
      <c r="E556" s="63">
        <v>10163.8892</v>
      </c>
      <c r="F556" s="45">
        <v>10163.8892</v>
      </c>
      <c r="G556" s="45">
        <v>154355.750742</v>
      </c>
      <c r="H556" s="46">
        <v>6.5847168966114969E-4</v>
      </c>
      <c r="I556" s="47">
        <v>7.9016602759337962E-3</v>
      </c>
    </row>
    <row r="557" spans="1:9" x14ac:dyDescent="0.25">
      <c r="A557" s="48" t="s">
        <v>292</v>
      </c>
      <c r="B557" s="49" t="s">
        <v>127</v>
      </c>
      <c r="C557" s="49" t="s">
        <v>67</v>
      </c>
      <c r="D557" s="50" t="s">
        <v>291</v>
      </c>
      <c r="E557" s="64">
        <v>1831.1789000000001</v>
      </c>
      <c r="F557" s="51">
        <v>1831.1789000000001</v>
      </c>
      <c r="G557" s="51">
        <v>164790.57473300002</v>
      </c>
      <c r="H557" s="52">
        <v>1.1112157979708161E-4</v>
      </c>
      <c r="I557" s="53">
        <v>1.3334589575649794E-3</v>
      </c>
    </row>
    <row r="558" spans="1:9" x14ac:dyDescent="0.25">
      <c r="A558" s="42" t="s">
        <v>118</v>
      </c>
      <c r="B558" s="43" t="s">
        <v>119</v>
      </c>
      <c r="C558" s="43" t="s">
        <v>226</v>
      </c>
      <c r="D558" s="44" t="s">
        <v>291</v>
      </c>
      <c r="E558" s="63">
        <v>25945.8881</v>
      </c>
      <c r="F558" s="45">
        <v>25945.8881</v>
      </c>
      <c r="G558" s="45">
        <v>339695.51718999998</v>
      </c>
      <c r="H558" s="46">
        <v>7.6379836609641902E-4</v>
      </c>
      <c r="I558" s="47">
        <v>9.1655803931570273E-3</v>
      </c>
    </row>
    <row r="559" spans="1:9" x14ac:dyDescent="0.25">
      <c r="A559" s="48" t="s">
        <v>57</v>
      </c>
      <c r="B559" s="49" t="s">
        <v>58</v>
      </c>
      <c r="C559" s="49" t="s">
        <v>226</v>
      </c>
      <c r="D559" s="50" t="s">
        <v>291</v>
      </c>
      <c r="E559" s="64">
        <v>3068.9331999999999</v>
      </c>
      <c r="F559" s="51">
        <v>3068.9331999999999</v>
      </c>
      <c r="G559" s="51">
        <v>88412.975814999998</v>
      </c>
      <c r="H559" s="52">
        <v>3.4711343801181385E-4</v>
      </c>
      <c r="I559" s="53">
        <v>4.165361256141766E-3</v>
      </c>
    </row>
    <row r="560" spans="1:9" x14ac:dyDescent="0.25">
      <c r="A560" s="42" t="s">
        <v>74</v>
      </c>
      <c r="B560" s="43" t="s">
        <v>75</v>
      </c>
      <c r="C560" s="43" t="s">
        <v>67</v>
      </c>
      <c r="D560" s="44" t="s">
        <v>291</v>
      </c>
      <c r="E560" s="63">
        <v>27947.205999999998</v>
      </c>
      <c r="F560" s="45">
        <v>27947.205999999998</v>
      </c>
      <c r="G560" s="45">
        <v>689595.81691100006</v>
      </c>
      <c r="H560" s="46">
        <v>4.0526936670218943E-4</v>
      </c>
      <c r="I560" s="47">
        <v>4.8632324004262732E-3</v>
      </c>
    </row>
    <row r="561" spans="1:9" x14ac:dyDescent="0.25">
      <c r="A561" s="48" t="s">
        <v>96</v>
      </c>
      <c r="B561" s="49" t="s">
        <v>97</v>
      </c>
      <c r="C561" s="49" t="s">
        <v>81</v>
      </c>
      <c r="D561" s="50" t="s">
        <v>291</v>
      </c>
      <c r="E561" s="64">
        <v>15286.2824</v>
      </c>
      <c r="F561" s="51">
        <v>15286.2824</v>
      </c>
      <c r="G561" s="51">
        <v>220884.19469999999</v>
      </c>
      <c r="H561" s="52">
        <v>6.9204962449945727E-4</v>
      </c>
      <c r="I561" s="53">
        <v>8.3045954939934864E-3</v>
      </c>
    </row>
  </sheetData>
  <autoFilter ref="A1:I561" xr:uid="{67A01479-1F20-43AA-9BD7-3A224CF1155D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6485-A4D8-4B27-A054-B55E8DD65E9B}">
  <dimension ref="A1:E134"/>
  <sheetViews>
    <sheetView workbookViewId="0">
      <selection activeCell="E1" sqref="E1"/>
    </sheetView>
  </sheetViews>
  <sheetFormatPr defaultRowHeight="15" x14ac:dyDescent="0.25"/>
  <cols>
    <col min="1" max="1" width="27.5703125" bestFit="1" customWidth="1"/>
    <col min="2" max="2" width="24.85546875" bestFit="1" customWidth="1"/>
    <col min="3" max="3" width="14.85546875" bestFit="1" customWidth="1"/>
    <col min="4" max="4" width="7.85546875" bestFit="1" customWidth="1"/>
    <col min="5" max="5" width="15.85546875" bestFit="1" customWidth="1"/>
  </cols>
  <sheetData>
    <row r="1" spans="1:5" x14ac:dyDescent="0.25">
      <c r="A1" t="s">
        <v>260</v>
      </c>
      <c r="B1" t="s">
        <v>187</v>
      </c>
      <c r="C1" t="s">
        <v>40</v>
      </c>
      <c r="D1" t="s">
        <v>221</v>
      </c>
      <c r="E1" t="s">
        <v>261</v>
      </c>
    </row>
    <row r="2" spans="1:5" x14ac:dyDescent="0.25">
      <c r="A2" t="s">
        <v>100</v>
      </c>
      <c r="B2" t="s">
        <v>100</v>
      </c>
      <c r="C2" t="s">
        <v>52</v>
      </c>
      <c r="D2" t="s">
        <v>287</v>
      </c>
      <c r="E2">
        <v>3847.3697999999999</v>
      </c>
    </row>
    <row r="3" spans="1:5" x14ac:dyDescent="0.25">
      <c r="A3" t="s">
        <v>128</v>
      </c>
      <c r="B3" t="s">
        <v>129</v>
      </c>
      <c r="C3" t="s">
        <v>67</v>
      </c>
      <c r="D3" t="s">
        <v>287</v>
      </c>
      <c r="E3">
        <v>121966.3956</v>
      </c>
    </row>
    <row r="4" spans="1:5" x14ac:dyDescent="0.25">
      <c r="A4" t="s">
        <v>190</v>
      </c>
      <c r="B4" t="s">
        <v>234</v>
      </c>
      <c r="C4" t="s">
        <v>226</v>
      </c>
      <c r="D4" t="s">
        <v>287</v>
      </c>
      <c r="E4">
        <v>968.79570000000001</v>
      </c>
    </row>
    <row r="5" spans="1:5" x14ac:dyDescent="0.25">
      <c r="A5" t="s">
        <v>65</v>
      </c>
      <c r="B5" t="s">
        <v>66</v>
      </c>
      <c r="C5" t="s">
        <v>67</v>
      </c>
      <c r="D5" t="s">
        <v>287</v>
      </c>
      <c r="E5">
        <v>52951.176500000001</v>
      </c>
    </row>
    <row r="6" spans="1:5" x14ac:dyDescent="0.25">
      <c r="A6" t="s">
        <v>131</v>
      </c>
      <c r="B6" t="s">
        <v>132</v>
      </c>
      <c r="C6" t="s">
        <v>67</v>
      </c>
      <c r="D6" t="s">
        <v>287</v>
      </c>
      <c r="E6">
        <v>130266.0613</v>
      </c>
    </row>
    <row r="7" spans="1:5" x14ac:dyDescent="0.25">
      <c r="A7" t="s">
        <v>82</v>
      </c>
      <c r="B7" t="s">
        <v>83</v>
      </c>
      <c r="C7" t="s">
        <v>226</v>
      </c>
      <c r="D7" t="s">
        <v>287</v>
      </c>
      <c r="E7">
        <v>25093.967400000001</v>
      </c>
    </row>
    <row r="8" spans="1:5" x14ac:dyDescent="0.25">
      <c r="A8" t="s">
        <v>68</v>
      </c>
      <c r="B8" t="s">
        <v>69</v>
      </c>
      <c r="C8" t="s">
        <v>226</v>
      </c>
      <c r="D8" t="s">
        <v>287</v>
      </c>
      <c r="E8">
        <v>23501.986000000001</v>
      </c>
    </row>
    <row r="9" spans="1:5" x14ac:dyDescent="0.25">
      <c r="A9" t="s">
        <v>79</v>
      </c>
      <c r="B9" t="s">
        <v>80</v>
      </c>
      <c r="C9" t="s">
        <v>81</v>
      </c>
      <c r="D9" t="s">
        <v>287</v>
      </c>
      <c r="E9">
        <v>8696.8491999999987</v>
      </c>
    </row>
    <row r="10" spans="1:5" x14ac:dyDescent="0.25">
      <c r="A10" t="s">
        <v>114</v>
      </c>
      <c r="B10" t="s">
        <v>115</v>
      </c>
      <c r="C10" t="s">
        <v>226</v>
      </c>
      <c r="D10" t="s">
        <v>287</v>
      </c>
      <c r="E10">
        <v>11923.505800000001</v>
      </c>
    </row>
    <row r="11" spans="1:5" x14ac:dyDescent="0.25">
      <c r="A11" t="s">
        <v>92</v>
      </c>
      <c r="B11" t="s">
        <v>282</v>
      </c>
      <c r="C11" t="s">
        <v>81</v>
      </c>
      <c r="D11" t="s">
        <v>287</v>
      </c>
      <c r="E11">
        <v>2039.8085000000001</v>
      </c>
    </row>
    <row r="12" spans="1:5" x14ac:dyDescent="0.25">
      <c r="A12" t="s">
        <v>146</v>
      </c>
      <c r="B12" t="s">
        <v>147</v>
      </c>
      <c r="C12" t="s">
        <v>226</v>
      </c>
      <c r="D12" t="s">
        <v>287</v>
      </c>
      <c r="E12">
        <v>1796.8615</v>
      </c>
    </row>
    <row r="13" spans="1:5" x14ac:dyDescent="0.25">
      <c r="A13" t="s">
        <v>90</v>
      </c>
      <c r="B13" t="s">
        <v>91</v>
      </c>
      <c r="C13" t="s">
        <v>81</v>
      </c>
      <c r="D13" t="s">
        <v>287</v>
      </c>
      <c r="E13">
        <v>180487.07630000002</v>
      </c>
    </row>
    <row r="14" spans="1:5" x14ac:dyDescent="0.25">
      <c r="A14" t="s">
        <v>98</v>
      </c>
      <c r="B14" t="s">
        <v>99</v>
      </c>
      <c r="C14" t="s">
        <v>81</v>
      </c>
      <c r="D14" t="s">
        <v>287</v>
      </c>
      <c r="E14">
        <v>15266.157300000001</v>
      </c>
    </row>
    <row r="15" spans="1:5" x14ac:dyDescent="0.25">
      <c r="A15" t="s">
        <v>120</v>
      </c>
      <c r="B15" t="s">
        <v>268</v>
      </c>
      <c r="C15" t="s">
        <v>67</v>
      </c>
      <c r="D15" t="s">
        <v>287</v>
      </c>
      <c r="E15">
        <v>29501.491599999998</v>
      </c>
    </row>
    <row r="16" spans="1:5" x14ac:dyDescent="0.25">
      <c r="A16" t="s">
        <v>106</v>
      </c>
      <c r="B16" t="s">
        <v>107</v>
      </c>
      <c r="C16" t="s">
        <v>226</v>
      </c>
      <c r="D16" t="s">
        <v>287</v>
      </c>
      <c r="E16">
        <v>101662.9387</v>
      </c>
    </row>
    <row r="17" spans="1:5" x14ac:dyDescent="0.25">
      <c r="A17" t="s">
        <v>45</v>
      </c>
      <c r="B17" t="s">
        <v>46</v>
      </c>
      <c r="C17" t="s">
        <v>52</v>
      </c>
      <c r="D17" t="s">
        <v>287</v>
      </c>
      <c r="E17">
        <v>3854.5162</v>
      </c>
    </row>
    <row r="18" spans="1:5" x14ac:dyDescent="0.25">
      <c r="A18" t="s">
        <v>54</v>
      </c>
      <c r="B18" t="s">
        <v>55</v>
      </c>
      <c r="C18" t="s">
        <v>52</v>
      </c>
      <c r="D18" t="s">
        <v>287</v>
      </c>
      <c r="E18">
        <v>36059.907599999999</v>
      </c>
    </row>
    <row r="19" spans="1:5" x14ac:dyDescent="0.25">
      <c r="A19" t="s">
        <v>94</v>
      </c>
      <c r="B19" t="s">
        <v>95</v>
      </c>
      <c r="C19" t="s">
        <v>52</v>
      </c>
      <c r="D19" t="s">
        <v>287</v>
      </c>
      <c r="E19">
        <v>105309.96679999999</v>
      </c>
    </row>
    <row r="20" spans="1:5" x14ac:dyDescent="0.25">
      <c r="A20" t="s">
        <v>170</v>
      </c>
      <c r="B20" t="s">
        <v>171</v>
      </c>
      <c r="C20" t="s">
        <v>81</v>
      </c>
      <c r="D20" t="s">
        <v>287</v>
      </c>
      <c r="E20">
        <v>1102.2811999999999</v>
      </c>
    </row>
    <row r="21" spans="1:5" x14ac:dyDescent="0.25">
      <c r="A21" t="s">
        <v>148</v>
      </c>
      <c r="B21" t="s">
        <v>149</v>
      </c>
      <c r="C21" t="s">
        <v>226</v>
      </c>
      <c r="D21" t="s">
        <v>287</v>
      </c>
      <c r="E21">
        <v>3793.7882</v>
      </c>
    </row>
    <row r="22" spans="1:5" x14ac:dyDescent="0.25">
      <c r="A22" t="s">
        <v>137</v>
      </c>
      <c r="B22" t="s">
        <v>138</v>
      </c>
      <c r="C22" t="s">
        <v>52</v>
      </c>
      <c r="D22" t="s">
        <v>287</v>
      </c>
      <c r="E22">
        <v>128.03489999999999</v>
      </c>
    </row>
    <row r="23" spans="1:5" x14ac:dyDescent="0.25">
      <c r="A23" t="s">
        <v>102</v>
      </c>
      <c r="B23" t="s">
        <v>271</v>
      </c>
      <c r="C23" t="s">
        <v>52</v>
      </c>
      <c r="D23" t="s">
        <v>287</v>
      </c>
      <c r="E23">
        <v>18731.6538</v>
      </c>
    </row>
    <row r="24" spans="1:5" x14ac:dyDescent="0.25">
      <c r="A24" t="s">
        <v>86</v>
      </c>
      <c r="B24" t="s">
        <v>87</v>
      </c>
      <c r="C24" t="s">
        <v>52</v>
      </c>
      <c r="D24" t="s">
        <v>287</v>
      </c>
      <c r="E24">
        <v>125499.7359</v>
      </c>
    </row>
    <row r="25" spans="1:5" x14ac:dyDescent="0.25">
      <c r="A25" t="s">
        <v>144</v>
      </c>
      <c r="B25" t="s">
        <v>286</v>
      </c>
      <c r="C25" t="s">
        <v>67</v>
      </c>
      <c r="D25" t="s">
        <v>287</v>
      </c>
      <c r="E25">
        <v>743.52620000000002</v>
      </c>
    </row>
    <row r="26" spans="1:5" x14ac:dyDescent="0.25">
      <c r="A26" t="s">
        <v>124</v>
      </c>
      <c r="B26" t="s">
        <v>125</v>
      </c>
      <c r="C26" t="s">
        <v>52</v>
      </c>
      <c r="D26" t="s">
        <v>287</v>
      </c>
      <c r="E26">
        <v>80896.804700000008</v>
      </c>
    </row>
    <row r="27" spans="1:5" x14ac:dyDescent="0.25">
      <c r="A27" t="s">
        <v>63</v>
      </c>
      <c r="B27" t="s">
        <v>64</v>
      </c>
      <c r="C27" t="s">
        <v>226</v>
      </c>
      <c r="D27" t="s">
        <v>287</v>
      </c>
      <c r="E27">
        <v>27608.015100000001</v>
      </c>
    </row>
    <row r="28" spans="1:5" x14ac:dyDescent="0.25">
      <c r="A28" t="s">
        <v>61</v>
      </c>
      <c r="B28" t="s">
        <v>62</v>
      </c>
      <c r="C28" t="s">
        <v>226</v>
      </c>
      <c r="D28" t="s">
        <v>287</v>
      </c>
      <c r="E28">
        <v>29740.113400000002</v>
      </c>
    </row>
    <row r="29" spans="1:5" x14ac:dyDescent="0.25">
      <c r="A29" t="s">
        <v>76</v>
      </c>
      <c r="B29" t="s">
        <v>77</v>
      </c>
      <c r="C29" t="s">
        <v>52</v>
      </c>
      <c r="D29" t="s">
        <v>287</v>
      </c>
      <c r="E29">
        <v>21383.710299999999</v>
      </c>
    </row>
    <row r="30" spans="1:5" x14ac:dyDescent="0.25">
      <c r="A30" t="s">
        <v>163</v>
      </c>
      <c r="B30" t="s">
        <v>164</v>
      </c>
      <c r="C30" t="s">
        <v>67</v>
      </c>
      <c r="D30" t="s">
        <v>287</v>
      </c>
      <c r="E30">
        <v>4155.9296999999997</v>
      </c>
    </row>
    <row r="31" spans="1:5" x14ac:dyDescent="0.25">
      <c r="A31" t="s">
        <v>88</v>
      </c>
      <c r="B31" t="s">
        <v>89</v>
      </c>
      <c r="C31" t="s">
        <v>52</v>
      </c>
      <c r="D31" t="s">
        <v>287</v>
      </c>
      <c r="E31">
        <v>29873.364699999998</v>
      </c>
    </row>
    <row r="32" spans="1:5" x14ac:dyDescent="0.25">
      <c r="A32" t="s">
        <v>116</v>
      </c>
      <c r="B32" t="s">
        <v>117</v>
      </c>
      <c r="C32" t="s">
        <v>52</v>
      </c>
      <c r="D32" t="s">
        <v>287</v>
      </c>
      <c r="E32">
        <v>50847.318099999997</v>
      </c>
    </row>
    <row r="33" spans="1:5" x14ac:dyDescent="0.25">
      <c r="A33" t="s">
        <v>84</v>
      </c>
      <c r="B33" t="s">
        <v>85</v>
      </c>
      <c r="C33" t="s">
        <v>67</v>
      </c>
      <c r="D33" t="s">
        <v>287</v>
      </c>
      <c r="E33">
        <v>6553.6872999999996</v>
      </c>
    </row>
    <row r="34" spans="1:5" x14ac:dyDescent="0.25">
      <c r="A34" t="s">
        <v>112</v>
      </c>
      <c r="B34" t="s">
        <v>113</v>
      </c>
      <c r="C34" t="s">
        <v>81</v>
      </c>
      <c r="D34" t="s">
        <v>287</v>
      </c>
      <c r="E34">
        <v>60005.447899999999</v>
      </c>
    </row>
    <row r="35" spans="1:5" x14ac:dyDescent="0.25">
      <c r="A35" t="s">
        <v>122</v>
      </c>
      <c r="B35" t="s">
        <v>123</v>
      </c>
      <c r="C35" t="s">
        <v>52</v>
      </c>
      <c r="D35" t="s">
        <v>287</v>
      </c>
      <c r="E35">
        <v>193398.35370000001</v>
      </c>
    </row>
    <row r="36" spans="1:5" x14ac:dyDescent="0.25">
      <c r="A36" t="s">
        <v>155</v>
      </c>
      <c r="B36" t="s">
        <v>156</v>
      </c>
      <c r="C36" t="s">
        <v>52</v>
      </c>
      <c r="D36" t="s">
        <v>287</v>
      </c>
      <c r="E36">
        <v>3467.3395</v>
      </c>
    </row>
    <row r="37" spans="1:5" x14ac:dyDescent="0.25">
      <c r="A37" t="s">
        <v>59</v>
      </c>
      <c r="B37" t="s">
        <v>60</v>
      </c>
      <c r="C37" t="s">
        <v>226</v>
      </c>
      <c r="D37" t="s">
        <v>287</v>
      </c>
      <c r="E37">
        <v>5599.7938000000004</v>
      </c>
    </row>
    <row r="38" spans="1:5" x14ac:dyDescent="0.25">
      <c r="A38" t="s">
        <v>168</v>
      </c>
      <c r="B38" t="s">
        <v>288</v>
      </c>
      <c r="C38" t="s">
        <v>226</v>
      </c>
      <c r="D38" t="s">
        <v>287</v>
      </c>
      <c r="E38">
        <v>-2485.0680000000002</v>
      </c>
    </row>
    <row r="39" spans="1:5" x14ac:dyDescent="0.25">
      <c r="A39" t="s">
        <v>50</v>
      </c>
      <c r="B39" t="s">
        <v>51</v>
      </c>
      <c r="C39" t="s">
        <v>52</v>
      </c>
      <c r="D39" t="s">
        <v>287</v>
      </c>
      <c r="E39">
        <v>1613.4476</v>
      </c>
    </row>
    <row r="40" spans="1:5" x14ac:dyDescent="0.25">
      <c r="A40" t="s">
        <v>70</v>
      </c>
      <c r="B40" t="s">
        <v>71</v>
      </c>
      <c r="C40" t="s">
        <v>52</v>
      </c>
      <c r="D40" t="s">
        <v>287</v>
      </c>
      <c r="E40">
        <v>34293.451199999996</v>
      </c>
    </row>
    <row r="41" spans="1:5" x14ac:dyDescent="0.25">
      <c r="A41" t="s">
        <v>72</v>
      </c>
      <c r="B41" t="s">
        <v>73</v>
      </c>
      <c r="C41" t="s">
        <v>67</v>
      </c>
      <c r="D41" t="s">
        <v>287</v>
      </c>
      <c r="E41">
        <v>125173.36</v>
      </c>
    </row>
    <row r="42" spans="1:5" x14ac:dyDescent="0.25">
      <c r="A42" t="s">
        <v>133</v>
      </c>
      <c r="B42" t="s">
        <v>134</v>
      </c>
      <c r="C42" t="s">
        <v>52</v>
      </c>
      <c r="D42" t="s">
        <v>287</v>
      </c>
      <c r="E42">
        <v>7391.4105</v>
      </c>
    </row>
    <row r="43" spans="1:5" x14ac:dyDescent="0.25">
      <c r="A43" t="s">
        <v>118</v>
      </c>
      <c r="B43" t="s">
        <v>119</v>
      </c>
      <c r="C43" t="s">
        <v>226</v>
      </c>
      <c r="D43" t="s">
        <v>287</v>
      </c>
      <c r="E43">
        <v>21324.642</v>
      </c>
    </row>
    <row r="44" spans="1:5" x14ac:dyDescent="0.25">
      <c r="A44" t="s">
        <v>57</v>
      </c>
      <c r="B44" t="s">
        <v>58</v>
      </c>
      <c r="C44" t="s">
        <v>226</v>
      </c>
      <c r="D44" t="s">
        <v>287</v>
      </c>
      <c r="E44">
        <v>4628.5078999999996</v>
      </c>
    </row>
    <row r="45" spans="1:5" x14ac:dyDescent="0.25">
      <c r="A45" t="s">
        <v>157</v>
      </c>
      <c r="B45" t="s">
        <v>158</v>
      </c>
      <c r="C45" t="s">
        <v>226</v>
      </c>
      <c r="D45" t="s">
        <v>287</v>
      </c>
      <c r="E45">
        <v>3326.92</v>
      </c>
    </row>
    <row r="46" spans="1:5" x14ac:dyDescent="0.25">
      <c r="A46" t="s">
        <v>74</v>
      </c>
      <c r="B46" t="s">
        <v>75</v>
      </c>
      <c r="C46" t="s">
        <v>67</v>
      </c>
      <c r="D46" t="s">
        <v>287</v>
      </c>
      <c r="E46">
        <v>37108.102700000003</v>
      </c>
    </row>
    <row r="47" spans="1:5" x14ac:dyDescent="0.25">
      <c r="A47" t="s">
        <v>96</v>
      </c>
      <c r="B47" t="s">
        <v>97</v>
      </c>
      <c r="C47" t="s">
        <v>81</v>
      </c>
      <c r="D47" t="s">
        <v>287</v>
      </c>
      <c r="E47">
        <v>19835.091899999999</v>
      </c>
    </row>
    <row r="48" spans="1:5" x14ac:dyDescent="0.25">
      <c r="A48" t="s">
        <v>100</v>
      </c>
      <c r="B48" t="s">
        <v>100</v>
      </c>
      <c r="C48" t="s">
        <v>52</v>
      </c>
      <c r="D48" t="s">
        <v>289</v>
      </c>
      <c r="E48">
        <v>1357.1464000000001</v>
      </c>
    </row>
    <row r="49" spans="1:5" x14ac:dyDescent="0.25">
      <c r="A49" t="s">
        <v>128</v>
      </c>
      <c r="B49" t="s">
        <v>129</v>
      </c>
      <c r="C49" t="s">
        <v>67</v>
      </c>
      <c r="D49" t="s">
        <v>289</v>
      </c>
      <c r="E49">
        <v>114868.7396</v>
      </c>
    </row>
    <row r="50" spans="1:5" x14ac:dyDescent="0.25">
      <c r="A50" t="s">
        <v>65</v>
      </c>
      <c r="B50" t="s">
        <v>66</v>
      </c>
      <c r="C50" t="s">
        <v>67</v>
      </c>
      <c r="D50" t="s">
        <v>289</v>
      </c>
      <c r="E50">
        <v>91062.400999999998</v>
      </c>
    </row>
    <row r="51" spans="1:5" x14ac:dyDescent="0.25">
      <c r="A51" t="s">
        <v>131</v>
      </c>
      <c r="B51" t="s">
        <v>132</v>
      </c>
      <c r="C51" t="s">
        <v>67</v>
      </c>
      <c r="D51" t="s">
        <v>289</v>
      </c>
      <c r="E51">
        <v>66753.710500000001</v>
      </c>
    </row>
    <row r="52" spans="1:5" x14ac:dyDescent="0.25">
      <c r="A52" t="s">
        <v>82</v>
      </c>
      <c r="B52" t="s">
        <v>83</v>
      </c>
      <c r="C52" t="s">
        <v>226</v>
      </c>
      <c r="D52" t="s">
        <v>289</v>
      </c>
      <c r="E52">
        <v>21210.251400000001</v>
      </c>
    </row>
    <row r="53" spans="1:5" x14ac:dyDescent="0.25">
      <c r="A53" t="s">
        <v>68</v>
      </c>
      <c r="B53" t="s">
        <v>69</v>
      </c>
      <c r="C53" t="s">
        <v>226</v>
      </c>
      <c r="D53" t="s">
        <v>289</v>
      </c>
      <c r="E53">
        <v>18149.2366</v>
      </c>
    </row>
    <row r="54" spans="1:5" x14ac:dyDescent="0.25">
      <c r="A54" t="s">
        <v>79</v>
      </c>
      <c r="B54" t="s">
        <v>80</v>
      </c>
      <c r="C54" t="s">
        <v>81</v>
      </c>
      <c r="D54" t="s">
        <v>289</v>
      </c>
      <c r="E54">
        <v>13808.4645</v>
      </c>
    </row>
    <row r="55" spans="1:5" x14ac:dyDescent="0.25">
      <c r="A55" t="s">
        <v>114</v>
      </c>
      <c r="B55" t="s">
        <v>115</v>
      </c>
      <c r="C55" t="s">
        <v>226</v>
      </c>
      <c r="D55" t="s">
        <v>289</v>
      </c>
      <c r="E55">
        <v>10227.363499999999</v>
      </c>
    </row>
    <row r="56" spans="1:5" x14ac:dyDescent="0.25">
      <c r="A56" t="s">
        <v>92</v>
      </c>
      <c r="B56" t="s">
        <v>282</v>
      </c>
      <c r="C56" t="s">
        <v>81</v>
      </c>
      <c r="D56" t="s">
        <v>289</v>
      </c>
      <c r="E56">
        <v>4770.8433999999997</v>
      </c>
    </row>
    <row r="57" spans="1:5" x14ac:dyDescent="0.25">
      <c r="A57" t="s">
        <v>146</v>
      </c>
      <c r="B57" t="s">
        <v>147</v>
      </c>
      <c r="C57" t="s">
        <v>226</v>
      </c>
      <c r="D57" t="s">
        <v>289</v>
      </c>
      <c r="E57">
        <v>1152.7416000000001</v>
      </c>
    </row>
    <row r="58" spans="1:5" x14ac:dyDescent="0.25">
      <c r="A58" t="s">
        <v>90</v>
      </c>
      <c r="B58" t="s">
        <v>91</v>
      </c>
      <c r="C58" t="s">
        <v>81</v>
      </c>
      <c r="D58" t="s">
        <v>289</v>
      </c>
      <c r="E58">
        <v>107482.1632</v>
      </c>
    </row>
    <row r="59" spans="1:5" x14ac:dyDescent="0.25">
      <c r="A59" t="s">
        <v>98</v>
      </c>
      <c r="B59" t="s">
        <v>99</v>
      </c>
      <c r="C59" t="s">
        <v>81</v>
      </c>
      <c r="D59" t="s">
        <v>289</v>
      </c>
      <c r="E59">
        <v>20306.384300000002</v>
      </c>
    </row>
    <row r="60" spans="1:5" x14ac:dyDescent="0.25">
      <c r="A60" t="s">
        <v>120</v>
      </c>
      <c r="B60" t="s">
        <v>268</v>
      </c>
      <c r="C60" t="s">
        <v>67</v>
      </c>
      <c r="D60" t="s">
        <v>289</v>
      </c>
      <c r="E60">
        <v>37332.078500000003</v>
      </c>
    </row>
    <row r="61" spans="1:5" x14ac:dyDescent="0.25">
      <c r="A61" t="s">
        <v>106</v>
      </c>
      <c r="B61" t="s">
        <v>107</v>
      </c>
      <c r="C61" t="s">
        <v>226</v>
      </c>
      <c r="D61" t="s">
        <v>289</v>
      </c>
      <c r="E61">
        <v>86114.395300000004</v>
      </c>
    </row>
    <row r="62" spans="1:5" x14ac:dyDescent="0.25">
      <c r="A62" t="s">
        <v>45</v>
      </c>
      <c r="B62" t="s">
        <v>46</v>
      </c>
      <c r="C62" t="s">
        <v>52</v>
      </c>
      <c r="D62" t="s">
        <v>289</v>
      </c>
      <c r="E62">
        <v>6947.3850000000002</v>
      </c>
    </row>
    <row r="63" spans="1:5" x14ac:dyDescent="0.25">
      <c r="A63" t="s">
        <v>54</v>
      </c>
      <c r="B63" t="s">
        <v>55</v>
      </c>
      <c r="C63" t="s">
        <v>226</v>
      </c>
      <c r="D63" t="s">
        <v>289</v>
      </c>
      <c r="E63">
        <v>59547.886200000001</v>
      </c>
    </row>
    <row r="64" spans="1:5" x14ac:dyDescent="0.25">
      <c r="A64" t="s">
        <v>94</v>
      </c>
      <c r="B64" t="s">
        <v>95</v>
      </c>
      <c r="C64" t="s">
        <v>52</v>
      </c>
      <c r="D64" t="s">
        <v>289</v>
      </c>
      <c r="E64">
        <v>99301.150399999999</v>
      </c>
    </row>
    <row r="65" spans="1:5" x14ac:dyDescent="0.25">
      <c r="A65" t="s">
        <v>159</v>
      </c>
      <c r="B65" t="s">
        <v>159</v>
      </c>
      <c r="C65" t="s">
        <v>52</v>
      </c>
      <c r="D65" t="s">
        <v>289</v>
      </c>
      <c r="E65">
        <v>105.901</v>
      </c>
    </row>
    <row r="66" spans="1:5" x14ac:dyDescent="0.25">
      <c r="A66" t="s">
        <v>135</v>
      </c>
      <c r="B66" t="s">
        <v>290</v>
      </c>
      <c r="C66" t="s">
        <v>226</v>
      </c>
      <c r="D66" t="s">
        <v>289</v>
      </c>
      <c r="E66">
        <v>230.43100000000001</v>
      </c>
    </row>
    <row r="67" spans="1:5" x14ac:dyDescent="0.25">
      <c r="A67" t="s">
        <v>137</v>
      </c>
      <c r="B67" t="s">
        <v>138</v>
      </c>
      <c r="C67" t="s">
        <v>52</v>
      </c>
      <c r="D67" t="s">
        <v>289</v>
      </c>
      <c r="E67">
        <v>43.838099999999997</v>
      </c>
    </row>
    <row r="68" spans="1:5" x14ac:dyDescent="0.25">
      <c r="A68" t="s">
        <v>102</v>
      </c>
      <c r="B68" t="s">
        <v>271</v>
      </c>
      <c r="C68" t="s">
        <v>52</v>
      </c>
      <c r="D68" t="s">
        <v>289</v>
      </c>
      <c r="E68">
        <v>17855.97</v>
      </c>
    </row>
    <row r="69" spans="1:5" x14ac:dyDescent="0.25">
      <c r="A69" t="s">
        <v>86</v>
      </c>
      <c r="B69" t="s">
        <v>87</v>
      </c>
      <c r="C69" t="s">
        <v>52</v>
      </c>
      <c r="D69" t="s">
        <v>289</v>
      </c>
      <c r="E69">
        <v>41417.052499999998</v>
      </c>
    </row>
    <row r="70" spans="1:5" x14ac:dyDescent="0.25">
      <c r="A70" t="s">
        <v>144</v>
      </c>
      <c r="B70" t="s">
        <v>286</v>
      </c>
      <c r="C70" t="s">
        <v>67</v>
      </c>
      <c r="D70" t="s">
        <v>289</v>
      </c>
      <c r="E70">
        <v>328.90480000000002</v>
      </c>
    </row>
    <row r="71" spans="1:5" x14ac:dyDescent="0.25">
      <c r="A71" t="s">
        <v>124</v>
      </c>
      <c r="B71" t="s">
        <v>125</v>
      </c>
      <c r="C71" t="s">
        <v>52</v>
      </c>
      <c r="D71" t="s">
        <v>289</v>
      </c>
      <c r="E71">
        <v>43048.693899999998</v>
      </c>
    </row>
    <row r="72" spans="1:5" x14ac:dyDescent="0.25">
      <c r="A72" t="s">
        <v>63</v>
      </c>
      <c r="B72" t="s">
        <v>64</v>
      </c>
      <c r="C72" t="s">
        <v>226</v>
      </c>
      <c r="D72" t="s">
        <v>289</v>
      </c>
      <c r="E72">
        <v>18111.422699999999</v>
      </c>
    </row>
    <row r="73" spans="1:5" x14ac:dyDescent="0.25">
      <c r="A73" t="s">
        <v>61</v>
      </c>
      <c r="B73" t="s">
        <v>62</v>
      </c>
      <c r="C73" t="s">
        <v>226</v>
      </c>
      <c r="D73" t="s">
        <v>289</v>
      </c>
      <c r="E73">
        <v>27330.432199999999</v>
      </c>
    </row>
    <row r="74" spans="1:5" x14ac:dyDescent="0.25">
      <c r="A74" t="s">
        <v>76</v>
      </c>
      <c r="B74" t="s">
        <v>77</v>
      </c>
      <c r="C74" t="s">
        <v>52</v>
      </c>
      <c r="D74" t="s">
        <v>289</v>
      </c>
      <c r="E74">
        <v>30142.676500000001</v>
      </c>
    </row>
    <row r="75" spans="1:5" x14ac:dyDescent="0.25">
      <c r="A75" t="s">
        <v>163</v>
      </c>
      <c r="B75" t="s">
        <v>164</v>
      </c>
      <c r="C75" t="s">
        <v>67</v>
      </c>
      <c r="D75" t="s">
        <v>289</v>
      </c>
      <c r="E75">
        <v>529.90740000000005</v>
      </c>
    </row>
    <row r="76" spans="1:5" x14ac:dyDescent="0.25">
      <c r="A76" t="s">
        <v>88</v>
      </c>
      <c r="B76" t="s">
        <v>89</v>
      </c>
      <c r="C76" t="s">
        <v>52</v>
      </c>
      <c r="D76" t="s">
        <v>289</v>
      </c>
      <c r="E76">
        <v>40230.507400000002</v>
      </c>
    </row>
    <row r="77" spans="1:5" x14ac:dyDescent="0.25">
      <c r="A77" t="s">
        <v>116</v>
      </c>
      <c r="B77" t="s">
        <v>117</v>
      </c>
      <c r="C77" t="s">
        <v>52</v>
      </c>
      <c r="D77" t="s">
        <v>289</v>
      </c>
      <c r="E77">
        <v>67458.0052</v>
      </c>
    </row>
    <row r="78" spans="1:5" x14ac:dyDescent="0.25">
      <c r="A78" t="s">
        <v>84</v>
      </c>
      <c r="B78" t="s">
        <v>85</v>
      </c>
      <c r="C78" t="s">
        <v>67</v>
      </c>
      <c r="D78" t="s">
        <v>289</v>
      </c>
      <c r="E78">
        <v>27082.955399999999</v>
      </c>
    </row>
    <row r="79" spans="1:5" x14ac:dyDescent="0.25">
      <c r="A79" t="s">
        <v>112</v>
      </c>
      <c r="B79" t="s">
        <v>113</v>
      </c>
      <c r="C79" t="s">
        <v>81</v>
      </c>
      <c r="D79" t="s">
        <v>289</v>
      </c>
      <c r="E79">
        <v>41680.813300000002</v>
      </c>
    </row>
    <row r="80" spans="1:5" x14ac:dyDescent="0.25">
      <c r="A80" t="s">
        <v>122</v>
      </c>
      <c r="B80" t="s">
        <v>123</v>
      </c>
      <c r="C80" t="s">
        <v>52</v>
      </c>
      <c r="D80" t="s">
        <v>289</v>
      </c>
      <c r="E80">
        <v>88717.695900000006</v>
      </c>
    </row>
    <row r="81" spans="1:5" x14ac:dyDescent="0.25">
      <c r="A81" t="s">
        <v>59</v>
      </c>
      <c r="B81" t="s">
        <v>60</v>
      </c>
      <c r="C81" t="s">
        <v>226</v>
      </c>
      <c r="D81" t="s">
        <v>289</v>
      </c>
      <c r="E81">
        <v>26554.538</v>
      </c>
    </row>
    <row r="82" spans="1:5" x14ac:dyDescent="0.25">
      <c r="A82" t="s">
        <v>168</v>
      </c>
      <c r="B82" t="s">
        <v>288</v>
      </c>
      <c r="C82" t="s">
        <v>226</v>
      </c>
      <c r="D82" t="s">
        <v>289</v>
      </c>
      <c r="E82">
        <v>3791.48</v>
      </c>
    </row>
    <row r="83" spans="1:5" x14ac:dyDescent="0.25">
      <c r="A83" t="s">
        <v>50</v>
      </c>
      <c r="B83" t="s">
        <v>51</v>
      </c>
      <c r="C83" t="s">
        <v>52</v>
      </c>
      <c r="D83" t="s">
        <v>289</v>
      </c>
      <c r="E83">
        <v>5151.3788999999997</v>
      </c>
    </row>
    <row r="84" spans="1:5" x14ac:dyDescent="0.25">
      <c r="A84" t="s">
        <v>70</v>
      </c>
      <c r="B84" t="s">
        <v>71</v>
      </c>
      <c r="C84" t="s">
        <v>52</v>
      </c>
      <c r="D84" t="s">
        <v>289</v>
      </c>
      <c r="E84">
        <v>30744.510300000002</v>
      </c>
    </row>
    <row r="85" spans="1:5" x14ac:dyDescent="0.25">
      <c r="A85" t="s">
        <v>72</v>
      </c>
      <c r="B85" t="s">
        <v>73</v>
      </c>
      <c r="C85" t="s">
        <v>67</v>
      </c>
      <c r="D85" t="s">
        <v>289</v>
      </c>
      <c r="E85">
        <v>72149.756399999998</v>
      </c>
    </row>
    <row r="86" spans="1:5" x14ac:dyDescent="0.25">
      <c r="A86" t="s">
        <v>133</v>
      </c>
      <c r="B86" t="s">
        <v>134</v>
      </c>
      <c r="C86" t="s">
        <v>52</v>
      </c>
      <c r="D86" t="s">
        <v>289</v>
      </c>
      <c r="E86">
        <v>9888.4123</v>
      </c>
    </row>
    <row r="87" spans="1:5" x14ac:dyDescent="0.25">
      <c r="A87" t="s">
        <v>118</v>
      </c>
      <c r="B87" t="s">
        <v>119</v>
      </c>
      <c r="C87" t="s">
        <v>226</v>
      </c>
      <c r="D87" t="s">
        <v>289</v>
      </c>
      <c r="E87">
        <v>17578.951799999999</v>
      </c>
    </row>
    <row r="88" spans="1:5" x14ac:dyDescent="0.25">
      <c r="A88" t="s">
        <v>57</v>
      </c>
      <c r="B88" t="s">
        <v>58</v>
      </c>
      <c r="C88" t="s">
        <v>226</v>
      </c>
      <c r="D88" t="s">
        <v>289</v>
      </c>
      <c r="E88">
        <v>2339.0003000000002</v>
      </c>
    </row>
    <row r="89" spans="1:5" x14ac:dyDescent="0.25">
      <c r="A89" t="s">
        <v>74</v>
      </c>
      <c r="B89" t="s">
        <v>75</v>
      </c>
      <c r="C89" t="s">
        <v>67</v>
      </c>
      <c r="D89" t="s">
        <v>289</v>
      </c>
      <c r="E89">
        <v>24340.870599999998</v>
      </c>
    </row>
    <row r="90" spans="1:5" x14ac:dyDescent="0.25">
      <c r="A90" t="s">
        <v>96</v>
      </c>
      <c r="B90" t="s">
        <v>97</v>
      </c>
      <c r="C90" t="s">
        <v>81</v>
      </c>
      <c r="D90" t="s">
        <v>289</v>
      </c>
      <c r="E90">
        <v>16297.022999999999</v>
      </c>
    </row>
    <row r="91" spans="1:5" x14ac:dyDescent="0.25">
      <c r="A91" t="s">
        <v>100</v>
      </c>
      <c r="B91" t="s">
        <v>100</v>
      </c>
      <c r="C91" t="s">
        <v>52</v>
      </c>
      <c r="D91" t="s">
        <v>291</v>
      </c>
      <c r="E91">
        <v>2042.0092999999999</v>
      </c>
    </row>
    <row r="92" spans="1:5" x14ac:dyDescent="0.25">
      <c r="A92" t="s">
        <v>128</v>
      </c>
      <c r="B92" t="s">
        <v>129</v>
      </c>
      <c r="C92" t="s">
        <v>67</v>
      </c>
      <c r="D92" t="s">
        <v>291</v>
      </c>
      <c r="E92">
        <v>135760.52000000002</v>
      </c>
    </row>
    <row r="93" spans="1:5" x14ac:dyDescent="0.25">
      <c r="A93" t="s">
        <v>65</v>
      </c>
      <c r="B93" t="s">
        <v>66</v>
      </c>
      <c r="C93" t="s">
        <v>67</v>
      </c>
      <c r="D93" t="s">
        <v>291</v>
      </c>
      <c r="E93">
        <v>120799.39659999999</v>
      </c>
    </row>
    <row r="94" spans="1:5" x14ac:dyDescent="0.25">
      <c r="A94" t="s">
        <v>131</v>
      </c>
      <c r="B94" t="s">
        <v>132</v>
      </c>
      <c r="C94" t="s">
        <v>67</v>
      </c>
      <c r="D94" t="s">
        <v>291</v>
      </c>
      <c r="E94">
        <v>7672.8867</v>
      </c>
    </row>
    <row r="95" spans="1:5" x14ac:dyDescent="0.25">
      <c r="A95" t="s">
        <v>82</v>
      </c>
      <c r="B95" t="s">
        <v>83</v>
      </c>
      <c r="C95" t="s">
        <v>226</v>
      </c>
      <c r="D95" t="s">
        <v>291</v>
      </c>
      <c r="E95">
        <v>18578.483</v>
      </c>
    </row>
    <row r="96" spans="1:5" x14ac:dyDescent="0.25">
      <c r="A96" t="s">
        <v>68</v>
      </c>
      <c r="B96" t="s">
        <v>69</v>
      </c>
      <c r="C96" t="s">
        <v>226</v>
      </c>
      <c r="D96" t="s">
        <v>291</v>
      </c>
      <c r="E96">
        <v>27011.7389</v>
      </c>
    </row>
    <row r="97" spans="1:5" x14ac:dyDescent="0.25">
      <c r="A97" t="s">
        <v>79</v>
      </c>
      <c r="B97" t="s">
        <v>80</v>
      </c>
      <c r="C97" t="s">
        <v>81</v>
      </c>
      <c r="D97" t="s">
        <v>291</v>
      </c>
      <c r="E97">
        <v>34010.146399999998</v>
      </c>
    </row>
    <row r="98" spans="1:5" x14ac:dyDescent="0.25">
      <c r="A98" t="s">
        <v>114</v>
      </c>
      <c r="B98" t="s">
        <v>115</v>
      </c>
      <c r="C98" t="s">
        <v>226</v>
      </c>
      <c r="D98" t="s">
        <v>291</v>
      </c>
      <c r="E98">
        <v>8348.4457000000002</v>
      </c>
    </row>
    <row r="99" spans="1:5" x14ac:dyDescent="0.25">
      <c r="A99" t="s">
        <v>92</v>
      </c>
      <c r="B99" t="s">
        <v>282</v>
      </c>
      <c r="C99" t="s">
        <v>81</v>
      </c>
      <c r="D99" t="s">
        <v>291</v>
      </c>
      <c r="E99">
        <v>12738.993900000001</v>
      </c>
    </row>
    <row r="100" spans="1:5" x14ac:dyDescent="0.25">
      <c r="A100" t="s">
        <v>146</v>
      </c>
      <c r="B100" t="s">
        <v>147</v>
      </c>
      <c r="C100" t="s">
        <v>226</v>
      </c>
      <c r="D100" t="s">
        <v>291</v>
      </c>
      <c r="E100">
        <v>1850.1242999999999</v>
      </c>
    </row>
    <row r="101" spans="1:5" x14ac:dyDescent="0.25">
      <c r="A101" t="s">
        <v>90</v>
      </c>
      <c r="B101" t="s">
        <v>91</v>
      </c>
      <c r="C101" t="s">
        <v>81</v>
      </c>
      <c r="D101" t="s">
        <v>291</v>
      </c>
      <c r="E101">
        <v>74295.549100000004</v>
      </c>
    </row>
    <row r="102" spans="1:5" x14ac:dyDescent="0.25">
      <c r="A102" t="s">
        <v>98</v>
      </c>
      <c r="B102" t="s">
        <v>99</v>
      </c>
      <c r="C102" t="s">
        <v>81</v>
      </c>
      <c r="D102" t="s">
        <v>291</v>
      </c>
      <c r="E102">
        <v>25084.7435</v>
      </c>
    </row>
    <row r="103" spans="1:5" x14ac:dyDescent="0.25">
      <c r="A103" t="s">
        <v>120</v>
      </c>
      <c r="B103" t="s">
        <v>268</v>
      </c>
      <c r="C103" t="s">
        <v>67</v>
      </c>
      <c r="D103" t="s">
        <v>291</v>
      </c>
      <c r="E103">
        <v>114947.33900000001</v>
      </c>
    </row>
    <row r="104" spans="1:5" x14ac:dyDescent="0.25">
      <c r="A104" t="s">
        <v>106</v>
      </c>
      <c r="B104" t="s">
        <v>107</v>
      </c>
      <c r="C104" t="s">
        <v>226</v>
      </c>
      <c r="D104" t="s">
        <v>291</v>
      </c>
      <c r="E104">
        <v>116660.4626</v>
      </c>
    </row>
    <row r="105" spans="1:5" x14ac:dyDescent="0.25">
      <c r="A105" t="s">
        <v>45</v>
      </c>
      <c r="B105" t="s">
        <v>46</v>
      </c>
      <c r="C105" t="s">
        <v>52</v>
      </c>
      <c r="D105" t="s">
        <v>291</v>
      </c>
      <c r="E105">
        <v>7225.0056000000004</v>
      </c>
    </row>
    <row r="106" spans="1:5" x14ac:dyDescent="0.25">
      <c r="A106" t="s">
        <v>54</v>
      </c>
      <c r="B106" t="s">
        <v>55</v>
      </c>
      <c r="C106" t="s">
        <v>226</v>
      </c>
      <c r="D106" t="s">
        <v>291</v>
      </c>
      <c r="E106">
        <v>30101.630099999998</v>
      </c>
    </row>
    <row r="107" spans="1:5" x14ac:dyDescent="0.25">
      <c r="A107" t="s">
        <v>94</v>
      </c>
      <c r="B107" t="s">
        <v>95</v>
      </c>
      <c r="C107" t="s">
        <v>52</v>
      </c>
      <c r="D107" t="s">
        <v>291</v>
      </c>
      <c r="E107">
        <v>55914.630000000005</v>
      </c>
    </row>
    <row r="108" spans="1:5" x14ac:dyDescent="0.25">
      <c r="A108" t="s">
        <v>159</v>
      </c>
      <c r="B108" t="s">
        <v>159</v>
      </c>
      <c r="C108" t="s">
        <v>52</v>
      </c>
      <c r="D108" t="s">
        <v>291</v>
      </c>
      <c r="E108">
        <v>2352.1282000000001</v>
      </c>
    </row>
    <row r="109" spans="1:5" x14ac:dyDescent="0.25">
      <c r="A109" t="s">
        <v>135</v>
      </c>
      <c r="B109" t="s">
        <v>290</v>
      </c>
      <c r="C109" t="s">
        <v>226</v>
      </c>
      <c r="D109" t="s">
        <v>291</v>
      </c>
      <c r="E109">
        <v>1517.2592</v>
      </c>
    </row>
    <row r="110" spans="1:5" x14ac:dyDescent="0.25">
      <c r="A110" t="s">
        <v>137</v>
      </c>
      <c r="B110" t="s">
        <v>138</v>
      </c>
      <c r="C110" t="s">
        <v>52</v>
      </c>
      <c r="D110" t="s">
        <v>291</v>
      </c>
      <c r="E110">
        <v>50.621600000000001</v>
      </c>
    </row>
    <row r="111" spans="1:5" x14ac:dyDescent="0.25">
      <c r="A111" t="s">
        <v>102</v>
      </c>
      <c r="B111" t="s">
        <v>271</v>
      </c>
      <c r="C111" t="s">
        <v>52</v>
      </c>
      <c r="D111" t="s">
        <v>291</v>
      </c>
      <c r="E111">
        <v>10455.9403</v>
      </c>
    </row>
    <row r="112" spans="1:5" x14ac:dyDescent="0.25">
      <c r="A112" t="s">
        <v>86</v>
      </c>
      <c r="B112" t="s">
        <v>87</v>
      </c>
      <c r="C112" t="s">
        <v>52</v>
      </c>
      <c r="D112" t="s">
        <v>291</v>
      </c>
      <c r="E112">
        <v>55034.026700000002</v>
      </c>
    </row>
    <row r="113" spans="1:5" x14ac:dyDescent="0.25">
      <c r="A113" t="s">
        <v>144</v>
      </c>
      <c r="B113" t="s">
        <v>286</v>
      </c>
      <c r="C113" t="s">
        <v>67</v>
      </c>
      <c r="D113" t="s">
        <v>291</v>
      </c>
      <c r="E113">
        <v>136.4134</v>
      </c>
    </row>
    <row r="114" spans="1:5" x14ac:dyDescent="0.25">
      <c r="A114" t="s">
        <v>124</v>
      </c>
      <c r="B114" t="s">
        <v>125</v>
      </c>
      <c r="C114" t="s">
        <v>52</v>
      </c>
      <c r="D114" t="s">
        <v>291</v>
      </c>
      <c r="E114">
        <v>19052.3266</v>
      </c>
    </row>
    <row r="115" spans="1:5" x14ac:dyDescent="0.25">
      <c r="A115" t="s">
        <v>63</v>
      </c>
      <c r="B115" t="s">
        <v>64</v>
      </c>
      <c r="C115" t="s">
        <v>226</v>
      </c>
      <c r="D115" t="s">
        <v>291</v>
      </c>
      <c r="E115">
        <v>40896.217000000004</v>
      </c>
    </row>
    <row r="116" spans="1:5" x14ac:dyDescent="0.25">
      <c r="A116" t="s">
        <v>61</v>
      </c>
      <c r="B116" t="s">
        <v>62</v>
      </c>
      <c r="C116" t="s">
        <v>226</v>
      </c>
      <c r="D116" t="s">
        <v>291</v>
      </c>
      <c r="E116">
        <v>17329.0396</v>
      </c>
    </row>
    <row r="117" spans="1:5" x14ac:dyDescent="0.25">
      <c r="A117" t="s">
        <v>76</v>
      </c>
      <c r="B117" t="s">
        <v>77</v>
      </c>
      <c r="C117" t="s">
        <v>52</v>
      </c>
      <c r="D117" t="s">
        <v>291</v>
      </c>
      <c r="E117">
        <v>15147.9007</v>
      </c>
    </row>
    <row r="118" spans="1:5" x14ac:dyDescent="0.25">
      <c r="A118" t="s">
        <v>163</v>
      </c>
      <c r="B118" t="s">
        <v>164</v>
      </c>
      <c r="C118" t="s">
        <v>67</v>
      </c>
      <c r="D118" t="s">
        <v>291</v>
      </c>
      <c r="E118">
        <v>6.9180000000000001</v>
      </c>
    </row>
    <row r="119" spans="1:5" x14ac:dyDescent="0.25">
      <c r="A119" t="s">
        <v>88</v>
      </c>
      <c r="B119" t="s">
        <v>89</v>
      </c>
      <c r="C119" t="s">
        <v>52</v>
      </c>
      <c r="D119" t="s">
        <v>291</v>
      </c>
      <c r="E119">
        <v>12047.5905</v>
      </c>
    </row>
    <row r="120" spans="1:5" x14ac:dyDescent="0.25">
      <c r="A120" t="s">
        <v>116</v>
      </c>
      <c r="B120" t="s">
        <v>117</v>
      </c>
      <c r="C120" t="s">
        <v>52</v>
      </c>
      <c r="D120" t="s">
        <v>291</v>
      </c>
      <c r="E120">
        <v>56701.082600000002</v>
      </c>
    </row>
    <row r="121" spans="1:5" x14ac:dyDescent="0.25">
      <c r="A121" t="s">
        <v>84</v>
      </c>
      <c r="B121" t="s">
        <v>85</v>
      </c>
      <c r="C121" t="s">
        <v>67</v>
      </c>
      <c r="D121" t="s">
        <v>291</v>
      </c>
      <c r="E121">
        <v>7662.5104000000001</v>
      </c>
    </row>
    <row r="122" spans="1:5" x14ac:dyDescent="0.25">
      <c r="A122" t="s">
        <v>112</v>
      </c>
      <c r="B122" t="s">
        <v>113</v>
      </c>
      <c r="C122" t="s">
        <v>81</v>
      </c>
      <c r="D122" t="s">
        <v>291</v>
      </c>
      <c r="E122">
        <v>61572.429700000001</v>
      </c>
    </row>
    <row r="123" spans="1:5" x14ac:dyDescent="0.25">
      <c r="A123" t="s">
        <v>122</v>
      </c>
      <c r="B123" t="s">
        <v>123</v>
      </c>
      <c r="C123" t="s">
        <v>52</v>
      </c>
      <c r="D123" t="s">
        <v>291</v>
      </c>
      <c r="E123">
        <v>60571.6368</v>
      </c>
    </row>
    <row r="124" spans="1:5" x14ac:dyDescent="0.25">
      <c r="A124" t="s">
        <v>59</v>
      </c>
      <c r="B124" t="s">
        <v>60</v>
      </c>
      <c r="C124" t="s">
        <v>226</v>
      </c>
      <c r="D124" t="s">
        <v>291</v>
      </c>
      <c r="E124">
        <v>14285.4619</v>
      </c>
    </row>
    <row r="125" spans="1:5" x14ac:dyDescent="0.25">
      <c r="A125" t="s">
        <v>168</v>
      </c>
      <c r="B125" t="s">
        <v>288</v>
      </c>
      <c r="C125" t="s">
        <v>226</v>
      </c>
      <c r="D125" t="s">
        <v>291</v>
      </c>
      <c r="E125">
        <v>549.07709999999997</v>
      </c>
    </row>
    <row r="126" spans="1:5" x14ac:dyDescent="0.25">
      <c r="A126" t="s">
        <v>50</v>
      </c>
      <c r="B126" t="s">
        <v>51</v>
      </c>
      <c r="C126" t="s">
        <v>52</v>
      </c>
      <c r="D126" t="s">
        <v>291</v>
      </c>
      <c r="E126">
        <v>5500.6057000000001</v>
      </c>
    </row>
    <row r="127" spans="1:5" x14ac:dyDescent="0.25">
      <c r="A127" t="s">
        <v>70</v>
      </c>
      <c r="B127" t="s">
        <v>71</v>
      </c>
      <c r="C127" t="s">
        <v>52</v>
      </c>
      <c r="D127" t="s">
        <v>291</v>
      </c>
      <c r="E127">
        <v>23242.083599999998</v>
      </c>
    </row>
    <row r="128" spans="1:5" x14ac:dyDescent="0.25">
      <c r="A128" t="s">
        <v>72</v>
      </c>
      <c r="B128" t="s">
        <v>73</v>
      </c>
      <c r="C128" t="s">
        <v>67</v>
      </c>
      <c r="D128" t="s">
        <v>291</v>
      </c>
      <c r="E128">
        <v>119003.91310000001</v>
      </c>
    </row>
    <row r="129" spans="1:5" x14ac:dyDescent="0.25">
      <c r="A129" t="s">
        <v>133</v>
      </c>
      <c r="B129" t="s">
        <v>134</v>
      </c>
      <c r="C129" t="s">
        <v>52</v>
      </c>
      <c r="D129" t="s">
        <v>291</v>
      </c>
      <c r="E129">
        <v>10163.8892</v>
      </c>
    </row>
    <row r="130" spans="1:5" x14ac:dyDescent="0.25">
      <c r="A130" t="s">
        <v>292</v>
      </c>
      <c r="B130" t="s">
        <v>127</v>
      </c>
      <c r="C130" t="s">
        <v>67</v>
      </c>
      <c r="D130" t="s">
        <v>291</v>
      </c>
      <c r="E130">
        <v>1831.1789000000001</v>
      </c>
    </row>
    <row r="131" spans="1:5" x14ac:dyDescent="0.25">
      <c r="A131" t="s">
        <v>118</v>
      </c>
      <c r="B131" t="s">
        <v>119</v>
      </c>
      <c r="C131" t="s">
        <v>226</v>
      </c>
      <c r="D131" t="s">
        <v>291</v>
      </c>
      <c r="E131">
        <v>25945.8881</v>
      </c>
    </row>
    <row r="132" spans="1:5" x14ac:dyDescent="0.25">
      <c r="A132" t="s">
        <v>57</v>
      </c>
      <c r="B132" t="s">
        <v>58</v>
      </c>
      <c r="C132" t="s">
        <v>226</v>
      </c>
      <c r="D132" t="s">
        <v>291</v>
      </c>
      <c r="E132">
        <v>3068.9331999999999</v>
      </c>
    </row>
    <row r="133" spans="1:5" x14ac:dyDescent="0.25">
      <c r="A133" t="s">
        <v>74</v>
      </c>
      <c r="B133" t="s">
        <v>75</v>
      </c>
      <c r="C133" t="s">
        <v>67</v>
      </c>
      <c r="D133" t="s">
        <v>291</v>
      </c>
      <c r="E133">
        <v>27947.205999999998</v>
      </c>
    </row>
    <row r="134" spans="1:5" x14ac:dyDescent="0.25">
      <c r="A134" t="s">
        <v>96</v>
      </c>
      <c r="B134" t="s">
        <v>97</v>
      </c>
      <c r="C134" t="s">
        <v>81</v>
      </c>
      <c r="D134" t="s">
        <v>291</v>
      </c>
      <c r="E134">
        <v>15286.2824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AF23-6C29-4E8E-803E-524D3CFB0D30}">
  <dimension ref="A1:G7112"/>
  <sheetViews>
    <sheetView showGridLines="0"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24.85546875" bestFit="1" customWidth="1"/>
    <col min="3" max="3" width="17.5703125" bestFit="1" customWidth="1"/>
    <col min="4" max="4" width="10.7109375" bestFit="1" customWidth="1"/>
    <col min="5" max="5" width="8.28515625" bestFit="1" customWidth="1"/>
    <col min="6" max="6" width="12.5703125" bestFit="1" customWidth="1"/>
    <col min="7" max="7" width="16.85546875" style="30" bestFit="1" customWidth="1"/>
  </cols>
  <sheetData>
    <row r="1" spans="1:7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s="30" t="s">
        <v>44</v>
      </c>
    </row>
    <row r="2" spans="1:7" x14ac:dyDescent="0.25">
      <c r="A2" t="s">
        <v>45</v>
      </c>
      <c r="B2" t="s">
        <v>46</v>
      </c>
      <c r="C2" t="s">
        <v>47</v>
      </c>
      <c r="D2">
        <v>681</v>
      </c>
      <c r="E2" t="s">
        <v>48</v>
      </c>
      <c r="F2" t="s">
        <v>49</v>
      </c>
      <c r="G2" s="30">
        <v>0</v>
      </c>
    </row>
    <row r="3" spans="1:7" x14ac:dyDescent="0.25">
      <c r="A3" t="s">
        <v>45</v>
      </c>
      <c r="B3" t="s">
        <v>46</v>
      </c>
      <c r="C3" t="s">
        <v>47</v>
      </c>
      <c r="D3">
        <v>5481</v>
      </c>
      <c r="E3" t="s">
        <v>48</v>
      </c>
      <c r="F3" t="s">
        <v>49</v>
      </c>
      <c r="G3" s="30">
        <v>0</v>
      </c>
    </row>
    <row r="4" spans="1:7" x14ac:dyDescent="0.25">
      <c r="A4" t="s">
        <v>50</v>
      </c>
      <c r="B4" t="s">
        <v>51</v>
      </c>
      <c r="C4" t="s">
        <v>52</v>
      </c>
      <c r="D4">
        <v>5667</v>
      </c>
      <c r="E4" t="s">
        <v>53</v>
      </c>
      <c r="F4" t="s">
        <v>49</v>
      </c>
      <c r="G4" s="30">
        <v>3136.8977587890599</v>
      </c>
    </row>
    <row r="5" spans="1:7" x14ac:dyDescent="0.25">
      <c r="A5" t="s">
        <v>45</v>
      </c>
      <c r="B5" t="s">
        <v>46</v>
      </c>
      <c r="C5" t="s">
        <v>47</v>
      </c>
      <c r="D5">
        <v>12647</v>
      </c>
      <c r="E5" t="s">
        <v>53</v>
      </c>
      <c r="F5" t="s">
        <v>49</v>
      </c>
      <c r="G5" s="30">
        <v>29049.457261453699</v>
      </c>
    </row>
    <row r="6" spans="1:7" x14ac:dyDescent="0.25">
      <c r="A6" t="s">
        <v>45</v>
      </c>
      <c r="B6" t="s">
        <v>46</v>
      </c>
      <c r="C6" t="s">
        <v>47</v>
      </c>
      <c r="D6">
        <v>14335</v>
      </c>
      <c r="E6" t="s">
        <v>48</v>
      </c>
      <c r="F6" t="s">
        <v>49</v>
      </c>
      <c r="G6" s="30">
        <v>0</v>
      </c>
    </row>
    <row r="7" spans="1:7" x14ac:dyDescent="0.25">
      <c r="A7" t="s">
        <v>45</v>
      </c>
      <c r="B7" t="s">
        <v>46</v>
      </c>
      <c r="C7" t="s">
        <v>47</v>
      </c>
      <c r="D7">
        <v>14893</v>
      </c>
      <c r="E7" t="s">
        <v>53</v>
      </c>
      <c r="F7" t="s">
        <v>49</v>
      </c>
      <c r="G7" s="30">
        <v>113.536332114085</v>
      </c>
    </row>
    <row r="8" spans="1:7" x14ac:dyDescent="0.25">
      <c r="A8" t="s">
        <v>50</v>
      </c>
      <c r="B8" t="s">
        <v>51</v>
      </c>
      <c r="C8" t="s">
        <v>52</v>
      </c>
      <c r="D8">
        <v>14972</v>
      </c>
      <c r="E8" t="s">
        <v>53</v>
      </c>
      <c r="F8" t="s">
        <v>49</v>
      </c>
      <c r="G8" s="30">
        <v>1.20000001361742E-17</v>
      </c>
    </row>
    <row r="9" spans="1:7" x14ac:dyDescent="0.25">
      <c r="A9" t="s">
        <v>54</v>
      </c>
      <c r="B9" t="s">
        <v>55</v>
      </c>
      <c r="C9" t="s">
        <v>56</v>
      </c>
      <c r="D9">
        <v>15138</v>
      </c>
      <c r="E9" t="s">
        <v>53</v>
      </c>
      <c r="F9" t="s">
        <v>49</v>
      </c>
      <c r="G9" s="30">
        <v>107636.11889801901</v>
      </c>
    </row>
    <row r="10" spans="1:7" x14ac:dyDescent="0.25">
      <c r="A10" t="s">
        <v>57</v>
      </c>
      <c r="B10" t="s">
        <v>58</v>
      </c>
      <c r="C10" t="s">
        <v>56</v>
      </c>
      <c r="D10">
        <v>15667</v>
      </c>
      <c r="E10" t="s">
        <v>53</v>
      </c>
      <c r="F10" t="s">
        <v>49</v>
      </c>
      <c r="G10" s="30">
        <v>10124.2997302474</v>
      </c>
    </row>
    <row r="11" spans="1:7" x14ac:dyDescent="0.25">
      <c r="A11" t="s">
        <v>45</v>
      </c>
      <c r="B11" t="s">
        <v>46</v>
      </c>
      <c r="C11" t="s">
        <v>47</v>
      </c>
      <c r="D11">
        <v>15808</v>
      </c>
      <c r="E11" t="s">
        <v>48</v>
      </c>
      <c r="F11" t="s">
        <v>49</v>
      </c>
      <c r="G11" s="30">
        <v>0</v>
      </c>
    </row>
    <row r="12" spans="1:7" x14ac:dyDescent="0.25">
      <c r="A12" t="s">
        <v>50</v>
      </c>
      <c r="B12" t="s">
        <v>51</v>
      </c>
      <c r="C12" t="s">
        <v>52</v>
      </c>
      <c r="D12">
        <v>19222</v>
      </c>
      <c r="E12" t="s">
        <v>53</v>
      </c>
      <c r="F12" t="s">
        <v>49</v>
      </c>
      <c r="G12" s="30">
        <v>213.76</v>
      </c>
    </row>
    <row r="13" spans="1:7" x14ac:dyDescent="0.25">
      <c r="A13" t="s">
        <v>59</v>
      </c>
      <c r="B13" t="s">
        <v>60</v>
      </c>
      <c r="C13" t="s">
        <v>56</v>
      </c>
      <c r="D13">
        <v>19767</v>
      </c>
      <c r="E13" t="s">
        <v>53</v>
      </c>
      <c r="F13" t="s">
        <v>49</v>
      </c>
      <c r="G13" s="30">
        <v>269586.36010572402</v>
      </c>
    </row>
    <row r="14" spans="1:7" x14ac:dyDescent="0.25">
      <c r="A14" t="s">
        <v>45</v>
      </c>
      <c r="B14" t="s">
        <v>46</v>
      </c>
      <c r="C14" t="s">
        <v>47</v>
      </c>
      <c r="D14">
        <v>19854</v>
      </c>
      <c r="E14" t="s">
        <v>53</v>
      </c>
      <c r="F14" t="s">
        <v>49</v>
      </c>
      <c r="G14" s="30">
        <v>21615.9052734375</v>
      </c>
    </row>
    <row r="15" spans="1:7" x14ac:dyDescent="0.25">
      <c r="A15" t="s">
        <v>61</v>
      </c>
      <c r="B15" t="s">
        <v>62</v>
      </c>
      <c r="C15" t="s">
        <v>56</v>
      </c>
      <c r="D15">
        <v>21091</v>
      </c>
      <c r="E15" t="s">
        <v>53</v>
      </c>
      <c r="F15" t="s">
        <v>49</v>
      </c>
      <c r="G15" s="30">
        <v>1001124.18739231</v>
      </c>
    </row>
    <row r="16" spans="1:7" x14ac:dyDescent="0.25">
      <c r="A16" t="s">
        <v>63</v>
      </c>
      <c r="B16" t="s">
        <v>64</v>
      </c>
      <c r="C16" t="s">
        <v>56</v>
      </c>
      <c r="D16">
        <v>29691</v>
      </c>
      <c r="E16" t="s">
        <v>53</v>
      </c>
      <c r="F16" t="s">
        <v>49</v>
      </c>
      <c r="G16" s="30">
        <v>2211680.4987374102</v>
      </c>
    </row>
    <row r="17" spans="1:7" x14ac:dyDescent="0.25">
      <c r="A17" t="s">
        <v>45</v>
      </c>
      <c r="B17" t="s">
        <v>46</v>
      </c>
      <c r="C17" t="s">
        <v>47</v>
      </c>
      <c r="D17">
        <v>29955</v>
      </c>
      <c r="E17" t="s">
        <v>48</v>
      </c>
      <c r="F17" t="s">
        <v>49</v>
      </c>
      <c r="G17" s="30">
        <v>0</v>
      </c>
    </row>
    <row r="18" spans="1:7" x14ac:dyDescent="0.25">
      <c r="A18" t="s">
        <v>65</v>
      </c>
      <c r="B18" t="s">
        <v>66</v>
      </c>
      <c r="C18" t="s">
        <v>67</v>
      </c>
      <c r="D18">
        <v>31592</v>
      </c>
      <c r="E18" t="s">
        <v>53</v>
      </c>
      <c r="F18" t="s">
        <v>49</v>
      </c>
      <c r="G18" s="30">
        <v>794487.05789062497</v>
      </c>
    </row>
    <row r="19" spans="1:7" x14ac:dyDescent="0.25">
      <c r="A19" t="s">
        <v>59</v>
      </c>
      <c r="B19" t="s">
        <v>60</v>
      </c>
      <c r="C19" t="s">
        <v>56</v>
      </c>
      <c r="D19">
        <v>35229</v>
      </c>
      <c r="E19" t="s">
        <v>53</v>
      </c>
      <c r="F19" t="s">
        <v>49</v>
      </c>
      <c r="G19" s="30">
        <v>738005.13789205998</v>
      </c>
    </row>
    <row r="20" spans="1:7" x14ac:dyDescent="0.25">
      <c r="A20" t="s">
        <v>45</v>
      </c>
      <c r="B20" t="s">
        <v>46</v>
      </c>
      <c r="C20" t="s">
        <v>47</v>
      </c>
      <c r="D20">
        <v>35582</v>
      </c>
      <c r="E20" t="s">
        <v>48</v>
      </c>
      <c r="F20" t="s">
        <v>49</v>
      </c>
      <c r="G20" s="30">
        <v>0.26</v>
      </c>
    </row>
    <row r="21" spans="1:7" x14ac:dyDescent="0.25">
      <c r="A21" t="s">
        <v>68</v>
      </c>
      <c r="B21" t="s">
        <v>69</v>
      </c>
      <c r="C21" t="s">
        <v>56</v>
      </c>
      <c r="D21">
        <v>40529</v>
      </c>
      <c r="E21" t="s">
        <v>53</v>
      </c>
      <c r="F21" t="s">
        <v>49</v>
      </c>
      <c r="G21" s="30">
        <v>3530.38</v>
      </c>
    </row>
    <row r="22" spans="1:7" x14ac:dyDescent="0.25">
      <c r="A22" t="s">
        <v>61</v>
      </c>
      <c r="B22" t="s">
        <v>62</v>
      </c>
      <c r="C22" t="s">
        <v>56</v>
      </c>
      <c r="D22">
        <v>40875</v>
      </c>
      <c r="E22" t="s">
        <v>53</v>
      </c>
      <c r="F22" t="s">
        <v>49</v>
      </c>
      <c r="G22" s="30">
        <v>52994.698325822297</v>
      </c>
    </row>
    <row r="23" spans="1:7" x14ac:dyDescent="0.25">
      <c r="A23" t="s">
        <v>45</v>
      </c>
      <c r="B23" t="s">
        <v>46</v>
      </c>
      <c r="C23" t="s">
        <v>47</v>
      </c>
      <c r="D23">
        <v>41813</v>
      </c>
      <c r="E23" t="s">
        <v>48</v>
      </c>
      <c r="F23" t="s">
        <v>49</v>
      </c>
      <c r="G23" s="30">
        <v>9.65</v>
      </c>
    </row>
    <row r="24" spans="1:7" x14ac:dyDescent="0.25">
      <c r="A24" t="s">
        <v>70</v>
      </c>
      <c r="B24" t="s">
        <v>71</v>
      </c>
      <c r="C24" t="s">
        <v>47</v>
      </c>
      <c r="D24">
        <v>41844</v>
      </c>
      <c r="E24" t="s">
        <v>53</v>
      </c>
      <c r="F24" t="s">
        <v>49</v>
      </c>
      <c r="G24" s="30">
        <v>107425.521412662</v>
      </c>
    </row>
    <row r="25" spans="1:7" x14ac:dyDescent="0.25">
      <c r="A25" t="s">
        <v>70</v>
      </c>
      <c r="B25" t="s">
        <v>71</v>
      </c>
      <c r="C25" t="s">
        <v>47</v>
      </c>
      <c r="D25">
        <v>44061</v>
      </c>
      <c r="E25" t="s">
        <v>53</v>
      </c>
      <c r="F25" t="s">
        <v>49</v>
      </c>
      <c r="G25" s="30">
        <v>5165.8533890537801</v>
      </c>
    </row>
    <row r="26" spans="1:7" x14ac:dyDescent="0.25">
      <c r="A26" t="s">
        <v>45</v>
      </c>
      <c r="B26" t="s">
        <v>46</v>
      </c>
      <c r="C26" t="s">
        <v>47</v>
      </c>
      <c r="D26">
        <v>51433</v>
      </c>
      <c r="E26" t="s">
        <v>48</v>
      </c>
      <c r="F26" t="s">
        <v>49</v>
      </c>
      <c r="G26" s="30">
        <v>0</v>
      </c>
    </row>
    <row r="27" spans="1:7" x14ac:dyDescent="0.25">
      <c r="A27" t="s">
        <v>45</v>
      </c>
      <c r="B27" t="s">
        <v>46</v>
      </c>
      <c r="C27" t="s">
        <v>47</v>
      </c>
      <c r="D27">
        <v>55397</v>
      </c>
      <c r="E27" t="s">
        <v>48</v>
      </c>
      <c r="F27" t="s">
        <v>49</v>
      </c>
      <c r="G27" s="30">
        <v>0</v>
      </c>
    </row>
    <row r="28" spans="1:7" x14ac:dyDescent="0.25">
      <c r="A28" t="s">
        <v>72</v>
      </c>
      <c r="B28" t="s">
        <v>73</v>
      </c>
      <c r="C28" t="s">
        <v>67</v>
      </c>
      <c r="D28">
        <v>57355</v>
      </c>
      <c r="E28" t="s">
        <v>53</v>
      </c>
      <c r="F28" t="s">
        <v>49</v>
      </c>
      <c r="G28" s="30">
        <v>781800.00668372295</v>
      </c>
    </row>
    <row r="29" spans="1:7" x14ac:dyDescent="0.25">
      <c r="A29" t="s">
        <v>50</v>
      </c>
      <c r="B29" t="s">
        <v>51</v>
      </c>
      <c r="C29" t="s">
        <v>52</v>
      </c>
      <c r="D29">
        <v>57399</v>
      </c>
      <c r="E29" t="s">
        <v>53</v>
      </c>
      <c r="F29" t="s">
        <v>49</v>
      </c>
      <c r="G29" s="30">
        <v>77.724198880974996</v>
      </c>
    </row>
    <row r="30" spans="1:7" x14ac:dyDescent="0.25">
      <c r="A30" t="s">
        <v>45</v>
      </c>
      <c r="B30" t="s">
        <v>46</v>
      </c>
      <c r="C30" t="s">
        <v>47</v>
      </c>
      <c r="D30">
        <v>57521</v>
      </c>
      <c r="E30" t="s">
        <v>48</v>
      </c>
      <c r="F30" t="s">
        <v>49</v>
      </c>
      <c r="G30" s="30">
        <v>53.2</v>
      </c>
    </row>
    <row r="31" spans="1:7" x14ac:dyDescent="0.25">
      <c r="A31" t="s">
        <v>74</v>
      </c>
      <c r="B31" t="s">
        <v>75</v>
      </c>
      <c r="C31" t="s">
        <v>67</v>
      </c>
      <c r="D31">
        <v>60246</v>
      </c>
      <c r="E31" t="s">
        <v>53</v>
      </c>
      <c r="F31" t="s">
        <v>49</v>
      </c>
      <c r="G31" s="30">
        <v>37983111.2215828</v>
      </c>
    </row>
    <row r="32" spans="1:7" x14ac:dyDescent="0.25">
      <c r="A32" t="s">
        <v>50</v>
      </c>
      <c r="B32" t="s">
        <v>51</v>
      </c>
      <c r="C32" t="s">
        <v>52</v>
      </c>
      <c r="D32">
        <v>60369</v>
      </c>
      <c r="E32" t="s">
        <v>53</v>
      </c>
      <c r="F32" t="s">
        <v>49</v>
      </c>
      <c r="G32" s="30">
        <v>2236.8235490862098</v>
      </c>
    </row>
    <row r="33" spans="1:7" x14ac:dyDescent="0.25">
      <c r="A33" t="s">
        <v>74</v>
      </c>
      <c r="B33" t="s">
        <v>75</v>
      </c>
      <c r="C33" t="s">
        <v>67</v>
      </c>
      <c r="D33">
        <v>61412</v>
      </c>
      <c r="E33" t="s">
        <v>53</v>
      </c>
      <c r="F33" t="s">
        <v>49</v>
      </c>
      <c r="G33" s="30">
        <v>272598.71000000002</v>
      </c>
    </row>
    <row r="34" spans="1:7" x14ac:dyDescent="0.25">
      <c r="A34" t="s">
        <v>76</v>
      </c>
      <c r="B34" t="s">
        <v>77</v>
      </c>
      <c r="C34" t="s">
        <v>78</v>
      </c>
      <c r="D34">
        <v>71004</v>
      </c>
      <c r="E34" t="s">
        <v>53</v>
      </c>
      <c r="F34" t="s">
        <v>49</v>
      </c>
      <c r="G34" s="30">
        <v>485074.18579362601</v>
      </c>
    </row>
    <row r="35" spans="1:7" x14ac:dyDescent="0.25">
      <c r="A35" t="s">
        <v>79</v>
      </c>
      <c r="B35" t="s">
        <v>80</v>
      </c>
      <c r="C35" t="s">
        <v>81</v>
      </c>
      <c r="D35">
        <v>72615</v>
      </c>
      <c r="E35" t="s">
        <v>53</v>
      </c>
      <c r="F35" t="s">
        <v>49</v>
      </c>
      <c r="G35" s="30">
        <v>372232.95160156197</v>
      </c>
    </row>
    <row r="36" spans="1:7" x14ac:dyDescent="0.25">
      <c r="A36" t="s">
        <v>54</v>
      </c>
      <c r="B36" t="s">
        <v>55</v>
      </c>
      <c r="C36" t="s">
        <v>56</v>
      </c>
      <c r="D36">
        <v>75988</v>
      </c>
      <c r="E36" t="s">
        <v>53</v>
      </c>
      <c r="F36" t="s">
        <v>49</v>
      </c>
      <c r="G36" s="30">
        <v>251620.93</v>
      </c>
    </row>
    <row r="37" spans="1:7" x14ac:dyDescent="0.25">
      <c r="A37" t="s">
        <v>61</v>
      </c>
      <c r="B37" t="s">
        <v>62</v>
      </c>
      <c r="C37" t="s">
        <v>56</v>
      </c>
      <c r="D37">
        <v>77077</v>
      </c>
      <c r="E37" t="s">
        <v>53</v>
      </c>
      <c r="F37" t="s">
        <v>49</v>
      </c>
      <c r="G37" s="30">
        <v>51729.081386603699</v>
      </c>
    </row>
    <row r="38" spans="1:7" x14ac:dyDescent="0.25">
      <c r="A38" t="s">
        <v>45</v>
      </c>
      <c r="B38" t="s">
        <v>46</v>
      </c>
      <c r="C38" t="s">
        <v>47</v>
      </c>
      <c r="D38">
        <v>79685</v>
      </c>
      <c r="E38" t="s">
        <v>48</v>
      </c>
      <c r="F38" t="s">
        <v>49</v>
      </c>
      <c r="G38" s="30">
        <v>0</v>
      </c>
    </row>
    <row r="39" spans="1:7" x14ac:dyDescent="0.25">
      <c r="A39" t="s">
        <v>82</v>
      </c>
      <c r="B39" t="s">
        <v>83</v>
      </c>
      <c r="C39" t="s">
        <v>56</v>
      </c>
      <c r="D39">
        <v>81634</v>
      </c>
      <c r="E39" t="s">
        <v>48</v>
      </c>
      <c r="F39" t="s">
        <v>49</v>
      </c>
      <c r="G39" s="30">
        <v>0</v>
      </c>
    </row>
    <row r="40" spans="1:7" x14ac:dyDescent="0.25">
      <c r="A40" t="s">
        <v>84</v>
      </c>
      <c r="B40" t="s">
        <v>85</v>
      </c>
      <c r="C40" t="s">
        <v>67</v>
      </c>
      <c r="D40">
        <v>81807</v>
      </c>
      <c r="E40" t="s">
        <v>53</v>
      </c>
      <c r="F40" t="s">
        <v>49</v>
      </c>
      <c r="G40" s="30">
        <v>502425.83901545999</v>
      </c>
    </row>
    <row r="41" spans="1:7" x14ac:dyDescent="0.25">
      <c r="A41" t="s">
        <v>45</v>
      </c>
      <c r="B41" t="s">
        <v>46</v>
      </c>
      <c r="C41" t="s">
        <v>47</v>
      </c>
      <c r="D41">
        <v>85122</v>
      </c>
      <c r="E41" t="s">
        <v>48</v>
      </c>
      <c r="F41" t="s">
        <v>49</v>
      </c>
      <c r="G41" s="30">
        <v>0</v>
      </c>
    </row>
    <row r="42" spans="1:7" x14ac:dyDescent="0.25">
      <c r="A42" t="s">
        <v>50</v>
      </c>
      <c r="B42" t="s">
        <v>51</v>
      </c>
      <c r="C42" t="s">
        <v>52</v>
      </c>
      <c r="D42">
        <v>86418</v>
      </c>
      <c r="E42" t="s">
        <v>53</v>
      </c>
      <c r="F42" t="s">
        <v>49</v>
      </c>
      <c r="G42" s="30">
        <v>72392.483731375003</v>
      </c>
    </row>
    <row r="43" spans="1:7" x14ac:dyDescent="0.25">
      <c r="A43" t="s">
        <v>54</v>
      </c>
      <c r="B43" t="s">
        <v>55</v>
      </c>
      <c r="C43" t="s">
        <v>56</v>
      </c>
      <c r="D43">
        <v>86419</v>
      </c>
      <c r="E43" t="s">
        <v>53</v>
      </c>
      <c r="F43" t="s">
        <v>49</v>
      </c>
      <c r="G43" s="30">
        <v>121842.655763352</v>
      </c>
    </row>
    <row r="44" spans="1:7" x14ac:dyDescent="0.25">
      <c r="A44" t="s">
        <v>50</v>
      </c>
      <c r="B44" t="s">
        <v>51</v>
      </c>
      <c r="C44" t="s">
        <v>52</v>
      </c>
      <c r="D44">
        <v>86770</v>
      </c>
      <c r="E44" t="s">
        <v>48</v>
      </c>
      <c r="F44" t="s">
        <v>49</v>
      </c>
      <c r="G44" s="30">
        <v>0</v>
      </c>
    </row>
    <row r="45" spans="1:7" x14ac:dyDescent="0.25">
      <c r="A45" t="s">
        <v>86</v>
      </c>
      <c r="B45" t="s">
        <v>87</v>
      </c>
      <c r="C45" t="s">
        <v>78</v>
      </c>
      <c r="D45">
        <v>90530</v>
      </c>
      <c r="E45" t="s">
        <v>53</v>
      </c>
      <c r="F45" t="s">
        <v>49</v>
      </c>
      <c r="G45" s="30">
        <v>67987.95</v>
      </c>
    </row>
    <row r="46" spans="1:7" x14ac:dyDescent="0.25">
      <c r="A46" t="s">
        <v>45</v>
      </c>
      <c r="B46" t="s">
        <v>46</v>
      </c>
      <c r="C46" t="s">
        <v>47</v>
      </c>
      <c r="D46">
        <v>92784</v>
      </c>
      <c r="E46" t="s">
        <v>48</v>
      </c>
      <c r="F46" t="s">
        <v>49</v>
      </c>
      <c r="G46" s="30">
        <v>0</v>
      </c>
    </row>
    <row r="47" spans="1:7" x14ac:dyDescent="0.25">
      <c r="A47" t="s">
        <v>88</v>
      </c>
      <c r="B47" t="s">
        <v>89</v>
      </c>
      <c r="C47" t="s">
        <v>78</v>
      </c>
      <c r="D47">
        <v>94634</v>
      </c>
      <c r="E47" t="s">
        <v>53</v>
      </c>
      <c r="F47" t="s">
        <v>49</v>
      </c>
      <c r="G47" s="30">
        <v>48870.37</v>
      </c>
    </row>
    <row r="48" spans="1:7" x14ac:dyDescent="0.25">
      <c r="A48" t="s">
        <v>45</v>
      </c>
      <c r="B48" t="s">
        <v>46</v>
      </c>
      <c r="C48" t="s">
        <v>47</v>
      </c>
      <c r="D48">
        <v>95277</v>
      </c>
      <c r="E48" t="s">
        <v>48</v>
      </c>
      <c r="F48" t="s">
        <v>49</v>
      </c>
      <c r="G48" s="30">
        <v>0</v>
      </c>
    </row>
    <row r="49" spans="1:7" x14ac:dyDescent="0.25">
      <c r="A49" t="s">
        <v>45</v>
      </c>
      <c r="B49" t="s">
        <v>46</v>
      </c>
      <c r="C49" t="s">
        <v>47</v>
      </c>
      <c r="D49">
        <v>95416</v>
      </c>
      <c r="E49" t="s">
        <v>48</v>
      </c>
      <c r="F49" t="s">
        <v>49</v>
      </c>
      <c r="G49" s="30">
        <v>0</v>
      </c>
    </row>
    <row r="50" spans="1:7" x14ac:dyDescent="0.25">
      <c r="A50" t="s">
        <v>90</v>
      </c>
      <c r="B50" t="s">
        <v>91</v>
      </c>
      <c r="C50" t="s">
        <v>81</v>
      </c>
      <c r="D50">
        <v>96393</v>
      </c>
      <c r="E50" t="s">
        <v>48</v>
      </c>
      <c r="F50" t="s">
        <v>49</v>
      </c>
      <c r="G50" s="30">
        <v>0</v>
      </c>
    </row>
    <row r="51" spans="1:7" x14ac:dyDescent="0.25">
      <c r="A51" t="s">
        <v>45</v>
      </c>
      <c r="B51" t="s">
        <v>46</v>
      </c>
      <c r="C51" t="s">
        <v>47</v>
      </c>
      <c r="D51">
        <v>100030</v>
      </c>
      <c r="E51" t="s">
        <v>48</v>
      </c>
      <c r="F51" t="s">
        <v>49</v>
      </c>
      <c r="G51" s="30">
        <v>0</v>
      </c>
    </row>
    <row r="52" spans="1:7" x14ac:dyDescent="0.25">
      <c r="A52" t="s">
        <v>61</v>
      </c>
      <c r="B52" t="s">
        <v>62</v>
      </c>
      <c r="C52" t="s">
        <v>56</v>
      </c>
      <c r="D52">
        <v>101145</v>
      </c>
      <c r="E52" t="s">
        <v>48</v>
      </c>
      <c r="F52" t="s">
        <v>49</v>
      </c>
      <c r="G52" s="30">
        <v>0.27</v>
      </c>
    </row>
    <row r="53" spans="1:7" x14ac:dyDescent="0.25">
      <c r="A53" t="s">
        <v>50</v>
      </c>
      <c r="B53" t="s">
        <v>51</v>
      </c>
      <c r="C53" t="s">
        <v>52</v>
      </c>
      <c r="D53">
        <v>101934</v>
      </c>
      <c r="E53" t="s">
        <v>53</v>
      </c>
      <c r="F53" t="s">
        <v>49</v>
      </c>
      <c r="G53" s="30">
        <v>67683.447040865402</v>
      </c>
    </row>
    <row r="54" spans="1:7" x14ac:dyDescent="0.25">
      <c r="A54" t="s">
        <v>50</v>
      </c>
      <c r="B54" t="s">
        <v>51</v>
      </c>
      <c r="C54" t="s">
        <v>52</v>
      </c>
      <c r="D54">
        <v>103892</v>
      </c>
      <c r="E54" t="s">
        <v>53</v>
      </c>
      <c r="F54" t="s">
        <v>49</v>
      </c>
      <c r="G54" s="30">
        <v>207.63464876493501</v>
      </c>
    </row>
    <row r="55" spans="1:7" x14ac:dyDescent="0.25">
      <c r="A55" t="s">
        <v>92</v>
      </c>
      <c r="B55" t="s">
        <v>93</v>
      </c>
      <c r="C55" t="s">
        <v>81</v>
      </c>
      <c r="D55">
        <v>105564</v>
      </c>
      <c r="E55" t="s">
        <v>53</v>
      </c>
      <c r="F55" t="s">
        <v>49</v>
      </c>
      <c r="G55" s="30">
        <v>5657.44</v>
      </c>
    </row>
    <row r="56" spans="1:7" x14ac:dyDescent="0.25">
      <c r="A56" t="s">
        <v>45</v>
      </c>
      <c r="B56" t="s">
        <v>46</v>
      </c>
      <c r="C56" t="s">
        <v>47</v>
      </c>
      <c r="D56">
        <v>106156</v>
      </c>
      <c r="E56" t="s">
        <v>48</v>
      </c>
      <c r="F56" t="s">
        <v>49</v>
      </c>
      <c r="G56" s="30">
        <v>0</v>
      </c>
    </row>
    <row r="57" spans="1:7" x14ac:dyDescent="0.25">
      <c r="A57" t="s">
        <v>59</v>
      </c>
      <c r="B57" t="s">
        <v>60</v>
      </c>
      <c r="C57" t="s">
        <v>56</v>
      </c>
      <c r="D57">
        <v>110705</v>
      </c>
      <c r="E57" t="s">
        <v>53</v>
      </c>
      <c r="F57" t="s">
        <v>49</v>
      </c>
      <c r="G57" s="30">
        <v>39032.243370821401</v>
      </c>
    </row>
    <row r="58" spans="1:7" x14ac:dyDescent="0.25">
      <c r="A58" t="s">
        <v>45</v>
      </c>
      <c r="B58" t="s">
        <v>46</v>
      </c>
      <c r="C58" t="s">
        <v>47</v>
      </c>
      <c r="D58">
        <v>119805</v>
      </c>
      <c r="E58" t="s">
        <v>48</v>
      </c>
      <c r="F58" t="s">
        <v>49</v>
      </c>
      <c r="G58" s="30">
        <v>31.9</v>
      </c>
    </row>
    <row r="59" spans="1:7" x14ac:dyDescent="0.25">
      <c r="A59" t="s">
        <v>45</v>
      </c>
      <c r="B59" t="s">
        <v>46</v>
      </c>
      <c r="C59" t="s">
        <v>47</v>
      </c>
      <c r="D59">
        <v>119930</v>
      </c>
      <c r="E59" t="s">
        <v>48</v>
      </c>
      <c r="F59" t="s">
        <v>49</v>
      </c>
      <c r="G59" s="30">
        <v>3.4</v>
      </c>
    </row>
    <row r="60" spans="1:7" x14ac:dyDescent="0.25">
      <c r="A60" t="s">
        <v>45</v>
      </c>
      <c r="B60" t="s">
        <v>46</v>
      </c>
      <c r="C60" t="s">
        <v>47</v>
      </c>
      <c r="D60">
        <v>126932</v>
      </c>
      <c r="E60" t="s">
        <v>48</v>
      </c>
      <c r="F60" t="s">
        <v>49</v>
      </c>
      <c r="G60" s="30">
        <v>0</v>
      </c>
    </row>
    <row r="61" spans="1:7" x14ac:dyDescent="0.25">
      <c r="A61" t="s">
        <v>94</v>
      </c>
      <c r="B61" t="s">
        <v>95</v>
      </c>
      <c r="C61" t="s">
        <v>78</v>
      </c>
      <c r="D61">
        <v>130885</v>
      </c>
      <c r="E61" t="s">
        <v>53</v>
      </c>
      <c r="F61" t="s">
        <v>49</v>
      </c>
      <c r="G61" s="30">
        <v>147762.67298645401</v>
      </c>
    </row>
    <row r="62" spans="1:7" x14ac:dyDescent="0.25">
      <c r="A62" t="s">
        <v>45</v>
      </c>
      <c r="B62" t="s">
        <v>46</v>
      </c>
      <c r="C62" t="s">
        <v>47</v>
      </c>
      <c r="D62">
        <v>131184</v>
      </c>
      <c r="E62" t="s">
        <v>48</v>
      </c>
      <c r="F62" t="s">
        <v>49</v>
      </c>
      <c r="G62" s="30">
        <v>0</v>
      </c>
    </row>
    <row r="63" spans="1:7" x14ac:dyDescent="0.25">
      <c r="A63" t="s">
        <v>50</v>
      </c>
      <c r="B63" t="s">
        <v>51</v>
      </c>
      <c r="C63" t="s">
        <v>52</v>
      </c>
      <c r="D63">
        <v>134576</v>
      </c>
      <c r="E63" t="s">
        <v>53</v>
      </c>
      <c r="F63" t="s">
        <v>49</v>
      </c>
      <c r="G63" s="30">
        <v>2078.5135253906301</v>
      </c>
    </row>
    <row r="64" spans="1:7" x14ac:dyDescent="0.25">
      <c r="A64" t="s">
        <v>54</v>
      </c>
      <c r="B64" t="s">
        <v>55</v>
      </c>
      <c r="C64" t="s">
        <v>56</v>
      </c>
      <c r="D64">
        <v>135183</v>
      </c>
      <c r="E64" t="s">
        <v>53</v>
      </c>
      <c r="F64" t="s">
        <v>49</v>
      </c>
      <c r="G64" s="30">
        <v>6358.7666662360998</v>
      </c>
    </row>
    <row r="65" spans="1:7" x14ac:dyDescent="0.25">
      <c r="A65" t="s">
        <v>45</v>
      </c>
      <c r="B65" t="s">
        <v>46</v>
      </c>
      <c r="C65" t="s">
        <v>47</v>
      </c>
      <c r="D65">
        <v>138726</v>
      </c>
      <c r="E65" t="s">
        <v>48</v>
      </c>
      <c r="F65" t="s">
        <v>49</v>
      </c>
      <c r="G65" s="30">
        <v>25.48</v>
      </c>
    </row>
    <row r="66" spans="1:7" x14ac:dyDescent="0.25">
      <c r="A66" t="s">
        <v>94</v>
      </c>
      <c r="B66" t="s">
        <v>95</v>
      </c>
      <c r="C66" t="s">
        <v>78</v>
      </c>
      <c r="D66">
        <v>140722</v>
      </c>
      <c r="E66" t="s">
        <v>53</v>
      </c>
      <c r="F66" t="s">
        <v>49</v>
      </c>
      <c r="G66" s="30">
        <v>186387.887183265</v>
      </c>
    </row>
    <row r="67" spans="1:7" x14ac:dyDescent="0.25">
      <c r="A67" t="s">
        <v>50</v>
      </c>
      <c r="B67" t="s">
        <v>51</v>
      </c>
      <c r="C67" t="s">
        <v>52</v>
      </c>
      <c r="D67">
        <v>142117</v>
      </c>
      <c r="E67" t="s">
        <v>53</v>
      </c>
      <c r="F67" t="s">
        <v>49</v>
      </c>
      <c r="G67" s="30">
        <v>58.990844862938097</v>
      </c>
    </row>
    <row r="68" spans="1:7" x14ac:dyDescent="0.25">
      <c r="A68" t="s">
        <v>45</v>
      </c>
      <c r="B68" t="s">
        <v>46</v>
      </c>
      <c r="C68" t="s">
        <v>47</v>
      </c>
      <c r="D68">
        <v>142431</v>
      </c>
      <c r="E68" t="s">
        <v>48</v>
      </c>
      <c r="F68" t="s">
        <v>49</v>
      </c>
      <c r="G68" s="30">
        <v>0</v>
      </c>
    </row>
    <row r="69" spans="1:7" x14ac:dyDescent="0.25">
      <c r="A69" t="s">
        <v>96</v>
      </c>
      <c r="B69" t="s">
        <v>97</v>
      </c>
      <c r="C69" t="s">
        <v>81</v>
      </c>
      <c r="D69">
        <v>145612</v>
      </c>
      <c r="E69" t="s">
        <v>48</v>
      </c>
      <c r="F69" t="s">
        <v>49</v>
      </c>
      <c r="G69" s="30">
        <v>0</v>
      </c>
    </row>
    <row r="70" spans="1:7" x14ac:dyDescent="0.25">
      <c r="A70" t="s">
        <v>45</v>
      </c>
      <c r="B70" t="s">
        <v>46</v>
      </c>
      <c r="C70" t="s">
        <v>47</v>
      </c>
      <c r="D70">
        <v>146509</v>
      </c>
      <c r="E70" t="s">
        <v>48</v>
      </c>
      <c r="F70" t="s">
        <v>49</v>
      </c>
      <c r="G70" s="30">
        <v>0</v>
      </c>
    </row>
    <row r="71" spans="1:7" x14ac:dyDescent="0.25">
      <c r="A71" t="s">
        <v>45</v>
      </c>
      <c r="B71" t="s">
        <v>46</v>
      </c>
      <c r="C71" t="s">
        <v>47</v>
      </c>
      <c r="D71">
        <v>147091</v>
      </c>
      <c r="E71" t="s">
        <v>48</v>
      </c>
      <c r="F71" t="s">
        <v>49</v>
      </c>
      <c r="G71" s="30">
        <v>0</v>
      </c>
    </row>
    <row r="72" spans="1:7" x14ac:dyDescent="0.25">
      <c r="A72" t="s">
        <v>45</v>
      </c>
      <c r="B72" t="s">
        <v>46</v>
      </c>
      <c r="C72" t="s">
        <v>47</v>
      </c>
      <c r="D72">
        <v>147200</v>
      </c>
      <c r="E72" t="s">
        <v>48</v>
      </c>
      <c r="F72" t="s">
        <v>49</v>
      </c>
      <c r="G72" s="30">
        <v>0</v>
      </c>
    </row>
    <row r="73" spans="1:7" x14ac:dyDescent="0.25">
      <c r="A73" t="s">
        <v>59</v>
      </c>
      <c r="B73" t="s">
        <v>60</v>
      </c>
      <c r="C73" t="s">
        <v>56</v>
      </c>
      <c r="D73">
        <v>147977</v>
      </c>
      <c r="E73" t="s">
        <v>48</v>
      </c>
      <c r="F73" t="s">
        <v>49</v>
      </c>
      <c r="G73" s="30">
        <v>0</v>
      </c>
    </row>
    <row r="74" spans="1:7" x14ac:dyDescent="0.25">
      <c r="A74" t="s">
        <v>45</v>
      </c>
      <c r="B74" t="s">
        <v>46</v>
      </c>
      <c r="C74" t="s">
        <v>47</v>
      </c>
      <c r="D74">
        <v>148962</v>
      </c>
      <c r="E74" t="s">
        <v>48</v>
      </c>
      <c r="F74" t="s">
        <v>49</v>
      </c>
      <c r="G74" s="30">
        <v>0</v>
      </c>
    </row>
    <row r="75" spans="1:7" x14ac:dyDescent="0.25">
      <c r="A75" t="s">
        <v>45</v>
      </c>
      <c r="B75" t="s">
        <v>46</v>
      </c>
      <c r="C75" t="s">
        <v>47</v>
      </c>
      <c r="D75">
        <v>155090</v>
      </c>
      <c r="E75" t="s">
        <v>48</v>
      </c>
      <c r="F75" t="s">
        <v>49</v>
      </c>
      <c r="G75" s="30">
        <v>0</v>
      </c>
    </row>
    <row r="76" spans="1:7" x14ac:dyDescent="0.25">
      <c r="A76" t="s">
        <v>61</v>
      </c>
      <c r="B76" t="s">
        <v>62</v>
      </c>
      <c r="C76" t="s">
        <v>56</v>
      </c>
      <c r="D76">
        <v>158193</v>
      </c>
      <c r="E76" t="s">
        <v>53</v>
      </c>
      <c r="F76" t="s">
        <v>49</v>
      </c>
      <c r="G76" s="30">
        <v>140.540758358749</v>
      </c>
    </row>
    <row r="77" spans="1:7" x14ac:dyDescent="0.25">
      <c r="A77" t="s">
        <v>74</v>
      </c>
      <c r="B77" t="s">
        <v>75</v>
      </c>
      <c r="C77" t="s">
        <v>67</v>
      </c>
      <c r="D77">
        <v>161412</v>
      </c>
      <c r="E77" t="s">
        <v>48</v>
      </c>
      <c r="F77" t="s">
        <v>49</v>
      </c>
      <c r="G77" s="30">
        <v>0</v>
      </c>
    </row>
    <row r="78" spans="1:7" x14ac:dyDescent="0.25">
      <c r="A78" t="s">
        <v>45</v>
      </c>
      <c r="B78" t="s">
        <v>46</v>
      </c>
      <c r="C78" t="s">
        <v>47</v>
      </c>
      <c r="D78">
        <v>161953</v>
      </c>
      <c r="E78" t="s">
        <v>53</v>
      </c>
      <c r="F78" t="s">
        <v>49</v>
      </c>
      <c r="G78" s="30">
        <v>93253.67</v>
      </c>
    </row>
    <row r="79" spans="1:7" x14ac:dyDescent="0.25">
      <c r="A79" t="s">
        <v>45</v>
      </c>
      <c r="B79" t="s">
        <v>46</v>
      </c>
      <c r="C79" t="s">
        <v>47</v>
      </c>
      <c r="D79">
        <v>162111</v>
      </c>
      <c r="E79" t="s">
        <v>48</v>
      </c>
      <c r="F79" t="s">
        <v>49</v>
      </c>
      <c r="G79" s="30">
        <v>0</v>
      </c>
    </row>
    <row r="80" spans="1:7" x14ac:dyDescent="0.25">
      <c r="A80" t="s">
        <v>61</v>
      </c>
      <c r="B80" t="s">
        <v>62</v>
      </c>
      <c r="C80" t="s">
        <v>56</v>
      </c>
      <c r="D80">
        <v>162182</v>
      </c>
      <c r="E80" t="s">
        <v>48</v>
      </c>
      <c r="F80" t="s">
        <v>49</v>
      </c>
      <c r="G80" s="30">
        <v>0</v>
      </c>
    </row>
    <row r="81" spans="1:7" x14ac:dyDescent="0.25">
      <c r="A81" t="s">
        <v>92</v>
      </c>
      <c r="B81" t="s">
        <v>93</v>
      </c>
      <c r="C81" t="s">
        <v>81</v>
      </c>
      <c r="D81">
        <v>165761</v>
      </c>
      <c r="E81" t="s">
        <v>53</v>
      </c>
      <c r="F81" t="s">
        <v>49</v>
      </c>
      <c r="G81" s="30">
        <v>1555.05</v>
      </c>
    </row>
    <row r="82" spans="1:7" x14ac:dyDescent="0.25">
      <c r="A82" t="s">
        <v>45</v>
      </c>
      <c r="B82" t="s">
        <v>46</v>
      </c>
      <c r="C82" t="s">
        <v>47</v>
      </c>
      <c r="D82">
        <v>165929</v>
      </c>
      <c r="E82" t="s">
        <v>53</v>
      </c>
      <c r="F82" t="s">
        <v>49</v>
      </c>
      <c r="G82" s="30">
        <v>254.642187500001</v>
      </c>
    </row>
    <row r="83" spans="1:7" x14ac:dyDescent="0.25">
      <c r="A83" t="s">
        <v>50</v>
      </c>
      <c r="B83" t="s">
        <v>51</v>
      </c>
      <c r="C83" t="s">
        <v>52</v>
      </c>
      <c r="D83">
        <v>170040</v>
      </c>
      <c r="E83" t="s">
        <v>53</v>
      </c>
      <c r="F83" t="s">
        <v>49</v>
      </c>
      <c r="G83" s="30">
        <v>1391.4834571665799</v>
      </c>
    </row>
    <row r="84" spans="1:7" x14ac:dyDescent="0.25">
      <c r="A84" t="s">
        <v>50</v>
      </c>
      <c r="B84" t="s">
        <v>51</v>
      </c>
      <c r="C84" t="s">
        <v>52</v>
      </c>
      <c r="D84">
        <v>170425</v>
      </c>
      <c r="E84" t="s">
        <v>53</v>
      </c>
      <c r="F84" t="s">
        <v>49</v>
      </c>
      <c r="G84" s="30">
        <v>5420.1013947869096</v>
      </c>
    </row>
    <row r="85" spans="1:7" x14ac:dyDescent="0.25">
      <c r="A85" t="s">
        <v>45</v>
      </c>
      <c r="B85" t="s">
        <v>46</v>
      </c>
      <c r="C85" t="s">
        <v>47</v>
      </c>
      <c r="D85">
        <v>171991</v>
      </c>
      <c r="E85" t="s">
        <v>48</v>
      </c>
      <c r="F85" t="s">
        <v>49</v>
      </c>
      <c r="G85" s="30">
        <v>0</v>
      </c>
    </row>
    <row r="86" spans="1:7" x14ac:dyDescent="0.25">
      <c r="A86" t="s">
        <v>70</v>
      </c>
      <c r="B86" t="s">
        <v>71</v>
      </c>
      <c r="C86" t="s">
        <v>47</v>
      </c>
      <c r="D86">
        <v>172490</v>
      </c>
      <c r="E86" t="s">
        <v>53</v>
      </c>
      <c r="F86" t="s">
        <v>49</v>
      </c>
      <c r="G86" s="30">
        <v>640523.186007026</v>
      </c>
    </row>
    <row r="87" spans="1:7" x14ac:dyDescent="0.25">
      <c r="A87" t="s">
        <v>45</v>
      </c>
      <c r="B87" t="s">
        <v>46</v>
      </c>
      <c r="C87" t="s">
        <v>47</v>
      </c>
      <c r="D87">
        <v>172685</v>
      </c>
      <c r="E87" t="s">
        <v>48</v>
      </c>
      <c r="F87" t="s">
        <v>49</v>
      </c>
      <c r="G87" s="30">
        <v>0</v>
      </c>
    </row>
    <row r="88" spans="1:7" x14ac:dyDescent="0.25">
      <c r="A88" t="s">
        <v>45</v>
      </c>
      <c r="B88" t="s">
        <v>46</v>
      </c>
      <c r="C88" t="s">
        <v>47</v>
      </c>
      <c r="D88">
        <v>173232</v>
      </c>
      <c r="E88" t="s">
        <v>53</v>
      </c>
      <c r="F88" t="s">
        <v>49</v>
      </c>
      <c r="G88" s="30">
        <v>19684.2614146265</v>
      </c>
    </row>
    <row r="89" spans="1:7" x14ac:dyDescent="0.25">
      <c r="A89" t="s">
        <v>45</v>
      </c>
      <c r="B89" t="s">
        <v>46</v>
      </c>
      <c r="C89" t="s">
        <v>47</v>
      </c>
      <c r="D89">
        <v>176094</v>
      </c>
      <c r="E89" t="s">
        <v>48</v>
      </c>
      <c r="F89" t="s">
        <v>49</v>
      </c>
      <c r="G89" s="30">
        <v>0</v>
      </c>
    </row>
    <row r="90" spans="1:7" x14ac:dyDescent="0.25">
      <c r="A90" t="s">
        <v>54</v>
      </c>
      <c r="B90" t="s">
        <v>55</v>
      </c>
      <c r="C90" t="s">
        <v>56</v>
      </c>
      <c r="D90">
        <v>176948</v>
      </c>
      <c r="E90" t="s">
        <v>53</v>
      </c>
      <c r="F90" t="s">
        <v>49</v>
      </c>
      <c r="G90" s="30">
        <v>870782.16822797898</v>
      </c>
    </row>
    <row r="91" spans="1:7" x14ac:dyDescent="0.25">
      <c r="A91" t="s">
        <v>45</v>
      </c>
      <c r="B91" t="s">
        <v>46</v>
      </c>
      <c r="C91" t="s">
        <v>47</v>
      </c>
      <c r="D91">
        <v>179879</v>
      </c>
      <c r="E91" t="s">
        <v>48</v>
      </c>
      <c r="F91" t="s">
        <v>49</v>
      </c>
      <c r="G91" s="30">
        <v>0</v>
      </c>
    </row>
    <row r="92" spans="1:7" x14ac:dyDescent="0.25">
      <c r="A92" t="s">
        <v>98</v>
      </c>
      <c r="B92" t="s">
        <v>99</v>
      </c>
      <c r="C92" t="s">
        <v>81</v>
      </c>
      <c r="D92">
        <v>181454</v>
      </c>
      <c r="E92" t="s">
        <v>53</v>
      </c>
      <c r="F92" t="s">
        <v>49</v>
      </c>
      <c r="G92" s="30">
        <v>157413.716114479</v>
      </c>
    </row>
    <row r="93" spans="1:7" x14ac:dyDescent="0.25">
      <c r="A93" t="s">
        <v>45</v>
      </c>
      <c r="B93" t="s">
        <v>46</v>
      </c>
      <c r="C93" t="s">
        <v>47</v>
      </c>
      <c r="D93">
        <v>184805</v>
      </c>
      <c r="E93" t="s">
        <v>48</v>
      </c>
      <c r="F93" t="s">
        <v>49</v>
      </c>
      <c r="G93" s="30">
        <v>0</v>
      </c>
    </row>
    <row r="94" spans="1:7" x14ac:dyDescent="0.25">
      <c r="A94" t="s">
        <v>45</v>
      </c>
      <c r="B94" t="s">
        <v>46</v>
      </c>
      <c r="C94" t="s">
        <v>47</v>
      </c>
      <c r="D94">
        <v>186825</v>
      </c>
      <c r="E94" t="s">
        <v>48</v>
      </c>
      <c r="F94" t="s">
        <v>49</v>
      </c>
      <c r="G94" s="30">
        <v>0</v>
      </c>
    </row>
    <row r="95" spans="1:7" x14ac:dyDescent="0.25">
      <c r="A95" t="s">
        <v>50</v>
      </c>
      <c r="B95" t="s">
        <v>51</v>
      </c>
      <c r="C95" t="s">
        <v>52</v>
      </c>
      <c r="D95">
        <v>189162</v>
      </c>
      <c r="E95" t="s">
        <v>48</v>
      </c>
      <c r="F95" t="s">
        <v>49</v>
      </c>
      <c r="G95" s="30">
        <v>0</v>
      </c>
    </row>
    <row r="96" spans="1:7" x14ac:dyDescent="0.25">
      <c r="A96" t="s">
        <v>45</v>
      </c>
      <c r="B96" t="s">
        <v>46</v>
      </c>
      <c r="C96" t="s">
        <v>47</v>
      </c>
      <c r="D96">
        <v>190149</v>
      </c>
      <c r="E96" t="s">
        <v>48</v>
      </c>
      <c r="F96" t="s">
        <v>49</v>
      </c>
      <c r="G96" s="30">
        <v>0</v>
      </c>
    </row>
    <row r="97" spans="1:7" x14ac:dyDescent="0.25">
      <c r="A97" t="s">
        <v>59</v>
      </c>
      <c r="B97" t="s">
        <v>60</v>
      </c>
      <c r="C97" t="s">
        <v>56</v>
      </c>
      <c r="D97">
        <v>192219</v>
      </c>
      <c r="E97" t="s">
        <v>53</v>
      </c>
      <c r="F97" t="s">
        <v>49</v>
      </c>
      <c r="G97" s="30">
        <v>324941.14578157198</v>
      </c>
    </row>
    <row r="98" spans="1:7" x14ac:dyDescent="0.25">
      <c r="A98" t="s">
        <v>45</v>
      </c>
      <c r="B98" t="s">
        <v>46</v>
      </c>
      <c r="C98" t="s">
        <v>47</v>
      </c>
      <c r="D98">
        <v>192646</v>
      </c>
      <c r="E98" t="s">
        <v>48</v>
      </c>
      <c r="F98" t="s">
        <v>49</v>
      </c>
      <c r="G98" s="30">
        <v>0</v>
      </c>
    </row>
    <row r="99" spans="1:7" x14ac:dyDescent="0.25">
      <c r="A99" t="s">
        <v>54</v>
      </c>
      <c r="B99" t="s">
        <v>55</v>
      </c>
      <c r="C99" t="s">
        <v>56</v>
      </c>
      <c r="D99">
        <v>195115</v>
      </c>
      <c r="E99" t="s">
        <v>53</v>
      </c>
      <c r="F99" t="s">
        <v>49</v>
      </c>
      <c r="G99" s="30">
        <v>731116.64915778197</v>
      </c>
    </row>
    <row r="100" spans="1:7" x14ac:dyDescent="0.25">
      <c r="A100" t="s">
        <v>45</v>
      </c>
      <c r="B100" t="s">
        <v>46</v>
      </c>
      <c r="C100" t="s">
        <v>47</v>
      </c>
      <c r="D100">
        <v>195544</v>
      </c>
      <c r="E100" t="s">
        <v>48</v>
      </c>
      <c r="F100" t="s">
        <v>49</v>
      </c>
      <c r="G100" s="30">
        <v>0</v>
      </c>
    </row>
    <row r="101" spans="1:7" x14ac:dyDescent="0.25">
      <c r="A101" t="s">
        <v>50</v>
      </c>
      <c r="B101" t="s">
        <v>51</v>
      </c>
      <c r="C101" t="s">
        <v>52</v>
      </c>
      <c r="D101">
        <v>195739</v>
      </c>
      <c r="E101" t="s">
        <v>53</v>
      </c>
      <c r="F101" t="s">
        <v>49</v>
      </c>
      <c r="G101" s="30">
        <v>54064.271132053298</v>
      </c>
    </row>
    <row r="102" spans="1:7" x14ac:dyDescent="0.25">
      <c r="A102" t="s">
        <v>94</v>
      </c>
      <c r="B102" t="s">
        <v>95</v>
      </c>
      <c r="C102" t="s">
        <v>78</v>
      </c>
      <c r="D102">
        <v>200764</v>
      </c>
      <c r="E102" t="s">
        <v>53</v>
      </c>
      <c r="F102" t="s">
        <v>49</v>
      </c>
      <c r="G102" s="30">
        <v>490478.73255649197</v>
      </c>
    </row>
    <row r="103" spans="1:7" x14ac:dyDescent="0.25">
      <c r="A103" t="s">
        <v>45</v>
      </c>
      <c r="B103" t="s">
        <v>46</v>
      </c>
      <c r="C103" t="s">
        <v>47</v>
      </c>
      <c r="D103">
        <v>201109</v>
      </c>
      <c r="E103" t="s">
        <v>48</v>
      </c>
      <c r="F103" t="s">
        <v>49</v>
      </c>
      <c r="G103" s="30">
        <v>0</v>
      </c>
    </row>
    <row r="104" spans="1:7" x14ac:dyDescent="0.25">
      <c r="A104" t="s">
        <v>50</v>
      </c>
      <c r="B104" t="s">
        <v>51</v>
      </c>
      <c r="C104" t="s">
        <v>52</v>
      </c>
      <c r="D104">
        <v>201222</v>
      </c>
      <c r="E104" t="s">
        <v>53</v>
      </c>
      <c r="F104" t="s">
        <v>49</v>
      </c>
      <c r="G104" s="30">
        <v>19032.1143066406</v>
      </c>
    </row>
    <row r="105" spans="1:7" x14ac:dyDescent="0.25">
      <c r="A105" t="s">
        <v>45</v>
      </c>
      <c r="B105" t="s">
        <v>46</v>
      </c>
      <c r="C105" t="s">
        <v>47</v>
      </c>
      <c r="D105">
        <v>202773</v>
      </c>
      <c r="E105" t="s">
        <v>48</v>
      </c>
      <c r="F105" t="s">
        <v>49</v>
      </c>
      <c r="G105" s="30">
        <v>0</v>
      </c>
    </row>
    <row r="106" spans="1:7" x14ac:dyDescent="0.25">
      <c r="A106" t="s">
        <v>45</v>
      </c>
      <c r="B106" t="s">
        <v>46</v>
      </c>
      <c r="C106" t="s">
        <v>47</v>
      </c>
      <c r="D106">
        <v>203112</v>
      </c>
      <c r="E106" t="s">
        <v>48</v>
      </c>
      <c r="F106" t="s">
        <v>49</v>
      </c>
      <c r="G106" s="30">
        <v>0</v>
      </c>
    </row>
    <row r="107" spans="1:7" x14ac:dyDescent="0.25">
      <c r="A107" t="s">
        <v>45</v>
      </c>
      <c r="B107" t="s">
        <v>46</v>
      </c>
      <c r="C107" t="s">
        <v>47</v>
      </c>
      <c r="D107">
        <v>203488</v>
      </c>
      <c r="E107" t="s">
        <v>48</v>
      </c>
      <c r="F107" t="s">
        <v>49</v>
      </c>
      <c r="G107" s="30">
        <v>9.32</v>
      </c>
    </row>
    <row r="108" spans="1:7" x14ac:dyDescent="0.25">
      <c r="A108" t="s">
        <v>50</v>
      </c>
      <c r="B108" t="s">
        <v>51</v>
      </c>
      <c r="C108" t="s">
        <v>52</v>
      </c>
      <c r="D108">
        <v>208012</v>
      </c>
      <c r="E108" t="s">
        <v>53</v>
      </c>
      <c r="F108" t="s">
        <v>49</v>
      </c>
      <c r="G108" s="30">
        <v>45212.490547180198</v>
      </c>
    </row>
    <row r="109" spans="1:7" x14ac:dyDescent="0.25">
      <c r="A109" t="s">
        <v>100</v>
      </c>
      <c r="B109" t="s">
        <v>101</v>
      </c>
      <c r="C109" t="s">
        <v>52</v>
      </c>
      <c r="D109">
        <v>215507</v>
      </c>
      <c r="E109" t="s">
        <v>53</v>
      </c>
      <c r="F109" t="s">
        <v>49</v>
      </c>
      <c r="G109" s="30">
        <v>122868.728870773</v>
      </c>
    </row>
    <row r="110" spans="1:7" x14ac:dyDescent="0.25">
      <c r="A110" t="s">
        <v>50</v>
      </c>
      <c r="B110" t="s">
        <v>51</v>
      </c>
      <c r="C110" t="s">
        <v>52</v>
      </c>
      <c r="D110">
        <v>215561</v>
      </c>
      <c r="E110" t="s">
        <v>53</v>
      </c>
      <c r="F110" t="s">
        <v>49</v>
      </c>
      <c r="G110" s="30">
        <v>399.62749279276801</v>
      </c>
    </row>
    <row r="111" spans="1:7" x14ac:dyDescent="0.25">
      <c r="A111" t="s">
        <v>59</v>
      </c>
      <c r="B111" t="s">
        <v>60</v>
      </c>
      <c r="C111" t="s">
        <v>56</v>
      </c>
      <c r="D111">
        <v>218518</v>
      </c>
      <c r="E111" t="s">
        <v>53</v>
      </c>
      <c r="F111" t="s">
        <v>49</v>
      </c>
      <c r="G111" s="30">
        <v>661431.11203570501</v>
      </c>
    </row>
    <row r="112" spans="1:7" x14ac:dyDescent="0.25">
      <c r="A112" t="s">
        <v>70</v>
      </c>
      <c r="B112" t="s">
        <v>71</v>
      </c>
      <c r="C112" t="s">
        <v>47</v>
      </c>
      <c r="D112">
        <v>222273</v>
      </c>
      <c r="E112" t="s">
        <v>53</v>
      </c>
      <c r="F112" t="s">
        <v>49</v>
      </c>
      <c r="G112" s="30">
        <v>433459.919689478</v>
      </c>
    </row>
    <row r="113" spans="1:7" x14ac:dyDescent="0.25">
      <c r="A113" t="s">
        <v>50</v>
      </c>
      <c r="B113" t="s">
        <v>51</v>
      </c>
      <c r="C113" t="s">
        <v>52</v>
      </c>
      <c r="D113">
        <v>227541</v>
      </c>
      <c r="E113" t="s">
        <v>53</v>
      </c>
      <c r="F113" t="s">
        <v>49</v>
      </c>
      <c r="G113" s="30">
        <v>60179.601932358797</v>
      </c>
    </row>
    <row r="114" spans="1:7" x14ac:dyDescent="0.25">
      <c r="A114" t="s">
        <v>45</v>
      </c>
      <c r="B114" t="s">
        <v>46</v>
      </c>
      <c r="C114" t="s">
        <v>47</v>
      </c>
      <c r="D114">
        <v>228890</v>
      </c>
      <c r="E114" t="s">
        <v>48</v>
      </c>
      <c r="F114" t="s">
        <v>49</v>
      </c>
      <c r="G114" s="30">
        <v>0</v>
      </c>
    </row>
    <row r="115" spans="1:7" x14ac:dyDescent="0.25">
      <c r="A115" t="s">
        <v>102</v>
      </c>
      <c r="B115" t="s">
        <v>103</v>
      </c>
      <c r="C115" t="s">
        <v>47</v>
      </c>
      <c r="D115">
        <v>229145</v>
      </c>
      <c r="E115" t="s">
        <v>53</v>
      </c>
      <c r="F115" t="s">
        <v>49</v>
      </c>
      <c r="G115" s="30">
        <v>349145.09</v>
      </c>
    </row>
    <row r="116" spans="1:7" x14ac:dyDescent="0.25">
      <c r="A116" t="s">
        <v>70</v>
      </c>
      <c r="B116" t="s">
        <v>71</v>
      </c>
      <c r="C116" t="s">
        <v>47</v>
      </c>
      <c r="D116">
        <v>237910</v>
      </c>
      <c r="E116" t="s">
        <v>53</v>
      </c>
      <c r="F116" t="s">
        <v>49</v>
      </c>
      <c r="G116" s="30">
        <v>578658.55000000005</v>
      </c>
    </row>
    <row r="117" spans="1:7" x14ac:dyDescent="0.25">
      <c r="A117" t="s">
        <v>45</v>
      </c>
      <c r="B117" t="s">
        <v>46</v>
      </c>
      <c r="C117" t="s">
        <v>47</v>
      </c>
      <c r="D117">
        <v>238178</v>
      </c>
      <c r="E117" t="s">
        <v>48</v>
      </c>
      <c r="F117" t="s">
        <v>49</v>
      </c>
      <c r="G117" s="30">
        <v>0</v>
      </c>
    </row>
    <row r="118" spans="1:7" x14ac:dyDescent="0.25">
      <c r="A118" t="s">
        <v>104</v>
      </c>
      <c r="B118" t="s">
        <v>105</v>
      </c>
      <c r="C118" t="s">
        <v>78</v>
      </c>
      <c r="D118">
        <v>238715</v>
      </c>
      <c r="E118" t="s">
        <v>53</v>
      </c>
      <c r="F118" t="s">
        <v>49</v>
      </c>
      <c r="G118" s="30">
        <v>127698.792446818</v>
      </c>
    </row>
    <row r="119" spans="1:7" x14ac:dyDescent="0.25">
      <c r="A119" t="s">
        <v>45</v>
      </c>
      <c r="B119" t="s">
        <v>46</v>
      </c>
      <c r="C119" t="s">
        <v>47</v>
      </c>
      <c r="D119">
        <v>241206</v>
      </c>
      <c r="E119" t="s">
        <v>48</v>
      </c>
      <c r="F119" t="s">
        <v>49</v>
      </c>
      <c r="G119" s="30">
        <v>0</v>
      </c>
    </row>
    <row r="120" spans="1:7" x14ac:dyDescent="0.25">
      <c r="A120" t="s">
        <v>54</v>
      </c>
      <c r="B120" t="s">
        <v>55</v>
      </c>
      <c r="C120" t="s">
        <v>56</v>
      </c>
      <c r="D120">
        <v>242493</v>
      </c>
      <c r="E120" t="s">
        <v>48</v>
      </c>
      <c r="F120" t="s">
        <v>49</v>
      </c>
      <c r="G120" s="30">
        <v>0</v>
      </c>
    </row>
    <row r="121" spans="1:7" x14ac:dyDescent="0.25">
      <c r="A121" t="s">
        <v>45</v>
      </c>
      <c r="B121" t="s">
        <v>46</v>
      </c>
      <c r="C121" t="s">
        <v>47</v>
      </c>
      <c r="D121">
        <v>242595</v>
      </c>
      <c r="E121" t="s">
        <v>53</v>
      </c>
      <c r="F121" t="s">
        <v>49</v>
      </c>
      <c r="G121" s="30">
        <v>182128.98844015901</v>
      </c>
    </row>
    <row r="122" spans="1:7" x14ac:dyDescent="0.25">
      <c r="A122" t="s">
        <v>45</v>
      </c>
      <c r="B122" t="s">
        <v>46</v>
      </c>
      <c r="C122" t="s">
        <v>47</v>
      </c>
      <c r="D122">
        <v>243459</v>
      </c>
      <c r="E122" t="s">
        <v>48</v>
      </c>
      <c r="F122" t="s">
        <v>49</v>
      </c>
      <c r="G122" s="30">
        <v>0</v>
      </c>
    </row>
    <row r="123" spans="1:7" x14ac:dyDescent="0.25">
      <c r="A123" t="s">
        <v>45</v>
      </c>
      <c r="B123" t="s">
        <v>46</v>
      </c>
      <c r="C123" t="s">
        <v>47</v>
      </c>
      <c r="D123">
        <v>244219</v>
      </c>
      <c r="E123" t="s">
        <v>48</v>
      </c>
      <c r="F123" t="s">
        <v>49</v>
      </c>
      <c r="G123" s="30">
        <v>0</v>
      </c>
    </row>
    <row r="124" spans="1:7" x14ac:dyDescent="0.25">
      <c r="A124" t="s">
        <v>45</v>
      </c>
      <c r="B124" t="s">
        <v>46</v>
      </c>
      <c r="C124" t="s">
        <v>47</v>
      </c>
      <c r="D124">
        <v>244960</v>
      </c>
      <c r="E124" t="s">
        <v>48</v>
      </c>
      <c r="F124" t="s">
        <v>49</v>
      </c>
      <c r="G124" s="30">
        <v>0</v>
      </c>
    </row>
    <row r="125" spans="1:7" x14ac:dyDescent="0.25">
      <c r="A125" t="s">
        <v>74</v>
      </c>
      <c r="B125" t="s">
        <v>75</v>
      </c>
      <c r="C125" t="s">
        <v>67</v>
      </c>
      <c r="D125">
        <v>245697</v>
      </c>
      <c r="E125" t="s">
        <v>48</v>
      </c>
      <c r="F125" t="s">
        <v>49</v>
      </c>
      <c r="G125" s="30">
        <v>85.05</v>
      </c>
    </row>
    <row r="126" spans="1:7" x14ac:dyDescent="0.25">
      <c r="A126" t="s">
        <v>45</v>
      </c>
      <c r="B126" t="s">
        <v>46</v>
      </c>
      <c r="C126" t="s">
        <v>47</v>
      </c>
      <c r="D126">
        <v>247370</v>
      </c>
      <c r="E126" t="s">
        <v>48</v>
      </c>
      <c r="F126" t="s">
        <v>49</v>
      </c>
      <c r="G126" s="30">
        <v>0</v>
      </c>
    </row>
    <row r="127" spans="1:7" x14ac:dyDescent="0.25">
      <c r="A127" t="s">
        <v>45</v>
      </c>
      <c r="B127" t="s">
        <v>46</v>
      </c>
      <c r="C127" t="s">
        <v>47</v>
      </c>
      <c r="D127">
        <v>248589</v>
      </c>
      <c r="E127" t="s">
        <v>48</v>
      </c>
      <c r="F127" t="s">
        <v>49</v>
      </c>
      <c r="G127" s="30">
        <v>0</v>
      </c>
    </row>
    <row r="128" spans="1:7" x14ac:dyDescent="0.25">
      <c r="A128" t="s">
        <v>50</v>
      </c>
      <c r="B128" t="s">
        <v>51</v>
      </c>
      <c r="C128" t="s">
        <v>52</v>
      </c>
      <c r="D128">
        <v>252110</v>
      </c>
      <c r="E128" t="s">
        <v>53</v>
      </c>
      <c r="F128" t="s">
        <v>49</v>
      </c>
      <c r="G128" s="30">
        <v>11994.872645834699</v>
      </c>
    </row>
    <row r="129" spans="1:7" x14ac:dyDescent="0.25">
      <c r="A129" t="s">
        <v>45</v>
      </c>
      <c r="B129" t="s">
        <v>46</v>
      </c>
      <c r="C129" t="s">
        <v>47</v>
      </c>
      <c r="D129">
        <v>255540</v>
      </c>
      <c r="E129" t="s">
        <v>53</v>
      </c>
      <c r="F129" t="s">
        <v>49</v>
      </c>
      <c r="G129" s="30">
        <v>416.87</v>
      </c>
    </row>
    <row r="130" spans="1:7" x14ac:dyDescent="0.25">
      <c r="A130" t="s">
        <v>45</v>
      </c>
      <c r="B130" t="s">
        <v>46</v>
      </c>
      <c r="C130" t="s">
        <v>47</v>
      </c>
      <c r="D130">
        <v>255690</v>
      </c>
      <c r="E130" t="s">
        <v>48</v>
      </c>
      <c r="F130" t="s">
        <v>49</v>
      </c>
      <c r="G130" s="30">
        <v>0</v>
      </c>
    </row>
    <row r="131" spans="1:7" x14ac:dyDescent="0.25">
      <c r="A131" t="s">
        <v>106</v>
      </c>
      <c r="B131" t="s">
        <v>107</v>
      </c>
      <c r="C131" t="s">
        <v>56</v>
      </c>
      <c r="D131">
        <v>256182</v>
      </c>
      <c r="E131" t="s">
        <v>53</v>
      </c>
      <c r="F131" t="s">
        <v>49</v>
      </c>
      <c r="G131" s="30">
        <v>2838028.13256433</v>
      </c>
    </row>
    <row r="132" spans="1:7" x14ac:dyDescent="0.25">
      <c r="A132" t="s">
        <v>86</v>
      </c>
      <c r="B132" t="s">
        <v>87</v>
      </c>
      <c r="C132" t="s">
        <v>78</v>
      </c>
      <c r="D132">
        <v>258129</v>
      </c>
      <c r="E132" t="s">
        <v>53</v>
      </c>
      <c r="F132" t="s">
        <v>49</v>
      </c>
      <c r="G132" s="30">
        <v>213123.482142725</v>
      </c>
    </row>
    <row r="133" spans="1:7" x14ac:dyDescent="0.25">
      <c r="A133" t="s">
        <v>108</v>
      </c>
      <c r="B133" t="s">
        <v>109</v>
      </c>
      <c r="C133" t="s">
        <v>67</v>
      </c>
      <c r="D133">
        <v>258337</v>
      </c>
      <c r="E133" t="s">
        <v>53</v>
      </c>
      <c r="F133" t="s">
        <v>49</v>
      </c>
      <c r="G133" s="30">
        <v>16821.419999999998</v>
      </c>
    </row>
    <row r="134" spans="1:7" x14ac:dyDescent="0.25">
      <c r="A134" t="s">
        <v>50</v>
      </c>
      <c r="B134" t="s">
        <v>51</v>
      </c>
      <c r="C134" t="s">
        <v>52</v>
      </c>
      <c r="D134">
        <v>260667</v>
      </c>
      <c r="E134" t="s">
        <v>53</v>
      </c>
      <c r="F134" t="s">
        <v>49</v>
      </c>
      <c r="G134" s="30">
        <v>10469.77</v>
      </c>
    </row>
    <row r="135" spans="1:7" x14ac:dyDescent="0.25">
      <c r="A135" t="s">
        <v>50</v>
      </c>
      <c r="B135" t="s">
        <v>51</v>
      </c>
      <c r="C135" t="s">
        <v>52</v>
      </c>
      <c r="D135">
        <v>260864</v>
      </c>
      <c r="E135" t="s">
        <v>53</v>
      </c>
      <c r="F135" t="s">
        <v>49</v>
      </c>
      <c r="G135" s="30">
        <v>19895.68</v>
      </c>
    </row>
    <row r="136" spans="1:7" x14ac:dyDescent="0.25">
      <c r="A136" t="s">
        <v>70</v>
      </c>
      <c r="B136" t="s">
        <v>71</v>
      </c>
      <c r="C136" t="s">
        <v>47</v>
      </c>
      <c r="D136">
        <v>264132</v>
      </c>
      <c r="E136" t="s">
        <v>53</v>
      </c>
      <c r="F136" t="s">
        <v>49</v>
      </c>
      <c r="G136" s="30">
        <v>32147.7582565017</v>
      </c>
    </row>
    <row r="137" spans="1:7" x14ac:dyDescent="0.25">
      <c r="A137" t="s">
        <v>90</v>
      </c>
      <c r="B137" t="s">
        <v>91</v>
      </c>
      <c r="C137" t="s">
        <v>81</v>
      </c>
      <c r="D137">
        <v>264851</v>
      </c>
      <c r="E137" t="s">
        <v>53</v>
      </c>
      <c r="F137" t="s">
        <v>49</v>
      </c>
      <c r="G137" s="30">
        <v>428763.47455078101</v>
      </c>
    </row>
    <row r="138" spans="1:7" x14ac:dyDescent="0.25">
      <c r="A138" t="s">
        <v>50</v>
      </c>
      <c r="B138" t="s">
        <v>51</v>
      </c>
      <c r="C138" t="s">
        <v>52</v>
      </c>
      <c r="D138">
        <v>267947</v>
      </c>
      <c r="E138" t="s">
        <v>53</v>
      </c>
      <c r="F138" t="s">
        <v>49</v>
      </c>
      <c r="G138" s="30">
        <v>42913.1661719162</v>
      </c>
    </row>
    <row r="139" spans="1:7" x14ac:dyDescent="0.25">
      <c r="A139" t="s">
        <v>110</v>
      </c>
      <c r="B139" t="s">
        <v>111</v>
      </c>
      <c r="C139" t="s">
        <v>56</v>
      </c>
      <c r="D139">
        <v>270215</v>
      </c>
      <c r="E139" t="s">
        <v>48</v>
      </c>
      <c r="F139" t="s">
        <v>49</v>
      </c>
      <c r="G139" s="30">
        <v>15.83</v>
      </c>
    </row>
    <row r="140" spans="1:7" x14ac:dyDescent="0.25">
      <c r="A140" t="s">
        <v>110</v>
      </c>
      <c r="B140" t="s">
        <v>111</v>
      </c>
      <c r="C140" t="s">
        <v>56</v>
      </c>
      <c r="D140">
        <v>270331</v>
      </c>
      <c r="E140" t="s">
        <v>48</v>
      </c>
      <c r="F140" t="s">
        <v>49</v>
      </c>
      <c r="G140" s="30">
        <v>3.17</v>
      </c>
    </row>
    <row r="141" spans="1:7" x14ac:dyDescent="0.25">
      <c r="A141" t="s">
        <v>61</v>
      </c>
      <c r="B141" t="s">
        <v>62</v>
      </c>
      <c r="C141" t="s">
        <v>56</v>
      </c>
      <c r="D141">
        <v>272335</v>
      </c>
      <c r="E141" t="s">
        <v>53</v>
      </c>
      <c r="F141" t="s">
        <v>49</v>
      </c>
      <c r="G141" s="30">
        <v>739737.22039690905</v>
      </c>
    </row>
    <row r="142" spans="1:7" x14ac:dyDescent="0.25">
      <c r="A142" t="s">
        <v>112</v>
      </c>
      <c r="B142" t="s">
        <v>113</v>
      </c>
      <c r="C142" t="s">
        <v>81</v>
      </c>
      <c r="D142">
        <v>273720</v>
      </c>
      <c r="E142" t="s">
        <v>53</v>
      </c>
      <c r="F142" t="s">
        <v>49</v>
      </c>
      <c r="G142" s="30">
        <v>1396452.9920057</v>
      </c>
    </row>
    <row r="143" spans="1:7" x14ac:dyDescent="0.25">
      <c r="A143" t="s">
        <v>45</v>
      </c>
      <c r="B143" t="s">
        <v>46</v>
      </c>
      <c r="C143" t="s">
        <v>47</v>
      </c>
      <c r="D143">
        <v>278662</v>
      </c>
      <c r="E143" t="s">
        <v>48</v>
      </c>
      <c r="F143" t="s">
        <v>49</v>
      </c>
      <c r="G143" s="30">
        <v>2.89</v>
      </c>
    </row>
    <row r="144" spans="1:7" x14ac:dyDescent="0.25">
      <c r="A144" t="s">
        <v>45</v>
      </c>
      <c r="B144" t="s">
        <v>46</v>
      </c>
      <c r="C144" t="s">
        <v>47</v>
      </c>
      <c r="D144">
        <v>278702</v>
      </c>
      <c r="E144" t="s">
        <v>53</v>
      </c>
      <c r="F144" t="s">
        <v>49</v>
      </c>
      <c r="G144" s="30">
        <v>413.74</v>
      </c>
    </row>
    <row r="145" spans="1:7" x14ac:dyDescent="0.25">
      <c r="A145" t="s">
        <v>50</v>
      </c>
      <c r="B145" t="s">
        <v>51</v>
      </c>
      <c r="C145" t="s">
        <v>52</v>
      </c>
      <c r="D145">
        <v>279403</v>
      </c>
      <c r="E145" t="s">
        <v>53</v>
      </c>
      <c r="F145" t="s">
        <v>49</v>
      </c>
      <c r="G145" s="30">
        <v>155.07334273777499</v>
      </c>
    </row>
    <row r="146" spans="1:7" x14ac:dyDescent="0.25">
      <c r="A146" t="s">
        <v>45</v>
      </c>
      <c r="B146" t="s">
        <v>46</v>
      </c>
      <c r="C146" t="s">
        <v>47</v>
      </c>
      <c r="D146">
        <v>280162</v>
      </c>
      <c r="E146" t="s">
        <v>53</v>
      </c>
      <c r="F146" t="s">
        <v>49</v>
      </c>
      <c r="G146" s="30">
        <v>21905.0669364063</v>
      </c>
    </row>
    <row r="147" spans="1:7" x14ac:dyDescent="0.25">
      <c r="A147" t="s">
        <v>82</v>
      </c>
      <c r="B147" t="s">
        <v>83</v>
      </c>
      <c r="C147" t="s">
        <v>56</v>
      </c>
      <c r="D147">
        <v>280879</v>
      </c>
      <c r="E147" t="s">
        <v>48</v>
      </c>
      <c r="F147" t="s">
        <v>49</v>
      </c>
      <c r="G147" s="30">
        <v>0</v>
      </c>
    </row>
    <row r="148" spans="1:7" x14ac:dyDescent="0.25">
      <c r="A148" t="s">
        <v>45</v>
      </c>
      <c r="B148" t="s">
        <v>46</v>
      </c>
      <c r="C148" t="s">
        <v>47</v>
      </c>
      <c r="D148">
        <v>281126</v>
      </c>
      <c r="E148" t="s">
        <v>48</v>
      </c>
      <c r="F148" t="s">
        <v>49</v>
      </c>
      <c r="G148" s="30">
        <v>0</v>
      </c>
    </row>
    <row r="149" spans="1:7" x14ac:dyDescent="0.25">
      <c r="A149" t="s">
        <v>61</v>
      </c>
      <c r="B149" t="s">
        <v>62</v>
      </c>
      <c r="C149" t="s">
        <v>56</v>
      </c>
      <c r="D149">
        <v>281359</v>
      </c>
      <c r="E149" t="s">
        <v>48</v>
      </c>
      <c r="F149" t="s">
        <v>49</v>
      </c>
      <c r="G149" s="30">
        <v>0</v>
      </c>
    </row>
    <row r="150" spans="1:7" x14ac:dyDescent="0.25">
      <c r="A150" t="s">
        <v>65</v>
      </c>
      <c r="B150" t="s">
        <v>66</v>
      </c>
      <c r="C150" t="s">
        <v>67</v>
      </c>
      <c r="D150">
        <v>281968</v>
      </c>
      <c r="E150" t="s">
        <v>53</v>
      </c>
      <c r="F150" t="s">
        <v>49</v>
      </c>
      <c r="G150" s="30">
        <v>929136.695787239</v>
      </c>
    </row>
    <row r="151" spans="1:7" x14ac:dyDescent="0.25">
      <c r="A151" t="s">
        <v>68</v>
      </c>
      <c r="B151" t="s">
        <v>69</v>
      </c>
      <c r="C151" t="s">
        <v>56</v>
      </c>
      <c r="D151">
        <v>283097</v>
      </c>
      <c r="E151" t="s">
        <v>53</v>
      </c>
      <c r="F151" t="s">
        <v>49</v>
      </c>
      <c r="G151" s="30">
        <v>28401.947942556599</v>
      </c>
    </row>
    <row r="152" spans="1:7" x14ac:dyDescent="0.25">
      <c r="A152" t="s">
        <v>114</v>
      </c>
      <c r="B152" t="s">
        <v>115</v>
      </c>
      <c r="C152" t="s">
        <v>56</v>
      </c>
      <c r="D152">
        <v>284173</v>
      </c>
      <c r="E152" t="s">
        <v>53</v>
      </c>
      <c r="F152" t="s">
        <v>49</v>
      </c>
      <c r="G152" s="30">
        <v>21926056.620397601</v>
      </c>
    </row>
    <row r="153" spans="1:7" x14ac:dyDescent="0.25">
      <c r="A153" t="s">
        <v>114</v>
      </c>
      <c r="B153" t="s">
        <v>115</v>
      </c>
      <c r="C153" t="s">
        <v>56</v>
      </c>
      <c r="D153">
        <v>284198</v>
      </c>
      <c r="E153" t="s">
        <v>53</v>
      </c>
      <c r="F153" t="s">
        <v>49</v>
      </c>
      <c r="G153" s="30">
        <v>1331498.95973282</v>
      </c>
    </row>
    <row r="154" spans="1:7" x14ac:dyDescent="0.25">
      <c r="A154" t="s">
        <v>114</v>
      </c>
      <c r="B154" t="s">
        <v>115</v>
      </c>
      <c r="C154" t="s">
        <v>56</v>
      </c>
      <c r="D154">
        <v>284203</v>
      </c>
      <c r="E154" t="s">
        <v>48</v>
      </c>
      <c r="F154" t="s">
        <v>49</v>
      </c>
      <c r="G154" s="30">
        <v>0</v>
      </c>
    </row>
    <row r="155" spans="1:7" x14ac:dyDescent="0.25">
      <c r="A155" t="s">
        <v>50</v>
      </c>
      <c r="B155" t="s">
        <v>51</v>
      </c>
      <c r="C155" t="s">
        <v>52</v>
      </c>
      <c r="D155">
        <v>285155</v>
      </c>
      <c r="E155" t="s">
        <v>53</v>
      </c>
      <c r="F155" t="s">
        <v>49</v>
      </c>
      <c r="G155" s="30">
        <v>11113.5635788292</v>
      </c>
    </row>
    <row r="156" spans="1:7" x14ac:dyDescent="0.25">
      <c r="A156" t="s">
        <v>116</v>
      </c>
      <c r="B156" t="s">
        <v>117</v>
      </c>
      <c r="C156" t="s">
        <v>47</v>
      </c>
      <c r="D156">
        <v>285260</v>
      </c>
      <c r="E156" t="s">
        <v>53</v>
      </c>
      <c r="F156" t="s">
        <v>49</v>
      </c>
      <c r="G156" s="30">
        <v>463370.096403495</v>
      </c>
    </row>
    <row r="157" spans="1:7" x14ac:dyDescent="0.25">
      <c r="A157" t="s">
        <v>45</v>
      </c>
      <c r="B157" t="s">
        <v>46</v>
      </c>
      <c r="C157" t="s">
        <v>47</v>
      </c>
      <c r="D157">
        <v>285723</v>
      </c>
      <c r="E157" t="s">
        <v>48</v>
      </c>
      <c r="F157" t="s">
        <v>49</v>
      </c>
      <c r="G157" s="30">
        <v>5.56</v>
      </c>
    </row>
    <row r="158" spans="1:7" x14ac:dyDescent="0.25">
      <c r="A158" t="s">
        <v>45</v>
      </c>
      <c r="B158" t="s">
        <v>46</v>
      </c>
      <c r="C158" t="s">
        <v>47</v>
      </c>
      <c r="D158">
        <v>286511</v>
      </c>
      <c r="E158" t="s">
        <v>48</v>
      </c>
      <c r="F158" t="s">
        <v>49</v>
      </c>
      <c r="G158" s="30">
        <v>1.08</v>
      </c>
    </row>
    <row r="159" spans="1:7" x14ac:dyDescent="0.25">
      <c r="A159" t="s">
        <v>118</v>
      </c>
      <c r="B159" t="s">
        <v>119</v>
      </c>
      <c r="C159" t="s">
        <v>56</v>
      </c>
      <c r="D159">
        <v>286559</v>
      </c>
      <c r="E159" t="s">
        <v>53</v>
      </c>
      <c r="F159" t="s">
        <v>49</v>
      </c>
      <c r="G159" s="30">
        <v>318879.97503417998</v>
      </c>
    </row>
    <row r="160" spans="1:7" x14ac:dyDescent="0.25">
      <c r="A160" t="s">
        <v>86</v>
      </c>
      <c r="B160" t="s">
        <v>87</v>
      </c>
      <c r="C160" t="s">
        <v>78</v>
      </c>
      <c r="D160">
        <v>286975</v>
      </c>
      <c r="E160" t="s">
        <v>53</v>
      </c>
      <c r="F160" t="s">
        <v>49</v>
      </c>
      <c r="G160" s="30">
        <v>1575990.4402117999</v>
      </c>
    </row>
    <row r="161" spans="1:7" x14ac:dyDescent="0.25">
      <c r="A161" t="s">
        <v>45</v>
      </c>
      <c r="B161" t="s">
        <v>46</v>
      </c>
      <c r="C161" t="s">
        <v>47</v>
      </c>
      <c r="D161">
        <v>289127</v>
      </c>
      <c r="E161" t="s">
        <v>48</v>
      </c>
      <c r="F161" t="s">
        <v>49</v>
      </c>
      <c r="G161" s="30">
        <v>0</v>
      </c>
    </row>
    <row r="162" spans="1:7" x14ac:dyDescent="0.25">
      <c r="A162" t="s">
        <v>61</v>
      </c>
      <c r="B162" t="s">
        <v>62</v>
      </c>
      <c r="C162" t="s">
        <v>56</v>
      </c>
      <c r="D162">
        <v>289269</v>
      </c>
      <c r="E162" t="s">
        <v>53</v>
      </c>
      <c r="F162" t="s">
        <v>49</v>
      </c>
      <c r="G162" s="30">
        <v>199870.93579664599</v>
      </c>
    </row>
    <row r="163" spans="1:7" x14ac:dyDescent="0.25">
      <c r="A163" t="s">
        <v>120</v>
      </c>
      <c r="B163" t="s">
        <v>121</v>
      </c>
      <c r="C163" t="s">
        <v>67</v>
      </c>
      <c r="D163">
        <v>291805</v>
      </c>
      <c r="E163" t="s">
        <v>53</v>
      </c>
      <c r="F163" t="s">
        <v>49</v>
      </c>
      <c r="G163" s="30">
        <v>1862591.9655087199</v>
      </c>
    </row>
    <row r="164" spans="1:7" x14ac:dyDescent="0.25">
      <c r="A164" t="s">
        <v>45</v>
      </c>
      <c r="B164" t="s">
        <v>46</v>
      </c>
      <c r="C164" t="s">
        <v>47</v>
      </c>
      <c r="D164">
        <v>291924</v>
      </c>
      <c r="E164" t="s">
        <v>53</v>
      </c>
      <c r="F164" t="s">
        <v>49</v>
      </c>
      <c r="G164" s="30">
        <v>502.5</v>
      </c>
    </row>
    <row r="165" spans="1:7" x14ac:dyDescent="0.25">
      <c r="A165" t="s">
        <v>61</v>
      </c>
      <c r="B165" t="s">
        <v>62</v>
      </c>
      <c r="C165" t="s">
        <v>56</v>
      </c>
      <c r="D165">
        <v>294715</v>
      </c>
      <c r="E165" t="s">
        <v>53</v>
      </c>
      <c r="F165" t="s">
        <v>49</v>
      </c>
      <c r="G165" s="30">
        <v>436955.64147257397</v>
      </c>
    </row>
    <row r="166" spans="1:7" x14ac:dyDescent="0.25">
      <c r="A166" t="s">
        <v>68</v>
      </c>
      <c r="B166" t="s">
        <v>69</v>
      </c>
      <c r="C166" t="s">
        <v>56</v>
      </c>
      <c r="D166">
        <v>294768</v>
      </c>
      <c r="E166" t="s">
        <v>53</v>
      </c>
      <c r="F166" t="s">
        <v>49</v>
      </c>
      <c r="G166" s="30">
        <v>617861.60552348499</v>
      </c>
    </row>
    <row r="167" spans="1:7" x14ac:dyDescent="0.25">
      <c r="A167" t="s">
        <v>72</v>
      </c>
      <c r="B167" t="s">
        <v>73</v>
      </c>
      <c r="C167" t="s">
        <v>67</v>
      </c>
      <c r="D167">
        <v>295750</v>
      </c>
      <c r="E167" t="s">
        <v>48</v>
      </c>
      <c r="F167" t="s">
        <v>49</v>
      </c>
      <c r="G167" s="30">
        <v>0</v>
      </c>
    </row>
    <row r="168" spans="1:7" x14ac:dyDescent="0.25">
      <c r="A168" t="s">
        <v>45</v>
      </c>
      <c r="B168" t="s">
        <v>46</v>
      </c>
      <c r="C168" t="s">
        <v>47</v>
      </c>
      <c r="D168">
        <v>299349</v>
      </c>
      <c r="E168" t="s">
        <v>48</v>
      </c>
      <c r="F168" t="s">
        <v>49</v>
      </c>
      <c r="G168" s="30">
        <v>0</v>
      </c>
    </row>
    <row r="169" spans="1:7" x14ac:dyDescent="0.25">
      <c r="A169" t="s">
        <v>50</v>
      </c>
      <c r="B169" t="s">
        <v>51</v>
      </c>
      <c r="C169" t="s">
        <v>52</v>
      </c>
      <c r="D169">
        <v>299434</v>
      </c>
      <c r="E169" t="s">
        <v>53</v>
      </c>
      <c r="F169" t="s">
        <v>49</v>
      </c>
      <c r="G169" s="30">
        <v>11975.0230224609</v>
      </c>
    </row>
    <row r="170" spans="1:7" x14ac:dyDescent="0.25">
      <c r="A170" t="s">
        <v>45</v>
      </c>
      <c r="B170" t="s">
        <v>46</v>
      </c>
      <c r="C170" t="s">
        <v>47</v>
      </c>
      <c r="D170">
        <v>299766</v>
      </c>
      <c r="E170" t="s">
        <v>48</v>
      </c>
      <c r="F170" t="s">
        <v>49</v>
      </c>
      <c r="G170" s="30">
        <v>0.6</v>
      </c>
    </row>
    <row r="171" spans="1:7" x14ac:dyDescent="0.25">
      <c r="A171" t="s">
        <v>122</v>
      </c>
      <c r="B171" t="s">
        <v>123</v>
      </c>
      <c r="C171" t="s">
        <v>52</v>
      </c>
      <c r="D171">
        <v>300126</v>
      </c>
      <c r="E171" t="s">
        <v>53</v>
      </c>
      <c r="F171" t="s">
        <v>49</v>
      </c>
      <c r="G171" s="30">
        <v>1112826.1743569099</v>
      </c>
    </row>
    <row r="172" spans="1:7" x14ac:dyDescent="0.25">
      <c r="A172" t="s">
        <v>54</v>
      </c>
      <c r="B172" t="s">
        <v>55</v>
      </c>
      <c r="C172" t="s">
        <v>56</v>
      </c>
      <c r="D172">
        <v>300448</v>
      </c>
      <c r="E172" t="s">
        <v>53</v>
      </c>
      <c r="F172" t="s">
        <v>49</v>
      </c>
      <c r="G172" s="30">
        <v>5355078.3078625901</v>
      </c>
    </row>
    <row r="173" spans="1:7" x14ac:dyDescent="0.25">
      <c r="A173" t="s">
        <v>45</v>
      </c>
      <c r="B173" t="s">
        <v>46</v>
      </c>
      <c r="C173" t="s">
        <v>47</v>
      </c>
      <c r="D173">
        <v>301246</v>
      </c>
      <c r="E173" t="s">
        <v>48</v>
      </c>
      <c r="F173" t="s">
        <v>49</v>
      </c>
      <c r="G173" s="30">
        <v>0</v>
      </c>
    </row>
    <row r="174" spans="1:7" x14ac:dyDescent="0.25">
      <c r="A174" t="s">
        <v>50</v>
      </c>
      <c r="B174" t="s">
        <v>51</v>
      </c>
      <c r="C174" t="s">
        <v>52</v>
      </c>
      <c r="D174">
        <v>302389</v>
      </c>
      <c r="E174" t="s">
        <v>53</v>
      </c>
      <c r="F174" t="s">
        <v>49</v>
      </c>
      <c r="G174" s="30">
        <v>17246.400000000001</v>
      </c>
    </row>
    <row r="175" spans="1:7" x14ac:dyDescent="0.25">
      <c r="A175" t="s">
        <v>112</v>
      </c>
      <c r="B175" t="s">
        <v>113</v>
      </c>
      <c r="C175" t="s">
        <v>81</v>
      </c>
      <c r="D175">
        <v>302506</v>
      </c>
      <c r="E175" t="s">
        <v>53</v>
      </c>
      <c r="F175" t="s">
        <v>49</v>
      </c>
      <c r="G175" s="30">
        <v>102547.83644242999</v>
      </c>
    </row>
    <row r="176" spans="1:7" x14ac:dyDescent="0.25">
      <c r="A176" t="s">
        <v>54</v>
      </c>
      <c r="B176" t="s">
        <v>55</v>
      </c>
      <c r="C176" t="s">
        <v>56</v>
      </c>
      <c r="D176">
        <v>303754</v>
      </c>
      <c r="E176" t="s">
        <v>53</v>
      </c>
      <c r="F176" t="s">
        <v>49</v>
      </c>
      <c r="G176" s="30">
        <v>462693.68440084998</v>
      </c>
    </row>
    <row r="177" spans="1:7" x14ac:dyDescent="0.25">
      <c r="A177" t="s">
        <v>94</v>
      </c>
      <c r="B177" t="s">
        <v>95</v>
      </c>
      <c r="C177" t="s">
        <v>78</v>
      </c>
      <c r="D177">
        <v>304125</v>
      </c>
      <c r="E177" t="s">
        <v>53</v>
      </c>
      <c r="F177" t="s">
        <v>49</v>
      </c>
      <c r="G177" s="30">
        <v>152991.64281799801</v>
      </c>
    </row>
    <row r="178" spans="1:7" x14ac:dyDescent="0.25">
      <c r="A178" t="s">
        <v>124</v>
      </c>
      <c r="B178" t="s">
        <v>125</v>
      </c>
      <c r="C178" t="s">
        <v>78</v>
      </c>
      <c r="D178">
        <v>304334</v>
      </c>
      <c r="E178" t="s">
        <v>53</v>
      </c>
      <c r="F178" t="s">
        <v>49</v>
      </c>
      <c r="G178" s="30">
        <v>367374.79574116599</v>
      </c>
    </row>
    <row r="179" spans="1:7" x14ac:dyDescent="0.25">
      <c r="A179" t="s">
        <v>45</v>
      </c>
      <c r="B179" t="s">
        <v>46</v>
      </c>
      <c r="C179" t="s">
        <v>47</v>
      </c>
      <c r="D179">
        <v>305312</v>
      </c>
      <c r="E179" t="s">
        <v>48</v>
      </c>
      <c r="F179" t="s">
        <v>49</v>
      </c>
      <c r="G179" s="30">
        <v>0</v>
      </c>
    </row>
    <row r="180" spans="1:7" x14ac:dyDescent="0.25">
      <c r="A180" t="s">
        <v>57</v>
      </c>
      <c r="B180" t="s">
        <v>58</v>
      </c>
      <c r="C180" t="s">
        <v>56</v>
      </c>
      <c r="D180">
        <v>305987</v>
      </c>
      <c r="E180" t="s">
        <v>53</v>
      </c>
      <c r="F180" t="s">
        <v>49</v>
      </c>
      <c r="G180" s="30">
        <v>31001.962519535598</v>
      </c>
    </row>
    <row r="181" spans="1:7" x14ac:dyDescent="0.25">
      <c r="A181" t="s">
        <v>116</v>
      </c>
      <c r="B181" t="s">
        <v>117</v>
      </c>
      <c r="C181" t="s">
        <v>47</v>
      </c>
      <c r="D181">
        <v>306391</v>
      </c>
      <c r="E181" t="s">
        <v>53</v>
      </c>
      <c r="F181" t="s">
        <v>49</v>
      </c>
      <c r="G181" s="30">
        <v>580601.1796875</v>
      </c>
    </row>
    <row r="182" spans="1:7" x14ac:dyDescent="0.25">
      <c r="A182" t="s">
        <v>63</v>
      </c>
      <c r="B182" t="s">
        <v>64</v>
      </c>
      <c r="C182" t="s">
        <v>56</v>
      </c>
      <c r="D182">
        <v>310288</v>
      </c>
      <c r="E182" t="s">
        <v>48</v>
      </c>
      <c r="F182" t="s">
        <v>49</v>
      </c>
      <c r="G182" s="30">
        <v>0</v>
      </c>
    </row>
    <row r="183" spans="1:7" x14ac:dyDescent="0.25">
      <c r="A183" t="s">
        <v>45</v>
      </c>
      <c r="B183" t="s">
        <v>46</v>
      </c>
      <c r="C183" t="s">
        <v>47</v>
      </c>
      <c r="D183">
        <v>312631</v>
      </c>
      <c r="E183" t="s">
        <v>48</v>
      </c>
      <c r="F183" t="s">
        <v>49</v>
      </c>
      <c r="G183" s="30">
        <v>0</v>
      </c>
    </row>
    <row r="184" spans="1:7" x14ac:dyDescent="0.25">
      <c r="A184" t="s">
        <v>65</v>
      </c>
      <c r="B184" t="s">
        <v>66</v>
      </c>
      <c r="C184" t="s">
        <v>67</v>
      </c>
      <c r="D184">
        <v>312740</v>
      </c>
      <c r="E184" t="s">
        <v>53</v>
      </c>
      <c r="F184" t="s">
        <v>49</v>
      </c>
      <c r="G184" s="30">
        <v>1355069.3084354301</v>
      </c>
    </row>
    <row r="185" spans="1:7" x14ac:dyDescent="0.25">
      <c r="A185" t="s">
        <v>114</v>
      </c>
      <c r="B185" t="s">
        <v>115</v>
      </c>
      <c r="C185" t="s">
        <v>56</v>
      </c>
      <c r="D185">
        <v>313251</v>
      </c>
      <c r="E185" t="s">
        <v>48</v>
      </c>
      <c r="F185" t="s">
        <v>49</v>
      </c>
      <c r="G185" s="30">
        <v>0</v>
      </c>
    </row>
    <row r="186" spans="1:7" x14ac:dyDescent="0.25">
      <c r="A186" t="s">
        <v>45</v>
      </c>
      <c r="B186" t="s">
        <v>46</v>
      </c>
      <c r="C186" t="s">
        <v>47</v>
      </c>
      <c r="D186">
        <v>313410</v>
      </c>
      <c r="E186" t="s">
        <v>48</v>
      </c>
      <c r="F186" t="s">
        <v>49</v>
      </c>
      <c r="G186" s="30">
        <v>0</v>
      </c>
    </row>
    <row r="187" spans="1:7" x14ac:dyDescent="0.25">
      <c r="A187" t="s">
        <v>50</v>
      </c>
      <c r="B187" t="s">
        <v>51</v>
      </c>
      <c r="C187" t="s">
        <v>52</v>
      </c>
      <c r="D187">
        <v>313516</v>
      </c>
      <c r="E187" t="s">
        <v>53</v>
      </c>
      <c r="F187" t="s">
        <v>49</v>
      </c>
      <c r="G187" s="30">
        <v>22946.020748512401</v>
      </c>
    </row>
    <row r="188" spans="1:7" x14ac:dyDescent="0.25">
      <c r="A188" t="s">
        <v>54</v>
      </c>
      <c r="B188" t="s">
        <v>55</v>
      </c>
      <c r="C188" t="s">
        <v>56</v>
      </c>
      <c r="D188">
        <v>315432</v>
      </c>
      <c r="E188" t="s">
        <v>53</v>
      </c>
      <c r="F188" t="s">
        <v>49</v>
      </c>
      <c r="G188" s="30">
        <v>98407.5525163196</v>
      </c>
    </row>
    <row r="189" spans="1:7" x14ac:dyDescent="0.25">
      <c r="A189" t="s">
        <v>50</v>
      </c>
      <c r="B189" t="s">
        <v>51</v>
      </c>
      <c r="C189" t="s">
        <v>52</v>
      </c>
      <c r="D189">
        <v>316702</v>
      </c>
      <c r="E189" t="s">
        <v>53</v>
      </c>
      <c r="F189" t="s">
        <v>49</v>
      </c>
      <c r="G189" s="30">
        <v>10.3777926463463</v>
      </c>
    </row>
    <row r="190" spans="1:7" x14ac:dyDescent="0.25">
      <c r="A190" t="s">
        <v>68</v>
      </c>
      <c r="B190" t="s">
        <v>69</v>
      </c>
      <c r="C190" t="s">
        <v>56</v>
      </c>
      <c r="D190">
        <v>321068</v>
      </c>
      <c r="E190" t="s">
        <v>53</v>
      </c>
      <c r="F190" t="s">
        <v>49</v>
      </c>
      <c r="G190" s="30">
        <v>70.319999999999993</v>
      </c>
    </row>
    <row r="191" spans="1:7" x14ac:dyDescent="0.25">
      <c r="A191" t="s">
        <v>45</v>
      </c>
      <c r="B191" t="s">
        <v>46</v>
      </c>
      <c r="C191" t="s">
        <v>47</v>
      </c>
      <c r="D191">
        <v>321588</v>
      </c>
      <c r="E191" t="s">
        <v>48</v>
      </c>
      <c r="F191" t="s">
        <v>49</v>
      </c>
      <c r="G191" s="30">
        <v>0</v>
      </c>
    </row>
    <row r="192" spans="1:7" x14ac:dyDescent="0.25">
      <c r="A192" t="s">
        <v>114</v>
      </c>
      <c r="B192" t="s">
        <v>115</v>
      </c>
      <c r="C192" t="s">
        <v>56</v>
      </c>
      <c r="D192">
        <v>322433</v>
      </c>
      <c r="E192" t="s">
        <v>48</v>
      </c>
      <c r="F192" t="s">
        <v>49</v>
      </c>
      <c r="G192" s="30">
        <v>0</v>
      </c>
    </row>
    <row r="193" spans="1:7" x14ac:dyDescent="0.25">
      <c r="A193" t="s">
        <v>68</v>
      </c>
      <c r="B193" t="s">
        <v>69</v>
      </c>
      <c r="C193" t="s">
        <v>56</v>
      </c>
      <c r="D193">
        <v>322458</v>
      </c>
      <c r="E193" t="s">
        <v>53</v>
      </c>
      <c r="F193" t="s">
        <v>49</v>
      </c>
      <c r="G193" s="30">
        <v>347855.31622632098</v>
      </c>
    </row>
    <row r="194" spans="1:7" x14ac:dyDescent="0.25">
      <c r="A194" t="s">
        <v>114</v>
      </c>
      <c r="B194" t="s">
        <v>115</v>
      </c>
      <c r="C194" t="s">
        <v>56</v>
      </c>
      <c r="D194">
        <v>322970</v>
      </c>
      <c r="E194" t="s">
        <v>53</v>
      </c>
      <c r="F194" t="s">
        <v>49</v>
      </c>
      <c r="G194" s="30">
        <v>431905.68729958503</v>
      </c>
    </row>
    <row r="195" spans="1:7" x14ac:dyDescent="0.25">
      <c r="A195" t="s">
        <v>68</v>
      </c>
      <c r="B195" t="s">
        <v>69</v>
      </c>
      <c r="C195" t="s">
        <v>56</v>
      </c>
      <c r="D195">
        <v>323975</v>
      </c>
      <c r="E195" t="s">
        <v>53</v>
      </c>
      <c r="F195" t="s">
        <v>49</v>
      </c>
      <c r="G195" s="30">
        <v>1769657.6040169999</v>
      </c>
    </row>
    <row r="196" spans="1:7" x14ac:dyDescent="0.25">
      <c r="A196" t="s">
        <v>61</v>
      </c>
      <c r="B196" t="s">
        <v>62</v>
      </c>
      <c r="C196" t="s">
        <v>56</v>
      </c>
      <c r="D196">
        <v>325117</v>
      </c>
      <c r="E196" t="s">
        <v>48</v>
      </c>
      <c r="F196" t="s">
        <v>49</v>
      </c>
      <c r="G196" s="30">
        <v>0</v>
      </c>
    </row>
    <row r="197" spans="1:7" x14ac:dyDescent="0.25">
      <c r="A197" t="s">
        <v>45</v>
      </c>
      <c r="B197" t="s">
        <v>46</v>
      </c>
      <c r="C197" t="s">
        <v>47</v>
      </c>
      <c r="D197">
        <v>325643</v>
      </c>
      <c r="E197" t="s">
        <v>53</v>
      </c>
      <c r="F197" t="s">
        <v>49</v>
      </c>
      <c r="G197" s="30">
        <v>39700.99</v>
      </c>
    </row>
    <row r="198" spans="1:7" x14ac:dyDescent="0.25">
      <c r="A198" t="s">
        <v>45</v>
      </c>
      <c r="B198" t="s">
        <v>46</v>
      </c>
      <c r="C198" t="s">
        <v>47</v>
      </c>
      <c r="D198">
        <v>326494</v>
      </c>
      <c r="E198" t="s">
        <v>48</v>
      </c>
      <c r="F198" t="s">
        <v>49</v>
      </c>
      <c r="G198" s="30">
        <v>0</v>
      </c>
    </row>
    <row r="199" spans="1:7" x14ac:dyDescent="0.25">
      <c r="A199" t="s">
        <v>45</v>
      </c>
      <c r="B199" t="s">
        <v>46</v>
      </c>
      <c r="C199" t="s">
        <v>47</v>
      </c>
      <c r="D199">
        <v>326717</v>
      </c>
      <c r="E199" t="s">
        <v>48</v>
      </c>
      <c r="F199" t="s">
        <v>49</v>
      </c>
      <c r="G199" s="30">
        <v>0</v>
      </c>
    </row>
    <row r="200" spans="1:7" x14ac:dyDescent="0.25">
      <c r="A200" t="s">
        <v>120</v>
      </c>
      <c r="B200" t="s">
        <v>121</v>
      </c>
      <c r="C200" t="s">
        <v>67</v>
      </c>
      <c r="D200">
        <v>327495</v>
      </c>
      <c r="E200" t="s">
        <v>53</v>
      </c>
      <c r="F200" t="s">
        <v>49</v>
      </c>
      <c r="G200" s="30">
        <v>792744.48758356902</v>
      </c>
    </row>
    <row r="201" spans="1:7" x14ac:dyDescent="0.25">
      <c r="A201" t="s">
        <v>63</v>
      </c>
      <c r="B201" t="s">
        <v>64</v>
      </c>
      <c r="C201" t="s">
        <v>56</v>
      </c>
      <c r="D201">
        <v>329042</v>
      </c>
      <c r="E201" t="s">
        <v>53</v>
      </c>
      <c r="F201" t="s">
        <v>49</v>
      </c>
      <c r="G201" s="30">
        <v>489945.76679766399</v>
      </c>
    </row>
    <row r="202" spans="1:7" x14ac:dyDescent="0.25">
      <c r="A202" t="s">
        <v>124</v>
      </c>
      <c r="B202" t="s">
        <v>125</v>
      </c>
      <c r="C202" t="s">
        <v>78</v>
      </c>
      <c r="D202">
        <v>329581</v>
      </c>
      <c r="E202" t="s">
        <v>53</v>
      </c>
      <c r="F202" t="s">
        <v>49</v>
      </c>
      <c r="G202" s="30">
        <v>509352.309586077</v>
      </c>
    </row>
    <row r="203" spans="1:7" x14ac:dyDescent="0.25">
      <c r="A203" t="s">
        <v>88</v>
      </c>
      <c r="B203" t="s">
        <v>89</v>
      </c>
      <c r="C203" t="s">
        <v>78</v>
      </c>
      <c r="D203">
        <v>329605</v>
      </c>
      <c r="E203" t="s">
        <v>48</v>
      </c>
      <c r="F203" t="s">
        <v>49</v>
      </c>
      <c r="G203" s="30">
        <v>0</v>
      </c>
    </row>
    <row r="204" spans="1:7" x14ac:dyDescent="0.25">
      <c r="A204" t="s">
        <v>50</v>
      </c>
      <c r="B204" t="s">
        <v>51</v>
      </c>
      <c r="C204" t="s">
        <v>52</v>
      </c>
      <c r="D204">
        <v>329687</v>
      </c>
      <c r="E204" t="s">
        <v>53</v>
      </c>
      <c r="F204" t="s">
        <v>49</v>
      </c>
      <c r="G204" s="30">
        <v>14831.67</v>
      </c>
    </row>
    <row r="205" spans="1:7" x14ac:dyDescent="0.25">
      <c r="A205" t="s">
        <v>45</v>
      </c>
      <c r="B205" t="s">
        <v>46</v>
      </c>
      <c r="C205" t="s">
        <v>47</v>
      </c>
      <c r="D205">
        <v>329806</v>
      </c>
      <c r="E205" t="s">
        <v>48</v>
      </c>
      <c r="F205" t="s">
        <v>49</v>
      </c>
      <c r="G205" s="30">
        <v>0</v>
      </c>
    </row>
    <row r="206" spans="1:7" x14ac:dyDescent="0.25">
      <c r="A206" t="s">
        <v>74</v>
      </c>
      <c r="B206" t="s">
        <v>75</v>
      </c>
      <c r="C206" t="s">
        <v>67</v>
      </c>
      <c r="D206">
        <v>331323</v>
      </c>
      <c r="E206" t="s">
        <v>48</v>
      </c>
      <c r="F206" t="s">
        <v>49</v>
      </c>
      <c r="G206" s="30">
        <v>0</v>
      </c>
    </row>
    <row r="207" spans="1:7" x14ac:dyDescent="0.25">
      <c r="A207" t="s">
        <v>54</v>
      </c>
      <c r="B207" t="s">
        <v>55</v>
      </c>
      <c r="C207" t="s">
        <v>56</v>
      </c>
      <c r="D207">
        <v>334413</v>
      </c>
      <c r="E207" t="s">
        <v>53</v>
      </c>
      <c r="F207" t="s">
        <v>49</v>
      </c>
      <c r="G207" s="30">
        <v>849650.50685479306</v>
      </c>
    </row>
    <row r="208" spans="1:7" x14ac:dyDescent="0.25">
      <c r="A208" t="s">
        <v>61</v>
      </c>
      <c r="B208" t="s">
        <v>62</v>
      </c>
      <c r="C208" t="s">
        <v>56</v>
      </c>
      <c r="D208">
        <v>335278</v>
      </c>
      <c r="E208" t="s">
        <v>53</v>
      </c>
      <c r="F208" t="s">
        <v>49</v>
      </c>
      <c r="G208" s="30">
        <v>127606.58354276999</v>
      </c>
    </row>
    <row r="209" spans="1:7" x14ac:dyDescent="0.25">
      <c r="A209" t="s">
        <v>50</v>
      </c>
      <c r="B209" t="s">
        <v>51</v>
      </c>
      <c r="C209" t="s">
        <v>52</v>
      </c>
      <c r="D209">
        <v>335795</v>
      </c>
      <c r="E209" t="s">
        <v>53</v>
      </c>
      <c r="F209" t="s">
        <v>49</v>
      </c>
      <c r="G209" s="30">
        <v>41339.178450670799</v>
      </c>
    </row>
    <row r="210" spans="1:7" x14ac:dyDescent="0.25">
      <c r="A210" t="s">
        <v>102</v>
      </c>
      <c r="B210" t="s">
        <v>103</v>
      </c>
      <c r="C210" t="s">
        <v>47</v>
      </c>
      <c r="D210">
        <v>336792</v>
      </c>
      <c r="E210" t="s">
        <v>48</v>
      </c>
      <c r="F210" t="s">
        <v>49</v>
      </c>
      <c r="G210" s="30">
        <v>0</v>
      </c>
    </row>
    <row r="211" spans="1:7" x14ac:dyDescent="0.25">
      <c r="A211" t="s">
        <v>45</v>
      </c>
      <c r="B211" t="s">
        <v>46</v>
      </c>
      <c r="C211" t="s">
        <v>47</v>
      </c>
      <c r="D211">
        <v>336952</v>
      </c>
      <c r="E211" t="s">
        <v>48</v>
      </c>
      <c r="F211" t="s">
        <v>49</v>
      </c>
      <c r="G211" s="30">
        <v>4.91</v>
      </c>
    </row>
    <row r="212" spans="1:7" x14ac:dyDescent="0.25">
      <c r="A212" t="s">
        <v>50</v>
      </c>
      <c r="B212" t="s">
        <v>51</v>
      </c>
      <c r="C212" t="s">
        <v>52</v>
      </c>
      <c r="D212">
        <v>337493</v>
      </c>
      <c r="E212" t="s">
        <v>53</v>
      </c>
      <c r="F212" t="s">
        <v>49</v>
      </c>
      <c r="G212" s="30">
        <v>74229.495170327704</v>
      </c>
    </row>
    <row r="213" spans="1:7" x14ac:dyDescent="0.25">
      <c r="A213" t="s">
        <v>120</v>
      </c>
      <c r="B213" t="s">
        <v>121</v>
      </c>
      <c r="C213" t="s">
        <v>67</v>
      </c>
      <c r="D213">
        <v>342560</v>
      </c>
      <c r="E213" t="s">
        <v>53</v>
      </c>
      <c r="F213" t="s">
        <v>49</v>
      </c>
      <c r="G213" s="30">
        <v>569035.92410727602</v>
      </c>
    </row>
    <row r="214" spans="1:7" x14ac:dyDescent="0.25">
      <c r="A214" t="s">
        <v>50</v>
      </c>
      <c r="B214" t="s">
        <v>51</v>
      </c>
      <c r="C214" t="s">
        <v>52</v>
      </c>
      <c r="D214">
        <v>342579</v>
      </c>
      <c r="E214" t="s">
        <v>53</v>
      </c>
      <c r="F214" t="s">
        <v>49</v>
      </c>
      <c r="G214" s="30">
        <v>160.69999999999999</v>
      </c>
    </row>
    <row r="215" spans="1:7" x14ac:dyDescent="0.25">
      <c r="A215" t="s">
        <v>63</v>
      </c>
      <c r="B215" t="s">
        <v>64</v>
      </c>
      <c r="C215" t="s">
        <v>56</v>
      </c>
      <c r="D215">
        <v>343967</v>
      </c>
      <c r="E215" t="s">
        <v>53</v>
      </c>
      <c r="F215" t="s">
        <v>49</v>
      </c>
      <c r="G215" s="30">
        <v>2026625.6558771599</v>
      </c>
    </row>
    <row r="216" spans="1:7" x14ac:dyDescent="0.25">
      <c r="A216" t="s">
        <v>45</v>
      </c>
      <c r="B216" t="s">
        <v>46</v>
      </c>
      <c r="C216" t="s">
        <v>47</v>
      </c>
      <c r="D216">
        <v>344504</v>
      </c>
      <c r="E216" t="s">
        <v>53</v>
      </c>
      <c r="F216" t="s">
        <v>49</v>
      </c>
      <c r="G216" s="30">
        <v>7686.31</v>
      </c>
    </row>
    <row r="217" spans="1:7" x14ac:dyDescent="0.25">
      <c r="A217" t="s">
        <v>88</v>
      </c>
      <c r="B217" t="s">
        <v>89</v>
      </c>
      <c r="C217" t="s">
        <v>78</v>
      </c>
      <c r="D217">
        <v>345654</v>
      </c>
      <c r="E217" t="s">
        <v>53</v>
      </c>
      <c r="F217" t="s">
        <v>49</v>
      </c>
      <c r="G217" s="30">
        <v>121423.14869605099</v>
      </c>
    </row>
    <row r="218" spans="1:7" x14ac:dyDescent="0.25">
      <c r="A218" t="s">
        <v>50</v>
      </c>
      <c r="B218" t="s">
        <v>51</v>
      </c>
      <c r="C218" t="s">
        <v>52</v>
      </c>
      <c r="D218">
        <v>347052</v>
      </c>
      <c r="E218" t="s">
        <v>53</v>
      </c>
      <c r="F218" t="s">
        <v>49</v>
      </c>
      <c r="G218" s="30">
        <v>55073.775255770197</v>
      </c>
    </row>
    <row r="219" spans="1:7" x14ac:dyDescent="0.25">
      <c r="A219" t="s">
        <v>84</v>
      </c>
      <c r="B219" t="s">
        <v>85</v>
      </c>
      <c r="C219" t="s">
        <v>67</v>
      </c>
      <c r="D219">
        <v>348446</v>
      </c>
      <c r="E219" t="s">
        <v>53</v>
      </c>
      <c r="F219" t="s">
        <v>49</v>
      </c>
      <c r="G219" s="30">
        <v>3341230.2123426902</v>
      </c>
    </row>
    <row r="220" spans="1:7" x14ac:dyDescent="0.25">
      <c r="A220" t="s">
        <v>50</v>
      </c>
      <c r="B220" t="s">
        <v>51</v>
      </c>
      <c r="C220" t="s">
        <v>52</v>
      </c>
      <c r="D220">
        <v>348929</v>
      </c>
      <c r="E220" t="s">
        <v>53</v>
      </c>
      <c r="F220" t="s">
        <v>49</v>
      </c>
      <c r="G220" s="30">
        <v>71491.230066198405</v>
      </c>
    </row>
    <row r="221" spans="1:7" x14ac:dyDescent="0.25">
      <c r="A221" t="s">
        <v>126</v>
      </c>
      <c r="B221" t="s">
        <v>127</v>
      </c>
      <c r="C221" t="s">
        <v>67</v>
      </c>
      <c r="D221">
        <v>348955</v>
      </c>
      <c r="E221" t="s">
        <v>53</v>
      </c>
      <c r="F221" t="s">
        <v>49</v>
      </c>
      <c r="G221" s="30">
        <v>7238576.3794748001</v>
      </c>
    </row>
    <row r="222" spans="1:7" x14ac:dyDescent="0.25">
      <c r="A222" t="s">
        <v>122</v>
      </c>
      <c r="B222" t="s">
        <v>123</v>
      </c>
      <c r="C222" t="s">
        <v>52</v>
      </c>
      <c r="D222">
        <v>349683</v>
      </c>
      <c r="E222" t="s">
        <v>53</v>
      </c>
      <c r="F222" t="s">
        <v>49</v>
      </c>
      <c r="G222" s="30">
        <v>1326564.14431284</v>
      </c>
    </row>
    <row r="223" spans="1:7" x14ac:dyDescent="0.25">
      <c r="A223" t="s">
        <v>45</v>
      </c>
      <c r="B223" t="s">
        <v>46</v>
      </c>
      <c r="C223" t="s">
        <v>47</v>
      </c>
      <c r="D223">
        <v>349744</v>
      </c>
      <c r="E223" t="s">
        <v>48</v>
      </c>
      <c r="F223" t="s">
        <v>49</v>
      </c>
      <c r="G223" s="30">
        <v>5.86</v>
      </c>
    </row>
    <row r="224" spans="1:7" x14ac:dyDescent="0.25">
      <c r="A224" t="s">
        <v>65</v>
      </c>
      <c r="B224" t="s">
        <v>66</v>
      </c>
      <c r="C224" t="s">
        <v>67</v>
      </c>
      <c r="D224">
        <v>349771</v>
      </c>
      <c r="E224" t="s">
        <v>53</v>
      </c>
      <c r="F224" t="s">
        <v>49</v>
      </c>
      <c r="G224" s="30">
        <v>371635.592440126</v>
      </c>
    </row>
    <row r="225" spans="1:7" x14ac:dyDescent="0.25">
      <c r="A225" t="s">
        <v>57</v>
      </c>
      <c r="B225" t="s">
        <v>58</v>
      </c>
      <c r="C225" t="s">
        <v>56</v>
      </c>
      <c r="D225">
        <v>349873</v>
      </c>
      <c r="E225" t="s">
        <v>53</v>
      </c>
      <c r="F225" t="s">
        <v>49</v>
      </c>
      <c r="G225" s="30">
        <v>142443.111099292</v>
      </c>
    </row>
    <row r="226" spans="1:7" x14ac:dyDescent="0.25">
      <c r="A226" t="s">
        <v>114</v>
      </c>
      <c r="B226" t="s">
        <v>115</v>
      </c>
      <c r="C226" t="s">
        <v>56</v>
      </c>
      <c r="D226">
        <v>350036</v>
      </c>
      <c r="E226" t="s">
        <v>53</v>
      </c>
      <c r="F226" t="s">
        <v>49</v>
      </c>
      <c r="G226" s="30">
        <v>932467.06848468503</v>
      </c>
    </row>
    <row r="227" spans="1:7" x14ac:dyDescent="0.25">
      <c r="A227" t="s">
        <v>126</v>
      </c>
      <c r="B227" t="s">
        <v>127</v>
      </c>
      <c r="C227" t="s">
        <v>67</v>
      </c>
      <c r="D227">
        <v>350429</v>
      </c>
      <c r="E227" t="s">
        <v>53</v>
      </c>
      <c r="F227" t="s">
        <v>49</v>
      </c>
      <c r="G227" s="30">
        <v>2637992.70815269</v>
      </c>
    </row>
    <row r="228" spans="1:7" x14ac:dyDescent="0.25">
      <c r="A228" t="s">
        <v>120</v>
      </c>
      <c r="B228" t="s">
        <v>121</v>
      </c>
      <c r="C228" t="s">
        <v>67</v>
      </c>
      <c r="D228">
        <v>350522</v>
      </c>
      <c r="E228" t="s">
        <v>53</v>
      </c>
      <c r="F228" t="s">
        <v>49</v>
      </c>
      <c r="G228" s="30">
        <v>104918.71558069</v>
      </c>
    </row>
    <row r="229" spans="1:7" x14ac:dyDescent="0.25">
      <c r="A229" t="s">
        <v>100</v>
      </c>
      <c r="B229" t="s">
        <v>101</v>
      </c>
      <c r="C229" t="s">
        <v>52</v>
      </c>
      <c r="D229">
        <v>350653</v>
      </c>
      <c r="E229" t="s">
        <v>53</v>
      </c>
      <c r="F229" t="s">
        <v>49</v>
      </c>
      <c r="G229" s="30">
        <v>130230.091486527</v>
      </c>
    </row>
    <row r="230" spans="1:7" x14ac:dyDescent="0.25">
      <c r="A230" t="s">
        <v>120</v>
      </c>
      <c r="B230" t="s">
        <v>121</v>
      </c>
      <c r="C230" t="s">
        <v>67</v>
      </c>
      <c r="D230">
        <v>350788</v>
      </c>
      <c r="E230" t="s">
        <v>53</v>
      </c>
      <c r="F230" t="s">
        <v>49</v>
      </c>
      <c r="G230" s="30">
        <v>6320042.0229928195</v>
      </c>
    </row>
    <row r="231" spans="1:7" x14ac:dyDescent="0.25">
      <c r="A231" t="s">
        <v>45</v>
      </c>
      <c r="B231" t="s">
        <v>46</v>
      </c>
      <c r="C231" t="s">
        <v>47</v>
      </c>
      <c r="D231">
        <v>351367</v>
      </c>
      <c r="E231" t="s">
        <v>53</v>
      </c>
      <c r="F231" t="s">
        <v>49</v>
      </c>
      <c r="G231" s="30">
        <v>53081.092984011899</v>
      </c>
    </row>
    <row r="232" spans="1:7" x14ac:dyDescent="0.25">
      <c r="A232" t="s">
        <v>76</v>
      </c>
      <c r="B232" t="s">
        <v>77</v>
      </c>
      <c r="C232" t="s">
        <v>78</v>
      </c>
      <c r="D232">
        <v>352305</v>
      </c>
      <c r="E232" t="s">
        <v>53</v>
      </c>
      <c r="F232" t="s">
        <v>49</v>
      </c>
      <c r="G232" s="30">
        <v>691825.42378867697</v>
      </c>
    </row>
    <row r="233" spans="1:7" x14ac:dyDescent="0.25">
      <c r="A233" t="s">
        <v>114</v>
      </c>
      <c r="B233" t="s">
        <v>115</v>
      </c>
      <c r="C233" t="s">
        <v>56</v>
      </c>
      <c r="D233">
        <v>352583</v>
      </c>
      <c r="E233" t="s">
        <v>53</v>
      </c>
      <c r="F233" t="s">
        <v>49</v>
      </c>
      <c r="G233" s="30">
        <v>2866279.1424559802</v>
      </c>
    </row>
    <row r="234" spans="1:7" x14ac:dyDescent="0.25">
      <c r="A234" t="s">
        <v>45</v>
      </c>
      <c r="B234" t="s">
        <v>46</v>
      </c>
      <c r="C234" t="s">
        <v>47</v>
      </c>
      <c r="D234">
        <v>352590</v>
      </c>
      <c r="E234" t="s">
        <v>48</v>
      </c>
      <c r="F234" t="s">
        <v>49</v>
      </c>
      <c r="G234" s="30">
        <v>0</v>
      </c>
    </row>
    <row r="235" spans="1:7" x14ac:dyDescent="0.25">
      <c r="A235" t="s">
        <v>128</v>
      </c>
      <c r="B235" t="s">
        <v>129</v>
      </c>
      <c r="C235" t="s">
        <v>130</v>
      </c>
      <c r="D235">
        <v>353052</v>
      </c>
      <c r="E235" t="s">
        <v>53</v>
      </c>
      <c r="F235" t="s">
        <v>49</v>
      </c>
      <c r="G235" s="30">
        <v>3453431.5160394702</v>
      </c>
    </row>
    <row r="236" spans="1:7" x14ac:dyDescent="0.25">
      <c r="A236" t="s">
        <v>74</v>
      </c>
      <c r="B236" t="s">
        <v>75</v>
      </c>
      <c r="C236" t="s">
        <v>67</v>
      </c>
      <c r="D236">
        <v>353178</v>
      </c>
      <c r="E236" t="s">
        <v>53</v>
      </c>
      <c r="F236" t="s">
        <v>49</v>
      </c>
      <c r="G236" s="30">
        <v>3.3433844213623699E-2</v>
      </c>
    </row>
    <row r="237" spans="1:7" x14ac:dyDescent="0.25">
      <c r="A237" t="s">
        <v>131</v>
      </c>
      <c r="B237" t="s">
        <v>132</v>
      </c>
      <c r="C237" t="s">
        <v>67</v>
      </c>
      <c r="D237">
        <v>354478</v>
      </c>
      <c r="E237" t="s">
        <v>53</v>
      </c>
      <c r="F237" t="s">
        <v>49</v>
      </c>
      <c r="G237" s="30">
        <v>95003.811771860303</v>
      </c>
    </row>
    <row r="238" spans="1:7" x14ac:dyDescent="0.25">
      <c r="A238" t="s">
        <v>128</v>
      </c>
      <c r="B238" t="s">
        <v>129</v>
      </c>
      <c r="C238" t="s">
        <v>130</v>
      </c>
      <c r="D238">
        <v>355503</v>
      </c>
      <c r="E238" t="s">
        <v>53</v>
      </c>
      <c r="F238" t="s">
        <v>49</v>
      </c>
      <c r="G238" s="30">
        <v>3632584.42217525</v>
      </c>
    </row>
    <row r="239" spans="1:7" x14ac:dyDescent="0.25">
      <c r="A239" t="s">
        <v>45</v>
      </c>
      <c r="B239" t="s">
        <v>46</v>
      </c>
      <c r="C239" t="s">
        <v>47</v>
      </c>
      <c r="D239">
        <v>355585</v>
      </c>
      <c r="E239" t="s">
        <v>48</v>
      </c>
      <c r="F239" t="s">
        <v>49</v>
      </c>
      <c r="G239" s="30">
        <v>0</v>
      </c>
    </row>
    <row r="240" spans="1:7" x14ac:dyDescent="0.25">
      <c r="A240" t="s">
        <v>114</v>
      </c>
      <c r="B240" t="s">
        <v>115</v>
      </c>
      <c r="C240" t="s">
        <v>56</v>
      </c>
      <c r="D240">
        <v>355773</v>
      </c>
      <c r="E240" t="s">
        <v>53</v>
      </c>
      <c r="F240" t="s">
        <v>49</v>
      </c>
      <c r="G240" s="30">
        <v>199214.97574707001</v>
      </c>
    </row>
    <row r="241" spans="1:7" x14ac:dyDescent="0.25">
      <c r="A241" t="s">
        <v>114</v>
      </c>
      <c r="B241" t="s">
        <v>115</v>
      </c>
      <c r="C241" t="s">
        <v>56</v>
      </c>
      <c r="D241">
        <v>356519</v>
      </c>
      <c r="E241" t="s">
        <v>53</v>
      </c>
      <c r="F241" t="s">
        <v>49</v>
      </c>
      <c r="G241" s="30">
        <v>227455.23347392899</v>
      </c>
    </row>
    <row r="242" spans="1:7" x14ac:dyDescent="0.25">
      <c r="A242" t="s">
        <v>45</v>
      </c>
      <c r="B242" t="s">
        <v>46</v>
      </c>
      <c r="C242" t="s">
        <v>47</v>
      </c>
      <c r="D242">
        <v>356898</v>
      </c>
      <c r="E242" t="s">
        <v>48</v>
      </c>
      <c r="F242" t="s">
        <v>49</v>
      </c>
      <c r="G242" s="30">
        <v>0</v>
      </c>
    </row>
    <row r="243" spans="1:7" x14ac:dyDescent="0.25">
      <c r="A243" t="s">
        <v>45</v>
      </c>
      <c r="B243" t="s">
        <v>46</v>
      </c>
      <c r="C243" t="s">
        <v>47</v>
      </c>
      <c r="D243">
        <v>357997</v>
      </c>
      <c r="E243" t="s">
        <v>48</v>
      </c>
      <c r="F243" t="s">
        <v>49</v>
      </c>
      <c r="G243" s="30">
        <v>0.78</v>
      </c>
    </row>
    <row r="244" spans="1:7" x14ac:dyDescent="0.25">
      <c r="A244" t="s">
        <v>50</v>
      </c>
      <c r="B244" t="s">
        <v>51</v>
      </c>
      <c r="C244" t="s">
        <v>52</v>
      </c>
      <c r="D244">
        <v>359274</v>
      </c>
      <c r="E244" t="s">
        <v>53</v>
      </c>
      <c r="F244" t="s">
        <v>49</v>
      </c>
      <c r="G244" s="30">
        <v>87210.495415068595</v>
      </c>
    </row>
    <row r="245" spans="1:7" x14ac:dyDescent="0.25">
      <c r="A245" t="s">
        <v>68</v>
      </c>
      <c r="B245" t="s">
        <v>69</v>
      </c>
      <c r="C245" t="s">
        <v>56</v>
      </c>
      <c r="D245">
        <v>359596</v>
      </c>
      <c r="E245" t="s">
        <v>53</v>
      </c>
      <c r="F245" t="s">
        <v>49</v>
      </c>
      <c r="G245" s="30">
        <v>474365.05882812501</v>
      </c>
    </row>
    <row r="246" spans="1:7" x14ac:dyDescent="0.25">
      <c r="A246" t="s">
        <v>120</v>
      </c>
      <c r="B246" t="s">
        <v>121</v>
      </c>
      <c r="C246" t="s">
        <v>67</v>
      </c>
      <c r="D246">
        <v>359794</v>
      </c>
      <c r="E246" t="s">
        <v>53</v>
      </c>
      <c r="F246" t="s">
        <v>49</v>
      </c>
      <c r="G246" s="30">
        <v>866121.05729312706</v>
      </c>
    </row>
    <row r="247" spans="1:7" x14ac:dyDescent="0.25">
      <c r="A247" t="s">
        <v>120</v>
      </c>
      <c r="B247" t="s">
        <v>121</v>
      </c>
      <c r="C247" t="s">
        <v>67</v>
      </c>
      <c r="D247">
        <v>360003</v>
      </c>
      <c r="E247" t="s">
        <v>53</v>
      </c>
      <c r="F247" t="s">
        <v>49</v>
      </c>
      <c r="G247" s="30">
        <v>1672445.5821877101</v>
      </c>
    </row>
    <row r="248" spans="1:7" x14ac:dyDescent="0.25">
      <c r="A248" t="s">
        <v>102</v>
      </c>
      <c r="B248" t="s">
        <v>103</v>
      </c>
      <c r="C248" t="s">
        <v>47</v>
      </c>
      <c r="D248">
        <v>361607</v>
      </c>
      <c r="E248" t="s">
        <v>48</v>
      </c>
      <c r="F248" t="s">
        <v>49</v>
      </c>
      <c r="G248" s="30">
        <v>4.2</v>
      </c>
    </row>
    <row r="249" spans="1:7" x14ac:dyDescent="0.25">
      <c r="A249" t="s">
        <v>61</v>
      </c>
      <c r="B249" t="s">
        <v>62</v>
      </c>
      <c r="C249" t="s">
        <v>56</v>
      </c>
      <c r="D249">
        <v>361740</v>
      </c>
      <c r="E249" t="s">
        <v>48</v>
      </c>
      <c r="F249" t="s">
        <v>49</v>
      </c>
      <c r="G249" s="30">
        <v>0</v>
      </c>
    </row>
    <row r="250" spans="1:7" x14ac:dyDescent="0.25">
      <c r="A250" t="s">
        <v>72</v>
      </c>
      <c r="B250" t="s">
        <v>73</v>
      </c>
      <c r="C250" t="s">
        <v>67</v>
      </c>
      <c r="D250">
        <v>361855</v>
      </c>
      <c r="E250" t="s">
        <v>53</v>
      </c>
      <c r="F250" t="s">
        <v>49</v>
      </c>
      <c r="G250" s="30">
        <v>223780.32648152899</v>
      </c>
    </row>
    <row r="251" spans="1:7" x14ac:dyDescent="0.25">
      <c r="A251" t="s">
        <v>50</v>
      </c>
      <c r="B251" t="s">
        <v>51</v>
      </c>
      <c r="C251" t="s">
        <v>52</v>
      </c>
      <c r="D251">
        <v>362263</v>
      </c>
      <c r="E251" t="s">
        <v>53</v>
      </c>
      <c r="F251" t="s">
        <v>49</v>
      </c>
      <c r="G251" s="30">
        <v>745.82442790745301</v>
      </c>
    </row>
    <row r="252" spans="1:7" x14ac:dyDescent="0.25">
      <c r="A252" t="s">
        <v>106</v>
      </c>
      <c r="B252" t="s">
        <v>107</v>
      </c>
      <c r="C252" t="s">
        <v>56</v>
      </c>
      <c r="D252">
        <v>362732</v>
      </c>
      <c r="E252" t="s">
        <v>53</v>
      </c>
      <c r="F252" t="s">
        <v>49</v>
      </c>
      <c r="G252" s="30">
        <v>2617126.7986083501</v>
      </c>
    </row>
    <row r="253" spans="1:7" x14ac:dyDescent="0.25">
      <c r="A253" t="s">
        <v>50</v>
      </c>
      <c r="B253" t="s">
        <v>51</v>
      </c>
      <c r="C253" t="s">
        <v>52</v>
      </c>
      <c r="D253">
        <v>363515</v>
      </c>
      <c r="E253" t="s">
        <v>53</v>
      </c>
      <c r="F253" t="s">
        <v>49</v>
      </c>
      <c r="G253" s="30">
        <v>551.55376801704904</v>
      </c>
    </row>
    <row r="254" spans="1:7" x14ac:dyDescent="0.25">
      <c r="A254" t="s">
        <v>112</v>
      </c>
      <c r="B254" t="s">
        <v>113</v>
      </c>
      <c r="C254" t="s">
        <v>81</v>
      </c>
      <c r="D254">
        <v>363539</v>
      </c>
      <c r="E254" t="s">
        <v>53</v>
      </c>
      <c r="F254" t="s">
        <v>49</v>
      </c>
      <c r="G254" s="30">
        <v>6105518.5715392902</v>
      </c>
    </row>
    <row r="255" spans="1:7" x14ac:dyDescent="0.25">
      <c r="A255" t="s">
        <v>128</v>
      </c>
      <c r="B255" t="s">
        <v>129</v>
      </c>
      <c r="C255" t="s">
        <v>130</v>
      </c>
      <c r="D255">
        <v>363815</v>
      </c>
      <c r="E255" t="s">
        <v>53</v>
      </c>
      <c r="F255" t="s">
        <v>49</v>
      </c>
      <c r="G255" s="30">
        <v>3873908.1449776199</v>
      </c>
    </row>
    <row r="256" spans="1:7" x14ac:dyDescent="0.25">
      <c r="A256" t="s">
        <v>74</v>
      </c>
      <c r="B256" t="s">
        <v>75</v>
      </c>
      <c r="C256" t="s">
        <v>67</v>
      </c>
      <c r="D256">
        <v>364117</v>
      </c>
      <c r="E256" t="s">
        <v>48</v>
      </c>
      <c r="F256" t="s">
        <v>49</v>
      </c>
      <c r="G256" s="30">
        <v>0</v>
      </c>
    </row>
    <row r="257" spans="1:7" x14ac:dyDescent="0.25">
      <c r="A257" t="s">
        <v>45</v>
      </c>
      <c r="B257" t="s">
        <v>46</v>
      </c>
      <c r="C257" t="s">
        <v>47</v>
      </c>
      <c r="D257">
        <v>364807</v>
      </c>
      <c r="E257" t="s">
        <v>53</v>
      </c>
      <c r="F257" t="s">
        <v>49</v>
      </c>
      <c r="G257" s="30">
        <v>12527.13</v>
      </c>
    </row>
    <row r="258" spans="1:7" x14ac:dyDescent="0.25">
      <c r="A258" t="s">
        <v>122</v>
      </c>
      <c r="B258" t="s">
        <v>123</v>
      </c>
      <c r="C258" t="s">
        <v>52</v>
      </c>
      <c r="D258">
        <v>365883</v>
      </c>
      <c r="E258" t="s">
        <v>53</v>
      </c>
      <c r="F258" t="s">
        <v>49</v>
      </c>
      <c r="G258" s="30">
        <v>2434992.31660969</v>
      </c>
    </row>
    <row r="259" spans="1:7" x14ac:dyDescent="0.25">
      <c r="A259" t="s">
        <v>72</v>
      </c>
      <c r="B259" t="s">
        <v>73</v>
      </c>
      <c r="C259" t="s">
        <v>67</v>
      </c>
      <c r="D259">
        <v>366656</v>
      </c>
      <c r="E259" t="s">
        <v>53</v>
      </c>
      <c r="F259" t="s">
        <v>49</v>
      </c>
      <c r="G259" s="30">
        <v>11390.9182876258</v>
      </c>
    </row>
    <row r="260" spans="1:7" x14ac:dyDescent="0.25">
      <c r="A260" t="s">
        <v>45</v>
      </c>
      <c r="B260" t="s">
        <v>46</v>
      </c>
      <c r="C260" t="s">
        <v>47</v>
      </c>
      <c r="D260">
        <v>366661</v>
      </c>
      <c r="E260" t="s">
        <v>48</v>
      </c>
      <c r="F260" t="s">
        <v>49</v>
      </c>
      <c r="G260" s="30">
        <v>0</v>
      </c>
    </row>
    <row r="261" spans="1:7" x14ac:dyDescent="0.25">
      <c r="A261" t="s">
        <v>74</v>
      </c>
      <c r="B261" t="s">
        <v>75</v>
      </c>
      <c r="C261" t="s">
        <v>67</v>
      </c>
      <c r="D261">
        <v>367239</v>
      </c>
      <c r="E261" t="s">
        <v>53</v>
      </c>
      <c r="F261" t="s">
        <v>49</v>
      </c>
      <c r="G261" s="30">
        <v>239.94</v>
      </c>
    </row>
    <row r="262" spans="1:7" x14ac:dyDescent="0.25">
      <c r="A262" t="s">
        <v>45</v>
      </c>
      <c r="B262" t="s">
        <v>46</v>
      </c>
      <c r="C262" t="s">
        <v>47</v>
      </c>
      <c r="D262">
        <v>368481</v>
      </c>
      <c r="E262" t="s">
        <v>48</v>
      </c>
      <c r="F262" t="s">
        <v>49</v>
      </c>
      <c r="G262" s="30">
        <v>0</v>
      </c>
    </row>
    <row r="263" spans="1:7" x14ac:dyDescent="0.25">
      <c r="A263" t="s">
        <v>45</v>
      </c>
      <c r="B263" t="s">
        <v>46</v>
      </c>
      <c r="C263" t="s">
        <v>47</v>
      </c>
      <c r="D263">
        <v>369557</v>
      </c>
      <c r="E263" t="s">
        <v>48</v>
      </c>
      <c r="F263" t="s">
        <v>49</v>
      </c>
      <c r="G263" s="30">
        <v>0</v>
      </c>
    </row>
    <row r="264" spans="1:7" x14ac:dyDescent="0.25">
      <c r="A264" t="s">
        <v>68</v>
      </c>
      <c r="B264" t="s">
        <v>69</v>
      </c>
      <c r="C264" t="s">
        <v>56</v>
      </c>
      <c r="D264">
        <v>369859</v>
      </c>
      <c r="E264" t="s">
        <v>53</v>
      </c>
      <c r="F264" t="s">
        <v>49</v>
      </c>
      <c r="G264" s="30">
        <v>52123.365403833799</v>
      </c>
    </row>
    <row r="265" spans="1:7" x14ac:dyDescent="0.25">
      <c r="A265" t="s">
        <v>122</v>
      </c>
      <c r="B265" t="s">
        <v>123</v>
      </c>
      <c r="C265" t="s">
        <v>52</v>
      </c>
      <c r="D265">
        <v>370011</v>
      </c>
      <c r="E265" t="s">
        <v>53</v>
      </c>
      <c r="F265" t="s">
        <v>49</v>
      </c>
      <c r="G265" s="30">
        <v>1351514.6</v>
      </c>
    </row>
    <row r="266" spans="1:7" x14ac:dyDescent="0.25">
      <c r="A266" t="s">
        <v>106</v>
      </c>
      <c r="B266" t="s">
        <v>107</v>
      </c>
      <c r="C266" t="s">
        <v>56</v>
      </c>
      <c r="D266">
        <v>370200</v>
      </c>
      <c r="E266" t="s">
        <v>48</v>
      </c>
      <c r="F266" t="s">
        <v>49</v>
      </c>
      <c r="G266" s="30">
        <v>0</v>
      </c>
    </row>
    <row r="267" spans="1:7" x14ac:dyDescent="0.25">
      <c r="A267" t="s">
        <v>50</v>
      </c>
      <c r="B267" t="s">
        <v>51</v>
      </c>
      <c r="C267" t="s">
        <v>52</v>
      </c>
      <c r="D267">
        <v>371547</v>
      </c>
      <c r="E267" t="s">
        <v>53</v>
      </c>
      <c r="F267" t="s">
        <v>49</v>
      </c>
      <c r="G267" s="30">
        <v>47738.48046875</v>
      </c>
    </row>
    <row r="268" spans="1:7" x14ac:dyDescent="0.25">
      <c r="A268" t="s">
        <v>133</v>
      </c>
      <c r="B268" t="s">
        <v>134</v>
      </c>
      <c r="C268" t="s">
        <v>47</v>
      </c>
      <c r="D268">
        <v>371554</v>
      </c>
      <c r="E268" t="s">
        <v>53</v>
      </c>
      <c r="F268" t="s">
        <v>49</v>
      </c>
      <c r="G268" s="30">
        <v>411376.27788639598</v>
      </c>
    </row>
    <row r="269" spans="1:7" x14ac:dyDescent="0.25">
      <c r="A269" t="s">
        <v>45</v>
      </c>
      <c r="B269" t="s">
        <v>46</v>
      </c>
      <c r="C269" t="s">
        <v>47</v>
      </c>
      <c r="D269">
        <v>371770</v>
      </c>
      <c r="E269" t="s">
        <v>53</v>
      </c>
      <c r="F269" t="s">
        <v>49</v>
      </c>
      <c r="G269" s="30">
        <v>191.72</v>
      </c>
    </row>
    <row r="270" spans="1:7" x14ac:dyDescent="0.25">
      <c r="A270" t="s">
        <v>128</v>
      </c>
      <c r="B270" t="s">
        <v>129</v>
      </c>
      <c r="C270" t="s">
        <v>130</v>
      </c>
      <c r="D270">
        <v>376326</v>
      </c>
      <c r="E270" t="s">
        <v>53</v>
      </c>
      <c r="F270" t="s">
        <v>49</v>
      </c>
      <c r="G270" s="30">
        <v>4410132.1690383404</v>
      </c>
    </row>
    <row r="271" spans="1:7" x14ac:dyDescent="0.25">
      <c r="A271" t="s">
        <v>68</v>
      </c>
      <c r="B271" t="s">
        <v>69</v>
      </c>
      <c r="C271" t="s">
        <v>56</v>
      </c>
      <c r="D271">
        <v>376353</v>
      </c>
      <c r="E271" t="s">
        <v>53</v>
      </c>
      <c r="F271" t="s">
        <v>49</v>
      </c>
      <c r="G271" s="30">
        <v>857119.83129907295</v>
      </c>
    </row>
    <row r="272" spans="1:7" x14ac:dyDescent="0.25">
      <c r="A272" t="s">
        <v>116</v>
      </c>
      <c r="B272" t="s">
        <v>117</v>
      </c>
      <c r="C272" t="s">
        <v>47</v>
      </c>
      <c r="D272">
        <v>376814</v>
      </c>
      <c r="E272" t="s">
        <v>53</v>
      </c>
      <c r="F272" t="s">
        <v>49</v>
      </c>
      <c r="G272" s="30">
        <v>1040027.04896169</v>
      </c>
    </row>
    <row r="273" spans="1:7" x14ac:dyDescent="0.25">
      <c r="A273" t="s">
        <v>72</v>
      </c>
      <c r="B273" t="s">
        <v>73</v>
      </c>
      <c r="C273" t="s">
        <v>67</v>
      </c>
      <c r="D273">
        <v>377368</v>
      </c>
      <c r="E273" t="s">
        <v>53</v>
      </c>
      <c r="F273" t="s">
        <v>49</v>
      </c>
      <c r="G273" s="30">
        <v>520400.184809389</v>
      </c>
    </row>
    <row r="274" spans="1:7" x14ac:dyDescent="0.25">
      <c r="A274" t="s">
        <v>76</v>
      </c>
      <c r="B274" t="s">
        <v>77</v>
      </c>
      <c r="C274" t="s">
        <v>78</v>
      </c>
      <c r="D274">
        <v>377633</v>
      </c>
      <c r="E274" t="s">
        <v>53</v>
      </c>
      <c r="F274" t="s">
        <v>49</v>
      </c>
      <c r="G274" s="30">
        <v>1437802.55559101</v>
      </c>
    </row>
    <row r="275" spans="1:7" x14ac:dyDescent="0.25">
      <c r="A275" t="s">
        <v>45</v>
      </c>
      <c r="B275" t="s">
        <v>46</v>
      </c>
      <c r="C275" t="s">
        <v>47</v>
      </c>
      <c r="D275">
        <v>377733</v>
      </c>
      <c r="E275" t="s">
        <v>48</v>
      </c>
      <c r="F275" t="s">
        <v>49</v>
      </c>
      <c r="G275" s="30">
        <v>0</v>
      </c>
    </row>
    <row r="276" spans="1:7" x14ac:dyDescent="0.25">
      <c r="A276" t="s">
        <v>88</v>
      </c>
      <c r="B276" t="s">
        <v>89</v>
      </c>
      <c r="C276" t="s">
        <v>78</v>
      </c>
      <c r="D276">
        <v>381696</v>
      </c>
      <c r="E276" t="s">
        <v>53</v>
      </c>
      <c r="F276" t="s">
        <v>49</v>
      </c>
      <c r="G276" s="30">
        <v>43255.410888671897</v>
      </c>
    </row>
    <row r="277" spans="1:7" x14ac:dyDescent="0.25">
      <c r="A277" t="s">
        <v>50</v>
      </c>
      <c r="B277" t="s">
        <v>51</v>
      </c>
      <c r="C277" t="s">
        <v>52</v>
      </c>
      <c r="D277">
        <v>382749</v>
      </c>
      <c r="E277" t="s">
        <v>53</v>
      </c>
      <c r="F277" t="s">
        <v>49</v>
      </c>
      <c r="G277" s="30">
        <v>39120.778442725503</v>
      </c>
    </row>
    <row r="278" spans="1:7" x14ac:dyDescent="0.25">
      <c r="A278" t="s">
        <v>128</v>
      </c>
      <c r="B278" t="s">
        <v>129</v>
      </c>
      <c r="C278" t="s">
        <v>130</v>
      </c>
      <c r="D278">
        <v>383262</v>
      </c>
      <c r="E278" t="s">
        <v>53</v>
      </c>
      <c r="F278" t="s">
        <v>49</v>
      </c>
      <c r="G278" s="30">
        <v>1991090.18274549</v>
      </c>
    </row>
    <row r="279" spans="1:7" x14ac:dyDescent="0.25">
      <c r="A279" t="s">
        <v>45</v>
      </c>
      <c r="B279" t="s">
        <v>46</v>
      </c>
      <c r="C279" t="s">
        <v>47</v>
      </c>
      <c r="D279">
        <v>384179</v>
      </c>
      <c r="E279" t="s">
        <v>48</v>
      </c>
      <c r="F279" t="s">
        <v>49</v>
      </c>
      <c r="G279" s="30">
        <v>0</v>
      </c>
    </row>
    <row r="280" spans="1:7" x14ac:dyDescent="0.25">
      <c r="A280" t="s">
        <v>102</v>
      </c>
      <c r="B280" t="s">
        <v>103</v>
      </c>
      <c r="C280" t="s">
        <v>47</v>
      </c>
      <c r="D280">
        <v>385346</v>
      </c>
      <c r="E280" t="s">
        <v>53</v>
      </c>
      <c r="F280" t="s">
        <v>49</v>
      </c>
      <c r="G280" s="30">
        <v>332395.60387292103</v>
      </c>
    </row>
    <row r="281" spans="1:7" x14ac:dyDescent="0.25">
      <c r="A281" t="s">
        <v>61</v>
      </c>
      <c r="B281" t="s">
        <v>62</v>
      </c>
      <c r="C281" t="s">
        <v>56</v>
      </c>
      <c r="D281">
        <v>386637</v>
      </c>
      <c r="E281" t="s">
        <v>53</v>
      </c>
      <c r="F281" t="s">
        <v>49</v>
      </c>
      <c r="G281" s="30">
        <v>51594.686808932704</v>
      </c>
    </row>
    <row r="282" spans="1:7" x14ac:dyDescent="0.25">
      <c r="A282" t="s">
        <v>50</v>
      </c>
      <c r="B282" t="s">
        <v>51</v>
      </c>
      <c r="C282" t="s">
        <v>52</v>
      </c>
      <c r="D282">
        <v>386754</v>
      </c>
      <c r="E282" t="s">
        <v>53</v>
      </c>
      <c r="F282" t="s">
        <v>49</v>
      </c>
      <c r="G282" s="30">
        <v>946.65643836107301</v>
      </c>
    </row>
    <row r="283" spans="1:7" x14ac:dyDescent="0.25">
      <c r="A283" t="s">
        <v>50</v>
      </c>
      <c r="B283" t="s">
        <v>51</v>
      </c>
      <c r="C283" t="s">
        <v>52</v>
      </c>
      <c r="D283">
        <v>388982</v>
      </c>
      <c r="E283" t="s">
        <v>53</v>
      </c>
      <c r="F283" t="s">
        <v>49</v>
      </c>
      <c r="G283" s="30">
        <v>2178.77477050781</v>
      </c>
    </row>
    <row r="284" spans="1:7" x14ac:dyDescent="0.25">
      <c r="A284" t="s">
        <v>45</v>
      </c>
      <c r="B284" t="s">
        <v>46</v>
      </c>
      <c r="C284" t="s">
        <v>47</v>
      </c>
      <c r="D284">
        <v>391417</v>
      </c>
      <c r="E284" t="s">
        <v>48</v>
      </c>
      <c r="F284" t="s">
        <v>49</v>
      </c>
      <c r="G284" s="30">
        <v>0</v>
      </c>
    </row>
    <row r="285" spans="1:7" x14ac:dyDescent="0.25">
      <c r="A285" t="s">
        <v>135</v>
      </c>
      <c r="B285" t="s">
        <v>136</v>
      </c>
      <c r="C285" t="s">
        <v>56</v>
      </c>
      <c r="D285">
        <v>391790</v>
      </c>
      <c r="E285" t="s">
        <v>53</v>
      </c>
      <c r="F285" t="s">
        <v>49</v>
      </c>
      <c r="G285" s="30">
        <v>8643023.6449999996</v>
      </c>
    </row>
    <row r="286" spans="1:7" x14ac:dyDescent="0.25">
      <c r="A286" t="s">
        <v>65</v>
      </c>
      <c r="B286" t="s">
        <v>66</v>
      </c>
      <c r="C286" t="s">
        <v>67</v>
      </c>
      <c r="D286">
        <v>393781</v>
      </c>
      <c r="E286" t="s">
        <v>53</v>
      </c>
      <c r="F286" t="s">
        <v>49</v>
      </c>
      <c r="G286" s="30">
        <v>853220.12222763</v>
      </c>
    </row>
    <row r="287" spans="1:7" x14ac:dyDescent="0.25">
      <c r="A287" t="s">
        <v>50</v>
      </c>
      <c r="B287" t="s">
        <v>51</v>
      </c>
      <c r="C287" t="s">
        <v>52</v>
      </c>
      <c r="D287">
        <v>394115</v>
      </c>
      <c r="E287" t="s">
        <v>48</v>
      </c>
      <c r="F287" t="s">
        <v>49</v>
      </c>
      <c r="G287" s="30">
        <v>0</v>
      </c>
    </row>
    <row r="288" spans="1:7" x14ac:dyDescent="0.25">
      <c r="A288" t="s">
        <v>90</v>
      </c>
      <c r="B288" t="s">
        <v>91</v>
      </c>
      <c r="C288" t="s">
        <v>81</v>
      </c>
      <c r="D288">
        <v>394620</v>
      </c>
      <c r="E288" t="s">
        <v>53</v>
      </c>
      <c r="F288" t="s">
        <v>49</v>
      </c>
      <c r="G288" s="30">
        <v>1262556.7143548699</v>
      </c>
    </row>
    <row r="289" spans="1:7" x14ac:dyDescent="0.25">
      <c r="A289" t="s">
        <v>45</v>
      </c>
      <c r="B289" t="s">
        <v>46</v>
      </c>
      <c r="C289" t="s">
        <v>47</v>
      </c>
      <c r="D289">
        <v>394703</v>
      </c>
      <c r="E289" t="s">
        <v>48</v>
      </c>
      <c r="F289" t="s">
        <v>49</v>
      </c>
      <c r="G289" s="30">
        <v>0</v>
      </c>
    </row>
    <row r="290" spans="1:7" x14ac:dyDescent="0.25">
      <c r="A290" t="s">
        <v>50</v>
      </c>
      <c r="B290" t="s">
        <v>51</v>
      </c>
      <c r="C290" t="s">
        <v>52</v>
      </c>
      <c r="D290">
        <v>395716</v>
      </c>
      <c r="E290" t="s">
        <v>53</v>
      </c>
      <c r="F290" t="s">
        <v>49</v>
      </c>
      <c r="G290" s="30">
        <v>11222.81000718</v>
      </c>
    </row>
    <row r="291" spans="1:7" x14ac:dyDescent="0.25">
      <c r="A291" t="s">
        <v>88</v>
      </c>
      <c r="B291" t="s">
        <v>89</v>
      </c>
      <c r="C291" t="s">
        <v>78</v>
      </c>
      <c r="D291">
        <v>397300</v>
      </c>
      <c r="E291" t="s">
        <v>53</v>
      </c>
      <c r="F291" t="s">
        <v>49</v>
      </c>
      <c r="G291" s="30">
        <v>4.88</v>
      </c>
    </row>
    <row r="292" spans="1:7" x14ac:dyDescent="0.25">
      <c r="A292" t="s">
        <v>102</v>
      </c>
      <c r="B292" t="s">
        <v>103</v>
      </c>
      <c r="C292" t="s">
        <v>47</v>
      </c>
      <c r="D292">
        <v>398466</v>
      </c>
      <c r="E292" t="s">
        <v>53</v>
      </c>
      <c r="F292" t="s">
        <v>49</v>
      </c>
      <c r="G292" s="30">
        <v>107461.03751831601</v>
      </c>
    </row>
    <row r="293" spans="1:7" x14ac:dyDescent="0.25">
      <c r="A293" t="s">
        <v>50</v>
      </c>
      <c r="B293" t="s">
        <v>51</v>
      </c>
      <c r="C293" t="s">
        <v>52</v>
      </c>
      <c r="D293">
        <v>399146</v>
      </c>
      <c r="E293" t="s">
        <v>53</v>
      </c>
      <c r="F293" t="s">
        <v>49</v>
      </c>
      <c r="G293" s="30">
        <v>1156.4129600000001</v>
      </c>
    </row>
    <row r="294" spans="1:7" x14ac:dyDescent="0.25">
      <c r="A294" t="s">
        <v>76</v>
      </c>
      <c r="B294" t="s">
        <v>77</v>
      </c>
      <c r="C294" t="s">
        <v>78</v>
      </c>
      <c r="D294">
        <v>401564</v>
      </c>
      <c r="E294" t="s">
        <v>53</v>
      </c>
      <c r="F294" t="s">
        <v>49</v>
      </c>
      <c r="G294" s="30">
        <v>134346.13359676901</v>
      </c>
    </row>
    <row r="295" spans="1:7" x14ac:dyDescent="0.25">
      <c r="A295" t="s">
        <v>88</v>
      </c>
      <c r="B295" t="s">
        <v>89</v>
      </c>
      <c r="C295" t="s">
        <v>78</v>
      </c>
      <c r="D295">
        <v>402137</v>
      </c>
      <c r="E295" t="s">
        <v>53</v>
      </c>
      <c r="F295" t="s">
        <v>49</v>
      </c>
      <c r="G295" s="30">
        <v>64252.218778757597</v>
      </c>
    </row>
    <row r="296" spans="1:7" x14ac:dyDescent="0.25">
      <c r="A296" t="s">
        <v>122</v>
      </c>
      <c r="B296" t="s">
        <v>123</v>
      </c>
      <c r="C296" t="s">
        <v>52</v>
      </c>
      <c r="D296">
        <v>402584</v>
      </c>
      <c r="E296" t="s">
        <v>53</v>
      </c>
      <c r="F296" t="s">
        <v>49</v>
      </c>
      <c r="G296" s="30">
        <v>258462.540727902</v>
      </c>
    </row>
    <row r="297" spans="1:7" x14ac:dyDescent="0.25">
      <c r="A297" t="s">
        <v>88</v>
      </c>
      <c r="B297" t="s">
        <v>89</v>
      </c>
      <c r="C297" t="s">
        <v>78</v>
      </c>
      <c r="D297">
        <v>402993</v>
      </c>
      <c r="E297" t="s">
        <v>53</v>
      </c>
      <c r="F297" t="s">
        <v>49</v>
      </c>
      <c r="G297" s="30">
        <v>226240.71183877601</v>
      </c>
    </row>
    <row r="298" spans="1:7" x14ac:dyDescent="0.25">
      <c r="A298" t="s">
        <v>122</v>
      </c>
      <c r="B298" t="s">
        <v>123</v>
      </c>
      <c r="C298" t="s">
        <v>52</v>
      </c>
      <c r="D298">
        <v>405885</v>
      </c>
      <c r="E298" t="s">
        <v>53</v>
      </c>
      <c r="F298" t="s">
        <v>49</v>
      </c>
      <c r="G298" s="30">
        <v>156955.96008573601</v>
      </c>
    </row>
    <row r="299" spans="1:7" x14ac:dyDescent="0.25">
      <c r="A299" t="s">
        <v>70</v>
      </c>
      <c r="B299" t="s">
        <v>71</v>
      </c>
      <c r="C299" t="s">
        <v>47</v>
      </c>
      <c r="D299">
        <v>406823</v>
      </c>
      <c r="E299" t="s">
        <v>53</v>
      </c>
      <c r="F299" t="s">
        <v>49</v>
      </c>
      <c r="G299" s="30">
        <v>150101.61932364199</v>
      </c>
    </row>
    <row r="300" spans="1:7" x14ac:dyDescent="0.25">
      <c r="A300" t="s">
        <v>45</v>
      </c>
      <c r="B300" t="s">
        <v>46</v>
      </c>
      <c r="C300" t="s">
        <v>47</v>
      </c>
      <c r="D300">
        <v>407375</v>
      </c>
      <c r="E300" t="s">
        <v>48</v>
      </c>
      <c r="F300" t="s">
        <v>49</v>
      </c>
      <c r="G300" s="30">
        <v>0</v>
      </c>
    </row>
    <row r="301" spans="1:7" x14ac:dyDescent="0.25">
      <c r="A301" t="s">
        <v>86</v>
      </c>
      <c r="B301" t="s">
        <v>87</v>
      </c>
      <c r="C301" t="s">
        <v>78</v>
      </c>
      <c r="D301">
        <v>407638</v>
      </c>
      <c r="E301" t="s">
        <v>53</v>
      </c>
      <c r="F301" t="s">
        <v>49</v>
      </c>
      <c r="G301" s="30">
        <v>916357.57171235303</v>
      </c>
    </row>
    <row r="302" spans="1:7" x14ac:dyDescent="0.25">
      <c r="A302" t="s">
        <v>63</v>
      </c>
      <c r="B302" t="s">
        <v>64</v>
      </c>
      <c r="C302" t="s">
        <v>56</v>
      </c>
      <c r="D302">
        <v>407742</v>
      </c>
      <c r="E302" t="s">
        <v>53</v>
      </c>
      <c r="F302" t="s">
        <v>49</v>
      </c>
      <c r="G302" s="30">
        <v>554347.893950389</v>
      </c>
    </row>
    <row r="303" spans="1:7" x14ac:dyDescent="0.25">
      <c r="A303" t="s">
        <v>133</v>
      </c>
      <c r="B303" t="s">
        <v>134</v>
      </c>
      <c r="C303" t="s">
        <v>47</v>
      </c>
      <c r="D303">
        <v>407774</v>
      </c>
      <c r="E303" t="s">
        <v>53</v>
      </c>
      <c r="F303" t="s">
        <v>49</v>
      </c>
      <c r="G303" s="30">
        <v>38646.426638395198</v>
      </c>
    </row>
    <row r="304" spans="1:7" x14ac:dyDescent="0.25">
      <c r="A304" t="s">
        <v>114</v>
      </c>
      <c r="B304" t="s">
        <v>115</v>
      </c>
      <c r="C304" t="s">
        <v>56</v>
      </c>
      <c r="D304">
        <v>408953</v>
      </c>
      <c r="E304" t="s">
        <v>53</v>
      </c>
      <c r="F304" t="s">
        <v>49</v>
      </c>
      <c r="G304" s="30">
        <v>42901.492265624998</v>
      </c>
    </row>
    <row r="305" spans="1:7" x14ac:dyDescent="0.25">
      <c r="A305" t="s">
        <v>94</v>
      </c>
      <c r="B305" t="s">
        <v>95</v>
      </c>
      <c r="C305" t="s">
        <v>78</v>
      </c>
      <c r="D305">
        <v>408954</v>
      </c>
      <c r="E305" t="s">
        <v>53</v>
      </c>
      <c r="F305" t="s">
        <v>49</v>
      </c>
      <c r="G305" s="30">
        <v>776375.91004528501</v>
      </c>
    </row>
    <row r="306" spans="1:7" x14ac:dyDescent="0.25">
      <c r="A306" t="s">
        <v>45</v>
      </c>
      <c r="B306" t="s">
        <v>46</v>
      </c>
      <c r="C306" t="s">
        <v>47</v>
      </c>
      <c r="D306">
        <v>409342</v>
      </c>
      <c r="E306" t="s">
        <v>48</v>
      </c>
      <c r="F306" t="s">
        <v>49</v>
      </c>
      <c r="G306" s="30">
        <v>0</v>
      </c>
    </row>
    <row r="307" spans="1:7" x14ac:dyDescent="0.25">
      <c r="A307" t="s">
        <v>72</v>
      </c>
      <c r="B307" t="s">
        <v>73</v>
      </c>
      <c r="C307" t="s">
        <v>67</v>
      </c>
      <c r="D307">
        <v>413124</v>
      </c>
      <c r="E307" t="s">
        <v>53</v>
      </c>
      <c r="F307" t="s">
        <v>49</v>
      </c>
      <c r="G307" s="30">
        <v>174042.89371468799</v>
      </c>
    </row>
    <row r="308" spans="1:7" x14ac:dyDescent="0.25">
      <c r="A308" t="s">
        <v>74</v>
      </c>
      <c r="B308" t="s">
        <v>75</v>
      </c>
      <c r="C308" t="s">
        <v>67</v>
      </c>
      <c r="D308">
        <v>413510</v>
      </c>
      <c r="E308" t="s">
        <v>48</v>
      </c>
      <c r="F308" t="s">
        <v>49</v>
      </c>
      <c r="G308" s="30">
        <v>0</v>
      </c>
    </row>
    <row r="309" spans="1:7" x14ac:dyDescent="0.25">
      <c r="A309" t="s">
        <v>57</v>
      </c>
      <c r="B309" t="s">
        <v>58</v>
      </c>
      <c r="C309" t="s">
        <v>56</v>
      </c>
      <c r="D309">
        <v>414228</v>
      </c>
      <c r="E309" t="s">
        <v>53</v>
      </c>
      <c r="F309" t="s">
        <v>49</v>
      </c>
      <c r="G309" s="30">
        <v>2210.2255080613099</v>
      </c>
    </row>
    <row r="310" spans="1:7" x14ac:dyDescent="0.25">
      <c r="A310" t="s">
        <v>50</v>
      </c>
      <c r="B310" t="s">
        <v>51</v>
      </c>
      <c r="C310" t="s">
        <v>52</v>
      </c>
      <c r="D310">
        <v>414858</v>
      </c>
      <c r="E310" t="s">
        <v>53</v>
      </c>
      <c r="F310" t="s">
        <v>49</v>
      </c>
      <c r="G310" s="30">
        <v>489.66</v>
      </c>
    </row>
    <row r="311" spans="1:7" x14ac:dyDescent="0.25">
      <c r="A311" t="s">
        <v>65</v>
      </c>
      <c r="B311" t="s">
        <v>66</v>
      </c>
      <c r="C311" t="s">
        <v>67</v>
      </c>
      <c r="D311">
        <v>415100</v>
      </c>
      <c r="E311" t="s">
        <v>53</v>
      </c>
      <c r="F311" t="s">
        <v>49</v>
      </c>
      <c r="G311" s="30">
        <v>4509.4873490903001</v>
      </c>
    </row>
    <row r="312" spans="1:7" x14ac:dyDescent="0.25">
      <c r="A312" t="s">
        <v>50</v>
      </c>
      <c r="B312" t="s">
        <v>51</v>
      </c>
      <c r="C312" t="s">
        <v>52</v>
      </c>
      <c r="D312">
        <v>416462</v>
      </c>
      <c r="E312" t="s">
        <v>48</v>
      </c>
      <c r="F312" t="s">
        <v>49</v>
      </c>
      <c r="G312" s="30">
        <v>0</v>
      </c>
    </row>
    <row r="313" spans="1:7" x14ac:dyDescent="0.25">
      <c r="A313" t="s">
        <v>61</v>
      </c>
      <c r="B313" t="s">
        <v>62</v>
      </c>
      <c r="C313" t="s">
        <v>56</v>
      </c>
      <c r="D313">
        <v>417453</v>
      </c>
      <c r="E313" t="s">
        <v>48</v>
      </c>
      <c r="F313" t="s">
        <v>49</v>
      </c>
      <c r="G313" s="30">
        <v>0</v>
      </c>
    </row>
    <row r="314" spans="1:7" x14ac:dyDescent="0.25">
      <c r="A314" t="s">
        <v>79</v>
      </c>
      <c r="B314" t="s">
        <v>80</v>
      </c>
      <c r="C314" t="s">
        <v>81</v>
      </c>
      <c r="D314">
        <v>418807</v>
      </c>
      <c r="E314" t="s">
        <v>48</v>
      </c>
      <c r="F314" t="s">
        <v>49</v>
      </c>
      <c r="G314" s="30">
        <v>0</v>
      </c>
    </row>
    <row r="315" spans="1:7" x14ac:dyDescent="0.25">
      <c r="A315" t="s">
        <v>65</v>
      </c>
      <c r="B315" t="s">
        <v>66</v>
      </c>
      <c r="C315" t="s">
        <v>67</v>
      </c>
      <c r="D315">
        <v>419784</v>
      </c>
      <c r="E315" t="s">
        <v>53</v>
      </c>
      <c r="F315" t="s">
        <v>49</v>
      </c>
      <c r="G315" s="30">
        <v>973436.465497592</v>
      </c>
    </row>
    <row r="316" spans="1:7" x14ac:dyDescent="0.25">
      <c r="A316" t="s">
        <v>54</v>
      </c>
      <c r="B316" t="s">
        <v>55</v>
      </c>
      <c r="C316" t="s">
        <v>56</v>
      </c>
      <c r="D316">
        <v>420714</v>
      </c>
      <c r="E316" t="s">
        <v>53</v>
      </c>
      <c r="F316" t="s">
        <v>49</v>
      </c>
      <c r="G316" s="30">
        <v>541163.88150267804</v>
      </c>
    </row>
    <row r="317" spans="1:7" x14ac:dyDescent="0.25">
      <c r="A317" t="s">
        <v>104</v>
      </c>
      <c r="B317" t="s">
        <v>105</v>
      </c>
      <c r="C317" t="s">
        <v>78</v>
      </c>
      <c r="D317">
        <v>420879</v>
      </c>
      <c r="E317" t="s">
        <v>53</v>
      </c>
      <c r="F317" t="s">
        <v>49</v>
      </c>
      <c r="G317" s="30">
        <v>101062.3756847</v>
      </c>
    </row>
    <row r="318" spans="1:7" x14ac:dyDescent="0.25">
      <c r="A318" t="s">
        <v>112</v>
      </c>
      <c r="B318" t="s">
        <v>113</v>
      </c>
      <c r="C318" t="s">
        <v>81</v>
      </c>
      <c r="D318">
        <v>422317</v>
      </c>
      <c r="E318" t="s">
        <v>53</v>
      </c>
      <c r="F318" t="s">
        <v>49</v>
      </c>
      <c r="G318" s="30">
        <v>2629620.9070125502</v>
      </c>
    </row>
    <row r="319" spans="1:7" x14ac:dyDescent="0.25">
      <c r="A319" t="s">
        <v>45</v>
      </c>
      <c r="B319" t="s">
        <v>46</v>
      </c>
      <c r="C319" t="s">
        <v>47</v>
      </c>
      <c r="D319">
        <v>422555</v>
      </c>
      <c r="E319" t="s">
        <v>48</v>
      </c>
      <c r="F319" t="s">
        <v>49</v>
      </c>
      <c r="G319" s="30">
        <v>0</v>
      </c>
    </row>
    <row r="320" spans="1:7" x14ac:dyDescent="0.25">
      <c r="A320" t="s">
        <v>50</v>
      </c>
      <c r="B320" t="s">
        <v>51</v>
      </c>
      <c r="C320" t="s">
        <v>52</v>
      </c>
      <c r="D320">
        <v>426460</v>
      </c>
      <c r="E320" t="s">
        <v>53</v>
      </c>
      <c r="F320" t="s">
        <v>49</v>
      </c>
      <c r="G320" s="30">
        <v>2517.1289157044298</v>
      </c>
    </row>
    <row r="321" spans="1:7" x14ac:dyDescent="0.25">
      <c r="A321" t="s">
        <v>45</v>
      </c>
      <c r="B321" t="s">
        <v>46</v>
      </c>
      <c r="C321" t="s">
        <v>47</v>
      </c>
      <c r="D321">
        <v>427407</v>
      </c>
      <c r="E321" t="s">
        <v>48</v>
      </c>
      <c r="F321" t="s">
        <v>49</v>
      </c>
      <c r="G321" s="30">
        <v>0</v>
      </c>
    </row>
    <row r="322" spans="1:7" x14ac:dyDescent="0.25">
      <c r="A322" t="s">
        <v>104</v>
      </c>
      <c r="B322" t="s">
        <v>105</v>
      </c>
      <c r="C322" t="s">
        <v>78</v>
      </c>
      <c r="D322">
        <v>427739</v>
      </c>
      <c r="E322" t="s">
        <v>53</v>
      </c>
      <c r="F322" t="s">
        <v>49</v>
      </c>
      <c r="G322" s="30">
        <v>153497.11467429501</v>
      </c>
    </row>
    <row r="323" spans="1:7" x14ac:dyDescent="0.25">
      <c r="A323" t="s">
        <v>45</v>
      </c>
      <c r="B323" t="s">
        <v>46</v>
      </c>
      <c r="C323" t="s">
        <v>47</v>
      </c>
      <c r="D323">
        <v>427981</v>
      </c>
      <c r="E323" t="s">
        <v>53</v>
      </c>
      <c r="F323" t="s">
        <v>49</v>
      </c>
      <c r="G323" s="30">
        <v>108845.731894531</v>
      </c>
    </row>
    <row r="324" spans="1:7" x14ac:dyDescent="0.25">
      <c r="A324" t="s">
        <v>76</v>
      </c>
      <c r="B324" t="s">
        <v>77</v>
      </c>
      <c r="C324" t="s">
        <v>78</v>
      </c>
      <c r="D324">
        <v>428078</v>
      </c>
      <c r="E324" t="s">
        <v>53</v>
      </c>
      <c r="F324" t="s">
        <v>49</v>
      </c>
      <c r="G324" s="30">
        <v>360957.00987120002</v>
      </c>
    </row>
    <row r="325" spans="1:7" x14ac:dyDescent="0.25">
      <c r="A325" t="s">
        <v>72</v>
      </c>
      <c r="B325" t="s">
        <v>73</v>
      </c>
      <c r="C325" t="s">
        <v>67</v>
      </c>
      <c r="D325">
        <v>430967</v>
      </c>
      <c r="E325" t="s">
        <v>53</v>
      </c>
      <c r="F325" t="s">
        <v>49</v>
      </c>
      <c r="G325" s="30">
        <v>8243999.57234002</v>
      </c>
    </row>
    <row r="326" spans="1:7" x14ac:dyDescent="0.25">
      <c r="A326" t="s">
        <v>45</v>
      </c>
      <c r="B326" t="s">
        <v>46</v>
      </c>
      <c r="C326" t="s">
        <v>47</v>
      </c>
      <c r="D326">
        <v>431574</v>
      </c>
      <c r="E326" t="s">
        <v>53</v>
      </c>
      <c r="F326" t="s">
        <v>49</v>
      </c>
      <c r="G326" s="30">
        <v>47177.957920107903</v>
      </c>
    </row>
    <row r="327" spans="1:7" x14ac:dyDescent="0.25">
      <c r="A327" t="s">
        <v>114</v>
      </c>
      <c r="B327" t="s">
        <v>115</v>
      </c>
      <c r="C327" t="s">
        <v>56</v>
      </c>
      <c r="D327">
        <v>431892</v>
      </c>
      <c r="E327" t="s">
        <v>53</v>
      </c>
      <c r="F327" t="s">
        <v>49</v>
      </c>
      <c r="G327" s="30">
        <v>739083.17948486505</v>
      </c>
    </row>
    <row r="328" spans="1:7" x14ac:dyDescent="0.25">
      <c r="A328" t="s">
        <v>92</v>
      </c>
      <c r="B328" t="s">
        <v>93</v>
      </c>
      <c r="C328" t="s">
        <v>81</v>
      </c>
      <c r="D328">
        <v>433874</v>
      </c>
      <c r="E328" t="s">
        <v>53</v>
      </c>
      <c r="F328" t="s">
        <v>49</v>
      </c>
      <c r="G328" s="30">
        <v>79589.639089386998</v>
      </c>
    </row>
    <row r="329" spans="1:7" x14ac:dyDescent="0.25">
      <c r="A329" t="s">
        <v>90</v>
      </c>
      <c r="B329" t="s">
        <v>91</v>
      </c>
      <c r="C329" t="s">
        <v>81</v>
      </c>
      <c r="D329">
        <v>435019</v>
      </c>
      <c r="E329" t="s">
        <v>53</v>
      </c>
      <c r="F329" t="s">
        <v>49</v>
      </c>
      <c r="G329" s="30">
        <v>361757.49507812498</v>
      </c>
    </row>
    <row r="330" spans="1:7" x14ac:dyDescent="0.25">
      <c r="A330" t="s">
        <v>128</v>
      </c>
      <c r="B330" t="s">
        <v>129</v>
      </c>
      <c r="C330" t="s">
        <v>130</v>
      </c>
      <c r="D330">
        <v>438077</v>
      </c>
      <c r="E330" t="s">
        <v>53</v>
      </c>
      <c r="F330" t="s">
        <v>49</v>
      </c>
      <c r="G330" s="30">
        <v>18833546.830268901</v>
      </c>
    </row>
    <row r="331" spans="1:7" x14ac:dyDescent="0.25">
      <c r="A331" t="s">
        <v>102</v>
      </c>
      <c r="B331" t="s">
        <v>103</v>
      </c>
      <c r="C331" t="s">
        <v>47</v>
      </c>
      <c r="D331">
        <v>441325</v>
      </c>
      <c r="E331" t="s">
        <v>53</v>
      </c>
      <c r="F331" t="s">
        <v>49</v>
      </c>
      <c r="G331" s="30">
        <v>131344.62407798099</v>
      </c>
    </row>
    <row r="332" spans="1:7" x14ac:dyDescent="0.25">
      <c r="A332" t="s">
        <v>61</v>
      </c>
      <c r="B332" t="s">
        <v>62</v>
      </c>
      <c r="C332" t="s">
        <v>56</v>
      </c>
      <c r="D332">
        <v>446037</v>
      </c>
      <c r="E332" t="s">
        <v>53</v>
      </c>
      <c r="F332" t="s">
        <v>49</v>
      </c>
      <c r="G332" s="30">
        <v>3.68</v>
      </c>
    </row>
    <row r="333" spans="1:7" x14ac:dyDescent="0.25">
      <c r="A333" t="s">
        <v>116</v>
      </c>
      <c r="B333" t="s">
        <v>117</v>
      </c>
      <c r="C333" t="s">
        <v>47</v>
      </c>
      <c r="D333">
        <v>447300</v>
      </c>
      <c r="E333" t="s">
        <v>53</v>
      </c>
      <c r="F333" t="s">
        <v>49</v>
      </c>
      <c r="G333" s="30">
        <v>11454377.9510125</v>
      </c>
    </row>
    <row r="334" spans="1:7" x14ac:dyDescent="0.25">
      <c r="A334" t="s">
        <v>45</v>
      </c>
      <c r="B334" t="s">
        <v>46</v>
      </c>
      <c r="C334" t="s">
        <v>47</v>
      </c>
      <c r="D334">
        <v>447513</v>
      </c>
      <c r="E334" t="s">
        <v>48</v>
      </c>
      <c r="F334" t="s">
        <v>49</v>
      </c>
      <c r="G334" s="30">
        <v>0</v>
      </c>
    </row>
    <row r="335" spans="1:7" x14ac:dyDescent="0.25">
      <c r="A335" t="s">
        <v>61</v>
      </c>
      <c r="B335" t="s">
        <v>62</v>
      </c>
      <c r="C335" t="s">
        <v>56</v>
      </c>
      <c r="D335">
        <v>450287</v>
      </c>
      <c r="E335" t="s">
        <v>53</v>
      </c>
      <c r="F335" t="s">
        <v>49</v>
      </c>
      <c r="G335" s="30">
        <v>948.29505964938699</v>
      </c>
    </row>
    <row r="336" spans="1:7" x14ac:dyDescent="0.25">
      <c r="A336" t="s">
        <v>61</v>
      </c>
      <c r="B336" t="s">
        <v>62</v>
      </c>
      <c r="C336" t="s">
        <v>56</v>
      </c>
      <c r="D336">
        <v>450675</v>
      </c>
      <c r="E336" t="s">
        <v>53</v>
      </c>
      <c r="F336" t="s">
        <v>49</v>
      </c>
      <c r="G336" s="30">
        <v>587429.24862210604</v>
      </c>
    </row>
    <row r="337" spans="1:7" x14ac:dyDescent="0.25">
      <c r="A337" t="s">
        <v>54</v>
      </c>
      <c r="B337" t="s">
        <v>55</v>
      </c>
      <c r="C337" t="s">
        <v>56</v>
      </c>
      <c r="D337">
        <v>450953</v>
      </c>
      <c r="E337" t="s">
        <v>53</v>
      </c>
      <c r="F337" t="s">
        <v>49</v>
      </c>
      <c r="G337" s="30">
        <v>1157693.7786805299</v>
      </c>
    </row>
    <row r="338" spans="1:7" x14ac:dyDescent="0.25">
      <c r="A338" t="s">
        <v>45</v>
      </c>
      <c r="B338" t="s">
        <v>46</v>
      </c>
      <c r="C338" t="s">
        <v>47</v>
      </c>
      <c r="D338">
        <v>452196</v>
      </c>
      <c r="E338" t="s">
        <v>48</v>
      </c>
      <c r="F338" t="s">
        <v>49</v>
      </c>
      <c r="G338" s="30">
        <v>0</v>
      </c>
    </row>
    <row r="339" spans="1:7" x14ac:dyDescent="0.25">
      <c r="A339" t="s">
        <v>133</v>
      </c>
      <c r="B339" t="s">
        <v>134</v>
      </c>
      <c r="C339" t="s">
        <v>47</v>
      </c>
      <c r="D339">
        <v>452669</v>
      </c>
      <c r="E339" t="s">
        <v>53</v>
      </c>
      <c r="F339" t="s">
        <v>49</v>
      </c>
      <c r="G339" s="30">
        <v>216861.791501359</v>
      </c>
    </row>
    <row r="340" spans="1:7" x14ac:dyDescent="0.25">
      <c r="A340" t="s">
        <v>84</v>
      </c>
      <c r="B340" t="s">
        <v>85</v>
      </c>
      <c r="C340" t="s">
        <v>67</v>
      </c>
      <c r="D340">
        <v>453199</v>
      </c>
      <c r="E340" t="s">
        <v>53</v>
      </c>
      <c r="F340" t="s">
        <v>49</v>
      </c>
      <c r="G340" s="30">
        <v>792818.85248377197</v>
      </c>
    </row>
    <row r="341" spans="1:7" x14ac:dyDescent="0.25">
      <c r="A341" t="s">
        <v>128</v>
      </c>
      <c r="B341" t="s">
        <v>129</v>
      </c>
      <c r="C341" t="s">
        <v>130</v>
      </c>
      <c r="D341">
        <v>454871</v>
      </c>
      <c r="E341" t="s">
        <v>53</v>
      </c>
      <c r="F341" t="s">
        <v>49</v>
      </c>
      <c r="G341" s="30">
        <v>2246745.3649669602</v>
      </c>
    </row>
    <row r="342" spans="1:7" x14ac:dyDescent="0.25">
      <c r="A342" t="s">
        <v>74</v>
      </c>
      <c r="B342" t="s">
        <v>75</v>
      </c>
      <c r="C342" t="s">
        <v>67</v>
      </c>
      <c r="D342">
        <v>455215</v>
      </c>
      <c r="E342" t="s">
        <v>53</v>
      </c>
      <c r="F342" t="s">
        <v>49</v>
      </c>
      <c r="G342" s="30">
        <v>541473.83401044901</v>
      </c>
    </row>
    <row r="343" spans="1:7" x14ac:dyDescent="0.25">
      <c r="A343" t="s">
        <v>50</v>
      </c>
      <c r="B343" t="s">
        <v>51</v>
      </c>
      <c r="C343" t="s">
        <v>52</v>
      </c>
      <c r="D343">
        <v>455943</v>
      </c>
      <c r="E343" t="s">
        <v>53</v>
      </c>
      <c r="F343" t="s">
        <v>49</v>
      </c>
      <c r="G343" s="30">
        <v>93631.053840014705</v>
      </c>
    </row>
    <row r="344" spans="1:7" x14ac:dyDescent="0.25">
      <c r="A344" t="s">
        <v>45</v>
      </c>
      <c r="B344" t="s">
        <v>46</v>
      </c>
      <c r="C344" t="s">
        <v>47</v>
      </c>
      <c r="D344">
        <v>457033</v>
      </c>
      <c r="E344" t="s">
        <v>48</v>
      </c>
      <c r="F344" t="s">
        <v>49</v>
      </c>
      <c r="G344" s="30">
        <v>0</v>
      </c>
    </row>
    <row r="345" spans="1:7" x14ac:dyDescent="0.25">
      <c r="A345" t="s">
        <v>45</v>
      </c>
      <c r="B345" t="s">
        <v>46</v>
      </c>
      <c r="C345" t="s">
        <v>47</v>
      </c>
      <c r="D345">
        <v>457305</v>
      </c>
      <c r="E345" t="s">
        <v>48</v>
      </c>
      <c r="F345" t="s">
        <v>49</v>
      </c>
      <c r="G345" s="30">
        <v>0</v>
      </c>
    </row>
    <row r="346" spans="1:7" x14ac:dyDescent="0.25">
      <c r="A346" t="s">
        <v>54</v>
      </c>
      <c r="B346" t="s">
        <v>55</v>
      </c>
      <c r="C346" t="s">
        <v>56</v>
      </c>
      <c r="D346">
        <v>457773</v>
      </c>
      <c r="E346" t="s">
        <v>53</v>
      </c>
      <c r="F346" t="s">
        <v>49</v>
      </c>
      <c r="G346" s="30">
        <v>41255.752632372598</v>
      </c>
    </row>
    <row r="347" spans="1:7" x14ac:dyDescent="0.25">
      <c r="A347" t="s">
        <v>45</v>
      </c>
      <c r="B347" t="s">
        <v>46</v>
      </c>
      <c r="C347" t="s">
        <v>47</v>
      </c>
      <c r="D347">
        <v>459757</v>
      </c>
      <c r="E347" t="s">
        <v>48</v>
      </c>
      <c r="F347" t="s">
        <v>49</v>
      </c>
      <c r="G347" s="30">
        <v>17.43</v>
      </c>
    </row>
    <row r="348" spans="1:7" x14ac:dyDescent="0.25">
      <c r="A348" t="s">
        <v>65</v>
      </c>
      <c r="B348" t="s">
        <v>66</v>
      </c>
      <c r="C348" t="s">
        <v>67</v>
      </c>
      <c r="D348">
        <v>460784</v>
      </c>
      <c r="E348" t="s">
        <v>53</v>
      </c>
      <c r="F348" t="s">
        <v>49</v>
      </c>
      <c r="G348" s="30">
        <v>9118126.3689988293</v>
      </c>
    </row>
    <row r="349" spans="1:7" x14ac:dyDescent="0.25">
      <c r="A349" t="s">
        <v>45</v>
      </c>
      <c r="B349" t="s">
        <v>46</v>
      </c>
      <c r="C349" t="s">
        <v>47</v>
      </c>
      <c r="D349">
        <v>463191</v>
      </c>
      <c r="E349" t="s">
        <v>48</v>
      </c>
      <c r="F349" t="s">
        <v>49</v>
      </c>
      <c r="G349" s="30">
        <v>0</v>
      </c>
    </row>
    <row r="350" spans="1:7" x14ac:dyDescent="0.25">
      <c r="A350" t="s">
        <v>114</v>
      </c>
      <c r="B350" t="s">
        <v>115</v>
      </c>
      <c r="C350" t="s">
        <v>56</v>
      </c>
      <c r="D350">
        <v>463416</v>
      </c>
      <c r="E350" t="s">
        <v>53</v>
      </c>
      <c r="F350" t="s">
        <v>49</v>
      </c>
      <c r="G350" s="30">
        <v>15072.265136718799</v>
      </c>
    </row>
    <row r="351" spans="1:7" x14ac:dyDescent="0.25">
      <c r="A351" t="s">
        <v>114</v>
      </c>
      <c r="B351" t="s">
        <v>115</v>
      </c>
      <c r="C351" t="s">
        <v>56</v>
      </c>
      <c r="D351">
        <v>464340</v>
      </c>
      <c r="E351" t="s">
        <v>53</v>
      </c>
      <c r="F351" t="s">
        <v>49</v>
      </c>
      <c r="G351" s="30">
        <v>30819.118993693799</v>
      </c>
    </row>
    <row r="352" spans="1:7" x14ac:dyDescent="0.25">
      <c r="A352" t="s">
        <v>61</v>
      </c>
      <c r="B352" t="s">
        <v>62</v>
      </c>
      <c r="C352" t="s">
        <v>56</v>
      </c>
      <c r="D352">
        <v>464785</v>
      </c>
      <c r="E352" t="s">
        <v>53</v>
      </c>
      <c r="F352" t="s">
        <v>49</v>
      </c>
      <c r="G352" s="30">
        <v>15499.305322097</v>
      </c>
    </row>
    <row r="353" spans="1:7" x14ac:dyDescent="0.25">
      <c r="A353" t="s">
        <v>133</v>
      </c>
      <c r="B353" t="s">
        <v>134</v>
      </c>
      <c r="C353" t="s">
        <v>47</v>
      </c>
      <c r="D353">
        <v>464870</v>
      </c>
      <c r="E353" t="s">
        <v>53</v>
      </c>
      <c r="F353" t="s">
        <v>49</v>
      </c>
      <c r="G353" s="30">
        <v>4180.5006106014698</v>
      </c>
    </row>
    <row r="354" spans="1:7" x14ac:dyDescent="0.25">
      <c r="A354" t="s">
        <v>50</v>
      </c>
      <c r="B354" t="s">
        <v>51</v>
      </c>
      <c r="C354" t="s">
        <v>52</v>
      </c>
      <c r="D354">
        <v>464949</v>
      </c>
      <c r="E354" t="s">
        <v>48</v>
      </c>
      <c r="F354" t="s">
        <v>49</v>
      </c>
      <c r="G354" s="30">
        <v>0</v>
      </c>
    </row>
    <row r="355" spans="1:7" x14ac:dyDescent="0.25">
      <c r="A355" t="s">
        <v>72</v>
      </c>
      <c r="B355" t="s">
        <v>73</v>
      </c>
      <c r="C355" t="s">
        <v>67</v>
      </c>
      <c r="D355">
        <v>467415</v>
      </c>
      <c r="E355" t="s">
        <v>53</v>
      </c>
      <c r="F355" t="s">
        <v>49</v>
      </c>
      <c r="G355" s="30">
        <v>4447198.0655626198</v>
      </c>
    </row>
    <row r="356" spans="1:7" x14ac:dyDescent="0.25">
      <c r="A356" t="s">
        <v>57</v>
      </c>
      <c r="B356" t="s">
        <v>58</v>
      </c>
      <c r="C356" t="s">
        <v>56</v>
      </c>
      <c r="D356">
        <v>468463</v>
      </c>
      <c r="E356" t="s">
        <v>53</v>
      </c>
      <c r="F356" t="s">
        <v>49</v>
      </c>
      <c r="G356" s="30">
        <v>4671.0232345778704</v>
      </c>
    </row>
    <row r="357" spans="1:7" x14ac:dyDescent="0.25">
      <c r="A357" t="s">
        <v>45</v>
      </c>
      <c r="B357" t="s">
        <v>46</v>
      </c>
      <c r="C357" t="s">
        <v>47</v>
      </c>
      <c r="D357">
        <v>468832</v>
      </c>
      <c r="E357" t="s">
        <v>48</v>
      </c>
      <c r="F357" t="s">
        <v>49</v>
      </c>
      <c r="G357" s="30">
        <v>0</v>
      </c>
    </row>
    <row r="358" spans="1:7" x14ac:dyDescent="0.25">
      <c r="A358" t="s">
        <v>61</v>
      </c>
      <c r="B358" t="s">
        <v>62</v>
      </c>
      <c r="C358" t="s">
        <v>56</v>
      </c>
      <c r="D358">
        <v>470120</v>
      </c>
      <c r="E358" t="s">
        <v>53</v>
      </c>
      <c r="F358" t="s">
        <v>49</v>
      </c>
      <c r="G358" s="30">
        <v>1036884.79145804</v>
      </c>
    </row>
    <row r="359" spans="1:7" x14ac:dyDescent="0.25">
      <c r="A359" t="s">
        <v>82</v>
      </c>
      <c r="B359" t="s">
        <v>83</v>
      </c>
      <c r="C359" t="s">
        <v>56</v>
      </c>
      <c r="D359">
        <v>470726</v>
      </c>
      <c r="E359" t="s">
        <v>53</v>
      </c>
      <c r="F359" t="s">
        <v>49</v>
      </c>
      <c r="G359" s="30">
        <v>1100645.4448710999</v>
      </c>
    </row>
    <row r="360" spans="1:7" x14ac:dyDescent="0.25">
      <c r="A360" t="s">
        <v>63</v>
      </c>
      <c r="B360" t="s">
        <v>64</v>
      </c>
      <c r="C360" t="s">
        <v>56</v>
      </c>
      <c r="D360">
        <v>472227</v>
      </c>
      <c r="E360" t="s">
        <v>53</v>
      </c>
      <c r="F360" t="s">
        <v>49</v>
      </c>
      <c r="G360" s="30">
        <v>269595.77238281199</v>
      </c>
    </row>
    <row r="361" spans="1:7" x14ac:dyDescent="0.25">
      <c r="A361" t="s">
        <v>63</v>
      </c>
      <c r="B361" t="s">
        <v>64</v>
      </c>
      <c r="C361" t="s">
        <v>56</v>
      </c>
      <c r="D361">
        <v>472340</v>
      </c>
      <c r="E361" t="s">
        <v>53</v>
      </c>
      <c r="F361" t="s">
        <v>49</v>
      </c>
      <c r="G361" s="30">
        <v>237980.20609374999</v>
      </c>
    </row>
    <row r="362" spans="1:7" x14ac:dyDescent="0.25">
      <c r="A362" t="s">
        <v>137</v>
      </c>
      <c r="B362" t="s">
        <v>138</v>
      </c>
      <c r="C362" t="s">
        <v>47</v>
      </c>
      <c r="D362">
        <v>474833</v>
      </c>
      <c r="E362" t="s">
        <v>53</v>
      </c>
      <c r="F362" t="s">
        <v>49</v>
      </c>
      <c r="G362" s="30">
        <v>236331.30037981499</v>
      </c>
    </row>
    <row r="363" spans="1:7" x14ac:dyDescent="0.25">
      <c r="A363" t="s">
        <v>106</v>
      </c>
      <c r="B363" t="s">
        <v>107</v>
      </c>
      <c r="C363" t="s">
        <v>56</v>
      </c>
      <c r="D363">
        <v>475638</v>
      </c>
      <c r="E363" t="s">
        <v>53</v>
      </c>
      <c r="F363" t="s">
        <v>49</v>
      </c>
      <c r="G363" s="30">
        <v>3537363.4298204398</v>
      </c>
    </row>
    <row r="364" spans="1:7" x14ac:dyDescent="0.25">
      <c r="A364" t="s">
        <v>76</v>
      </c>
      <c r="B364" t="s">
        <v>77</v>
      </c>
      <c r="C364" t="s">
        <v>78</v>
      </c>
      <c r="D364">
        <v>475794</v>
      </c>
      <c r="E364" t="s">
        <v>53</v>
      </c>
      <c r="F364" t="s">
        <v>49</v>
      </c>
      <c r="G364" s="30">
        <v>146148.174480035</v>
      </c>
    </row>
    <row r="365" spans="1:7" x14ac:dyDescent="0.25">
      <c r="A365" t="s">
        <v>45</v>
      </c>
      <c r="B365" t="s">
        <v>46</v>
      </c>
      <c r="C365" t="s">
        <v>47</v>
      </c>
      <c r="D365">
        <v>476157</v>
      </c>
      <c r="E365" t="s">
        <v>48</v>
      </c>
      <c r="F365" t="s">
        <v>49</v>
      </c>
      <c r="G365" s="30">
        <v>0</v>
      </c>
    </row>
    <row r="366" spans="1:7" x14ac:dyDescent="0.25">
      <c r="A366" t="s">
        <v>124</v>
      </c>
      <c r="B366" t="s">
        <v>125</v>
      </c>
      <c r="C366" t="s">
        <v>78</v>
      </c>
      <c r="D366">
        <v>481152</v>
      </c>
      <c r="E366" t="s">
        <v>53</v>
      </c>
      <c r="F366" t="s">
        <v>49</v>
      </c>
      <c r="G366" s="30">
        <v>522789.26436194801</v>
      </c>
    </row>
    <row r="367" spans="1:7" x14ac:dyDescent="0.25">
      <c r="A367" t="s">
        <v>50</v>
      </c>
      <c r="B367" t="s">
        <v>51</v>
      </c>
      <c r="C367" t="s">
        <v>52</v>
      </c>
      <c r="D367">
        <v>483861</v>
      </c>
      <c r="E367" t="s">
        <v>53</v>
      </c>
      <c r="F367" t="s">
        <v>49</v>
      </c>
      <c r="G367" s="30">
        <v>32525.36703429</v>
      </c>
    </row>
    <row r="368" spans="1:7" x14ac:dyDescent="0.25">
      <c r="A368" t="s">
        <v>104</v>
      </c>
      <c r="B368" t="s">
        <v>105</v>
      </c>
      <c r="C368" t="s">
        <v>78</v>
      </c>
      <c r="D368">
        <v>485414</v>
      </c>
      <c r="E368" t="s">
        <v>53</v>
      </c>
      <c r="F368" t="s">
        <v>49</v>
      </c>
      <c r="G368" s="30">
        <v>187880.55625921101</v>
      </c>
    </row>
    <row r="369" spans="1:7" x14ac:dyDescent="0.25">
      <c r="A369" t="s">
        <v>70</v>
      </c>
      <c r="B369" t="s">
        <v>71</v>
      </c>
      <c r="C369" t="s">
        <v>47</v>
      </c>
      <c r="D369">
        <v>485545</v>
      </c>
      <c r="E369" t="s">
        <v>53</v>
      </c>
      <c r="F369" t="s">
        <v>49</v>
      </c>
      <c r="G369" s="30">
        <v>490080.92892704997</v>
      </c>
    </row>
    <row r="370" spans="1:7" x14ac:dyDescent="0.25">
      <c r="A370" t="s">
        <v>74</v>
      </c>
      <c r="B370" t="s">
        <v>75</v>
      </c>
      <c r="C370" t="s">
        <v>67</v>
      </c>
      <c r="D370">
        <v>486035</v>
      </c>
      <c r="E370" t="s">
        <v>53</v>
      </c>
      <c r="F370" t="s">
        <v>49</v>
      </c>
      <c r="G370" s="30">
        <v>134239.67873814801</v>
      </c>
    </row>
    <row r="371" spans="1:7" x14ac:dyDescent="0.25">
      <c r="A371" t="s">
        <v>63</v>
      </c>
      <c r="B371" t="s">
        <v>64</v>
      </c>
      <c r="C371" t="s">
        <v>56</v>
      </c>
      <c r="D371">
        <v>487707</v>
      </c>
      <c r="E371" t="s">
        <v>53</v>
      </c>
      <c r="F371" t="s">
        <v>49</v>
      </c>
      <c r="G371" s="30">
        <v>1215314.7911030899</v>
      </c>
    </row>
    <row r="372" spans="1:7" x14ac:dyDescent="0.25">
      <c r="A372" t="s">
        <v>50</v>
      </c>
      <c r="B372" t="s">
        <v>51</v>
      </c>
      <c r="C372" t="s">
        <v>52</v>
      </c>
      <c r="D372">
        <v>487836</v>
      </c>
      <c r="E372" t="s">
        <v>53</v>
      </c>
      <c r="F372" t="s">
        <v>49</v>
      </c>
      <c r="G372" s="30">
        <v>60974.85</v>
      </c>
    </row>
    <row r="373" spans="1:7" x14ac:dyDescent="0.25">
      <c r="A373" t="s">
        <v>61</v>
      </c>
      <c r="B373" t="s">
        <v>62</v>
      </c>
      <c r="C373" t="s">
        <v>56</v>
      </c>
      <c r="D373">
        <v>487926</v>
      </c>
      <c r="E373" t="s">
        <v>53</v>
      </c>
      <c r="F373" t="s">
        <v>49</v>
      </c>
      <c r="G373" s="30">
        <v>197041.40343798301</v>
      </c>
    </row>
    <row r="374" spans="1:7" x14ac:dyDescent="0.25">
      <c r="A374" t="s">
        <v>114</v>
      </c>
      <c r="B374" t="s">
        <v>115</v>
      </c>
      <c r="C374" t="s">
        <v>56</v>
      </c>
      <c r="D374">
        <v>488472</v>
      </c>
      <c r="E374" t="s">
        <v>53</v>
      </c>
      <c r="F374" t="s">
        <v>49</v>
      </c>
      <c r="G374" s="30">
        <v>702011.71947227896</v>
      </c>
    </row>
    <row r="375" spans="1:7" x14ac:dyDescent="0.25">
      <c r="A375" t="s">
        <v>128</v>
      </c>
      <c r="B375" t="s">
        <v>129</v>
      </c>
      <c r="C375" t="s">
        <v>130</v>
      </c>
      <c r="D375">
        <v>490763</v>
      </c>
      <c r="E375" t="s">
        <v>53</v>
      </c>
      <c r="F375" t="s">
        <v>49</v>
      </c>
      <c r="G375" s="30">
        <v>3224894.17397172</v>
      </c>
    </row>
    <row r="376" spans="1:7" x14ac:dyDescent="0.25">
      <c r="A376" t="s">
        <v>57</v>
      </c>
      <c r="B376" t="s">
        <v>58</v>
      </c>
      <c r="C376" t="s">
        <v>56</v>
      </c>
      <c r="D376">
        <v>491303</v>
      </c>
      <c r="E376" t="s">
        <v>53</v>
      </c>
      <c r="F376" t="s">
        <v>49</v>
      </c>
      <c r="G376" s="30">
        <v>79076.816831458593</v>
      </c>
    </row>
    <row r="377" spans="1:7" x14ac:dyDescent="0.25">
      <c r="A377" t="s">
        <v>104</v>
      </c>
      <c r="B377" t="s">
        <v>105</v>
      </c>
      <c r="C377" t="s">
        <v>78</v>
      </c>
      <c r="D377">
        <v>492504</v>
      </c>
      <c r="E377" t="s">
        <v>53</v>
      </c>
      <c r="F377" t="s">
        <v>49</v>
      </c>
      <c r="G377" s="30">
        <v>110225.976222495</v>
      </c>
    </row>
    <row r="378" spans="1:7" x14ac:dyDescent="0.25">
      <c r="A378" t="s">
        <v>88</v>
      </c>
      <c r="B378" t="s">
        <v>89</v>
      </c>
      <c r="C378" t="s">
        <v>78</v>
      </c>
      <c r="D378">
        <v>493155</v>
      </c>
      <c r="E378" t="s">
        <v>53</v>
      </c>
      <c r="F378" t="s">
        <v>49</v>
      </c>
      <c r="G378" s="30">
        <v>1131517.2840732699</v>
      </c>
    </row>
    <row r="379" spans="1:7" x14ac:dyDescent="0.25">
      <c r="A379" t="s">
        <v>128</v>
      </c>
      <c r="B379" t="s">
        <v>129</v>
      </c>
      <c r="C379" t="s">
        <v>130</v>
      </c>
      <c r="D379">
        <v>495161</v>
      </c>
      <c r="E379" t="s">
        <v>53</v>
      </c>
      <c r="F379" t="s">
        <v>49</v>
      </c>
      <c r="G379" s="30">
        <v>1585141.66930045</v>
      </c>
    </row>
    <row r="380" spans="1:7" x14ac:dyDescent="0.25">
      <c r="A380" t="s">
        <v>45</v>
      </c>
      <c r="B380" t="s">
        <v>46</v>
      </c>
      <c r="C380" t="s">
        <v>47</v>
      </c>
      <c r="D380">
        <v>495626</v>
      </c>
      <c r="E380" t="s">
        <v>48</v>
      </c>
      <c r="F380" t="s">
        <v>49</v>
      </c>
      <c r="G380" s="30">
        <v>0</v>
      </c>
    </row>
    <row r="381" spans="1:7" x14ac:dyDescent="0.25">
      <c r="A381" t="s">
        <v>116</v>
      </c>
      <c r="B381" t="s">
        <v>117</v>
      </c>
      <c r="C381" t="s">
        <v>47</v>
      </c>
      <c r="D381">
        <v>495760</v>
      </c>
      <c r="E381" t="s">
        <v>53</v>
      </c>
      <c r="F381" t="s">
        <v>49</v>
      </c>
      <c r="G381" s="30">
        <v>386917.12313456298</v>
      </c>
    </row>
    <row r="382" spans="1:7" x14ac:dyDescent="0.25">
      <c r="A382" t="s">
        <v>61</v>
      </c>
      <c r="B382" t="s">
        <v>62</v>
      </c>
      <c r="C382" t="s">
        <v>56</v>
      </c>
      <c r="D382">
        <v>501217</v>
      </c>
      <c r="E382" t="s">
        <v>53</v>
      </c>
      <c r="F382" t="s">
        <v>49</v>
      </c>
      <c r="G382" s="30">
        <v>216.11703364481599</v>
      </c>
    </row>
    <row r="383" spans="1:7" x14ac:dyDescent="0.25">
      <c r="A383" t="s">
        <v>76</v>
      </c>
      <c r="B383" t="s">
        <v>77</v>
      </c>
      <c r="C383" t="s">
        <v>78</v>
      </c>
      <c r="D383">
        <v>501904</v>
      </c>
      <c r="E383" t="s">
        <v>53</v>
      </c>
      <c r="F383" t="s">
        <v>49</v>
      </c>
      <c r="G383" s="30">
        <v>180529.744413395</v>
      </c>
    </row>
    <row r="384" spans="1:7" x14ac:dyDescent="0.25">
      <c r="A384" t="s">
        <v>114</v>
      </c>
      <c r="B384" t="s">
        <v>115</v>
      </c>
      <c r="C384" t="s">
        <v>56</v>
      </c>
      <c r="D384">
        <v>505645</v>
      </c>
      <c r="E384" t="s">
        <v>53</v>
      </c>
      <c r="F384" t="s">
        <v>49</v>
      </c>
      <c r="G384" s="30">
        <v>916552.70561941899</v>
      </c>
    </row>
    <row r="385" spans="1:7" x14ac:dyDescent="0.25">
      <c r="A385" t="s">
        <v>45</v>
      </c>
      <c r="B385" t="s">
        <v>46</v>
      </c>
      <c r="C385" t="s">
        <v>47</v>
      </c>
      <c r="D385">
        <v>507517</v>
      </c>
      <c r="E385" t="s">
        <v>48</v>
      </c>
      <c r="F385" t="s">
        <v>49</v>
      </c>
      <c r="G385" s="30">
        <v>0</v>
      </c>
    </row>
    <row r="386" spans="1:7" x14ac:dyDescent="0.25">
      <c r="A386" t="s">
        <v>131</v>
      </c>
      <c r="B386" t="s">
        <v>132</v>
      </c>
      <c r="C386" t="s">
        <v>67</v>
      </c>
      <c r="D386">
        <v>510041</v>
      </c>
      <c r="E386" t="s">
        <v>53</v>
      </c>
      <c r="F386" t="s">
        <v>49</v>
      </c>
      <c r="G386" s="30">
        <v>353524.78826630203</v>
      </c>
    </row>
    <row r="387" spans="1:7" x14ac:dyDescent="0.25">
      <c r="A387" t="s">
        <v>61</v>
      </c>
      <c r="B387" t="s">
        <v>62</v>
      </c>
      <c r="C387" t="s">
        <v>56</v>
      </c>
      <c r="D387">
        <v>515286</v>
      </c>
      <c r="E387" t="s">
        <v>53</v>
      </c>
      <c r="F387" t="s">
        <v>49</v>
      </c>
      <c r="G387" s="30">
        <v>482881.46725665597</v>
      </c>
    </row>
    <row r="388" spans="1:7" x14ac:dyDescent="0.25">
      <c r="A388" t="s">
        <v>114</v>
      </c>
      <c r="B388" t="s">
        <v>115</v>
      </c>
      <c r="C388" t="s">
        <v>56</v>
      </c>
      <c r="D388">
        <v>518176</v>
      </c>
      <c r="E388" t="s">
        <v>53</v>
      </c>
      <c r="F388" t="s">
        <v>49</v>
      </c>
      <c r="G388" s="30">
        <v>6345.6616844468399</v>
      </c>
    </row>
    <row r="389" spans="1:7" x14ac:dyDescent="0.25">
      <c r="A389" t="s">
        <v>68</v>
      </c>
      <c r="B389" t="s">
        <v>69</v>
      </c>
      <c r="C389" t="s">
        <v>56</v>
      </c>
      <c r="D389">
        <v>518427</v>
      </c>
      <c r="E389" t="s">
        <v>53</v>
      </c>
      <c r="F389" t="s">
        <v>49</v>
      </c>
      <c r="G389" s="30">
        <v>491747.30788341601</v>
      </c>
    </row>
    <row r="390" spans="1:7" x14ac:dyDescent="0.25">
      <c r="A390" t="s">
        <v>135</v>
      </c>
      <c r="B390" t="s">
        <v>136</v>
      </c>
      <c r="C390" t="s">
        <v>56</v>
      </c>
      <c r="D390">
        <v>519917</v>
      </c>
      <c r="E390" t="s">
        <v>53</v>
      </c>
      <c r="F390" t="s">
        <v>49</v>
      </c>
      <c r="G390" s="30">
        <v>851825.90030709596</v>
      </c>
    </row>
    <row r="391" spans="1:7" x14ac:dyDescent="0.25">
      <c r="A391" t="s">
        <v>45</v>
      </c>
      <c r="B391" t="s">
        <v>46</v>
      </c>
      <c r="C391" t="s">
        <v>47</v>
      </c>
      <c r="D391">
        <v>520637</v>
      </c>
      <c r="E391" t="s">
        <v>48</v>
      </c>
      <c r="F391" t="s">
        <v>49</v>
      </c>
      <c r="G391" s="30">
        <v>0</v>
      </c>
    </row>
    <row r="392" spans="1:7" x14ac:dyDescent="0.25">
      <c r="A392" t="s">
        <v>131</v>
      </c>
      <c r="B392" t="s">
        <v>132</v>
      </c>
      <c r="C392" t="s">
        <v>67</v>
      </c>
      <c r="D392">
        <v>521827</v>
      </c>
      <c r="E392" t="s">
        <v>53</v>
      </c>
      <c r="F392" t="s">
        <v>49</v>
      </c>
      <c r="G392" s="30">
        <v>767055.02588952205</v>
      </c>
    </row>
    <row r="393" spans="1:7" x14ac:dyDescent="0.25">
      <c r="A393" t="s">
        <v>98</v>
      </c>
      <c r="B393" t="s">
        <v>99</v>
      </c>
      <c r="C393" t="s">
        <v>81</v>
      </c>
      <c r="D393">
        <v>525349</v>
      </c>
      <c r="E393" t="s">
        <v>53</v>
      </c>
      <c r="F393" t="s">
        <v>49</v>
      </c>
      <c r="G393" s="30">
        <v>5.18</v>
      </c>
    </row>
    <row r="394" spans="1:7" x14ac:dyDescent="0.25">
      <c r="A394" t="s">
        <v>54</v>
      </c>
      <c r="B394" t="s">
        <v>55</v>
      </c>
      <c r="C394" t="s">
        <v>56</v>
      </c>
      <c r="D394">
        <v>525361</v>
      </c>
      <c r="E394" t="s">
        <v>53</v>
      </c>
      <c r="F394" t="s">
        <v>49</v>
      </c>
      <c r="G394" s="30">
        <v>877129.02184976696</v>
      </c>
    </row>
    <row r="395" spans="1:7" x14ac:dyDescent="0.25">
      <c r="A395" t="s">
        <v>45</v>
      </c>
      <c r="B395" t="s">
        <v>46</v>
      </c>
      <c r="C395" t="s">
        <v>47</v>
      </c>
      <c r="D395">
        <v>530204</v>
      </c>
      <c r="E395" t="s">
        <v>48</v>
      </c>
      <c r="F395" t="s">
        <v>49</v>
      </c>
      <c r="G395" s="30">
        <v>0</v>
      </c>
    </row>
    <row r="396" spans="1:7" x14ac:dyDescent="0.25">
      <c r="A396" t="s">
        <v>92</v>
      </c>
      <c r="B396" t="s">
        <v>93</v>
      </c>
      <c r="C396" t="s">
        <v>81</v>
      </c>
      <c r="D396">
        <v>531174</v>
      </c>
      <c r="E396" t="s">
        <v>53</v>
      </c>
      <c r="F396" t="s">
        <v>49</v>
      </c>
      <c r="G396" s="30">
        <v>51687.379974523101</v>
      </c>
    </row>
    <row r="397" spans="1:7" x14ac:dyDescent="0.25">
      <c r="A397" t="s">
        <v>50</v>
      </c>
      <c r="B397" t="s">
        <v>51</v>
      </c>
      <c r="C397" t="s">
        <v>52</v>
      </c>
      <c r="D397">
        <v>532738</v>
      </c>
      <c r="E397" t="s">
        <v>53</v>
      </c>
      <c r="F397" t="s">
        <v>49</v>
      </c>
      <c r="G397" s="30">
        <v>7574.78</v>
      </c>
    </row>
    <row r="398" spans="1:7" x14ac:dyDescent="0.25">
      <c r="A398" t="s">
        <v>45</v>
      </c>
      <c r="B398" t="s">
        <v>46</v>
      </c>
      <c r="C398" t="s">
        <v>47</v>
      </c>
      <c r="D398">
        <v>534374</v>
      </c>
      <c r="E398" t="s">
        <v>48</v>
      </c>
      <c r="F398" t="s">
        <v>49</v>
      </c>
      <c r="G398" s="30">
        <v>0</v>
      </c>
    </row>
    <row r="399" spans="1:7" x14ac:dyDescent="0.25">
      <c r="A399" t="s">
        <v>45</v>
      </c>
      <c r="B399" t="s">
        <v>46</v>
      </c>
      <c r="C399" t="s">
        <v>47</v>
      </c>
      <c r="D399">
        <v>535029</v>
      </c>
      <c r="E399" t="s">
        <v>48</v>
      </c>
      <c r="F399" t="s">
        <v>49</v>
      </c>
      <c r="G399" s="30">
        <v>0</v>
      </c>
    </row>
    <row r="400" spans="1:7" x14ac:dyDescent="0.25">
      <c r="A400" t="s">
        <v>88</v>
      </c>
      <c r="B400" t="s">
        <v>89</v>
      </c>
      <c r="C400" t="s">
        <v>78</v>
      </c>
      <c r="D400">
        <v>535697</v>
      </c>
      <c r="E400" t="s">
        <v>53</v>
      </c>
      <c r="F400" t="s">
        <v>49</v>
      </c>
      <c r="G400" s="30">
        <v>91224.6441227381</v>
      </c>
    </row>
    <row r="401" spans="1:7" x14ac:dyDescent="0.25">
      <c r="A401" t="s">
        <v>45</v>
      </c>
      <c r="B401" t="s">
        <v>46</v>
      </c>
      <c r="C401" t="s">
        <v>47</v>
      </c>
      <c r="D401">
        <v>535801</v>
      </c>
      <c r="E401" t="s">
        <v>48</v>
      </c>
      <c r="F401" t="s">
        <v>49</v>
      </c>
      <c r="G401" s="30">
        <v>0</v>
      </c>
    </row>
    <row r="402" spans="1:7" x14ac:dyDescent="0.25">
      <c r="A402" t="s">
        <v>86</v>
      </c>
      <c r="B402" t="s">
        <v>87</v>
      </c>
      <c r="C402" t="s">
        <v>78</v>
      </c>
      <c r="D402">
        <v>536046</v>
      </c>
      <c r="E402" t="s">
        <v>53</v>
      </c>
      <c r="F402" t="s">
        <v>49</v>
      </c>
      <c r="G402" s="30">
        <v>3590009.3120100601</v>
      </c>
    </row>
    <row r="403" spans="1:7" x14ac:dyDescent="0.25">
      <c r="A403" t="s">
        <v>68</v>
      </c>
      <c r="B403" t="s">
        <v>69</v>
      </c>
      <c r="C403" t="s">
        <v>56</v>
      </c>
      <c r="D403">
        <v>536829</v>
      </c>
      <c r="E403" t="s">
        <v>48</v>
      </c>
      <c r="F403" t="s">
        <v>49</v>
      </c>
      <c r="G403" s="30">
        <v>0</v>
      </c>
    </row>
    <row r="404" spans="1:7" x14ac:dyDescent="0.25">
      <c r="A404" t="s">
        <v>92</v>
      </c>
      <c r="B404" t="s">
        <v>93</v>
      </c>
      <c r="C404" t="s">
        <v>81</v>
      </c>
      <c r="D404">
        <v>537174</v>
      </c>
      <c r="E404" t="s">
        <v>48</v>
      </c>
      <c r="F404" t="s">
        <v>49</v>
      </c>
      <c r="G404" s="30">
        <v>0</v>
      </c>
    </row>
    <row r="405" spans="1:7" x14ac:dyDescent="0.25">
      <c r="A405" t="s">
        <v>82</v>
      </c>
      <c r="B405" t="s">
        <v>83</v>
      </c>
      <c r="C405" t="s">
        <v>56</v>
      </c>
      <c r="D405">
        <v>539580</v>
      </c>
      <c r="E405" t="s">
        <v>53</v>
      </c>
      <c r="F405" t="s">
        <v>49</v>
      </c>
      <c r="G405" s="30">
        <v>186017.71</v>
      </c>
    </row>
    <row r="406" spans="1:7" x14ac:dyDescent="0.25">
      <c r="A406" t="s">
        <v>45</v>
      </c>
      <c r="B406" t="s">
        <v>46</v>
      </c>
      <c r="C406" t="s">
        <v>47</v>
      </c>
      <c r="D406">
        <v>539781</v>
      </c>
      <c r="E406" t="s">
        <v>48</v>
      </c>
      <c r="F406" t="s">
        <v>49</v>
      </c>
      <c r="G406" s="30">
        <v>0</v>
      </c>
    </row>
    <row r="407" spans="1:7" x14ac:dyDescent="0.25">
      <c r="A407" t="s">
        <v>45</v>
      </c>
      <c r="B407" t="s">
        <v>46</v>
      </c>
      <c r="C407" t="s">
        <v>47</v>
      </c>
      <c r="D407">
        <v>540224</v>
      </c>
      <c r="E407" t="s">
        <v>48</v>
      </c>
      <c r="F407" t="s">
        <v>49</v>
      </c>
      <c r="G407" s="30">
        <v>0</v>
      </c>
    </row>
    <row r="408" spans="1:7" x14ac:dyDescent="0.25">
      <c r="A408" t="s">
        <v>57</v>
      </c>
      <c r="B408" t="s">
        <v>58</v>
      </c>
      <c r="C408" t="s">
        <v>56</v>
      </c>
      <c r="D408">
        <v>540706</v>
      </c>
      <c r="E408" t="s">
        <v>53</v>
      </c>
      <c r="F408" t="s">
        <v>49</v>
      </c>
      <c r="G408" s="30">
        <v>397337.44004009</v>
      </c>
    </row>
    <row r="409" spans="1:7" x14ac:dyDescent="0.25">
      <c r="A409" t="s">
        <v>74</v>
      </c>
      <c r="B409" t="s">
        <v>75</v>
      </c>
      <c r="C409" t="s">
        <v>67</v>
      </c>
      <c r="D409">
        <v>542002</v>
      </c>
      <c r="E409" t="s">
        <v>48</v>
      </c>
      <c r="F409" t="s">
        <v>49</v>
      </c>
      <c r="G409" s="30">
        <v>0</v>
      </c>
    </row>
    <row r="410" spans="1:7" x14ac:dyDescent="0.25">
      <c r="A410" t="s">
        <v>45</v>
      </c>
      <c r="B410" t="s">
        <v>46</v>
      </c>
      <c r="C410" t="s">
        <v>47</v>
      </c>
      <c r="D410">
        <v>542078</v>
      </c>
      <c r="E410" t="s">
        <v>53</v>
      </c>
      <c r="F410" t="s">
        <v>49</v>
      </c>
      <c r="G410" s="30">
        <v>589.64675631913894</v>
      </c>
    </row>
    <row r="411" spans="1:7" x14ac:dyDescent="0.25">
      <c r="A411" t="s">
        <v>68</v>
      </c>
      <c r="B411" t="s">
        <v>69</v>
      </c>
      <c r="C411" t="s">
        <v>56</v>
      </c>
      <c r="D411">
        <v>542452</v>
      </c>
      <c r="E411" t="s">
        <v>53</v>
      </c>
      <c r="F411" t="s">
        <v>49</v>
      </c>
      <c r="G411" s="30">
        <v>1208810.51955784</v>
      </c>
    </row>
    <row r="412" spans="1:7" x14ac:dyDescent="0.25">
      <c r="A412" t="s">
        <v>50</v>
      </c>
      <c r="B412" t="s">
        <v>51</v>
      </c>
      <c r="C412" t="s">
        <v>52</v>
      </c>
      <c r="D412">
        <v>542732</v>
      </c>
      <c r="E412" t="s">
        <v>48</v>
      </c>
      <c r="F412" t="s">
        <v>49</v>
      </c>
      <c r="G412" s="30">
        <v>0</v>
      </c>
    </row>
    <row r="413" spans="1:7" x14ac:dyDescent="0.25">
      <c r="A413" t="s">
        <v>72</v>
      </c>
      <c r="B413" t="s">
        <v>73</v>
      </c>
      <c r="C413" t="s">
        <v>67</v>
      </c>
      <c r="D413">
        <v>543500</v>
      </c>
      <c r="E413" t="s">
        <v>53</v>
      </c>
      <c r="F413" t="s">
        <v>49</v>
      </c>
      <c r="G413" s="30">
        <v>2297836.1016768501</v>
      </c>
    </row>
    <row r="414" spans="1:7" x14ac:dyDescent="0.25">
      <c r="A414" t="s">
        <v>88</v>
      </c>
      <c r="B414" t="s">
        <v>89</v>
      </c>
      <c r="C414" t="s">
        <v>78</v>
      </c>
      <c r="D414">
        <v>543646</v>
      </c>
      <c r="E414" t="s">
        <v>53</v>
      </c>
      <c r="F414" t="s">
        <v>49</v>
      </c>
      <c r="G414" s="30">
        <v>166971.81562499999</v>
      </c>
    </row>
    <row r="415" spans="1:7" x14ac:dyDescent="0.25">
      <c r="A415" t="s">
        <v>72</v>
      </c>
      <c r="B415" t="s">
        <v>73</v>
      </c>
      <c r="C415" t="s">
        <v>67</v>
      </c>
      <c r="D415">
        <v>545589</v>
      </c>
      <c r="E415" t="s">
        <v>53</v>
      </c>
      <c r="F415" t="s">
        <v>49</v>
      </c>
      <c r="G415" s="30">
        <v>643137.26287556498</v>
      </c>
    </row>
    <row r="416" spans="1:7" x14ac:dyDescent="0.25">
      <c r="A416" t="s">
        <v>114</v>
      </c>
      <c r="B416" t="s">
        <v>115</v>
      </c>
      <c r="C416" t="s">
        <v>56</v>
      </c>
      <c r="D416">
        <v>546164</v>
      </c>
      <c r="E416" t="s">
        <v>53</v>
      </c>
      <c r="F416" t="s">
        <v>49</v>
      </c>
      <c r="G416" s="30">
        <v>111251.59733937201</v>
      </c>
    </row>
    <row r="417" spans="1:7" x14ac:dyDescent="0.25">
      <c r="A417" t="s">
        <v>72</v>
      </c>
      <c r="B417" t="s">
        <v>73</v>
      </c>
      <c r="C417" t="s">
        <v>67</v>
      </c>
      <c r="D417">
        <v>546274</v>
      </c>
      <c r="E417" t="s">
        <v>53</v>
      </c>
      <c r="F417" t="s">
        <v>49</v>
      </c>
      <c r="G417" s="30">
        <v>2700657.1856376901</v>
      </c>
    </row>
    <row r="418" spans="1:7" x14ac:dyDescent="0.25">
      <c r="A418" t="s">
        <v>50</v>
      </c>
      <c r="B418" t="s">
        <v>51</v>
      </c>
      <c r="C418" t="s">
        <v>52</v>
      </c>
      <c r="D418">
        <v>547176</v>
      </c>
      <c r="E418" t="s">
        <v>53</v>
      </c>
      <c r="F418" t="s">
        <v>49</v>
      </c>
      <c r="G418" s="30">
        <v>28565.0085011066</v>
      </c>
    </row>
    <row r="419" spans="1:7" x14ac:dyDescent="0.25">
      <c r="A419" t="s">
        <v>106</v>
      </c>
      <c r="B419" t="s">
        <v>107</v>
      </c>
      <c r="C419" t="s">
        <v>56</v>
      </c>
      <c r="D419">
        <v>548463</v>
      </c>
      <c r="E419" t="s">
        <v>48</v>
      </c>
      <c r="F419" t="s">
        <v>49</v>
      </c>
      <c r="G419" s="30">
        <v>0</v>
      </c>
    </row>
    <row r="420" spans="1:7" x14ac:dyDescent="0.25">
      <c r="A420" t="s">
        <v>45</v>
      </c>
      <c r="B420" t="s">
        <v>46</v>
      </c>
      <c r="C420" t="s">
        <v>47</v>
      </c>
      <c r="D420">
        <v>548955</v>
      </c>
      <c r="E420" t="s">
        <v>53</v>
      </c>
      <c r="F420" t="s">
        <v>49</v>
      </c>
      <c r="G420" s="30">
        <v>159023.88</v>
      </c>
    </row>
    <row r="421" spans="1:7" x14ac:dyDescent="0.25">
      <c r="A421" t="s">
        <v>114</v>
      </c>
      <c r="B421" t="s">
        <v>115</v>
      </c>
      <c r="C421" t="s">
        <v>56</v>
      </c>
      <c r="D421">
        <v>549070</v>
      </c>
      <c r="E421" t="s">
        <v>53</v>
      </c>
      <c r="F421" t="s">
        <v>49</v>
      </c>
      <c r="G421" s="30">
        <v>468530.260080926</v>
      </c>
    </row>
    <row r="422" spans="1:7" x14ac:dyDescent="0.25">
      <c r="A422" t="s">
        <v>50</v>
      </c>
      <c r="B422" t="s">
        <v>51</v>
      </c>
      <c r="C422" t="s">
        <v>52</v>
      </c>
      <c r="D422">
        <v>549495</v>
      </c>
      <c r="E422" t="s">
        <v>53</v>
      </c>
      <c r="F422" t="s">
        <v>49</v>
      </c>
      <c r="G422" s="30">
        <v>78115.9879745371</v>
      </c>
    </row>
    <row r="423" spans="1:7" x14ac:dyDescent="0.25">
      <c r="A423" t="s">
        <v>61</v>
      </c>
      <c r="B423" t="s">
        <v>62</v>
      </c>
      <c r="C423" t="s">
        <v>56</v>
      </c>
      <c r="D423">
        <v>551306</v>
      </c>
      <c r="E423" t="s">
        <v>48</v>
      </c>
      <c r="F423" t="s">
        <v>49</v>
      </c>
      <c r="G423" s="30">
        <v>0</v>
      </c>
    </row>
    <row r="424" spans="1:7" x14ac:dyDescent="0.25">
      <c r="A424" t="s">
        <v>50</v>
      </c>
      <c r="B424" t="s">
        <v>51</v>
      </c>
      <c r="C424" t="s">
        <v>52</v>
      </c>
      <c r="D424">
        <v>551503</v>
      </c>
      <c r="E424" t="s">
        <v>53</v>
      </c>
      <c r="F424" t="s">
        <v>49</v>
      </c>
      <c r="G424" s="30">
        <v>87611.881102146101</v>
      </c>
    </row>
    <row r="425" spans="1:7" x14ac:dyDescent="0.25">
      <c r="A425" t="s">
        <v>116</v>
      </c>
      <c r="B425" t="s">
        <v>117</v>
      </c>
      <c r="C425" t="s">
        <v>47</v>
      </c>
      <c r="D425">
        <v>552470</v>
      </c>
      <c r="E425" t="s">
        <v>53</v>
      </c>
      <c r="F425" t="s">
        <v>49</v>
      </c>
      <c r="G425" s="30">
        <v>124785.433033737</v>
      </c>
    </row>
    <row r="426" spans="1:7" x14ac:dyDescent="0.25">
      <c r="A426" t="s">
        <v>94</v>
      </c>
      <c r="B426" t="s">
        <v>95</v>
      </c>
      <c r="C426" t="s">
        <v>78</v>
      </c>
      <c r="D426">
        <v>553066</v>
      </c>
      <c r="E426" t="s">
        <v>53</v>
      </c>
      <c r="F426" t="s">
        <v>49</v>
      </c>
      <c r="G426" s="30">
        <v>2420753.5446538702</v>
      </c>
    </row>
    <row r="427" spans="1:7" x14ac:dyDescent="0.25">
      <c r="A427" t="s">
        <v>61</v>
      </c>
      <c r="B427" t="s">
        <v>62</v>
      </c>
      <c r="C427" t="s">
        <v>56</v>
      </c>
      <c r="D427">
        <v>554009</v>
      </c>
      <c r="E427" t="s">
        <v>53</v>
      </c>
      <c r="F427" t="s">
        <v>49</v>
      </c>
      <c r="G427" s="30">
        <v>99.36</v>
      </c>
    </row>
    <row r="428" spans="1:7" x14ac:dyDescent="0.25">
      <c r="A428" t="s">
        <v>124</v>
      </c>
      <c r="B428" t="s">
        <v>125</v>
      </c>
      <c r="C428" t="s">
        <v>78</v>
      </c>
      <c r="D428">
        <v>556773</v>
      </c>
      <c r="E428" t="s">
        <v>53</v>
      </c>
      <c r="F428" t="s">
        <v>49</v>
      </c>
      <c r="G428" s="30">
        <v>133316.516289066</v>
      </c>
    </row>
    <row r="429" spans="1:7" x14ac:dyDescent="0.25">
      <c r="A429" t="s">
        <v>50</v>
      </c>
      <c r="B429" t="s">
        <v>51</v>
      </c>
      <c r="C429" t="s">
        <v>52</v>
      </c>
      <c r="D429">
        <v>556806</v>
      </c>
      <c r="E429" t="s">
        <v>53</v>
      </c>
      <c r="F429" t="s">
        <v>49</v>
      </c>
      <c r="G429" s="30">
        <v>21725.497558593801</v>
      </c>
    </row>
    <row r="430" spans="1:7" x14ac:dyDescent="0.25">
      <c r="A430" t="s">
        <v>45</v>
      </c>
      <c r="B430" t="s">
        <v>46</v>
      </c>
      <c r="C430" t="s">
        <v>47</v>
      </c>
      <c r="D430">
        <v>560357</v>
      </c>
      <c r="E430" t="s">
        <v>48</v>
      </c>
      <c r="F430" t="s">
        <v>49</v>
      </c>
      <c r="G430" s="30">
        <v>0</v>
      </c>
    </row>
    <row r="431" spans="1:7" x14ac:dyDescent="0.25">
      <c r="A431" t="s">
        <v>116</v>
      </c>
      <c r="B431" t="s">
        <v>117</v>
      </c>
      <c r="C431" t="s">
        <v>47</v>
      </c>
      <c r="D431">
        <v>562483</v>
      </c>
      <c r="E431" t="s">
        <v>53</v>
      </c>
      <c r="F431" t="s">
        <v>49</v>
      </c>
      <c r="G431" s="30">
        <v>1393838.1681734</v>
      </c>
    </row>
    <row r="432" spans="1:7" x14ac:dyDescent="0.25">
      <c r="A432" t="s">
        <v>54</v>
      </c>
      <c r="B432" t="s">
        <v>55</v>
      </c>
      <c r="C432" t="s">
        <v>56</v>
      </c>
      <c r="D432">
        <v>563184</v>
      </c>
      <c r="E432" t="s">
        <v>53</v>
      </c>
      <c r="F432" t="s">
        <v>49</v>
      </c>
      <c r="G432" s="30">
        <v>1178057.6289253</v>
      </c>
    </row>
    <row r="433" spans="1:7" x14ac:dyDescent="0.25">
      <c r="A433" t="s">
        <v>116</v>
      </c>
      <c r="B433" t="s">
        <v>117</v>
      </c>
      <c r="C433" t="s">
        <v>47</v>
      </c>
      <c r="D433">
        <v>564090</v>
      </c>
      <c r="E433" t="s">
        <v>53</v>
      </c>
      <c r="F433" t="s">
        <v>49</v>
      </c>
      <c r="G433" s="30">
        <v>67739.435749706798</v>
      </c>
    </row>
    <row r="434" spans="1:7" x14ac:dyDescent="0.25">
      <c r="A434" t="s">
        <v>61</v>
      </c>
      <c r="B434" t="s">
        <v>62</v>
      </c>
      <c r="C434" t="s">
        <v>56</v>
      </c>
      <c r="D434">
        <v>568210</v>
      </c>
      <c r="E434" t="s">
        <v>53</v>
      </c>
      <c r="F434" t="s">
        <v>49</v>
      </c>
      <c r="G434" s="30">
        <v>272907.44894547499</v>
      </c>
    </row>
    <row r="435" spans="1:7" x14ac:dyDescent="0.25">
      <c r="A435" t="s">
        <v>54</v>
      </c>
      <c r="B435" t="s">
        <v>55</v>
      </c>
      <c r="C435" t="s">
        <v>56</v>
      </c>
      <c r="D435">
        <v>568821</v>
      </c>
      <c r="E435" t="s">
        <v>53</v>
      </c>
      <c r="F435" t="s">
        <v>49</v>
      </c>
      <c r="G435" s="30">
        <v>338444.02171432599</v>
      </c>
    </row>
    <row r="436" spans="1:7" x14ac:dyDescent="0.25">
      <c r="A436" t="s">
        <v>120</v>
      </c>
      <c r="B436" t="s">
        <v>121</v>
      </c>
      <c r="C436" t="s">
        <v>67</v>
      </c>
      <c r="D436">
        <v>569841</v>
      </c>
      <c r="E436" t="s">
        <v>53</v>
      </c>
      <c r="F436" t="s">
        <v>49</v>
      </c>
      <c r="G436" s="30">
        <v>13872998.1620389</v>
      </c>
    </row>
    <row r="437" spans="1:7" x14ac:dyDescent="0.25">
      <c r="A437" t="s">
        <v>84</v>
      </c>
      <c r="B437" t="s">
        <v>85</v>
      </c>
      <c r="C437" t="s">
        <v>67</v>
      </c>
      <c r="D437">
        <v>572026</v>
      </c>
      <c r="E437" t="s">
        <v>53</v>
      </c>
      <c r="F437" t="s">
        <v>49</v>
      </c>
      <c r="G437" s="30">
        <v>1106911.0130562801</v>
      </c>
    </row>
    <row r="438" spans="1:7" x14ac:dyDescent="0.25">
      <c r="A438" t="s">
        <v>50</v>
      </c>
      <c r="B438" t="s">
        <v>51</v>
      </c>
      <c r="C438" t="s">
        <v>52</v>
      </c>
      <c r="D438">
        <v>572226</v>
      </c>
      <c r="E438" t="s">
        <v>53</v>
      </c>
      <c r="F438" t="s">
        <v>49</v>
      </c>
      <c r="G438" s="30">
        <v>24556</v>
      </c>
    </row>
    <row r="439" spans="1:7" x14ac:dyDescent="0.25">
      <c r="A439" t="s">
        <v>139</v>
      </c>
      <c r="B439" t="s">
        <v>140</v>
      </c>
      <c r="C439" t="s">
        <v>47</v>
      </c>
      <c r="D439">
        <v>572881</v>
      </c>
      <c r="E439" t="s">
        <v>53</v>
      </c>
      <c r="F439" t="s">
        <v>49</v>
      </c>
      <c r="G439" s="30">
        <v>533884.83889697399</v>
      </c>
    </row>
    <row r="440" spans="1:7" x14ac:dyDescent="0.25">
      <c r="A440" t="s">
        <v>102</v>
      </c>
      <c r="B440" t="s">
        <v>103</v>
      </c>
      <c r="C440" t="s">
        <v>47</v>
      </c>
      <c r="D440">
        <v>573826</v>
      </c>
      <c r="E440" t="s">
        <v>53</v>
      </c>
      <c r="F440" t="s">
        <v>49</v>
      </c>
      <c r="G440" s="30">
        <v>292209.061534037</v>
      </c>
    </row>
    <row r="441" spans="1:7" x14ac:dyDescent="0.25">
      <c r="A441" t="s">
        <v>76</v>
      </c>
      <c r="B441" t="s">
        <v>77</v>
      </c>
      <c r="C441" t="s">
        <v>78</v>
      </c>
      <c r="D441">
        <v>574019</v>
      </c>
      <c r="E441" t="s">
        <v>53</v>
      </c>
      <c r="F441" t="s">
        <v>49</v>
      </c>
      <c r="G441" s="30">
        <v>220778.18</v>
      </c>
    </row>
    <row r="442" spans="1:7" x14ac:dyDescent="0.25">
      <c r="A442" t="s">
        <v>57</v>
      </c>
      <c r="B442" t="s">
        <v>58</v>
      </c>
      <c r="C442" t="s">
        <v>56</v>
      </c>
      <c r="D442">
        <v>574998</v>
      </c>
      <c r="E442" t="s">
        <v>53</v>
      </c>
      <c r="F442" t="s">
        <v>49</v>
      </c>
      <c r="G442" s="30">
        <v>435966.14530766499</v>
      </c>
    </row>
    <row r="443" spans="1:7" x14ac:dyDescent="0.25">
      <c r="A443" t="s">
        <v>45</v>
      </c>
      <c r="B443" t="s">
        <v>46</v>
      </c>
      <c r="C443" t="s">
        <v>47</v>
      </c>
      <c r="D443">
        <v>577209</v>
      </c>
      <c r="E443" t="s">
        <v>48</v>
      </c>
      <c r="F443" t="s">
        <v>49</v>
      </c>
      <c r="G443" s="30">
        <v>-4.34</v>
      </c>
    </row>
    <row r="444" spans="1:7" x14ac:dyDescent="0.25">
      <c r="A444" t="s">
        <v>50</v>
      </c>
      <c r="B444" t="s">
        <v>51</v>
      </c>
      <c r="C444" t="s">
        <v>52</v>
      </c>
      <c r="D444">
        <v>577908</v>
      </c>
      <c r="E444" t="s">
        <v>53</v>
      </c>
      <c r="F444" t="s">
        <v>49</v>
      </c>
      <c r="G444" s="30">
        <v>57158.131438379904</v>
      </c>
    </row>
    <row r="445" spans="1:7" x14ac:dyDescent="0.25">
      <c r="A445" t="s">
        <v>45</v>
      </c>
      <c r="B445" t="s">
        <v>46</v>
      </c>
      <c r="C445" t="s">
        <v>47</v>
      </c>
      <c r="D445">
        <v>577939</v>
      </c>
      <c r="E445" t="s">
        <v>48</v>
      </c>
      <c r="F445" t="s">
        <v>49</v>
      </c>
      <c r="G445" s="30">
        <v>0</v>
      </c>
    </row>
    <row r="446" spans="1:7" x14ac:dyDescent="0.25">
      <c r="A446" t="s">
        <v>50</v>
      </c>
      <c r="B446" t="s">
        <v>51</v>
      </c>
      <c r="C446" t="s">
        <v>52</v>
      </c>
      <c r="D446">
        <v>578457</v>
      </c>
      <c r="E446" t="s">
        <v>53</v>
      </c>
      <c r="F446" t="s">
        <v>49</v>
      </c>
      <c r="G446" s="30">
        <v>80909.646749268402</v>
      </c>
    </row>
    <row r="447" spans="1:7" x14ac:dyDescent="0.25">
      <c r="A447" t="s">
        <v>45</v>
      </c>
      <c r="B447" t="s">
        <v>46</v>
      </c>
      <c r="C447" t="s">
        <v>47</v>
      </c>
      <c r="D447">
        <v>580192</v>
      </c>
      <c r="E447" t="s">
        <v>48</v>
      </c>
      <c r="F447" t="s">
        <v>49</v>
      </c>
      <c r="G447" s="30">
        <v>0</v>
      </c>
    </row>
    <row r="448" spans="1:7" x14ac:dyDescent="0.25">
      <c r="A448" t="s">
        <v>45</v>
      </c>
      <c r="B448" t="s">
        <v>46</v>
      </c>
      <c r="C448" t="s">
        <v>47</v>
      </c>
      <c r="D448">
        <v>581058</v>
      </c>
      <c r="E448" t="s">
        <v>53</v>
      </c>
      <c r="F448" t="s">
        <v>49</v>
      </c>
      <c r="G448" s="30">
        <v>12929.21</v>
      </c>
    </row>
    <row r="449" spans="1:7" x14ac:dyDescent="0.25">
      <c r="A449" t="s">
        <v>59</v>
      </c>
      <c r="B449" t="s">
        <v>60</v>
      </c>
      <c r="C449" t="s">
        <v>56</v>
      </c>
      <c r="D449">
        <v>582605</v>
      </c>
      <c r="E449" t="s">
        <v>53</v>
      </c>
      <c r="F449" t="s">
        <v>49</v>
      </c>
      <c r="G449" s="30">
        <v>302884.64528546401</v>
      </c>
    </row>
    <row r="450" spans="1:7" x14ac:dyDescent="0.25">
      <c r="A450" t="s">
        <v>124</v>
      </c>
      <c r="B450" t="s">
        <v>125</v>
      </c>
      <c r="C450" t="s">
        <v>78</v>
      </c>
      <c r="D450">
        <v>582939</v>
      </c>
      <c r="E450" t="s">
        <v>53</v>
      </c>
      <c r="F450" t="s">
        <v>49</v>
      </c>
      <c r="G450" s="30">
        <v>642096.60826930101</v>
      </c>
    </row>
    <row r="451" spans="1:7" x14ac:dyDescent="0.25">
      <c r="A451" t="s">
        <v>76</v>
      </c>
      <c r="B451" t="s">
        <v>77</v>
      </c>
      <c r="C451" t="s">
        <v>78</v>
      </c>
      <c r="D451">
        <v>583319</v>
      </c>
      <c r="E451" t="s">
        <v>53</v>
      </c>
      <c r="F451" t="s">
        <v>49</v>
      </c>
      <c r="G451" s="30">
        <v>133266.98906250001</v>
      </c>
    </row>
    <row r="452" spans="1:7" x14ac:dyDescent="0.25">
      <c r="A452" t="s">
        <v>45</v>
      </c>
      <c r="B452" t="s">
        <v>46</v>
      </c>
      <c r="C452" t="s">
        <v>47</v>
      </c>
      <c r="D452">
        <v>585432</v>
      </c>
      <c r="E452" t="s">
        <v>48</v>
      </c>
      <c r="F452" t="s">
        <v>49</v>
      </c>
      <c r="G452" s="30">
        <v>0</v>
      </c>
    </row>
    <row r="453" spans="1:7" x14ac:dyDescent="0.25">
      <c r="A453" t="s">
        <v>45</v>
      </c>
      <c r="B453" t="s">
        <v>46</v>
      </c>
      <c r="C453" t="s">
        <v>47</v>
      </c>
      <c r="D453">
        <v>590939</v>
      </c>
      <c r="E453" t="s">
        <v>53</v>
      </c>
      <c r="F453" t="s">
        <v>49</v>
      </c>
      <c r="G453" s="30">
        <v>57109.265513849197</v>
      </c>
    </row>
    <row r="454" spans="1:7" x14ac:dyDescent="0.25">
      <c r="A454" t="s">
        <v>45</v>
      </c>
      <c r="B454" t="s">
        <v>46</v>
      </c>
      <c r="C454" t="s">
        <v>47</v>
      </c>
      <c r="D454">
        <v>591957</v>
      </c>
      <c r="E454" t="s">
        <v>53</v>
      </c>
      <c r="F454" t="s">
        <v>49</v>
      </c>
      <c r="G454" s="30">
        <v>83870.362248532998</v>
      </c>
    </row>
    <row r="455" spans="1:7" x14ac:dyDescent="0.25">
      <c r="A455" t="s">
        <v>120</v>
      </c>
      <c r="B455" t="s">
        <v>121</v>
      </c>
      <c r="C455" t="s">
        <v>67</v>
      </c>
      <c r="D455">
        <v>592609</v>
      </c>
      <c r="E455" t="s">
        <v>53</v>
      </c>
      <c r="F455" t="s">
        <v>49</v>
      </c>
      <c r="G455" s="30">
        <v>77219.985489714003</v>
      </c>
    </row>
    <row r="456" spans="1:7" x14ac:dyDescent="0.25">
      <c r="A456" t="s">
        <v>45</v>
      </c>
      <c r="B456" t="s">
        <v>46</v>
      </c>
      <c r="C456" t="s">
        <v>47</v>
      </c>
      <c r="D456">
        <v>592919</v>
      </c>
      <c r="E456" t="s">
        <v>48</v>
      </c>
      <c r="F456" t="s">
        <v>49</v>
      </c>
      <c r="G456" s="30">
        <v>0</v>
      </c>
    </row>
    <row r="457" spans="1:7" x14ac:dyDescent="0.25">
      <c r="A457" t="s">
        <v>70</v>
      </c>
      <c r="B457" t="s">
        <v>71</v>
      </c>
      <c r="C457" t="s">
        <v>47</v>
      </c>
      <c r="D457">
        <v>593300</v>
      </c>
      <c r="E457" t="s">
        <v>53</v>
      </c>
      <c r="F457" t="s">
        <v>49</v>
      </c>
      <c r="G457" s="30">
        <v>59204.294252599997</v>
      </c>
    </row>
    <row r="458" spans="1:7" x14ac:dyDescent="0.25">
      <c r="A458" t="s">
        <v>45</v>
      </c>
      <c r="B458" t="s">
        <v>46</v>
      </c>
      <c r="C458" t="s">
        <v>47</v>
      </c>
      <c r="D458">
        <v>593322</v>
      </c>
      <c r="E458" t="s">
        <v>48</v>
      </c>
      <c r="F458" t="s">
        <v>49</v>
      </c>
      <c r="G458" s="30">
        <v>0</v>
      </c>
    </row>
    <row r="459" spans="1:7" x14ac:dyDescent="0.25">
      <c r="A459" t="s">
        <v>45</v>
      </c>
      <c r="B459" t="s">
        <v>46</v>
      </c>
      <c r="C459" t="s">
        <v>47</v>
      </c>
      <c r="D459">
        <v>593619</v>
      </c>
      <c r="E459" t="s">
        <v>48</v>
      </c>
      <c r="F459" t="s">
        <v>49</v>
      </c>
      <c r="G459" s="30">
        <v>79.739999999999995</v>
      </c>
    </row>
    <row r="460" spans="1:7" x14ac:dyDescent="0.25">
      <c r="A460" t="s">
        <v>128</v>
      </c>
      <c r="B460" t="s">
        <v>129</v>
      </c>
      <c r="C460" t="s">
        <v>130</v>
      </c>
      <c r="D460">
        <v>593816</v>
      </c>
      <c r="E460" t="s">
        <v>53</v>
      </c>
      <c r="F460" t="s">
        <v>49</v>
      </c>
      <c r="G460" s="30">
        <v>1535107.41053937</v>
      </c>
    </row>
    <row r="461" spans="1:7" x14ac:dyDescent="0.25">
      <c r="A461" t="s">
        <v>65</v>
      </c>
      <c r="B461" t="s">
        <v>66</v>
      </c>
      <c r="C461" t="s">
        <v>67</v>
      </c>
      <c r="D461">
        <v>594918</v>
      </c>
      <c r="E461" t="s">
        <v>53</v>
      </c>
      <c r="F461" t="s">
        <v>49</v>
      </c>
      <c r="G461" s="30">
        <v>14982591.7302524</v>
      </c>
    </row>
    <row r="462" spans="1:7" x14ac:dyDescent="0.25">
      <c r="A462" t="s">
        <v>61</v>
      </c>
      <c r="B462" t="s">
        <v>62</v>
      </c>
      <c r="C462" t="s">
        <v>56</v>
      </c>
      <c r="D462">
        <v>595605</v>
      </c>
      <c r="E462" t="s">
        <v>48</v>
      </c>
      <c r="F462" t="s">
        <v>49</v>
      </c>
      <c r="G462" s="30">
        <v>-5.0199999999999996</v>
      </c>
    </row>
    <row r="463" spans="1:7" x14ac:dyDescent="0.25">
      <c r="A463" t="s">
        <v>45</v>
      </c>
      <c r="B463" t="s">
        <v>46</v>
      </c>
      <c r="C463" t="s">
        <v>47</v>
      </c>
      <c r="D463">
        <v>595618</v>
      </c>
      <c r="E463" t="s">
        <v>48</v>
      </c>
      <c r="F463" t="s">
        <v>49</v>
      </c>
      <c r="G463" s="30">
        <v>0</v>
      </c>
    </row>
    <row r="464" spans="1:7" x14ac:dyDescent="0.25">
      <c r="A464" t="s">
        <v>45</v>
      </c>
      <c r="B464" t="s">
        <v>46</v>
      </c>
      <c r="C464" t="s">
        <v>47</v>
      </c>
      <c r="D464">
        <v>596619</v>
      </c>
      <c r="E464" t="s">
        <v>48</v>
      </c>
      <c r="F464" t="s">
        <v>49</v>
      </c>
      <c r="G464" s="30">
        <v>0</v>
      </c>
    </row>
    <row r="465" spans="1:7" x14ac:dyDescent="0.25">
      <c r="A465" t="s">
        <v>50</v>
      </c>
      <c r="B465" t="s">
        <v>51</v>
      </c>
      <c r="C465" t="s">
        <v>52</v>
      </c>
      <c r="D465">
        <v>598168</v>
      </c>
      <c r="E465" t="s">
        <v>53</v>
      </c>
      <c r="F465" t="s">
        <v>49</v>
      </c>
      <c r="G465" s="30">
        <v>6115.8319531540101</v>
      </c>
    </row>
    <row r="466" spans="1:7" x14ac:dyDescent="0.25">
      <c r="A466" t="s">
        <v>50</v>
      </c>
      <c r="B466" t="s">
        <v>51</v>
      </c>
      <c r="C466" t="s">
        <v>52</v>
      </c>
      <c r="D466">
        <v>599230</v>
      </c>
      <c r="E466" t="s">
        <v>53</v>
      </c>
      <c r="F466" t="s">
        <v>49</v>
      </c>
      <c r="G466" s="30">
        <v>51110.680058932201</v>
      </c>
    </row>
    <row r="467" spans="1:7" x14ac:dyDescent="0.25">
      <c r="A467" t="s">
        <v>45</v>
      </c>
      <c r="B467" t="s">
        <v>46</v>
      </c>
      <c r="C467" t="s">
        <v>47</v>
      </c>
      <c r="D467">
        <v>660392</v>
      </c>
      <c r="E467" t="s">
        <v>48</v>
      </c>
      <c r="F467" t="s">
        <v>49</v>
      </c>
      <c r="G467" s="30">
        <v>0</v>
      </c>
    </row>
    <row r="468" spans="1:7" x14ac:dyDescent="0.25">
      <c r="A468" t="s">
        <v>86</v>
      </c>
      <c r="B468" t="s">
        <v>87</v>
      </c>
      <c r="C468" t="s">
        <v>78</v>
      </c>
      <c r="D468">
        <v>750429</v>
      </c>
      <c r="E468" t="s">
        <v>53</v>
      </c>
      <c r="F468" t="s">
        <v>49</v>
      </c>
      <c r="G468" s="30">
        <v>1503349.87486388</v>
      </c>
    </row>
    <row r="469" spans="1:7" x14ac:dyDescent="0.25">
      <c r="A469" t="s">
        <v>114</v>
      </c>
      <c r="B469" t="s">
        <v>115</v>
      </c>
      <c r="C469" t="s">
        <v>56</v>
      </c>
      <c r="D469">
        <v>752309</v>
      </c>
      <c r="E469" t="s">
        <v>53</v>
      </c>
      <c r="F469" t="s">
        <v>49</v>
      </c>
      <c r="G469" s="30">
        <v>926502.19135371305</v>
      </c>
    </row>
    <row r="470" spans="1:7" x14ac:dyDescent="0.25">
      <c r="A470" t="s">
        <v>118</v>
      </c>
      <c r="B470" t="s">
        <v>119</v>
      </c>
      <c r="C470" t="s">
        <v>56</v>
      </c>
      <c r="D470">
        <v>754810</v>
      </c>
      <c r="E470" t="s">
        <v>53</v>
      </c>
      <c r="F470" t="s">
        <v>49</v>
      </c>
      <c r="G470" s="30">
        <v>59148.196496377699</v>
      </c>
    </row>
    <row r="471" spans="1:7" x14ac:dyDescent="0.25">
      <c r="A471" t="s">
        <v>128</v>
      </c>
      <c r="B471" t="s">
        <v>129</v>
      </c>
      <c r="C471" t="s">
        <v>130</v>
      </c>
      <c r="D471">
        <v>1000413</v>
      </c>
      <c r="E471" t="s">
        <v>53</v>
      </c>
      <c r="F471" t="s">
        <v>49</v>
      </c>
      <c r="G471" s="30">
        <v>8690489.3242514301</v>
      </c>
    </row>
    <row r="472" spans="1:7" x14ac:dyDescent="0.25">
      <c r="A472" t="s">
        <v>45</v>
      </c>
      <c r="B472" t="s">
        <v>46</v>
      </c>
      <c r="C472" t="s">
        <v>47</v>
      </c>
      <c r="D472">
        <v>1000513</v>
      </c>
      <c r="E472" t="s">
        <v>48</v>
      </c>
      <c r="F472" t="s">
        <v>49</v>
      </c>
      <c r="G472" s="30">
        <v>0</v>
      </c>
    </row>
    <row r="473" spans="1:7" x14ac:dyDescent="0.25">
      <c r="A473" t="s">
        <v>45</v>
      </c>
      <c r="B473" t="s">
        <v>46</v>
      </c>
      <c r="C473" t="s">
        <v>47</v>
      </c>
      <c r="D473">
        <v>1003947</v>
      </c>
      <c r="E473" t="s">
        <v>53</v>
      </c>
      <c r="F473" t="s">
        <v>49</v>
      </c>
      <c r="G473" s="30">
        <v>27937.704511718799</v>
      </c>
    </row>
    <row r="474" spans="1:7" x14ac:dyDescent="0.25">
      <c r="A474" t="s">
        <v>114</v>
      </c>
      <c r="B474" t="s">
        <v>115</v>
      </c>
      <c r="C474" t="s">
        <v>56</v>
      </c>
      <c r="D474">
        <v>1004778</v>
      </c>
      <c r="E474" t="s">
        <v>53</v>
      </c>
      <c r="F474" t="s">
        <v>49</v>
      </c>
      <c r="G474" s="30">
        <v>66528.984375</v>
      </c>
    </row>
    <row r="475" spans="1:7" x14ac:dyDescent="0.25">
      <c r="A475" t="s">
        <v>50</v>
      </c>
      <c r="B475" t="s">
        <v>51</v>
      </c>
      <c r="C475" t="s">
        <v>52</v>
      </c>
      <c r="D475">
        <v>1008576</v>
      </c>
      <c r="E475" t="s">
        <v>53</v>
      </c>
      <c r="F475" t="s">
        <v>49</v>
      </c>
      <c r="G475" s="30">
        <v>7164.12286703054</v>
      </c>
    </row>
    <row r="476" spans="1:7" x14ac:dyDescent="0.25">
      <c r="A476" t="s">
        <v>50</v>
      </c>
      <c r="B476" t="s">
        <v>51</v>
      </c>
      <c r="C476" t="s">
        <v>52</v>
      </c>
      <c r="D476">
        <v>1008657</v>
      </c>
      <c r="E476" t="s">
        <v>53</v>
      </c>
      <c r="F476" t="s">
        <v>49</v>
      </c>
      <c r="G476" s="30">
        <v>26614.525649878498</v>
      </c>
    </row>
    <row r="477" spans="1:7" x14ac:dyDescent="0.25">
      <c r="A477" t="s">
        <v>45</v>
      </c>
      <c r="B477" t="s">
        <v>46</v>
      </c>
      <c r="C477" t="s">
        <v>47</v>
      </c>
      <c r="D477">
        <v>1010190</v>
      </c>
      <c r="E477" t="s">
        <v>48</v>
      </c>
      <c r="F477" t="s">
        <v>49</v>
      </c>
      <c r="G477" s="30">
        <v>0</v>
      </c>
    </row>
    <row r="478" spans="1:7" x14ac:dyDescent="0.25">
      <c r="A478" t="s">
        <v>68</v>
      </c>
      <c r="B478" t="s">
        <v>69</v>
      </c>
      <c r="C478" t="s">
        <v>56</v>
      </c>
      <c r="D478">
        <v>1011691</v>
      </c>
      <c r="E478" t="s">
        <v>53</v>
      </c>
      <c r="F478" t="s">
        <v>49</v>
      </c>
      <c r="G478" s="30">
        <v>182954.68</v>
      </c>
    </row>
    <row r="479" spans="1:7" x14ac:dyDescent="0.25">
      <c r="A479" t="s">
        <v>92</v>
      </c>
      <c r="B479" t="s">
        <v>93</v>
      </c>
      <c r="C479" t="s">
        <v>81</v>
      </c>
      <c r="D479">
        <v>1021427</v>
      </c>
      <c r="E479" t="s">
        <v>53</v>
      </c>
      <c r="F479" t="s">
        <v>49</v>
      </c>
      <c r="G479" s="30">
        <v>106808.961195881</v>
      </c>
    </row>
    <row r="480" spans="1:7" x14ac:dyDescent="0.25">
      <c r="A480" t="s">
        <v>57</v>
      </c>
      <c r="B480" t="s">
        <v>58</v>
      </c>
      <c r="C480" t="s">
        <v>56</v>
      </c>
      <c r="D480">
        <v>1025030</v>
      </c>
      <c r="E480" t="s">
        <v>48</v>
      </c>
      <c r="F480" t="s">
        <v>49</v>
      </c>
      <c r="G480" s="30">
        <v>0</v>
      </c>
    </row>
    <row r="481" spans="1:7" x14ac:dyDescent="0.25">
      <c r="A481" t="s">
        <v>45</v>
      </c>
      <c r="B481" t="s">
        <v>46</v>
      </c>
      <c r="C481" t="s">
        <v>47</v>
      </c>
      <c r="D481">
        <v>1025986</v>
      </c>
      <c r="E481" t="s">
        <v>48</v>
      </c>
      <c r="F481" t="s">
        <v>49</v>
      </c>
      <c r="G481" s="30">
        <v>0</v>
      </c>
    </row>
    <row r="482" spans="1:7" x14ac:dyDescent="0.25">
      <c r="A482" t="s">
        <v>141</v>
      </c>
      <c r="B482" t="s">
        <v>142</v>
      </c>
      <c r="C482" t="s">
        <v>143</v>
      </c>
      <c r="D482">
        <v>1028645</v>
      </c>
      <c r="E482" t="s">
        <v>48</v>
      </c>
      <c r="F482" t="s">
        <v>49</v>
      </c>
      <c r="G482" s="30">
        <v>0</v>
      </c>
    </row>
    <row r="483" spans="1:7" x14ac:dyDescent="0.25">
      <c r="A483" t="s">
        <v>96</v>
      </c>
      <c r="B483" t="s">
        <v>97</v>
      </c>
      <c r="C483" t="s">
        <v>81</v>
      </c>
      <c r="D483">
        <v>1030215</v>
      </c>
      <c r="E483" t="s">
        <v>53</v>
      </c>
      <c r="F483" t="s">
        <v>49</v>
      </c>
      <c r="G483" s="30">
        <v>17469.344773415101</v>
      </c>
    </row>
    <row r="484" spans="1:7" x14ac:dyDescent="0.25">
      <c r="A484" t="s">
        <v>45</v>
      </c>
      <c r="B484" t="s">
        <v>46</v>
      </c>
      <c r="C484" t="s">
        <v>47</v>
      </c>
      <c r="D484">
        <v>1034005</v>
      </c>
      <c r="E484" t="s">
        <v>48</v>
      </c>
      <c r="F484" t="s">
        <v>49</v>
      </c>
      <c r="G484" s="30">
        <v>0</v>
      </c>
    </row>
    <row r="485" spans="1:7" x14ac:dyDescent="0.25">
      <c r="A485" t="s">
        <v>68</v>
      </c>
      <c r="B485" t="s">
        <v>69</v>
      </c>
      <c r="C485" t="s">
        <v>56</v>
      </c>
      <c r="D485">
        <v>1035345</v>
      </c>
      <c r="E485" t="s">
        <v>53</v>
      </c>
      <c r="F485" t="s">
        <v>49</v>
      </c>
      <c r="G485" s="30">
        <v>157.41</v>
      </c>
    </row>
    <row r="486" spans="1:7" x14ac:dyDescent="0.25">
      <c r="A486" t="s">
        <v>45</v>
      </c>
      <c r="B486" t="s">
        <v>46</v>
      </c>
      <c r="C486" t="s">
        <v>47</v>
      </c>
      <c r="D486">
        <v>1039956</v>
      </c>
      <c r="E486" t="s">
        <v>48</v>
      </c>
      <c r="F486" t="s">
        <v>49</v>
      </c>
      <c r="G486" s="30">
        <v>0</v>
      </c>
    </row>
    <row r="487" spans="1:7" x14ac:dyDescent="0.25">
      <c r="A487" t="s">
        <v>45</v>
      </c>
      <c r="B487" t="s">
        <v>46</v>
      </c>
      <c r="C487" t="s">
        <v>47</v>
      </c>
      <c r="D487">
        <v>1041952</v>
      </c>
      <c r="E487" t="s">
        <v>53</v>
      </c>
      <c r="F487" t="s">
        <v>49</v>
      </c>
      <c r="G487" s="30">
        <v>160560.220682927</v>
      </c>
    </row>
    <row r="488" spans="1:7" x14ac:dyDescent="0.25">
      <c r="A488" t="s">
        <v>59</v>
      </c>
      <c r="B488" t="s">
        <v>60</v>
      </c>
      <c r="C488" t="s">
        <v>56</v>
      </c>
      <c r="D488">
        <v>1045105</v>
      </c>
      <c r="E488" t="s">
        <v>53</v>
      </c>
      <c r="F488" t="s">
        <v>49</v>
      </c>
      <c r="G488" s="30">
        <v>618570.13496701897</v>
      </c>
    </row>
    <row r="489" spans="1:7" x14ac:dyDescent="0.25">
      <c r="A489" t="s">
        <v>50</v>
      </c>
      <c r="B489" t="s">
        <v>51</v>
      </c>
      <c r="C489" t="s">
        <v>52</v>
      </c>
      <c r="D489">
        <v>1046795</v>
      </c>
      <c r="E489" t="s">
        <v>53</v>
      </c>
      <c r="F489" t="s">
        <v>49</v>
      </c>
      <c r="G489" s="30">
        <v>24917.07</v>
      </c>
    </row>
    <row r="490" spans="1:7" x14ac:dyDescent="0.25">
      <c r="A490" t="s">
        <v>45</v>
      </c>
      <c r="B490" t="s">
        <v>46</v>
      </c>
      <c r="C490" t="s">
        <v>47</v>
      </c>
      <c r="D490">
        <v>1047058</v>
      </c>
      <c r="E490" t="s">
        <v>48</v>
      </c>
      <c r="F490" t="s">
        <v>49</v>
      </c>
      <c r="G490" s="30">
        <v>0</v>
      </c>
    </row>
    <row r="491" spans="1:7" x14ac:dyDescent="0.25">
      <c r="A491" t="s">
        <v>118</v>
      </c>
      <c r="B491" t="s">
        <v>119</v>
      </c>
      <c r="C491" t="s">
        <v>56</v>
      </c>
      <c r="D491">
        <v>1049033</v>
      </c>
      <c r="E491" t="s">
        <v>53</v>
      </c>
      <c r="F491" t="s">
        <v>49</v>
      </c>
      <c r="G491" s="30">
        <v>325770.05854008603</v>
      </c>
    </row>
    <row r="492" spans="1:7" x14ac:dyDescent="0.25">
      <c r="A492" t="s">
        <v>45</v>
      </c>
      <c r="B492" t="s">
        <v>46</v>
      </c>
      <c r="C492" t="s">
        <v>47</v>
      </c>
      <c r="D492">
        <v>1052216</v>
      </c>
      <c r="E492" t="s">
        <v>48</v>
      </c>
      <c r="F492" t="s">
        <v>49</v>
      </c>
      <c r="G492" s="30">
        <v>0</v>
      </c>
    </row>
    <row r="493" spans="1:7" x14ac:dyDescent="0.25">
      <c r="A493" t="s">
        <v>90</v>
      </c>
      <c r="B493" t="s">
        <v>91</v>
      </c>
      <c r="C493" t="s">
        <v>81</v>
      </c>
      <c r="D493">
        <v>1053868</v>
      </c>
      <c r="E493" t="s">
        <v>48</v>
      </c>
      <c r="F493" t="s">
        <v>49</v>
      </c>
      <c r="G493" s="30">
        <v>0</v>
      </c>
    </row>
    <row r="494" spans="1:7" x14ac:dyDescent="0.25">
      <c r="A494" t="s">
        <v>106</v>
      </c>
      <c r="B494" t="s">
        <v>107</v>
      </c>
      <c r="C494" t="s">
        <v>56</v>
      </c>
      <c r="D494">
        <v>1054669</v>
      </c>
      <c r="E494" t="s">
        <v>48</v>
      </c>
      <c r="F494" t="s">
        <v>49</v>
      </c>
      <c r="G494" s="30">
        <v>0</v>
      </c>
    </row>
    <row r="495" spans="1:7" x14ac:dyDescent="0.25">
      <c r="A495" t="s">
        <v>50</v>
      </c>
      <c r="B495" t="s">
        <v>51</v>
      </c>
      <c r="C495" t="s">
        <v>52</v>
      </c>
      <c r="D495">
        <v>1057334</v>
      </c>
      <c r="E495" t="s">
        <v>53</v>
      </c>
      <c r="F495" t="s">
        <v>49</v>
      </c>
      <c r="G495" s="30">
        <v>44600.6116357422</v>
      </c>
    </row>
    <row r="496" spans="1:7" x14ac:dyDescent="0.25">
      <c r="A496" t="s">
        <v>70</v>
      </c>
      <c r="B496" t="s">
        <v>71</v>
      </c>
      <c r="C496" t="s">
        <v>47</v>
      </c>
      <c r="D496">
        <v>2000003</v>
      </c>
      <c r="E496" t="s">
        <v>53</v>
      </c>
      <c r="F496" t="s">
        <v>49</v>
      </c>
      <c r="G496" s="30">
        <v>389925.94658001798</v>
      </c>
    </row>
    <row r="497" spans="1:7" x14ac:dyDescent="0.25">
      <c r="A497" t="s">
        <v>118</v>
      </c>
      <c r="B497" t="s">
        <v>119</v>
      </c>
      <c r="C497" t="s">
        <v>56</v>
      </c>
      <c r="D497">
        <v>2000533</v>
      </c>
      <c r="E497" t="s">
        <v>48</v>
      </c>
      <c r="F497" t="s">
        <v>49</v>
      </c>
      <c r="G497" s="30">
        <v>0</v>
      </c>
    </row>
    <row r="498" spans="1:7" x14ac:dyDescent="0.25">
      <c r="A498" t="s">
        <v>122</v>
      </c>
      <c r="B498" t="s">
        <v>123</v>
      </c>
      <c r="C498" t="s">
        <v>52</v>
      </c>
      <c r="D498">
        <v>2001704</v>
      </c>
      <c r="E498" t="s">
        <v>53</v>
      </c>
      <c r="F498" t="s">
        <v>49</v>
      </c>
      <c r="G498" s="30">
        <v>8151491.1166341398</v>
      </c>
    </row>
    <row r="499" spans="1:7" x14ac:dyDescent="0.25">
      <c r="A499" t="s">
        <v>70</v>
      </c>
      <c r="B499" t="s">
        <v>71</v>
      </c>
      <c r="C499" t="s">
        <v>47</v>
      </c>
      <c r="D499">
        <v>2002226</v>
      </c>
      <c r="E499" t="s">
        <v>53</v>
      </c>
      <c r="F499" t="s">
        <v>49</v>
      </c>
      <c r="G499" s="30">
        <v>231373.905856094</v>
      </c>
    </row>
    <row r="500" spans="1:7" x14ac:dyDescent="0.25">
      <c r="A500" t="s">
        <v>68</v>
      </c>
      <c r="B500" t="s">
        <v>69</v>
      </c>
      <c r="C500" t="s">
        <v>56</v>
      </c>
      <c r="D500">
        <v>2003058</v>
      </c>
      <c r="E500" t="s">
        <v>48</v>
      </c>
      <c r="F500" t="s">
        <v>49</v>
      </c>
      <c r="G500" s="30">
        <v>0</v>
      </c>
    </row>
    <row r="501" spans="1:7" x14ac:dyDescent="0.25">
      <c r="A501" t="s">
        <v>70</v>
      </c>
      <c r="B501" t="s">
        <v>71</v>
      </c>
      <c r="C501" t="s">
        <v>47</v>
      </c>
      <c r="D501">
        <v>2005804</v>
      </c>
      <c r="E501" t="s">
        <v>53</v>
      </c>
      <c r="F501" t="s">
        <v>49</v>
      </c>
      <c r="G501" s="30">
        <v>1373043.9178021699</v>
      </c>
    </row>
    <row r="502" spans="1:7" x14ac:dyDescent="0.25">
      <c r="A502" t="s">
        <v>120</v>
      </c>
      <c r="B502" t="s">
        <v>121</v>
      </c>
      <c r="C502" t="s">
        <v>67</v>
      </c>
      <c r="D502">
        <v>2006382</v>
      </c>
      <c r="E502" t="s">
        <v>53</v>
      </c>
      <c r="F502" t="s">
        <v>49</v>
      </c>
      <c r="G502" s="30">
        <v>1668421.8615323701</v>
      </c>
    </row>
    <row r="503" spans="1:7" x14ac:dyDescent="0.25">
      <c r="A503" t="s">
        <v>88</v>
      </c>
      <c r="B503" t="s">
        <v>89</v>
      </c>
      <c r="C503" t="s">
        <v>78</v>
      </c>
      <c r="D503">
        <v>2010451</v>
      </c>
      <c r="E503" t="s">
        <v>53</v>
      </c>
      <c r="F503" t="s">
        <v>49</v>
      </c>
      <c r="G503" s="30">
        <v>80673.783244424994</v>
      </c>
    </row>
    <row r="504" spans="1:7" x14ac:dyDescent="0.25">
      <c r="A504" t="s">
        <v>68</v>
      </c>
      <c r="B504" t="s">
        <v>69</v>
      </c>
      <c r="C504" t="s">
        <v>56</v>
      </c>
      <c r="D504">
        <v>2012594</v>
      </c>
      <c r="E504" t="s">
        <v>53</v>
      </c>
      <c r="F504" t="s">
        <v>49</v>
      </c>
      <c r="G504" s="30">
        <v>683469.43460889999</v>
      </c>
    </row>
    <row r="505" spans="1:7" x14ac:dyDescent="0.25">
      <c r="A505" t="s">
        <v>106</v>
      </c>
      <c r="B505" t="s">
        <v>107</v>
      </c>
      <c r="C505" t="s">
        <v>56</v>
      </c>
      <c r="D505">
        <v>2014030</v>
      </c>
      <c r="E505" t="s">
        <v>53</v>
      </c>
      <c r="F505" t="s">
        <v>49</v>
      </c>
      <c r="G505" s="30">
        <v>980.51</v>
      </c>
    </row>
    <row r="506" spans="1:7" x14ac:dyDescent="0.25">
      <c r="A506" t="s">
        <v>92</v>
      </c>
      <c r="B506" t="s">
        <v>93</v>
      </c>
      <c r="C506" t="s">
        <v>81</v>
      </c>
      <c r="D506">
        <v>2014665</v>
      </c>
      <c r="E506" t="s">
        <v>53</v>
      </c>
      <c r="F506" t="s">
        <v>49</v>
      </c>
      <c r="G506" s="30">
        <v>149679.62804963699</v>
      </c>
    </row>
    <row r="507" spans="1:7" x14ac:dyDescent="0.25">
      <c r="A507" t="s">
        <v>54</v>
      </c>
      <c r="B507" t="s">
        <v>55</v>
      </c>
      <c r="C507" t="s">
        <v>56</v>
      </c>
      <c r="D507">
        <v>2016167</v>
      </c>
      <c r="E507" t="s">
        <v>53</v>
      </c>
      <c r="F507" t="s">
        <v>49</v>
      </c>
      <c r="G507" s="30">
        <v>903931.06773975899</v>
      </c>
    </row>
    <row r="508" spans="1:7" x14ac:dyDescent="0.25">
      <c r="A508" t="s">
        <v>45</v>
      </c>
      <c r="B508" t="s">
        <v>46</v>
      </c>
      <c r="C508" t="s">
        <v>47</v>
      </c>
      <c r="D508">
        <v>2016420</v>
      </c>
      <c r="E508" t="s">
        <v>53</v>
      </c>
      <c r="F508" t="s">
        <v>49</v>
      </c>
      <c r="G508" s="30">
        <v>501.24211043647</v>
      </c>
    </row>
    <row r="509" spans="1:7" x14ac:dyDescent="0.25">
      <c r="A509" t="s">
        <v>50</v>
      </c>
      <c r="B509" t="s">
        <v>51</v>
      </c>
      <c r="C509" t="s">
        <v>52</v>
      </c>
      <c r="D509">
        <v>2019694</v>
      </c>
      <c r="E509" t="s">
        <v>53</v>
      </c>
      <c r="F509" t="s">
        <v>49</v>
      </c>
      <c r="G509" s="30">
        <v>53864.090647483499</v>
      </c>
    </row>
    <row r="510" spans="1:7" x14ac:dyDescent="0.25">
      <c r="A510" t="s">
        <v>45</v>
      </c>
      <c r="B510" t="s">
        <v>46</v>
      </c>
      <c r="C510" t="s">
        <v>47</v>
      </c>
      <c r="D510">
        <v>2019989</v>
      </c>
      <c r="E510" t="s">
        <v>48</v>
      </c>
      <c r="F510" t="s">
        <v>49</v>
      </c>
      <c r="G510" s="30">
        <v>0</v>
      </c>
    </row>
    <row r="511" spans="1:7" x14ac:dyDescent="0.25">
      <c r="A511" t="s">
        <v>54</v>
      </c>
      <c r="B511" t="s">
        <v>55</v>
      </c>
      <c r="C511" t="s">
        <v>56</v>
      </c>
      <c r="D511">
        <v>2020218</v>
      </c>
      <c r="E511" t="s">
        <v>53</v>
      </c>
      <c r="F511" t="s">
        <v>49</v>
      </c>
      <c r="G511" s="30">
        <v>451637.73034020001</v>
      </c>
    </row>
    <row r="512" spans="1:7" x14ac:dyDescent="0.25">
      <c r="A512" t="s">
        <v>45</v>
      </c>
      <c r="B512" t="s">
        <v>46</v>
      </c>
      <c r="C512" t="s">
        <v>47</v>
      </c>
      <c r="D512">
        <v>2024715</v>
      </c>
      <c r="E512" t="s">
        <v>53</v>
      </c>
      <c r="F512" t="s">
        <v>49</v>
      </c>
      <c r="G512" s="30">
        <v>37025.4140625</v>
      </c>
    </row>
    <row r="513" spans="1:7" x14ac:dyDescent="0.25">
      <c r="A513" t="s">
        <v>45</v>
      </c>
      <c r="B513" t="s">
        <v>46</v>
      </c>
      <c r="C513" t="s">
        <v>47</v>
      </c>
      <c r="D513">
        <v>2025387</v>
      </c>
      <c r="E513" t="s">
        <v>48</v>
      </c>
      <c r="F513" t="s">
        <v>49</v>
      </c>
      <c r="G513" s="30">
        <v>7.0000000000000007E-2</v>
      </c>
    </row>
    <row r="514" spans="1:7" x14ac:dyDescent="0.25">
      <c r="A514" t="s">
        <v>68</v>
      </c>
      <c r="B514" t="s">
        <v>69</v>
      </c>
      <c r="C514" t="s">
        <v>56</v>
      </c>
      <c r="D514">
        <v>2026292</v>
      </c>
      <c r="E514" t="s">
        <v>53</v>
      </c>
      <c r="F514" t="s">
        <v>49</v>
      </c>
      <c r="G514" s="30">
        <v>4906847.3038567901</v>
      </c>
    </row>
    <row r="515" spans="1:7" x14ac:dyDescent="0.25">
      <c r="A515" t="s">
        <v>45</v>
      </c>
      <c r="B515" t="s">
        <v>46</v>
      </c>
      <c r="C515" t="s">
        <v>47</v>
      </c>
      <c r="D515">
        <v>2026891</v>
      </c>
      <c r="E515" t="s">
        <v>48</v>
      </c>
      <c r="F515" t="s">
        <v>49</v>
      </c>
      <c r="G515" s="30">
        <v>0</v>
      </c>
    </row>
    <row r="516" spans="1:7" x14ac:dyDescent="0.25">
      <c r="A516" t="s">
        <v>144</v>
      </c>
      <c r="B516" t="s">
        <v>145</v>
      </c>
      <c r="C516" t="s">
        <v>67</v>
      </c>
      <c r="D516">
        <v>2027879</v>
      </c>
      <c r="E516" t="s">
        <v>53</v>
      </c>
      <c r="F516" t="s">
        <v>49</v>
      </c>
      <c r="G516" s="30">
        <v>1083401.49014365</v>
      </c>
    </row>
    <row r="517" spans="1:7" x14ac:dyDescent="0.25">
      <c r="A517" t="s">
        <v>94</v>
      </c>
      <c r="B517" t="s">
        <v>95</v>
      </c>
      <c r="C517" t="s">
        <v>78</v>
      </c>
      <c r="D517">
        <v>2028460</v>
      </c>
      <c r="E517" t="s">
        <v>53</v>
      </c>
      <c r="F517" t="s">
        <v>49</v>
      </c>
      <c r="G517" s="30">
        <v>173894.08938100201</v>
      </c>
    </row>
    <row r="518" spans="1:7" x14ac:dyDescent="0.25">
      <c r="A518" t="s">
        <v>50</v>
      </c>
      <c r="B518" t="s">
        <v>51</v>
      </c>
      <c r="C518" t="s">
        <v>52</v>
      </c>
      <c r="D518">
        <v>2028528</v>
      </c>
      <c r="E518" t="s">
        <v>48</v>
      </c>
      <c r="F518" t="s">
        <v>49</v>
      </c>
      <c r="G518" s="30">
        <v>0</v>
      </c>
    </row>
    <row r="519" spans="1:7" x14ac:dyDescent="0.25">
      <c r="A519" t="s">
        <v>82</v>
      </c>
      <c r="B519" t="s">
        <v>83</v>
      </c>
      <c r="C519" t="s">
        <v>56</v>
      </c>
      <c r="D519">
        <v>2028845</v>
      </c>
      <c r="E519" t="s">
        <v>53</v>
      </c>
      <c r="F519" t="s">
        <v>49</v>
      </c>
      <c r="G519" s="30">
        <v>410351.84291250602</v>
      </c>
    </row>
    <row r="520" spans="1:7" x14ac:dyDescent="0.25">
      <c r="A520" t="s">
        <v>50</v>
      </c>
      <c r="B520" t="s">
        <v>51</v>
      </c>
      <c r="C520" t="s">
        <v>52</v>
      </c>
      <c r="D520">
        <v>2029511</v>
      </c>
      <c r="E520" t="s">
        <v>53</v>
      </c>
      <c r="F520" t="s">
        <v>49</v>
      </c>
      <c r="G520" s="30">
        <v>41599.5103177782</v>
      </c>
    </row>
    <row r="521" spans="1:7" x14ac:dyDescent="0.25">
      <c r="A521" t="s">
        <v>54</v>
      </c>
      <c r="B521" t="s">
        <v>55</v>
      </c>
      <c r="C521" t="s">
        <v>56</v>
      </c>
      <c r="D521">
        <v>2031326</v>
      </c>
      <c r="E521" t="s">
        <v>53</v>
      </c>
      <c r="F521" t="s">
        <v>49</v>
      </c>
      <c r="G521" s="30">
        <v>122169.671850371</v>
      </c>
    </row>
    <row r="522" spans="1:7" x14ac:dyDescent="0.25">
      <c r="A522" t="s">
        <v>45</v>
      </c>
      <c r="B522" t="s">
        <v>46</v>
      </c>
      <c r="C522" t="s">
        <v>47</v>
      </c>
      <c r="D522">
        <v>2034076</v>
      </c>
      <c r="E522" t="s">
        <v>48</v>
      </c>
      <c r="F522" t="s">
        <v>49</v>
      </c>
      <c r="G522" s="30">
        <v>0</v>
      </c>
    </row>
    <row r="523" spans="1:7" x14ac:dyDescent="0.25">
      <c r="A523" t="s">
        <v>65</v>
      </c>
      <c r="B523" t="s">
        <v>66</v>
      </c>
      <c r="C523" t="s">
        <v>67</v>
      </c>
      <c r="D523">
        <v>2035534</v>
      </c>
      <c r="E523" t="s">
        <v>53</v>
      </c>
      <c r="F523" t="s">
        <v>49</v>
      </c>
      <c r="G523" s="30">
        <v>3125795.6543327402</v>
      </c>
    </row>
    <row r="524" spans="1:7" x14ac:dyDescent="0.25">
      <c r="A524" t="s">
        <v>88</v>
      </c>
      <c r="B524" t="s">
        <v>89</v>
      </c>
      <c r="C524" t="s">
        <v>78</v>
      </c>
      <c r="D524">
        <v>2035823</v>
      </c>
      <c r="E524" t="s">
        <v>53</v>
      </c>
      <c r="F524" t="s">
        <v>49</v>
      </c>
      <c r="G524" s="30">
        <v>221085.290753109</v>
      </c>
    </row>
    <row r="525" spans="1:7" x14ac:dyDescent="0.25">
      <c r="A525" t="s">
        <v>45</v>
      </c>
      <c r="B525" t="s">
        <v>46</v>
      </c>
      <c r="C525" t="s">
        <v>47</v>
      </c>
      <c r="D525">
        <v>2036467</v>
      </c>
      <c r="E525" t="s">
        <v>48</v>
      </c>
      <c r="F525" t="s">
        <v>49</v>
      </c>
      <c r="G525" s="30">
        <v>0</v>
      </c>
    </row>
    <row r="526" spans="1:7" x14ac:dyDescent="0.25">
      <c r="A526" t="s">
        <v>45</v>
      </c>
      <c r="B526" t="s">
        <v>46</v>
      </c>
      <c r="C526" t="s">
        <v>47</v>
      </c>
      <c r="D526">
        <v>2036695</v>
      </c>
      <c r="E526" t="s">
        <v>48</v>
      </c>
      <c r="F526" t="s">
        <v>49</v>
      </c>
      <c r="G526" s="30">
        <v>0</v>
      </c>
    </row>
    <row r="527" spans="1:7" x14ac:dyDescent="0.25">
      <c r="A527" t="s">
        <v>84</v>
      </c>
      <c r="B527" t="s">
        <v>85</v>
      </c>
      <c r="C527" t="s">
        <v>67</v>
      </c>
      <c r="D527">
        <v>2042526</v>
      </c>
      <c r="E527" t="s">
        <v>53</v>
      </c>
      <c r="F527" t="s">
        <v>49</v>
      </c>
      <c r="G527" s="30">
        <v>905416.848496094</v>
      </c>
    </row>
    <row r="528" spans="1:7" x14ac:dyDescent="0.25">
      <c r="A528" t="s">
        <v>92</v>
      </c>
      <c r="B528" t="s">
        <v>93</v>
      </c>
      <c r="C528" t="s">
        <v>81</v>
      </c>
      <c r="D528">
        <v>2043319</v>
      </c>
      <c r="E528" t="s">
        <v>48</v>
      </c>
      <c r="F528" t="s">
        <v>49</v>
      </c>
      <c r="G528" s="30">
        <v>0</v>
      </c>
    </row>
    <row r="529" spans="1:7" x14ac:dyDescent="0.25">
      <c r="A529" t="s">
        <v>68</v>
      </c>
      <c r="B529" t="s">
        <v>69</v>
      </c>
      <c r="C529" t="s">
        <v>56</v>
      </c>
      <c r="D529">
        <v>2047107</v>
      </c>
      <c r="E529" t="s">
        <v>53</v>
      </c>
      <c r="F529" t="s">
        <v>49</v>
      </c>
      <c r="G529" s="30">
        <v>525482.37744719698</v>
      </c>
    </row>
    <row r="530" spans="1:7" x14ac:dyDescent="0.25">
      <c r="A530" t="s">
        <v>50</v>
      </c>
      <c r="B530" t="s">
        <v>51</v>
      </c>
      <c r="C530" t="s">
        <v>52</v>
      </c>
      <c r="D530">
        <v>2047432</v>
      </c>
      <c r="E530" t="s">
        <v>53</v>
      </c>
      <c r="F530" t="s">
        <v>49</v>
      </c>
      <c r="G530" s="30">
        <v>13134.82</v>
      </c>
    </row>
    <row r="531" spans="1:7" x14ac:dyDescent="0.25">
      <c r="A531" t="s">
        <v>45</v>
      </c>
      <c r="B531" t="s">
        <v>46</v>
      </c>
      <c r="C531" t="s">
        <v>47</v>
      </c>
      <c r="D531">
        <v>2047770</v>
      </c>
      <c r="E531" t="s">
        <v>53</v>
      </c>
      <c r="F531" t="s">
        <v>49</v>
      </c>
      <c r="G531" s="30">
        <v>48639.79</v>
      </c>
    </row>
    <row r="532" spans="1:7" x14ac:dyDescent="0.25">
      <c r="A532" t="s">
        <v>50</v>
      </c>
      <c r="B532" t="s">
        <v>51</v>
      </c>
      <c r="C532" t="s">
        <v>52</v>
      </c>
      <c r="D532">
        <v>2048349</v>
      </c>
      <c r="E532" t="s">
        <v>53</v>
      </c>
      <c r="F532" t="s">
        <v>49</v>
      </c>
      <c r="G532" s="30">
        <v>51378.827777771497</v>
      </c>
    </row>
    <row r="533" spans="1:7" x14ac:dyDescent="0.25">
      <c r="A533" t="s">
        <v>92</v>
      </c>
      <c r="B533" t="s">
        <v>93</v>
      </c>
      <c r="C533" t="s">
        <v>81</v>
      </c>
      <c r="D533">
        <v>2050421</v>
      </c>
      <c r="E533" t="s">
        <v>53</v>
      </c>
      <c r="F533" t="s">
        <v>49</v>
      </c>
      <c r="G533" s="30">
        <v>16368.7</v>
      </c>
    </row>
    <row r="534" spans="1:7" x14ac:dyDescent="0.25">
      <c r="A534" t="s">
        <v>50</v>
      </c>
      <c r="B534" t="s">
        <v>51</v>
      </c>
      <c r="C534" t="s">
        <v>52</v>
      </c>
      <c r="D534">
        <v>2051213</v>
      </c>
      <c r="E534" t="s">
        <v>53</v>
      </c>
      <c r="F534" t="s">
        <v>49</v>
      </c>
      <c r="G534" s="30">
        <v>479.11</v>
      </c>
    </row>
    <row r="535" spans="1:7" x14ac:dyDescent="0.25">
      <c r="A535" t="s">
        <v>45</v>
      </c>
      <c r="B535" t="s">
        <v>46</v>
      </c>
      <c r="C535" t="s">
        <v>47</v>
      </c>
      <c r="D535">
        <v>2051246</v>
      </c>
      <c r="E535" t="s">
        <v>48</v>
      </c>
      <c r="F535" t="s">
        <v>49</v>
      </c>
      <c r="G535" s="30">
        <v>0</v>
      </c>
    </row>
    <row r="536" spans="1:7" x14ac:dyDescent="0.25">
      <c r="A536" t="s">
        <v>61</v>
      </c>
      <c r="B536" t="s">
        <v>62</v>
      </c>
      <c r="C536" t="s">
        <v>56</v>
      </c>
      <c r="D536">
        <v>2051539</v>
      </c>
      <c r="E536" t="s">
        <v>53</v>
      </c>
      <c r="F536" t="s">
        <v>49</v>
      </c>
      <c r="G536" s="30">
        <v>226513.238003098</v>
      </c>
    </row>
    <row r="537" spans="1:7" x14ac:dyDescent="0.25">
      <c r="A537" t="s">
        <v>128</v>
      </c>
      <c r="B537" t="s">
        <v>129</v>
      </c>
      <c r="C537" t="s">
        <v>130</v>
      </c>
      <c r="D537">
        <v>2052232</v>
      </c>
      <c r="E537" t="s">
        <v>53</v>
      </c>
      <c r="F537" t="s">
        <v>49</v>
      </c>
      <c r="G537" s="30">
        <v>1705199.80542168</v>
      </c>
    </row>
    <row r="538" spans="1:7" x14ac:dyDescent="0.25">
      <c r="A538" t="s">
        <v>45</v>
      </c>
      <c r="B538" t="s">
        <v>46</v>
      </c>
      <c r="C538" t="s">
        <v>47</v>
      </c>
      <c r="D538">
        <v>2052969</v>
      </c>
      <c r="E538" t="s">
        <v>48</v>
      </c>
      <c r="F538" t="s">
        <v>49</v>
      </c>
      <c r="G538" s="30">
        <v>0</v>
      </c>
    </row>
    <row r="539" spans="1:7" x14ac:dyDescent="0.25">
      <c r="A539" t="s">
        <v>116</v>
      </c>
      <c r="B539" t="s">
        <v>117</v>
      </c>
      <c r="C539" t="s">
        <v>47</v>
      </c>
      <c r="D539">
        <v>2056651</v>
      </c>
      <c r="E539" t="s">
        <v>53</v>
      </c>
      <c r="F539" t="s">
        <v>49</v>
      </c>
      <c r="G539" s="30">
        <v>150721.62416357399</v>
      </c>
    </row>
    <row r="540" spans="1:7" x14ac:dyDescent="0.25">
      <c r="A540" t="s">
        <v>65</v>
      </c>
      <c r="B540" t="s">
        <v>66</v>
      </c>
      <c r="C540" t="s">
        <v>67</v>
      </c>
      <c r="D540">
        <v>2057216</v>
      </c>
      <c r="E540" t="s">
        <v>53</v>
      </c>
      <c r="F540" t="s">
        <v>49</v>
      </c>
      <c r="G540" s="30">
        <v>1196433.48579845</v>
      </c>
    </row>
    <row r="541" spans="1:7" x14ac:dyDescent="0.25">
      <c r="A541" t="s">
        <v>45</v>
      </c>
      <c r="B541" t="s">
        <v>46</v>
      </c>
      <c r="C541" t="s">
        <v>47</v>
      </c>
      <c r="D541">
        <v>2057376</v>
      </c>
      <c r="E541" t="s">
        <v>48</v>
      </c>
      <c r="F541" t="s">
        <v>49</v>
      </c>
      <c r="G541" s="30">
        <v>0</v>
      </c>
    </row>
    <row r="542" spans="1:7" x14ac:dyDescent="0.25">
      <c r="A542" t="s">
        <v>65</v>
      </c>
      <c r="B542" t="s">
        <v>66</v>
      </c>
      <c r="C542" t="s">
        <v>67</v>
      </c>
      <c r="D542">
        <v>2057626</v>
      </c>
      <c r="E542" t="s">
        <v>53</v>
      </c>
      <c r="F542" t="s">
        <v>49</v>
      </c>
      <c r="G542" s="30">
        <v>1610671.8548860301</v>
      </c>
    </row>
    <row r="543" spans="1:7" x14ac:dyDescent="0.25">
      <c r="A543" t="s">
        <v>45</v>
      </c>
      <c r="B543" t="s">
        <v>46</v>
      </c>
      <c r="C543" t="s">
        <v>47</v>
      </c>
      <c r="D543">
        <v>2058127</v>
      </c>
      <c r="E543" t="s">
        <v>48</v>
      </c>
      <c r="F543" t="s">
        <v>49</v>
      </c>
      <c r="G543" s="30">
        <v>0</v>
      </c>
    </row>
    <row r="544" spans="1:7" x14ac:dyDescent="0.25">
      <c r="A544" t="s">
        <v>63</v>
      </c>
      <c r="B544" t="s">
        <v>64</v>
      </c>
      <c r="C544" t="s">
        <v>56</v>
      </c>
      <c r="D544">
        <v>2059109</v>
      </c>
      <c r="E544" t="s">
        <v>53</v>
      </c>
      <c r="F544" t="s">
        <v>49</v>
      </c>
      <c r="G544" s="30">
        <v>661685.15968749998</v>
      </c>
    </row>
    <row r="545" spans="1:7" x14ac:dyDescent="0.25">
      <c r="A545" t="s">
        <v>45</v>
      </c>
      <c r="B545" t="s">
        <v>46</v>
      </c>
      <c r="C545" t="s">
        <v>47</v>
      </c>
      <c r="D545">
        <v>2061041</v>
      </c>
      <c r="E545" t="s">
        <v>53</v>
      </c>
      <c r="F545" t="s">
        <v>49</v>
      </c>
      <c r="G545" s="30">
        <v>145504.21</v>
      </c>
    </row>
    <row r="546" spans="1:7" x14ac:dyDescent="0.25">
      <c r="A546" t="s">
        <v>54</v>
      </c>
      <c r="B546" t="s">
        <v>55</v>
      </c>
      <c r="C546" t="s">
        <v>56</v>
      </c>
      <c r="D546">
        <v>2065011</v>
      </c>
      <c r="E546" t="s">
        <v>53</v>
      </c>
      <c r="F546" t="s">
        <v>49</v>
      </c>
      <c r="G546" s="30">
        <v>497689.90125138202</v>
      </c>
    </row>
    <row r="547" spans="1:7" x14ac:dyDescent="0.25">
      <c r="A547" t="s">
        <v>70</v>
      </c>
      <c r="B547" t="s">
        <v>71</v>
      </c>
      <c r="C547" t="s">
        <v>47</v>
      </c>
      <c r="D547">
        <v>2065356</v>
      </c>
      <c r="E547" t="s">
        <v>53</v>
      </c>
      <c r="F547" t="s">
        <v>49</v>
      </c>
      <c r="G547" s="30">
        <v>565782.33445735497</v>
      </c>
    </row>
    <row r="548" spans="1:7" x14ac:dyDescent="0.25">
      <c r="A548" t="s">
        <v>45</v>
      </c>
      <c r="B548" t="s">
        <v>46</v>
      </c>
      <c r="C548" t="s">
        <v>47</v>
      </c>
      <c r="D548">
        <v>2068076</v>
      </c>
      <c r="E548" t="s">
        <v>48</v>
      </c>
      <c r="F548" t="s">
        <v>49</v>
      </c>
      <c r="G548" s="30">
        <v>0</v>
      </c>
    </row>
    <row r="549" spans="1:7" x14ac:dyDescent="0.25">
      <c r="A549" t="s">
        <v>144</v>
      </c>
      <c r="B549" t="s">
        <v>145</v>
      </c>
      <c r="C549" t="s">
        <v>67</v>
      </c>
      <c r="D549">
        <v>2068520</v>
      </c>
      <c r="E549" t="s">
        <v>53</v>
      </c>
      <c r="F549" t="s">
        <v>49</v>
      </c>
      <c r="G549" s="30">
        <v>1152276.92159128</v>
      </c>
    </row>
    <row r="550" spans="1:7" x14ac:dyDescent="0.25">
      <c r="A550" t="s">
        <v>50</v>
      </c>
      <c r="B550" t="s">
        <v>51</v>
      </c>
      <c r="C550" t="s">
        <v>52</v>
      </c>
      <c r="D550">
        <v>2069598</v>
      </c>
      <c r="E550" t="s">
        <v>53</v>
      </c>
      <c r="F550" t="s">
        <v>49</v>
      </c>
      <c r="G550" s="30">
        <v>38573.989560087699</v>
      </c>
    </row>
    <row r="551" spans="1:7" x14ac:dyDescent="0.25">
      <c r="A551" t="s">
        <v>76</v>
      </c>
      <c r="B551" t="s">
        <v>77</v>
      </c>
      <c r="C551" t="s">
        <v>78</v>
      </c>
      <c r="D551">
        <v>2071288</v>
      </c>
      <c r="E551" t="s">
        <v>53</v>
      </c>
      <c r="F551" t="s">
        <v>49</v>
      </c>
      <c r="G551" s="30">
        <v>74637.610063590299</v>
      </c>
    </row>
    <row r="552" spans="1:7" x14ac:dyDescent="0.25">
      <c r="A552" t="s">
        <v>63</v>
      </c>
      <c r="B552" t="s">
        <v>64</v>
      </c>
      <c r="C552" t="s">
        <v>56</v>
      </c>
      <c r="D552">
        <v>2073772</v>
      </c>
      <c r="E552" t="s">
        <v>53</v>
      </c>
      <c r="F552" t="s">
        <v>49</v>
      </c>
      <c r="G552" s="30">
        <v>530367.25226604799</v>
      </c>
    </row>
    <row r="553" spans="1:7" x14ac:dyDescent="0.25">
      <c r="A553" t="s">
        <v>116</v>
      </c>
      <c r="B553" t="s">
        <v>117</v>
      </c>
      <c r="C553" t="s">
        <v>47</v>
      </c>
      <c r="D553">
        <v>2074549</v>
      </c>
      <c r="E553" t="s">
        <v>53</v>
      </c>
      <c r="F553" t="s">
        <v>49</v>
      </c>
      <c r="G553" s="30">
        <v>2699946.3129743901</v>
      </c>
    </row>
    <row r="554" spans="1:7" x14ac:dyDescent="0.25">
      <c r="A554" t="s">
        <v>50</v>
      </c>
      <c r="B554" t="s">
        <v>51</v>
      </c>
      <c r="C554" t="s">
        <v>52</v>
      </c>
      <c r="D554">
        <v>2074954</v>
      </c>
      <c r="E554" t="s">
        <v>53</v>
      </c>
      <c r="F554" t="s">
        <v>49</v>
      </c>
      <c r="G554" s="30">
        <v>56594.119685173297</v>
      </c>
    </row>
    <row r="555" spans="1:7" x14ac:dyDescent="0.25">
      <c r="A555" t="s">
        <v>122</v>
      </c>
      <c r="B555" t="s">
        <v>123</v>
      </c>
      <c r="C555" t="s">
        <v>52</v>
      </c>
      <c r="D555">
        <v>2075056</v>
      </c>
      <c r="E555" t="s">
        <v>53</v>
      </c>
      <c r="F555" t="s">
        <v>49</v>
      </c>
      <c r="G555" s="30">
        <v>3149668.4785710499</v>
      </c>
    </row>
    <row r="556" spans="1:7" x14ac:dyDescent="0.25">
      <c r="A556" t="s">
        <v>65</v>
      </c>
      <c r="B556" t="s">
        <v>66</v>
      </c>
      <c r="C556" t="s">
        <v>67</v>
      </c>
      <c r="D556">
        <v>2077326</v>
      </c>
      <c r="E556" t="s">
        <v>53</v>
      </c>
      <c r="F556" t="s">
        <v>49</v>
      </c>
      <c r="G556" s="30">
        <v>1075549.56775904</v>
      </c>
    </row>
    <row r="557" spans="1:7" x14ac:dyDescent="0.25">
      <c r="A557" t="s">
        <v>116</v>
      </c>
      <c r="B557" t="s">
        <v>117</v>
      </c>
      <c r="C557" t="s">
        <v>47</v>
      </c>
      <c r="D557">
        <v>2077467</v>
      </c>
      <c r="E557" t="s">
        <v>53</v>
      </c>
      <c r="F557" t="s">
        <v>49</v>
      </c>
      <c r="G557" s="30">
        <v>1199481.6267643401</v>
      </c>
    </row>
    <row r="558" spans="1:7" x14ac:dyDescent="0.25">
      <c r="A558" t="s">
        <v>50</v>
      </c>
      <c r="B558" t="s">
        <v>51</v>
      </c>
      <c r="C558" t="s">
        <v>52</v>
      </c>
      <c r="D558">
        <v>2077559</v>
      </c>
      <c r="E558" t="s">
        <v>53</v>
      </c>
      <c r="F558" t="s">
        <v>49</v>
      </c>
      <c r="G558" s="30">
        <v>27182.8167946785</v>
      </c>
    </row>
    <row r="559" spans="1:7" x14ac:dyDescent="0.25">
      <c r="A559" t="s">
        <v>92</v>
      </c>
      <c r="B559" t="s">
        <v>93</v>
      </c>
      <c r="C559" t="s">
        <v>81</v>
      </c>
      <c r="D559">
        <v>2077988</v>
      </c>
      <c r="E559" t="s">
        <v>53</v>
      </c>
      <c r="F559" t="s">
        <v>49</v>
      </c>
      <c r="G559" s="30">
        <v>16863.438792782101</v>
      </c>
    </row>
    <row r="560" spans="1:7" x14ac:dyDescent="0.25">
      <c r="A560" t="s">
        <v>92</v>
      </c>
      <c r="B560" t="s">
        <v>93</v>
      </c>
      <c r="C560" t="s">
        <v>81</v>
      </c>
      <c r="D560">
        <v>2077991</v>
      </c>
      <c r="E560" t="s">
        <v>53</v>
      </c>
      <c r="F560" t="s">
        <v>49</v>
      </c>
      <c r="G560" s="30">
        <v>17044.920619422901</v>
      </c>
    </row>
    <row r="561" spans="1:7" x14ac:dyDescent="0.25">
      <c r="A561" t="s">
        <v>54</v>
      </c>
      <c r="B561" t="s">
        <v>55</v>
      </c>
      <c r="C561" t="s">
        <v>56</v>
      </c>
      <c r="D561">
        <v>2078839</v>
      </c>
      <c r="E561" t="s">
        <v>53</v>
      </c>
      <c r="F561" t="s">
        <v>49</v>
      </c>
      <c r="G561" s="30">
        <v>39799.153342479898</v>
      </c>
    </row>
    <row r="562" spans="1:7" x14ac:dyDescent="0.25">
      <c r="A562" t="s">
        <v>65</v>
      </c>
      <c r="B562" t="s">
        <v>66</v>
      </c>
      <c r="C562" t="s">
        <v>67</v>
      </c>
      <c r="D562">
        <v>2079644</v>
      </c>
      <c r="E562" t="s">
        <v>53</v>
      </c>
      <c r="F562" t="s">
        <v>49</v>
      </c>
      <c r="G562" s="30">
        <v>3052950.69859839</v>
      </c>
    </row>
    <row r="563" spans="1:7" x14ac:dyDescent="0.25">
      <c r="A563" t="s">
        <v>50</v>
      </c>
      <c r="B563" t="s">
        <v>51</v>
      </c>
      <c r="C563" t="s">
        <v>52</v>
      </c>
      <c r="D563">
        <v>2082877</v>
      </c>
      <c r="E563" t="s">
        <v>53</v>
      </c>
      <c r="F563" t="s">
        <v>49</v>
      </c>
      <c r="G563" s="30">
        <v>36154.959999999999</v>
      </c>
    </row>
    <row r="564" spans="1:7" x14ac:dyDescent="0.25">
      <c r="A564" t="s">
        <v>114</v>
      </c>
      <c r="B564" t="s">
        <v>115</v>
      </c>
      <c r="C564" t="s">
        <v>56</v>
      </c>
      <c r="D564">
        <v>2083144</v>
      </c>
      <c r="E564" t="s">
        <v>53</v>
      </c>
      <c r="F564" t="s">
        <v>49</v>
      </c>
      <c r="G564" s="30">
        <v>191223.195032282</v>
      </c>
    </row>
    <row r="565" spans="1:7" x14ac:dyDescent="0.25">
      <c r="A565" t="s">
        <v>86</v>
      </c>
      <c r="B565" t="s">
        <v>87</v>
      </c>
      <c r="C565" t="s">
        <v>78</v>
      </c>
      <c r="D565">
        <v>2083952</v>
      </c>
      <c r="E565" t="s">
        <v>53</v>
      </c>
      <c r="F565" t="s">
        <v>49</v>
      </c>
      <c r="G565" s="30">
        <v>54172.353816296498</v>
      </c>
    </row>
    <row r="566" spans="1:7" x14ac:dyDescent="0.25">
      <c r="A566" t="s">
        <v>86</v>
      </c>
      <c r="B566" t="s">
        <v>87</v>
      </c>
      <c r="C566" t="s">
        <v>78</v>
      </c>
      <c r="D566">
        <v>2084498</v>
      </c>
      <c r="E566" t="s">
        <v>53</v>
      </c>
      <c r="F566" t="s">
        <v>49</v>
      </c>
      <c r="G566" s="30">
        <v>1576060.75678009</v>
      </c>
    </row>
    <row r="567" spans="1:7" x14ac:dyDescent="0.25">
      <c r="A567" t="s">
        <v>45</v>
      </c>
      <c r="B567" t="s">
        <v>46</v>
      </c>
      <c r="C567" t="s">
        <v>47</v>
      </c>
      <c r="D567">
        <v>2084606</v>
      </c>
      <c r="E567" t="s">
        <v>48</v>
      </c>
      <c r="F567" t="s">
        <v>49</v>
      </c>
      <c r="G567" s="30">
        <v>25.81</v>
      </c>
    </row>
    <row r="568" spans="1:7" x14ac:dyDescent="0.25">
      <c r="A568" t="s">
        <v>45</v>
      </c>
      <c r="B568" t="s">
        <v>46</v>
      </c>
      <c r="C568" t="s">
        <v>47</v>
      </c>
      <c r="D568">
        <v>2084678</v>
      </c>
      <c r="E568" t="s">
        <v>48</v>
      </c>
      <c r="F568" t="s">
        <v>49</v>
      </c>
      <c r="G568" s="30">
        <v>0</v>
      </c>
    </row>
    <row r="569" spans="1:7" x14ac:dyDescent="0.25">
      <c r="A569" t="s">
        <v>45</v>
      </c>
      <c r="B569" t="s">
        <v>46</v>
      </c>
      <c r="C569" t="s">
        <v>47</v>
      </c>
      <c r="D569">
        <v>2087784</v>
      </c>
      <c r="E569" t="s">
        <v>53</v>
      </c>
      <c r="F569" t="s">
        <v>49</v>
      </c>
      <c r="G569" s="30">
        <v>231296.78930803001</v>
      </c>
    </row>
    <row r="570" spans="1:7" x14ac:dyDescent="0.25">
      <c r="A570" t="s">
        <v>86</v>
      </c>
      <c r="B570" t="s">
        <v>87</v>
      </c>
      <c r="C570" t="s">
        <v>78</v>
      </c>
      <c r="D570">
        <v>2090834</v>
      </c>
      <c r="E570" t="s">
        <v>53</v>
      </c>
      <c r="F570" t="s">
        <v>49</v>
      </c>
      <c r="G570" s="30">
        <v>423660.86926366203</v>
      </c>
    </row>
    <row r="571" spans="1:7" x14ac:dyDescent="0.25">
      <c r="A571" t="s">
        <v>45</v>
      </c>
      <c r="B571" t="s">
        <v>46</v>
      </c>
      <c r="C571" t="s">
        <v>47</v>
      </c>
      <c r="D571">
        <v>2092291</v>
      </c>
      <c r="E571" t="s">
        <v>48</v>
      </c>
      <c r="F571" t="s">
        <v>49</v>
      </c>
      <c r="G571" s="30">
        <v>0</v>
      </c>
    </row>
    <row r="572" spans="1:7" x14ac:dyDescent="0.25">
      <c r="A572" t="s">
        <v>82</v>
      </c>
      <c r="B572" t="s">
        <v>83</v>
      </c>
      <c r="C572" t="s">
        <v>56</v>
      </c>
      <c r="D572">
        <v>2094607</v>
      </c>
      <c r="E572" t="s">
        <v>53</v>
      </c>
      <c r="F572" t="s">
        <v>49</v>
      </c>
      <c r="G572" s="30">
        <v>144.91</v>
      </c>
    </row>
    <row r="573" spans="1:7" x14ac:dyDescent="0.25">
      <c r="A573" t="s">
        <v>50</v>
      </c>
      <c r="B573" t="s">
        <v>51</v>
      </c>
      <c r="C573" t="s">
        <v>52</v>
      </c>
      <c r="D573">
        <v>2095494</v>
      </c>
      <c r="E573" t="s">
        <v>48</v>
      </c>
      <c r="F573" t="s">
        <v>49</v>
      </c>
      <c r="G573" s="30">
        <v>0</v>
      </c>
    </row>
    <row r="574" spans="1:7" x14ac:dyDescent="0.25">
      <c r="A574" t="s">
        <v>100</v>
      </c>
      <c r="B574" t="s">
        <v>101</v>
      </c>
      <c r="C574" t="s">
        <v>52</v>
      </c>
      <c r="D574">
        <v>2098371</v>
      </c>
      <c r="E574" t="s">
        <v>53</v>
      </c>
      <c r="F574" t="s">
        <v>49</v>
      </c>
      <c r="G574" s="30">
        <v>1121135.7610742201</v>
      </c>
    </row>
    <row r="575" spans="1:7" x14ac:dyDescent="0.25">
      <c r="A575" t="s">
        <v>65</v>
      </c>
      <c r="B575" t="s">
        <v>66</v>
      </c>
      <c r="C575" t="s">
        <v>67</v>
      </c>
      <c r="D575">
        <v>2100281</v>
      </c>
      <c r="E575" t="s">
        <v>53</v>
      </c>
      <c r="F575" t="s">
        <v>49</v>
      </c>
      <c r="G575" s="30">
        <v>807058.48458186805</v>
      </c>
    </row>
    <row r="576" spans="1:7" x14ac:dyDescent="0.25">
      <c r="A576" t="s">
        <v>45</v>
      </c>
      <c r="B576" t="s">
        <v>46</v>
      </c>
      <c r="C576" t="s">
        <v>47</v>
      </c>
      <c r="D576">
        <v>2101568</v>
      </c>
      <c r="E576" t="s">
        <v>48</v>
      </c>
      <c r="F576" t="s">
        <v>49</v>
      </c>
      <c r="G576" s="30">
        <v>0</v>
      </c>
    </row>
    <row r="577" spans="1:7" x14ac:dyDescent="0.25">
      <c r="A577" t="s">
        <v>61</v>
      </c>
      <c r="B577" t="s">
        <v>62</v>
      </c>
      <c r="C577" t="s">
        <v>56</v>
      </c>
      <c r="D577">
        <v>2102973</v>
      </c>
      <c r="E577" t="s">
        <v>53</v>
      </c>
      <c r="F577" t="s">
        <v>49</v>
      </c>
      <c r="G577" s="30">
        <v>72614.297261500105</v>
      </c>
    </row>
    <row r="578" spans="1:7" x14ac:dyDescent="0.25">
      <c r="A578" t="s">
        <v>72</v>
      </c>
      <c r="B578" t="s">
        <v>73</v>
      </c>
      <c r="C578" t="s">
        <v>67</v>
      </c>
      <c r="D578">
        <v>2103231</v>
      </c>
      <c r="E578" t="s">
        <v>53</v>
      </c>
      <c r="F578" t="s">
        <v>49</v>
      </c>
      <c r="G578" s="30">
        <v>147628.60315189199</v>
      </c>
    </row>
    <row r="579" spans="1:7" x14ac:dyDescent="0.25">
      <c r="A579" t="s">
        <v>94</v>
      </c>
      <c r="B579" t="s">
        <v>95</v>
      </c>
      <c r="C579" t="s">
        <v>78</v>
      </c>
      <c r="D579">
        <v>2103882</v>
      </c>
      <c r="E579" t="s">
        <v>53</v>
      </c>
      <c r="F579" t="s">
        <v>49</v>
      </c>
      <c r="G579" s="30">
        <v>576070.74580121401</v>
      </c>
    </row>
    <row r="580" spans="1:7" x14ac:dyDescent="0.25">
      <c r="A580" t="s">
        <v>63</v>
      </c>
      <c r="B580" t="s">
        <v>64</v>
      </c>
      <c r="C580" t="s">
        <v>56</v>
      </c>
      <c r="D580">
        <v>2104288</v>
      </c>
      <c r="E580" t="s">
        <v>53</v>
      </c>
      <c r="F580" t="s">
        <v>49</v>
      </c>
      <c r="G580" s="30">
        <v>114471.671080379</v>
      </c>
    </row>
    <row r="581" spans="1:7" x14ac:dyDescent="0.25">
      <c r="A581" t="s">
        <v>45</v>
      </c>
      <c r="B581" t="s">
        <v>46</v>
      </c>
      <c r="C581" t="s">
        <v>47</v>
      </c>
      <c r="D581">
        <v>2105540</v>
      </c>
      <c r="E581" t="s">
        <v>48</v>
      </c>
      <c r="F581" t="s">
        <v>49</v>
      </c>
      <c r="G581" s="30">
        <v>15.81</v>
      </c>
    </row>
    <row r="582" spans="1:7" x14ac:dyDescent="0.25">
      <c r="A582" t="s">
        <v>63</v>
      </c>
      <c r="B582" t="s">
        <v>64</v>
      </c>
      <c r="C582" t="s">
        <v>56</v>
      </c>
      <c r="D582">
        <v>2105766</v>
      </c>
      <c r="E582" t="s">
        <v>53</v>
      </c>
      <c r="F582" t="s">
        <v>49</v>
      </c>
      <c r="G582" s="30">
        <v>133408.693254254</v>
      </c>
    </row>
    <row r="583" spans="1:7" x14ac:dyDescent="0.25">
      <c r="A583" t="s">
        <v>50</v>
      </c>
      <c r="B583" t="s">
        <v>51</v>
      </c>
      <c r="C583" t="s">
        <v>52</v>
      </c>
      <c r="D583">
        <v>2108427</v>
      </c>
      <c r="E583" t="s">
        <v>53</v>
      </c>
      <c r="F583" t="s">
        <v>49</v>
      </c>
      <c r="G583" s="30">
        <v>693.638645798158</v>
      </c>
    </row>
    <row r="584" spans="1:7" x14ac:dyDescent="0.25">
      <c r="A584" t="s">
        <v>61</v>
      </c>
      <c r="B584" t="s">
        <v>62</v>
      </c>
      <c r="C584" t="s">
        <v>56</v>
      </c>
      <c r="D584">
        <v>2108763</v>
      </c>
      <c r="E584" t="s">
        <v>53</v>
      </c>
      <c r="F584" t="s">
        <v>49</v>
      </c>
      <c r="G584" s="30">
        <v>334056.59388139099</v>
      </c>
    </row>
    <row r="585" spans="1:7" x14ac:dyDescent="0.25">
      <c r="A585" t="s">
        <v>45</v>
      </c>
      <c r="B585" t="s">
        <v>46</v>
      </c>
      <c r="C585" t="s">
        <v>47</v>
      </c>
      <c r="D585">
        <v>2111202</v>
      </c>
      <c r="E585" t="s">
        <v>48</v>
      </c>
      <c r="F585" t="s">
        <v>49</v>
      </c>
      <c r="G585" s="30">
        <v>0</v>
      </c>
    </row>
    <row r="586" spans="1:7" x14ac:dyDescent="0.25">
      <c r="A586" t="s">
        <v>45</v>
      </c>
      <c r="B586" t="s">
        <v>46</v>
      </c>
      <c r="C586" t="s">
        <v>47</v>
      </c>
      <c r="D586">
        <v>2114199</v>
      </c>
      <c r="E586" t="s">
        <v>48</v>
      </c>
      <c r="F586" t="s">
        <v>49</v>
      </c>
      <c r="G586" s="30">
        <v>0</v>
      </c>
    </row>
    <row r="587" spans="1:7" x14ac:dyDescent="0.25">
      <c r="A587" t="s">
        <v>50</v>
      </c>
      <c r="B587" t="s">
        <v>51</v>
      </c>
      <c r="C587" t="s">
        <v>52</v>
      </c>
      <c r="D587">
        <v>2114354</v>
      </c>
      <c r="E587" t="s">
        <v>53</v>
      </c>
      <c r="F587" t="s">
        <v>49</v>
      </c>
      <c r="G587" s="30">
        <v>12656.116847142401</v>
      </c>
    </row>
    <row r="588" spans="1:7" x14ac:dyDescent="0.25">
      <c r="A588" t="s">
        <v>116</v>
      </c>
      <c r="B588" t="s">
        <v>117</v>
      </c>
      <c r="C588" t="s">
        <v>47</v>
      </c>
      <c r="D588">
        <v>2115918</v>
      </c>
      <c r="E588" t="s">
        <v>53</v>
      </c>
      <c r="F588" t="s">
        <v>49</v>
      </c>
      <c r="G588" s="30">
        <v>167206.85531904001</v>
      </c>
    </row>
    <row r="589" spans="1:7" x14ac:dyDescent="0.25">
      <c r="A589" t="s">
        <v>68</v>
      </c>
      <c r="B589" t="s">
        <v>69</v>
      </c>
      <c r="C589" t="s">
        <v>56</v>
      </c>
      <c r="D589">
        <v>2116904</v>
      </c>
      <c r="E589" t="s">
        <v>53</v>
      </c>
      <c r="F589" t="s">
        <v>49</v>
      </c>
      <c r="G589" s="30">
        <v>23374.846503906301</v>
      </c>
    </row>
    <row r="590" spans="1:7" x14ac:dyDescent="0.25">
      <c r="A590" t="s">
        <v>45</v>
      </c>
      <c r="B590" t="s">
        <v>46</v>
      </c>
      <c r="C590" t="s">
        <v>47</v>
      </c>
      <c r="D590">
        <v>2117449</v>
      </c>
      <c r="E590" t="s">
        <v>48</v>
      </c>
      <c r="F590" t="s">
        <v>49</v>
      </c>
      <c r="G590" s="30">
        <v>0</v>
      </c>
    </row>
    <row r="591" spans="1:7" x14ac:dyDescent="0.25">
      <c r="A591" t="s">
        <v>104</v>
      </c>
      <c r="B591" t="s">
        <v>105</v>
      </c>
      <c r="C591" t="s">
        <v>78</v>
      </c>
      <c r="D591">
        <v>2124125</v>
      </c>
      <c r="E591" t="s">
        <v>53</v>
      </c>
      <c r="F591" t="s">
        <v>49</v>
      </c>
      <c r="G591" s="30">
        <v>91951.908281633398</v>
      </c>
    </row>
    <row r="592" spans="1:7" x14ac:dyDescent="0.25">
      <c r="A592" t="s">
        <v>45</v>
      </c>
      <c r="B592" t="s">
        <v>46</v>
      </c>
      <c r="C592" t="s">
        <v>47</v>
      </c>
      <c r="D592">
        <v>2124664</v>
      </c>
      <c r="E592" t="s">
        <v>53</v>
      </c>
      <c r="F592" t="s">
        <v>49</v>
      </c>
      <c r="G592" s="30">
        <v>499.24</v>
      </c>
    </row>
    <row r="593" spans="1:7" x14ac:dyDescent="0.25">
      <c r="A593" t="s">
        <v>72</v>
      </c>
      <c r="B593" t="s">
        <v>73</v>
      </c>
      <c r="C593" t="s">
        <v>67</v>
      </c>
      <c r="D593">
        <v>2127534</v>
      </c>
      <c r="E593" t="s">
        <v>53</v>
      </c>
      <c r="F593" t="s">
        <v>49</v>
      </c>
      <c r="G593" s="30">
        <v>976771.74759725004</v>
      </c>
    </row>
    <row r="594" spans="1:7" x14ac:dyDescent="0.25">
      <c r="A594" t="s">
        <v>124</v>
      </c>
      <c r="B594" t="s">
        <v>125</v>
      </c>
      <c r="C594" t="s">
        <v>78</v>
      </c>
      <c r="D594">
        <v>2128776</v>
      </c>
      <c r="E594" t="s">
        <v>53</v>
      </c>
      <c r="F594" t="s">
        <v>49</v>
      </c>
      <c r="G594" s="30">
        <v>244232.37</v>
      </c>
    </row>
    <row r="595" spans="1:7" x14ac:dyDescent="0.25">
      <c r="A595" t="s">
        <v>106</v>
      </c>
      <c r="B595" t="s">
        <v>107</v>
      </c>
      <c r="C595" t="s">
        <v>56</v>
      </c>
      <c r="D595">
        <v>2137811</v>
      </c>
      <c r="E595" t="s">
        <v>53</v>
      </c>
      <c r="F595" t="s">
        <v>49</v>
      </c>
      <c r="G595" s="30">
        <v>1413498.5644898401</v>
      </c>
    </row>
    <row r="596" spans="1:7" x14ac:dyDescent="0.25">
      <c r="A596" t="s">
        <v>124</v>
      </c>
      <c r="B596" t="s">
        <v>125</v>
      </c>
      <c r="C596" t="s">
        <v>78</v>
      </c>
      <c r="D596">
        <v>2138151</v>
      </c>
      <c r="E596" t="s">
        <v>53</v>
      </c>
      <c r="F596" t="s">
        <v>49</v>
      </c>
      <c r="G596" s="30">
        <v>243714.053457125</v>
      </c>
    </row>
    <row r="597" spans="1:7" x14ac:dyDescent="0.25">
      <c r="A597" t="s">
        <v>65</v>
      </c>
      <c r="B597" t="s">
        <v>66</v>
      </c>
      <c r="C597" t="s">
        <v>67</v>
      </c>
      <c r="D597">
        <v>2138460</v>
      </c>
      <c r="E597" t="s">
        <v>53</v>
      </c>
      <c r="F597" t="s">
        <v>49</v>
      </c>
      <c r="G597" s="30">
        <v>341821.566222305</v>
      </c>
    </row>
    <row r="598" spans="1:7" x14ac:dyDescent="0.25">
      <c r="A598" t="s">
        <v>106</v>
      </c>
      <c r="B598" t="s">
        <v>107</v>
      </c>
      <c r="C598" t="s">
        <v>56</v>
      </c>
      <c r="D598">
        <v>2139078</v>
      </c>
      <c r="E598" t="s">
        <v>53</v>
      </c>
      <c r="F598" t="s">
        <v>49</v>
      </c>
      <c r="G598" s="30">
        <v>66859.313220200595</v>
      </c>
    </row>
    <row r="599" spans="1:7" x14ac:dyDescent="0.25">
      <c r="A599" t="s">
        <v>45</v>
      </c>
      <c r="B599" t="s">
        <v>46</v>
      </c>
      <c r="C599" t="s">
        <v>47</v>
      </c>
      <c r="D599">
        <v>2139484</v>
      </c>
      <c r="E599" t="s">
        <v>48</v>
      </c>
      <c r="F599" t="s">
        <v>49</v>
      </c>
      <c r="G599" s="30">
        <v>0</v>
      </c>
    </row>
    <row r="600" spans="1:7" x14ac:dyDescent="0.25">
      <c r="A600" t="s">
        <v>106</v>
      </c>
      <c r="B600" t="s">
        <v>107</v>
      </c>
      <c r="C600" t="s">
        <v>56</v>
      </c>
      <c r="D600">
        <v>2139981</v>
      </c>
      <c r="E600" t="s">
        <v>53</v>
      </c>
      <c r="F600" t="s">
        <v>49</v>
      </c>
      <c r="G600" s="30">
        <v>795370.36785163498</v>
      </c>
    </row>
    <row r="601" spans="1:7" x14ac:dyDescent="0.25">
      <c r="A601" t="s">
        <v>45</v>
      </c>
      <c r="B601" t="s">
        <v>46</v>
      </c>
      <c r="C601" t="s">
        <v>47</v>
      </c>
      <c r="D601">
        <v>2140512</v>
      </c>
      <c r="E601" t="s">
        <v>53</v>
      </c>
      <c r="F601" t="s">
        <v>49</v>
      </c>
      <c r="G601" s="30">
        <v>17802.3562882111</v>
      </c>
    </row>
    <row r="602" spans="1:7" x14ac:dyDescent="0.25">
      <c r="A602" t="s">
        <v>45</v>
      </c>
      <c r="B602" t="s">
        <v>46</v>
      </c>
      <c r="C602" t="s">
        <v>47</v>
      </c>
      <c r="D602">
        <v>2141349</v>
      </c>
      <c r="E602" t="s">
        <v>48</v>
      </c>
      <c r="F602" t="s">
        <v>49</v>
      </c>
      <c r="G602" s="30">
        <v>0</v>
      </c>
    </row>
    <row r="603" spans="1:7" x14ac:dyDescent="0.25">
      <c r="A603" t="s">
        <v>45</v>
      </c>
      <c r="B603" t="s">
        <v>46</v>
      </c>
      <c r="C603" t="s">
        <v>47</v>
      </c>
      <c r="D603">
        <v>2144608</v>
      </c>
      <c r="E603" t="s">
        <v>53</v>
      </c>
      <c r="F603" t="s">
        <v>49</v>
      </c>
      <c r="G603" s="30">
        <v>21434.73688258</v>
      </c>
    </row>
    <row r="604" spans="1:7" x14ac:dyDescent="0.25">
      <c r="A604" t="s">
        <v>45</v>
      </c>
      <c r="B604" t="s">
        <v>46</v>
      </c>
      <c r="C604" t="s">
        <v>47</v>
      </c>
      <c r="D604">
        <v>2144969</v>
      </c>
      <c r="E604" t="s">
        <v>48</v>
      </c>
      <c r="F604" t="s">
        <v>49</v>
      </c>
      <c r="G604" s="30">
        <v>0</v>
      </c>
    </row>
    <row r="605" spans="1:7" x14ac:dyDescent="0.25">
      <c r="A605" t="s">
        <v>45</v>
      </c>
      <c r="B605" t="s">
        <v>46</v>
      </c>
      <c r="C605" t="s">
        <v>47</v>
      </c>
      <c r="D605">
        <v>2145116</v>
      </c>
      <c r="E605" t="s">
        <v>53</v>
      </c>
      <c r="F605" t="s">
        <v>49</v>
      </c>
      <c r="G605" s="30">
        <v>20718.61328125</v>
      </c>
    </row>
    <row r="606" spans="1:7" x14ac:dyDescent="0.25">
      <c r="A606" t="s">
        <v>63</v>
      </c>
      <c r="B606" t="s">
        <v>64</v>
      </c>
      <c r="C606" t="s">
        <v>56</v>
      </c>
      <c r="D606">
        <v>2147004</v>
      </c>
      <c r="E606" t="s">
        <v>53</v>
      </c>
      <c r="F606" t="s">
        <v>49</v>
      </c>
      <c r="G606" s="30">
        <v>1288336.19</v>
      </c>
    </row>
    <row r="607" spans="1:7" x14ac:dyDescent="0.25">
      <c r="A607" t="s">
        <v>98</v>
      </c>
      <c r="B607" t="s">
        <v>99</v>
      </c>
      <c r="C607" t="s">
        <v>81</v>
      </c>
      <c r="D607">
        <v>2148427</v>
      </c>
      <c r="E607" t="s">
        <v>53</v>
      </c>
      <c r="F607" t="s">
        <v>49</v>
      </c>
      <c r="G607" s="30">
        <v>258399.45487015499</v>
      </c>
    </row>
    <row r="608" spans="1:7" x14ac:dyDescent="0.25">
      <c r="A608" t="s">
        <v>45</v>
      </c>
      <c r="B608" t="s">
        <v>46</v>
      </c>
      <c r="C608" t="s">
        <v>47</v>
      </c>
      <c r="D608">
        <v>2151007</v>
      </c>
      <c r="E608" t="s">
        <v>53</v>
      </c>
      <c r="F608" t="s">
        <v>49</v>
      </c>
      <c r="G608" s="30">
        <v>28791.528861014202</v>
      </c>
    </row>
    <row r="609" spans="1:7" x14ac:dyDescent="0.25">
      <c r="A609" t="s">
        <v>45</v>
      </c>
      <c r="B609" t="s">
        <v>46</v>
      </c>
      <c r="C609" t="s">
        <v>47</v>
      </c>
      <c r="D609">
        <v>2151639</v>
      </c>
      <c r="E609" t="s">
        <v>48</v>
      </c>
      <c r="F609" t="s">
        <v>49</v>
      </c>
      <c r="G609" s="30">
        <v>0</v>
      </c>
    </row>
    <row r="610" spans="1:7" x14ac:dyDescent="0.25">
      <c r="A610" t="s">
        <v>94</v>
      </c>
      <c r="B610" t="s">
        <v>95</v>
      </c>
      <c r="C610" t="s">
        <v>78</v>
      </c>
      <c r="D610">
        <v>2152898</v>
      </c>
      <c r="E610" t="s">
        <v>53</v>
      </c>
      <c r="F610" t="s">
        <v>49</v>
      </c>
      <c r="G610" s="30">
        <v>600039.00161546306</v>
      </c>
    </row>
    <row r="611" spans="1:7" x14ac:dyDescent="0.25">
      <c r="A611" t="s">
        <v>98</v>
      </c>
      <c r="B611" t="s">
        <v>99</v>
      </c>
      <c r="C611" t="s">
        <v>81</v>
      </c>
      <c r="D611">
        <v>2153003</v>
      </c>
      <c r="E611" t="s">
        <v>53</v>
      </c>
      <c r="F611" t="s">
        <v>49</v>
      </c>
      <c r="G611" s="30">
        <v>591838.01208691194</v>
      </c>
    </row>
    <row r="612" spans="1:7" x14ac:dyDescent="0.25">
      <c r="A612" t="s">
        <v>50</v>
      </c>
      <c r="B612" t="s">
        <v>51</v>
      </c>
      <c r="C612" t="s">
        <v>52</v>
      </c>
      <c r="D612">
        <v>2153973</v>
      </c>
      <c r="E612" t="s">
        <v>53</v>
      </c>
      <c r="F612" t="s">
        <v>49</v>
      </c>
      <c r="G612" s="30">
        <v>355.59025136043601</v>
      </c>
    </row>
    <row r="613" spans="1:7" x14ac:dyDescent="0.25">
      <c r="A613" t="s">
        <v>106</v>
      </c>
      <c r="B613" t="s">
        <v>107</v>
      </c>
      <c r="C613" t="s">
        <v>56</v>
      </c>
      <c r="D613">
        <v>2154127</v>
      </c>
      <c r="E613" t="s">
        <v>48</v>
      </c>
      <c r="F613" t="s">
        <v>49</v>
      </c>
      <c r="G613" s="30">
        <v>0</v>
      </c>
    </row>
    <row r="614" spans="1:7" x14ac:dyDescent="0.25">
      <c r="A614" t="s">
        <v>54</v>
      </c>
      <c r="B614" t="s">
        <v>55</v>
      </c>
      <c r="C614" t="s">
        <v>56</v>
      </c>
      <c r="D614">
        <v>2155160</v>
      </c>
      <c r="E614" t="s">
        <v>53</v>
      </c>
      <c r="F614" t="s">
        <v>49</v>
      </c>
      <c r="G614" s="30">
        <v>191342.59197222599</v>
      </c>
    </row>
    <row r="615" spans="1:7" x14ac:dyDescent="0.25">
      <c r="A615" t="s">
        <v>54</v>
      </c>
      <c r="B615" t="s">
        <v>55</v>
      </c>
      <c r="C615" t="s">
        <v>56</v>
      </c>
      <c r="D615">
        <v>2155543</v>
      </c>
      <c r="E615" t="s">
        <v>53</v>
      </c>
      <c r="F615" t="s">
        <v>49</v>
      </c>
      <c r="G615" s="30">
        <v>866001.218790991</v>
      </c>
    </row>
    <row r="616" spans="1:7" x14ac:dyDescent="0.25">
      <c r="A616" t="s">
        <v>76</v>
      </c>
      <c r="B616" t="s">
        <v>77</v>
      </c>
      <c r="C616" t="s">
        <v>78</v>
      </c>
      <c r="D616">
        <v>2156206</v>
      </c>
      <c r="E616" t="s">
        <v>53</v>
      </c>
      <c r="F616" t="s">
        <v>49</v>
      </c>
      <c r="G616" s="30">
        <v>487099.83270728902</v>
      </c>
    </row>
    <row r="617" spans="1:7" x14ac:dyDescent="0.25">
      <c r="A617" t="s">
        <v>106</v>
      </c>
      <c r="B617" t="s">
        <v>107</v>
      </c>
      <c r="C617" t="s">
        <v>56</v>
      </c>
      <c r="D617">
        <v>2156844</v>
      </c>
      <c r="E617" t="s">
        <v>48</v>
      </c>
      <c r="F617" t="s">
        <v>49</v>
      </c>
      <c r="G617" s="30">
        <v>31.85</v>
      </c>
    </row>
    <row r="618" spans="1:7" x14ac:dyDescent="0.25">
      <c r="A618" t="s">
        <v>102</v>
      </c>
      <c r="B618" t="s">
        <v>103</v>
      </c>
      <c r="C618" t="s">
        <v>47</v>
      </c>
      <c r="D618">
        <v>2156926</v>
      </c>
      <c r="E618" t="s">
        <v>53</v>
      </c>
      <c r="F618" t="s">
        <v>49</v>
      </c>
      <c r="G618" s="30">
        <v>966103.43963275396</v>
      </c>
    </row>
    <row r="619" spans="1:7" x14ac:dyDescent="0.25">
      <c r="A619" t="s">
        <v>68</v>
      </c>
      <c r="B619" t="s">
        <v>69</v>
      </c>
      <c r="C619" t="s">
        <v>56</v>
      </c>
      <c r="D619">
        <v>2159702</v>
      </c>
      <c r="E619" t="s">
        <v>53</v>
      </c>
      <c r="F619" t="s">
        <v>49</v>
      </c>
      <c r="G619" s="30">
        <v>35414.057557620399</v>
      </c>
    </row>
    <row r="620" spans="1:7" x14ac:dyDescent="0.25">
      <c r="A620" t="s">
        <v>68</v>
      </c>
      <c r="B620" t="s">
        <v>69</v>
      </c>
      <c r="C620" t="s">
        <v>56</v>
      </c>
      <c r="D620">
        <v>2160326</v>
      </c>
      <c r="E620" t="s">
        <v>53</v>
      </c>
      <c r="F620" t="s">
        <v>49</v>
      </c>
      <c r="G620" s="30">
        <v>3150996.4998102798</v>
      </c>
    </row>
    <row r="621" spans="1:7" x14ac:dyDescent="0.25">
      <c r="A621" t="s">
        <v>45</v>
      </c>
      <c r="B621" t="s">
        <v>46</v>
      </c>
      <c r="C621" t="s">
        <v>47</v>
      </c>
      <c r="D621">
        <v>2161420</v>
      </c>
      <c r="E621" t="s">
        <v>53</v>
      </c>
      <c r="F621" t="s">
        <v>49</v>
      </c>
      <c r="G621" s="30">
        <v>371.94374189275499</v>
      </c>
    </row>
    <row r="622" spans="1:7" x14ac:dyDescent="0.25">
      <c r="A622" t="s">
        <v>94</v>
      </c>
      <c r="B622" t="s">
        <v>95</v>
      </c>
      <c r="C622" t="s">
        <v>78</v>
      </c>
      <c r="D622">
        <v>2161431</v>
      </c>
      <c r="E622" t="s">
        <v>53</v>
      </c>
      <c r="F622" t="s">
        <v>49</v>
      </c>
      <c r="G622" s="30">
        <v>156698.16427853101</v>
      </c>
    </row>
    <row r="623" spans="1:7" x14ac:dyDescent="0.25">
      <c r="A623" t="s">
        <v>90</v>
      </c>
      <c r="B623" t="s">
        <v>91</v>
      </c>
      <c r="C623" t="s">
        <v>81</v>
      </c>
      <c r="D623">
        <v>2161448</v>
      </c>
      <c r="E623" t="s">
        <v>53</v>
      </c>
      <c r="F623" t="s">
        <v>49</v>
      </c>
      <c r="G623" s="30">
        <v>933078.93513490201</v>
      </c>
    </row>
    <row r="624" spans="1:7" x14ac:dyDescent="0.25">
      <c r="A624" t="s">
        <v>124</v>
      </c>
      <c r="B624" t="s">
        <v>125</v>
      </c>
      <c r="C624" t="s">
        <v>78</v>
      </c>
      <c r="D624">
        <v>2161799</v>
      </c>
      <c r="E624" t="s">
        <v>53</v>
      </c>
      <c r="F624" t="s">
        <v>49</v>
      </c>
      <c r="G624" s="30">
        <v>484873.45101892098</v>
      </c>
    </row>
    <row r="625" spans="1:7" x14ac:dyDescent="0.25">
      <c r="A625" t="s">
        <v>79</v>
      </c>
      <c r="B625" t="s">
        <v>80</v>
      </c>
      <c r="C625" t="s">
        <v>81</v>
      </c>
      <c r="D625">
        <v>2161989</v>
      </c>
      <c r="E625" t="s">
        <v>53</v>
      </c>
      <c r="F625" t="s">
        <v>49</v>
      </c>
      <c r="G625" s="30">
        <v>150536.298721789</v>
      </c>
    </row>
    <row r="626" spans="1:7" x14ac:dyDescent="0.25">
      <c r="A626" t="s">
        <v>82</v>
      </c>
      <c r="B626" t="s">
        <v>83</v>
      </c>
      <c r="C626" t="s">
        <v>56</v>
      </c>
      <c r="D626">
        <v>2163380</v>
      </c>
      <c r="E626" t="s">
        <v>53</v>
      </c>
      <c r="F626" t="s">
        <v>49</v>
      </c>
      <c r="G626" s="30">
        <v>485961.27143290499</v>
      </c>
    </row>
    <row r="627" spans="1:7" x14ac:dyDescent="0.25">
      <c r="A627" t="s">
        <v>72</v>
      </c>
      <c r="B627" t="s">
        <v>73</v>
      </c>
      <c r="C627" t="s">
        <v>67</v>
      </c>
      <c r="D627">
        <v>2166221</v>
      </c>
      <c r="E627" t="s">
        <v>53</v>
      </c>
      <c r="F627" t="s">
        <v>49</v>
      </c>
      <c r="G627" s="30">
        <v>3366107.5272948998</v>
      </c>
    </row>
    <row r="628" spans="1:7" x14ac:dyDescent="0.25">
      <c r="A628" t="s">
        <v>45</v>
      </c>
      <c r="B628" t="s">
        <v>46</v>
      </c>
      <c r="C628" t="s">
        <v>47</v>
      </c>
      <c r="D628">
        <v>2167371</v>
      </c>
      <c r="E628" t="s">
        <v>48</v>
      </c>
      <c r="F628" t="s">
        <v>49</v>
      </c>
      <c r="G628" s="30">
        <v>0</v>
      </c>
    </row>
    <row r="629" spans="1:7" x14ac:dyDescent="0.25">
      <c r="A629" t="s">
        <v>50</v>
      </c>
      <c r="B629" t="s">
        <v>51</v>
      </c>
      <c r="C629" t="s">
        <v>52</v>
      </c>
      <c r="D629">
        <v>2167532</v>
      </c>
      <c r="E629" t="s">
        <v>48</v>
      </c>
      <c r="F629" t="s">
        <v>49</v>
      </c>
      <c r="G629" s="30">
        <v>0</v>
      </c>
    </row>
    <row r="630" spans="1:7" x14ac:dyDescent="0.25">
      <c r="A630" t="s">
        <v>50</v>
      </c>
      <c r="B630" t="s">
        <v>51</v>
      </c>
      <c r="C630" t="s">
        <v>52</v>
      </c>
      <c r="D630">
        <v>2169454</v>
      </c>
      <c r="E630" t="s">
        <v>53</v>
      </c>
      <c r="F630" t="s">
        <v>49</v>
      </c>
      <c r="G630" s="30">
        <v>329.91</v>
      </c>
    </row>
    <row r="631" spans="1:7" x14ac:dyDescent="0.25">
      <c r="A631" t="s">
        <v>45</v>
      </c>
      <c r="B631" t="s">
        <v>46</v>
      </c>
      <c r="C631" t="s">
        <v>47</v>
      </c>
      <c r="D631">
        <v>2170115</v>
      </c>
      <c r="E631" t="s">
        <v>53</v>
      </c>
      <c r="F631" t="s">
        <v>49</v>
      </c>
      <c r="G631" s="30">
        <v>93.15</v>
      </c>
    </row>
    <row r="632" spans="1:7" x14ac:dyDescent="0.25">
      <c r="A632" t="s">
        <v>45</v>
      </c>
      <c r="B632" t="s">
        <v>46</v>
      </c>
      <c r="C632" t="s">
        <v>47</v>
      </c>
      <c r="D632">
        <v>2170230</v>
      </c>
      <c r="E632" t="s">
        <v>48</v>
      </c>
      <c r="F632" t="s">
        <v>49</v>
      </c>
      <c r="G632" s="30">
        <v>0</v>
      </c>
    </row>
    <row r="633" spans="1:7" x14ac:dyDescent="0.25">
      <c r="A633" t="s">
        <v>106</v>
      </c>
      <c r="B633" t="s">
        <v>107</v>
      </c>
      <c r="C633" t="s">
        <v>56</v>
      </c>
      <c r="D633">
        <v>2171190</v>
      </c>
      <c r="E633" t="s">
        <v>53</v>
      </c>
      <c r="F633" t="s">
        <v>49</v>
      </c>
      <c r="G633" s="30">
        <v>1423867.2417981401</v>
      </c>
    </row>
    <row r="634" spans="1:7" x14ac:dyDescent="0.25">
      <c r="A634" t="s">
        <v>146</v>
      </c>
      <c r="B634" t="s">
        <v>147</v>
      </c>
      <c r="C634" t="s">
        <v>56</v>
      </c>
      <c r="D634">
        <v>2171588</v>
      </c>
      <c r="E634" t="s">
        <v>53</v>
      </c>
      <c r="F634" t="s">
        <v>49</v>
      </c>
      <c r="G634" s="30">
        <v>10925433.499443</v>
      </c>
    </row>
    <row r="635" spans="1:7" x14ac:dyDescent="0.25">
      <c r="A635" t="s">
        <v>124</v>
      </c>
      <c r="B635" t="s">
        <v>125</v>
      </c>
      <c r="C635" t="s">
        <v>78</v>
      </c>
      <c r="D635">
        <v>2171700</v>
      </c>
      <c r="E635" t="s">
        <v>53</v>
      </c>
      <c r="F635" t="s">
        <v>49</v>
      </c>
      <c r="G635" s="30">
        <v>113682.983673526</v>
      </c>
    </row>
    <row r="636" spans="1:7" x14ac:dyDescent="0.25">
      <c r="A636" t="s">
        <v>74</v>
      </c>
      <c r="B636" t="s">
        <v>75</v>
      </c>
      <c r="C636" t="s">
        <v>67</v>
      </c>
      <c r="D636">
        <v>2174499</v>
      </c>
      <c r="E636" t="s">
        <v>53</v>
      </c>
      <c r="F636" t="s">
        <v>49</v>
      </c>
      <c r="G636" s="30">
        <v>798382.02648650797</v>
      </c>
    </row>
    <row r="637" spans="1:7" x14ac:dyDescent="0.25">
      <c r="A637" t="s">
        <v>88</v>
      </c>
      <c r="B637" t="s">
        <v>89</v>
      </c>
      <c r="C637" t="s">
        <v>78</v>
      </c>
      <c r="D637">
        <v>2176295</v>
      </c>
      <c r="E637" t="s">
        <v>53</v>
      </c>
      <c r="F637" t="s">
        <v>49</v>
      </c>
      <c r="G637" s="30">
        <v>346057.23031249997</v>
      </c>
    </row>
    <row r="638" spans="1:7" x14ac:dyDescent="0.25">
      <c r="A638" t="s">
        <v>45</v>
      </c>
      <c r="B638" t="s">
        <v>46</v>
      </c>
      <c r="C638" t="s">
        <v>47</v>
      </c>
      <c r="D638">
        <v>2176724</v>
      </c>
      <c r="E638" t="s">
        <v>53</v>
      </c>
      <c r="F638" t="s">
        <v>49</v>
      </c>
      <c r="G638" s="30">
        <v>266308.75469508301</v>
      </c>
    </row>
    <row r="639" spans="1:7" x14ac:dyDescent="0.25">
      <c r="A639" t="s">
        <v>45</v>
      </c>
      <c r="B639" t="s">
        <v>46</v>
      </c>
      <c r="C639" t="s">
        <v>47</v>
      </c>
      <c r="D639">
        <v>2177027</v>
      </c>
      <c r="E639" t="s">
        <v>48</v>
      </c>
      <c r="F639" t="s">
        <v>49</v>
      </c>
      <c r="G639" s="30">
        <v>0</v>
      </c>
    </row>
    <row r="640" spans="1:7" x14ac:dyDescent="0.25">
      <c r="A640" t="s">
        <v>65</v>
      </c>
      <c r="B640" t="s">
        <v>66</v>
      </c>
      <c r="C640" t="s">
        <v>67</v>
      </c>
      <c r="D640">
        <v>2178589</v>
      </c>
      <c r="E640" t="s">
        <v>53</v>
      </c>
      <c r="F640" t="s">
        <v>49</v>
      </c>
      <c r="G640" s="30">
        <v>18846599.878391199</v>
      </c>
    </row>
    <row r="641" spans="1:7" x14ac:dyDescent="0.25">
      <c r="A641" t="s">
        <v>50</v>
      </c>
      <c r="B641" t="s">
        <v>51</v>
      </c>
      <c r="C641" t="s">
        <v>52</v>
      </c>
      <c r="D641">
        <v>2179428</v>
      </c>
      <c r="E641" t="s">
        <v>53</v>
      </c>
      <c r="F641" t="s">
        <v>49</v>
      </c>
      <c r="G641" s="30">
        <v>11237.5874853</v>
      </c>
    </row>
    <row r="642" spans="1:7" x14ac:dyDescent="0.25">
      <c r="A642" t="s">
        <v>45</v>
      </c>
      <c r="B642" t="s">
        <v>46</v>
      </c>
      <c r="C642" t="s">
        <v>47</v>
      </c>
      <c r="D642">
        <v>2180038</v>
      </c>
      <c r="E642" t="s">
        <v>53</v>
      </c>
      <c r="F642" t="s">
        <v>49</v>
      </c>
      <c r="G642" s="30">
        <v>94091.149977023902</v>
      </c>
    </row>
    <row r="643" spans="1:7" x14ac:dyDescent="0.25">
      <c r="A643" t="s">
        <v>45</v>
      </c>
      <c r="B643" t="s">
        <v>46</v>
      </c>
      <c r="C643" t="s">
        <v>47</v>
      </c>
      <c r="D643">
        <v>2180385</v>
      </c>
      <c r="E643" t="s">
        <v>53</v>
      </c>
      <c r="F643" t="s">
        <v>49</v>
      </c>
      <c r="G643" s="30">
        <v>68959.378934139997</v>
      </c>
    </row>
    <row r="644" spans="1:7" x14ac:dyDescent="0.25">
      <c r="A644" t="s">
        <v>45</v>
      </c>
      <c r="B644" t="s">
        <v>46</v>
      </c>
      <c r="C644" t="s">
        <v>47</v>
      </c>
      <c r="D644">
        <v>2180897</v>
      </c>
      <c r="E644" t="s">
        <v>53</v>
      </c>
      <c r="F644" t="s">
        <v>49</v>
      </c>
      <c r="G644" s="30">
        <v>703.24532787497299</v>
      </c>
    </row>
    <row r="645" spans="1:7" x14ac:dyDescent="0.25">
      <c r="A645" t="s">
        <v>45</v>
      </c>
      <c r="B645" t="s">
        <v>46</v>
      </c>
      <c r="C645" t="s">
        <v>47</v>
      </c>
      <c r="D645">
        <v>2182850</v>
      </c>
      <c r="E645" t="s">
        <v>48</v>
      </c>
      <c r="F645" t="s">
        <v>49</v>
      </c>
      <c r="G645" s="30">
        <v>0</v>
      </c>
    </row>
    <row r="646" spans="1:7" x14ac:dyDescent="0.25">
      <c r="A646" t="s">
        <v>74</v>
      </c>
      <c r="B646" t="s">
        <v>75</v>
      </c>
      <c r="C646" t="s">
        <v>67</v>
      </c>
      <c r="D646">
        <v>2183389</v>
      </c>
      <c r="E646" t="s">
        <v>48</v>
      </c>
      <c r="F646" t="s">
        <v>49</v>
      </c>
      <c r="G646" s="30">
        <v>0</v>
      </c>
    </row>
    <row r="647" spans="1:7" x14ac:dyDescent="0.25">
      <c r="A647" t="s">
        <v>45</v>
      </c>
      <c r="B647" t="s">
        <v>46</v>
      </c>
      <c r="C647" t="s">
        <v>47</v>
      </c>
      <c r="D647">
        <v>2183702</v>
      </c>
      <c r="E647" t="s">
        <v>48</v>
      </c>
      <c r="F647" t="s">
        <v>49</v>
      </c>
      <c r="G647" s="30">
        <v>0</v>
      </c>
    </row>
    <row r="648" spans="1:7" x14ac:dyDescent="0.25">
      <c r="A648" t="s">
        <v>45</v>
      </c>
      <c r="B648" t="s">
        <v>46</v>
      </c>
      <c r="C648" t="s">
        <v>47</v>
      </c>
      <c r="D648">
        <v>2183931</v>
      </c>
      <c r="E648" t="s">
        <v>48</v>
      </c>
      <c r="F648" t="s">
        <v>49</v>
      </c>
      <c r="G648" s="30">
        <v>0</v>
      </c>
    </row>
    <row r="649" spans="1:7" x14ac:dyDescent="0.25">
      <c r="A649" t="s">
        <v>45</v>
      </c>
      <c r="B649" t="s">
        <v>46</v>
      </c>
      <c r="C649" t="s">
        <v>47</v>
      </c>
      <c r="D649">
        <v>2184574</v>
      </c>
      <c r="E649" t="s">
        <v>48</v>
      </c>
      <c r="F649" t="s">
        <v>49</v>
      </c>
      <c r="G649" s="30">
        <v>0</v>
      </c>
    </row>
    <row r="650" spans="1:7" x14ac:dyDescent="0.25">
      <c r="A650" t="s">
        <v>86</v>
      </c>
      <c r="B650" t="s">
        <v>87</v>
      </c>
      <c r="C650" t="s">
        <v>78</v>
      </c>
      <c r="D650">
        <v>2185985</v>
      </c>
      <c r="E650" t="s">
        <v>53</v>
      </c>
      <c r="F650" t="s">
        <v>49</v>
      </c>
      <c r="G650" s="30">
        <v>1330956.5661019201</v>
      </c>
    </row>
    <row r="651" spans="1:7" x14ac:dyDescent="0.25">
      <c r="A651" t="s">
        <v>88</v>
      </c>
      <c r="B651" t="s">
        <v>89</v>
      </c>
      <c r="C651" t="s">
        <v>78</v>
      </c>
      <c r="D651">
        <v>2186190</v>
      </c>
      <c r="E651" t="s">
        <v>53</v>
      </c>
      <c r="F651" t="s">
        <v>49</v>
      </c>
      <c r="G651" s="30">
        <v>139987.59454821801</v>
      </c>
    </row>
    <row r="652" spans="1:7" x14ac:dyDescent="0.25">
      <c r="A652" t="s">
        <v>50</v>
      </c>
      <c r="B652" t="s">
        <v>51</v>
      </c>
      <c r="C652" t="s">
        <v>52</v>
      </c>
      <c r="D652">
        <v>2186282</v>
      </c>
      <c r="E652" t="s">
        <v>53</v>
      </c>
      <c r="F652" t="s">
        <v>49</v>
      </c>
      <c r="G652" s="30">
        <v>279.39</v>
      </c>
    </row>
    <row r="653" spans="1:7" x14ac:dyDescent="0.25">
      <c r="A653" t="s">
        <v>118</v>
      </c>
      <c r="B653" t="s">
        <v>119</v>
      </c>
      <c r="C653" t="s">
        <v>56</v>
      </c>
      <c r="D653">
        <v>2186343</v>
      </c>
      <c r="E653" t="s">
        <v>53</v>
      </c>
      <c r="F653" t="s">
        <v>49</v>
      </c>
      <c r="G653" s="30">
        <v>485944.95258105401</v>
      </c>
    </row>
    <row r="654" spans="1:7" x14ac:dyDescent="0.25">
      <c r="A654" t="s">
        <v>92</v>
      </c>
      <c r="B654" t="s">
        <v>93</v>
      </c>
      <c r="C654" t="s">
        <v>81</v>
      </c>
      <c r="D654">
        <v>2189685</v>
      </c>
      <c r="E654" t="s">
        <v>48</v>
      </c>
      <c r="F654" t="s">
        <v>49</v>
      </c>
      <c r="G654" s="30">
        <v>0</v>
      </c>
    </row>
    <row r="655" spans="1:7" x14ac:dyDescent="0.25">
      <c r="A655" t="s">
        <v>50</v>
      </c>
      <c r="B655" t="s">
        <v>51</v>
      </c>
      <c r="C655" t="s">
        <v>52</v>
      </c>
      <c r="D655">
        <v>2190523</v>
      </c>
      <c r="E655" t="s">
        <v>53</v>
      </c>
      <c r="F655" t="s">
        <v>49</v>
      </c>
      <c r="G655" s="30">
        <v>68210.4291925</v>
      </c>
    </row>
    <row r="656" spans="1:7" x14ac:dyDescent="0.25">
      <c r="A656" t="s">
        <v>50</v>
      </c>
      <c r="B656" t="s">
        <v>51</v>
      </c>
      <c r="C656" t="s">
        <v>52</v>
      </c>
      <c r="D656">
        <v>2192751</v>
      </c>
      <c r="E656" t="s">
        <v>53</v>
      </c>
      <c r="F656" t="s">
        <v>49</v>
      </c>
      <c r="G656" s="30">
        <v>56803.861686363802</v>
      </c>
    </row>
    <row r="657" spans="1:7" x14ac:dyDescent="0.25">
      <c r="A657" t="s">
        <v>45</v>
      </c>
      <c r="B657" t="s">
        <v>46</v>
      </c>
      <c r="C657" t="s">
        <v>47</v>
      </c>
      <c r="D657">
        <v>2193585</v>
      </c>
      <c r="E657" t="s">
        <v>48</v>
      </c>
      <c r="F657" t="s">
        <v>49</v>
      </c>
      <c r="G657" s="30">
        <v>0</v>
      </c>
    </row>
    <row r="658" spans="1:7" x14ac:dyDescent="0.25">
      <c r="A658" t="s">
        <v>88</v>
      </c>
      <c r="B658" t="s">
        <v>89</v>
      </c>
      <c r="C658" t="s">
        <v>78</v>
      </c>
      <c r="D658">
        <v>2194532</v>
      </c>
      <c r="E658" t="s">
        <v>53</v>
      </c>
      <c r="F658" t="s">
        <v>49</v>
      </c>
      <c r="G658" s="30">
        <v>1232236.7207275501</v>
      </c>
    </row>
    <row r="659" spans="1:7" x14ac:dyDescent="0.25">
      <c r="A659" t="s">
        <v>45</v>
      </c>
      <c r="B659" t="s">
        <v>46</v>
      </c>
      <c r="C659" t="s">
        <v>47</v>
      </c>
      <c r="D659">
        <v>2194804</v>
      </c>
      <c r="E659" t="s">
        <v>48</v>
      </c>
      <c r="F659" t="s">
        <v>49</v>
      </c>
      <c r="G659" s="30">
        <v>0</v>
      </c>
    </row>
    <row r="660" spans="1:7" x14ac:dyDescent="0.25">
      <c r="A660" t="s">
        <v>50</v>
      </c>
      <c r="B660" t="s">
        <v>51</v>
      </c>
      <c r="C660" t="s">
        <v>52</v>
      </c>
      <c r="D660">
        <v>2194835</v>
      </c>
      <c r="E660" t="s">
        <v>53</v>
      </c>
      <c r="F660" t="s">
        <v>49</v>
      </c>
      <c r="G660" s="30">
        <v>90150.981356531105</v>
      </c>
    </row>
    <row r="661" spans="1:7" x14ac:dyDescent="0.25">
      <c r="A661" t="s">
        <v>70</v>
      </c>
      <c r="B661" t="s">
        <v>71</v>
      </c>
      <c r="C661" t="s">
        <v>47</v>
      </c>
      <c r="D661">
        <v>2196683</v>
      </c>
      <c r="E661" t="s">
        <v>53</v>
      </c>
      <c r="F661" t="s">
        <v>49</v>
      </c>
      <c r="G661" s="30">
        <v>160606.69144140999</v>
      </c>
    </row>
    <row r="662" spans="1:7" x14ac:dyDescent="0.25">
      <c r="A662" t="s">
        <v>50</v>
      </c>
      <c r="B662" t="s">
        <v>51</v>
      </c>
      <c r="C662" t="s">
        <v>52</v>
      </c>
      <c r="D662">
        <v>2197907</v>
      </c>
      <c r="E662" t="s">
        <v>48</v>
      </c>
      <c r="F662" t="s">
        <v>49</v>
      </c>
      <c r="G662" s="30">
        <v>0</v>
      </c>
    </row>
    <row r="663" spans="1:7" x14ac:dyDescent="0.25">
      <c r="A663" t="s">
        <v>128</v>
      </c>
      <c r="B663" t="s">
        <v>129</v>
      </c>
      <c r="C663" t="s">
        <v>130</v>
      </c>
      <c r="D663">
        <v>2197908</v>
      </c>
      <c r="E663" t="s">
        <v>53</v>
      </c>
      <c r="F663" t="s">
        <v>49</v>
      </c>
      <c r="G663" s="30">
        <v>600065.07851460099</v>
      </c>
    </row>
    <row r="664" spans="1:7" x14ac:dyDescent="0.25">
      <c r="A664" t="s">
        <v>61</v>
      </c>
      <c r="B664" t="s">
        <v>62</v>
      </c>
      <c r="C664" t="s">
        <v>56</v>
      </c>
      <c r="D664">
        <v>2199394</v>
      </c>
      <c r="E664" t="s">
        <v>53</v>
      </c>
      <c r="F664" t="s">
        <v>49</v>
      </c>
      <c r="G664" s="30">
        <v>354324.15631181898</v>
      </c>
    </row>
    <row r="665" spans="1:7" x14ac:dyDescent="0.25">
      <c r="A665" t="s">
        <v>45</v>
      </c>
      <c r="B665" t="s">
        <v>46</v>
      </c>
      <c r="C665" t="s">
        <v>47</v>
      </c>
      <c r="D665">
        <v>2202505</v>
      </c>
      <c r="E665" t="s">
        <v>48</v>
      </c>
      <c r="F665" t="s">
        <v>49</v>
      </c>
      <c r="G665" s="30">
        <v>0</v>
      </c>
    </row>
    <row r="666" spans="1:7" x14ac:dyDescent="0.25">
      <c r="A666" t="s">
        <v>45</v>
      </c>
      <c r="B666" t="s">
        <v>46</v>
      </c>
      <c r="C666" t="s">
        <v>47</v>
      </c>
      <c r="D666">
        <v>2202830</v>
      </c>
      <c r="E666" t="s">
        <v>48</v>
      </c>
      <c r="F666" t="s">
        <v>49</v>
      </c>
      <c r="G666" s="30">
        <v>0</v>
      </c>
    </row>
    <row r="667" spans="1:7" x14ac:dyDescent="0.25">
      <c r="A667" t="s">
        <v>50</v>
      </c>
      <c r="B667" t="s">
        <v>51</v>
      </c>
      <c r="C667" t="s">
        <v>52</v>
      </c>
      <c r="D667">
        <v>2202834</v>
      </c>
      <c r="E667" t="s">
        <v>48</v>
      </c>
      <c r="F667" t="s">
        <v>49</v>
      </c>
      <c r="G667" s="30">
        <v>0</v>
      </c>
    </row>
    <row r="668" spans="1:7" x14ac:dyDescent="0.25">
      <c r="A668" t="s">
        <v>116</v>
      </c>
      <c r="B668" t="s">
        <v>117</v>
      </c>
      <c r="C668" t="s">
        <v>47</v>
      </c>
      <c r="D668">
        <v>2202855</v>
      </c>
      <c r="E668" t="s">
        <v>53</v>
      </c>
      <c r="F668" t="s">
        <v>49</v>
      </c>
      <c r="G668" s="30">
        <v>1165228.7468026499</v>
      </c>
    </row>
    <row r="669" spans="1:7" x14ac:dyDescent="0.25">
      <c r="A669" t="s">
        <v>50</v>
      </c>
      <c r="B669" t="s">
        <v>51</v>
      </c>
      <c r="C669" t="s">
        <v>52</v>
      </c>
      <c r="D669">
        <v>2204632</v>
      </c>
      <c r="E669" t="s">
        <v>53</v>
      </c>
      <c r="F669" t="s">
        <v>49</v>
      </c>
      <c r="G669" s="30">
        <v>66.404621823007005</v>
      </c>
    </row>
    <row r="670" spans="1:7" x14ac:dyDescent="0.25">
      <c r="A670" t="s">
        <v>65</v>
      </c>
      <c r="B670" t="s">
        <v>66</v>
      </c>
      <c r="C670" t="s">
        <v>67</v>
      </c>
      <c r="D670">
        <v>2204774</v>
      </c>
      <c r="E670" t="s">
        <v>53</v>
      </c>
      <c r="F670" t="s">
        <v>49</v>
      </c>
      <c r="G670" s="30">
        <v>623374.59448235796</v>
      </c>
    </row>
    <row r="671" spans="1:7" x14ac:dyDescent="0.25">
      <c r="A671" t="s">
        <v>50</v>
      </c>
      <c r="B671" t="s">
        <v>51</v>
      </c>
      <c r="C671" t="s">
        <v>52</v>
      </c>
      <c r="D671">
        <v>2205361</v>
      </c>
      <c r="E671" t="s">
        <v>53</v>
      </c>
      <c r="F671" t="s">
        <v>49</v>
      </c>
      <c r="G671" s="30">
        <v>67.159181088544202</v>
      </c>
    </row>
    <row r="672" spans="1:7" x14ac:dyDescent="0.25">
      <c r="A672" t="s">
        <v>50</v>
      </c>
      <c r="B672" t="s">
        <v>51</v>
      </c>
      <c r="C672" t="s">
        <v>52</v>
      </c>
      <c r="D672">
        <v>2205725</v>
      </c>
      <c r="E672" t="s">
        <v>53</v>
      </c>
      <c r="F672" t="s">
        <v>49</v>
      </c>
      <c r="G672" s="30">
        <v>5401.1540536022103</v>
      </c>
    </row>
    <row r="673" spans="1:7" x14ac:dyDescent="0.25">
      <c r="A673" t="s">
        <v>65</v>
      </c>
      <c r="B673" t="s">
        <v>66</v>
      </c>
      <c r="C673" t="s">
        <v>67</v>
      </c>
      <c r="D673">
        <v>2205963</v>
      </c>
      <c r="E673" t="s">
        <v>53</v>
      </c>
      <c r="F673" t="s">
        <v>49</v>
      </c>
      <c r="G673" s="30">
        <v>2138.0638818359398</v>
      </c>
    </row>
    <row r="674" spans="1:7" x14ac:dyDescent="0.25">
      <c r="A674" t="s">
        <v>45</v>
      </c>
      <c r="B674" t="s">
        <v>46</v>
      </c>
      <c r="C674" t="s">
        <v>47</v>
      </c>
      <c r="D674">
        <v>2206439</v>
      </c>
      <c r="E674" t="s">
        <v>48</v>
      </c>
      <c r="F674" t="s">
        <v>49</v>
      </c>
      <c r="G674" s="30">
        <v>0</v>
      </c>
    </row>
    <row r="675" spans="1:7" x14ac:dyDescent="0.25">
      <c r="A675" t="s">
        <v>50</v>
      </c>
      <c r="B675" t="s">
        <v>51</v>
      </c>
      <c r="C675" t="s">
        <v>52</v>
      </c>
      <c r="D675">
        <v>2207715</v>
      </c>
      <c r="E675" t="s">
        <v>48</v>
      </c>
      <c r="F675" t="s">
        <v>49</v>
      </c>
      <c r="G675" s="30">
        <v>0</v>
      </c>
    </row>
    <row r="676" spans="1:7" x14ac:dyDescent="0.25">
      <c r="A676" t="s">
        <v>45</v>
      </c>
      <c r="B676" t="s">
        <v>46</v>
      </c>
      <c r="C676" t="s">
        <v>47</v>
      </c>
      <c r="D676">
        <v>2211248</v>
      </c>
      <c r="E676" t="s">
        <v>48</v>
      </c>
      <c r="F676" t="s">
        <v>49</v>
      </c>
      <c r="G676" s="30">
        <v>0</v>
      </c>
    </row>
    <row r="677" spans="1:7" x14ac:dyDescent="0.25">
      <c r="A677" t="s">
        <v>45</v>
      </c>
      <c r="B677" t="s">
        <v>46</v>
      </c>
      <c r="C677" t="s">
        <v>47</v>
      </c>
      <c r="D677">
        <v>2214164</v>
      </c>
      <c r="E677" t="s">
        <v>48</v>
      </c>
      <c r="F677" t="s">
        <v>49</v>
      </c>
      <c r="G677" s="30">
        <v>0</v>
      </c>
    </row>
    <row r="678" spans="1:7" x14ac:dyDescent="0.25">
      <c r="A678" t="s">
        <v>106</v>
      </c>
      <c r="B678" t="s">
        <v>107</v>
      </c>
      <c r="C678" t="s">
        <v>56</v>
      </c>
      <c r="D678">
        <v>2214203</v>
      </c>
      <c r="E678" t="s">
        <v>53</v>
      </c>
      <c r="F678" t="s">
        <v>49</v>
      </c>
      <c r="G678" s="30">
        <v>7497251.1442981996</v>
      </c>
    </row>
    <row r="679" spans="1:7" x14ac:dyDescent="0.25">
      <c r="A679" t="s">
        <v>45</v>
      </c>
      <c r="B679" t="s">
        <v>46</v>
      </c>
      <c r="C679" t="s">
        <v>47</v>
      </c>
      <c r="D679">
        <v>2214207</v>
      </c>
      <c r="E679" t="s">
        <v>48</v>
      </c>
      <c r="F679" t="s">
        <v>49</v>
      </c>
      <c r="G679" s="30">
        <v>21.69</v>
      </c>
    </row>
    <row r="680" spans="1:7" x14ac:dyDescent="0.25">
      <c r="A680" t="s">
        <v>45</v>
      </c>
      <c r="B680" t="s">
        <v>46</v>
      </c>
      <c r="C680" t="s">
        <v>47</v>
      </c>
      <c r="D680">
        <v>2216073</v>
      </c>
      <c r="E680" t="s">
        <v>48</v>
      </c>
      <c r="F680" t="s">
        <v>49</v>
      </c>
      <c r="G680" s="30">
        <v>15.14</v>
      </c>
    </row>
    <row r="681" spans="1:7" x14ac:dyDescent="0.25">
      <c r="A681" t="s">
        <v>94</v>
      </c>
      <c r="B681" t="s">
        <v>95</v>
      </c>
      <c r="C681" t="s">
        <v>78</v>
      </c>
      <c r="D681">
        <v>2216432</v>
      </c>
      <c r="E681" t="s">
        <v>53</v>
      </c>
      <c r="F681" t="s">
        <v>49</v>
      </c>
      <c r="G681" s="30">
        <v>239063.01193086599</v>
      </c>
    </row>
    <row r="682" spans="1:7" x14ac:dyDescent="0.25">
      <c r="A682" t="s">
        <v>50</v>
      </c>
      <c r="B682" t="s">
        <v>51</v>
      </c>
      <c r="C682" t="s">
        <v>52</v>
      </c>
      <c r="D682">
        <v>2218362</v>
      </c>
      <c r="E682" t="s">
        <v>53</v>
      </c>
      <c r="F682" t="s">
        <v>49</v>
      </c>
      <c r="G682" s="30">
        <v>20195.5634273055</v>
      </c>
    </row>
    <row r="683" spans="1:7" x14ac:dyDescent="0.25">
      <c r="A683" t="s">
        <v>63</v>
      </c>
      <c r="B683" t="s">
        <v>64</v>
      </c>
      <c r="C683" t="s">
        <v>56</v>
      </c>
      <c r="D683">
        <v>2218942</v>
      </c>
      <c r="E683" t="s">
        <v>53</v>
      </c>
      <c r="F683" t="s">
        <v>49</v>
      </c>
      <c r="G683" s="30">
        <v>1299032.36442834</v>
      </c>
    </row>
    <row r="684" spans="1:7" x14ac:dyDescent="0.25">
      <c r="A684" t="s">
        <v>50</v>
      </c>
      <c r="B684" t="s">
        <v>51</v>
      </c>
      <c r="C684" t="s">
        <v>52</v>
      </c>
      <c r="D684">
        <v>2223559</v>
      </c>
      <c r="E684" t="s">
        <v>53</v>
      </c>
      <c r="F684" t="s">
        <v>49</v>
      </c>
      <c r="G684" s="30">
        <v>69758.449569491699</v>
      </c>
    </row>
    <row r="685" spans="1:7" x14ac:dyDescent="0.25">
      <c r="A685" t="s">
        <v>50</v>
      </c>
      <c r="B685" t="s">
        <v>51</v>
      </c>
      <c r="C685" t="s">
        <v>52</v>
      </c>
      <c r="D685">
        <v>2223940</v>
      </c>
      <c r="E685" t="s">
        <v>53</v>
      </c>
      <c r="F685" t="s">
        <v>49</v>
      </c>
      <c r="G685" s="30">
        <v>26224.562619449101</v>
      </c>
    </row>
    <row r="686" spans="1:7" x14ac:dyDescent="0.25">
      <c r="A686" t="s">
        <v>50</v>
      </c>
      <c r="B686" t="s">
        <v>51</v>
      </c>
      <c r="C686" t="s">
        <v>52</v>
      </c>
      <c r="D686">
        <v>2226717</v>
      </c>
      <c r="E686" t="s">
        <v>53</v>
      </c>
      <c r="F686" t="s">
        <v>49</v>
      </c>
      <c r="G686" s="30">
        <v>12867.536215866499</v>
      </c>
    </row>
    <row r="687" spans="1:7" x14ac:dyDescent="0.25">
      <c r="A687" t="s">
        <v>102</v>
      </c>
      <c r="B687" t="s">
        <v>103</v>
      </c>
      <c r="C687" t="s">
        <v>47</v>
      </c>
      <c r="D687">
        <v>2227709</v>
      </c>
      <c r="E687" t="s">
        <v>53</v>
      </c>
      <c r="F687" t="s">
        <v>49</v>
      </c>
      <c r="G687" s="30">
        <v>214817.45712354299</v>
      </c>
    </row>
    <row r="688" spans="1:7" x14ac:dyDescent="0.25">
      <c r="A688" t="s">
        <v>104</v>
      </c>
      <c r="B688" t="s">
        <v>105</v>
      </c>
      <c r="C688" t="s">
        <v>78</v>
      </c>
      <c r="D688">
        <v>2227783</v>
      </c>
      <c r="E688" t="s">
        <v>53</v>
      </c>
      <c r="F688" t="s">
        <v>49</v>
      </c>
      <c r="G688" s="30">
        <v>400853.192208472</v>
      </c>
    </row>
    <row r="689" spans="1:7" x14ac:dyDescent="0.25">
      <c r="A689" t="s">
        <v>70</v>
      </c>
      <c r="B689" t="s">
        <v>71</v>
      </c>
      <c r="C689" t="s">
        <v>47</v>
      </c>
      <c r="D689">
        <v>2228132</v>
      </c>
      <c r="E689" t="s">
        <v>53</v>
      </c>
      <c r="F689" t="s">
        <v>49</v>
      </c>
      <c r="G689" s="30">
        <v>702881.89863145701</v>
      </c>
    </row>
    <row r="690" spans="1:7" x14ac:dyDescent="0.25">
      <c r="A690" t="s">
        <v>45</v>
      </c>
      <c r="B690" t="s">
        <v>46</v>
      </c>
      <c r="C690" t="s">
        <v>47</v>
      </c>
      <c r="D690">
        <v>2229258</v>
      </c>
      <c r="E690" t="s">
        <v>48</v>
      </c>
      <c r="F690" t="s">
        <v>49</v>
      </c>
      <c r="G690" s="30">
        <v>0</v>
      </c>
    </row>
    <row r="691" spans="1:7" x14ac:dyDescent="0.25">
      <c r="A691" t="s">
        <v>70</v>
      </c>
      <c r="B691" t="s">
        <v>71</v>
      </c>
      <c r="C691" t="s">
        <v>47</v>
      </c>
      <c r="D691">
        <v>2231349</v>
      </c>
      <c r="E691" t="s">
        <v>53</v>
      </c>
      <c r="F691" t="s">
        <v>49</v>
      </c>
      <c r="G691" s="30">
        <v>6067.4</v>
      </c>
    </row>
    <row r="692" spans="1:7" x14ac:dyDescent="0.25">
      <c r="A692" t="s">
        <v>45</v>
      </c>
      <c r="B692" t="s">
        <v>46</v>
      </c>
      <c r="C692" t="s">
        <v>47</v>
      </c>
      <c r="D692">
        <v>2231427</v>
      </c>
      <c r="E692" t="s">
        <v>53</v>
      </c>
      <c r="F692" t="s">
        <v>49</v>
      </c>
      <c r="G692" s="30">
        <v>763.04</v>
      </c>
    </row>
    <row r="693" spans="1:7" x14ac:dyDescent="0.25">
      <c r="A693" t="s">
        <v>106</v>
      </c>
      <c r="B693" t="s">
        <v>107</v>
      </c>
      <c r="C693" t="s">
        <v>56</v>
      </c>
      <c r="D693">
        <v>2231980</v>
      </c>
      <c r="E693" t="s">
        <v>48</v>
      </c>
      <c r="F693" t="s">
        <v>49</v>
      </c>
      <c r="G693" s="30">
        <v>0</v>
      </c>
    </row>
    <row r="694" spans="1:7" x14ac:dyDescent="0.25">
      <c r="A694" t="s">
        <v>72</v>
      </c>
      <c r="B694" t="s">
        <v>73</v>
      </c>
      <c r="C694" t="s">
        <v>67</v>
      </c>
      <c r="D694">
        <v>2233577</v>
      </c>
      <c r="E694" t="s">
        <v>48</v>
      </c>
      <c r="F694" t="s">
        <v>49</v>
      </c>
      <c r="G694" s="30">
        <v>0</v>
      </c>
    </row>
    <row r="695" spans="1:7" x14ac:dyDescent="0.25">
      <c r="A695" t="s">
        <v>106</v>
      </c>
      <c r="B695" t="s">
        <v>107</v>
      </c>
      <c r="C695" t="s">
        <v>56</v>
      </c>
      <c r="D695">
        <v>2234146</v>
      </c>
      <c r="E695" t="s">
        <v>53</v>
      </c>
      <c r="F695" t="s">
        <v>49</v>
      </c>
      <c r="G695" s="30">
        <v>179870.84262155701</v>
      </c>
    </row>
    <row r="696" spans="1:7" x14ac:dyDescent="0.25">
      <c r="A696" t="s">
        <v>45</v>
      </c>
      <c r="B696" t="s">
        <v>46</v>
      </c>
      <c r="C696" t="s">
        <v>47</v>
      </c>
      <c r="D696">
        <v>2235954</v>
      </c>
      <c r="E696" t="s">
        <v>48</v>
      </c>
      <c r="F696" t="s">
        <v>49</v>
      </c>
      <c r="G696" s="30">
        <v>2.5099999999999998</v>
      </c>
    </row>
    <row r="697" spans="1:7" x14ac:dyDescent="0.25">
      <c r="A697" t="s">
        <v>45</v>
      </c>
      <c r="B697" t="s">
        <v>46</v>
      </c>
      <c r="C697" t="s">
        <v>47</v>
      </c>
      <c r="D697">
        <v>2235966</v>
      </c>
      <c r="E697" t="s">
        <v>48</v>
      </c>
      <c r="F697" t="s">
        <v>49</v>
      </c>
      <c r="G697" s="30">
        <v>0</v>
      </c>
    </row>
    <row r="698" spans="1:7" x14ac:dyDescent="0.25">
      <c r="A698" t="s">
        <v>120</v>
      </c>
      <c r="B698" t="s">
        <v>121</v>
      </c>
      <c r="C698" t="s">
        <v>67</v>
      </c>
      <c r="D698">
        <v>2237875</v>
      </c>
      <c r="E698" t="s">
        <v>53</v>
      </c>
      <c r="F698" t="s">
        <v>49</v>
      </c>
      <c r="G698" s="30">
        <v>296973.25649019598</v>
      </c>
    </row>
    <row r="699" spans="1:7" x14ac:dyDescent="0.25">
      <c r="A699" t="s">
        <v>106</v>
      </c>
      <c r="B699" t="s">
        <v>107</v>
      </c>
      <c r="C699" t="s">
        <v>56</v>
      </c>
      <c r="D699">
        <v>2239055</v>
      </c>
      <c r="E699" t="s">
        <v>53</v>
      </c>
      <c r="F699" t="s">
        <v>49</v>
      </c>
      <c r="G699" s="30">
        <v>281831.548779056</v>
      </c>
    </row>
    <row r="700" spans="1:7" x14ac:dyDescent="0.25">
      <c r="A700" t="s">
        <v>50</v>
      </c>
      <c r="B700" t="s">
        <v>51</v>
      </c>
      <c r="C700" t="s">
        <v>52</v>
      </c>
      <c r="D700">
        <v>2241223</v>
      </c>
      <c r="E700" t="s">
        <v>53</v>
      </c>
      <c r="F700" t="s">
        <v>49</v>
      </c>
      <c r="G700" s="30">
        <v>5727.2596715553</v>
      </c>
    </row>
    <row r="701" spans="1:7" x14ac:dyDescent="0.25">
      <c r="A701" t="s">
        <v>135</v>
      </c>
      <c r="B701" t="s">
        <v>136</v>
      </c>
      <c r="C701" t="s">
        <v>56</v>
      </c>
      <c r="D701">
        <v>2242366</v>
      </c>
      <c r="E701" t="s">
        <v>53</v>
      </c>
      <c r="F701" t="s">
        <v>49</v>
      </c>
      <c r="G701" s="30">
        <v>1394572.4441621101</v>
      </c>
    </row>
    <row r="702" spans="1:7" x14ac:dyDescent="0.25">
      <c r="A702" t="s">
        <v>54</v>
      </c>
      <c r="B702" t="s">
        <v>55</v>
      </c>
      <c r="C702" t="s">
        <v>56</v>
      </c>
      <c r="D702">
        <v>2243805</v>
      </c>
      <c r="E702" t="s">
        <v>53</v>
      </c>
      <c r="F702" t="s">
        <v>49</v>
      </c>
      <c r="G702" s="30">
        <v>342438.59085493803</v>
      </c>
    </row>
    <row r="703" spans="1:7" x14ac:dyDescent="0.25">
      <c r="A703" t="s">
        <v>45</v>
      </c>
      <c r="B703" t="s">
        <v>46</v>
      </c>
      <c r="C703" t="s">
        <v>47</v>
      </c>
      <c r="D703">
        <v>2244901</v>
      </c>
      <c r="E703" t="s">
        <v>48</v>
      </c>
      <c r="F703" t="s">
        <v>49</v>
      </c>
      <c r="G703" s="30">
        <v>0</v>
      </c>
    </row>
    <row r="704" spans="1:7" x14ac:dyDescent="0.25">
      <c r="A704" t="s">
        <v>61</v>
      </c>
      <c r="B704" t="s">
        <v>62</v>
      </c>
      <c r="C704" t="s">
        <v>56</v>
      </c>
      <c r="D704">
        <v>2246131</v>
      </c>
      <c r="E704" t="s">
        <v>53</v>
      </c>
      <c r="F704" t="s">
        <v>49</v>
      </c>
      <c r="G704" s="30">
        <v>24442.33</v>
      </c>
    </row>
    <row r="705" spans="1:7" x14ac:dyDescent="0.25">
      <c r="A705" t="s">
        <v>65</v>
      </c>
      <c r="B705" t="s">
        <v>66</v>
      </c>
      <c r="C705" t="s">
        <v>67</v>
      </c>
      <c r="D705">
        <v>2246415</v>
      </c>
      <c r="E705" t="s">
        <v>53</v>
      </c>
      <c r="F705" t="s">
        <v>49</v>
      </c>
      <c r="G705" s="30">
        <v>64292.76</v>
      </c>
    </row>
    <row r="706" spans="1:7" x14ac:dyDescent="0.25">
      <c r="A706" t="s">
        <v>148</v>
      </c>
      <c r="B706" t="s">
        <v>149</v>
      </c>
      <c r="C706" t="s">
        <v>56</v>
      </c>
      <c r="D706">
        <v>2246508</v>
      </c>
      <c r="E706" t="s">
        <v>48</v>
      </c>
      <c r="F706" t="s">
        <v>49</v>
      </c>
      <c r="G706" s="30">
        <v>0</v>
      </c>
    </row>
    <row r="707" spans="1:7" x14ac:dyDescent="0.25">
      <c r="A707" t="s">
        <v>45</v>
      </c>
      <c r="B707" t="s">
        <v>46</v>
      </c>
      <c r="C707" t="s">
        <v>47</v>
      </c>
      <c r="D707">
        <v>2247673</v>
      </c>
      <c r="E707" t="s">
        <v>48</v>
      </c>
      <c r="F707" t="s">
        <v>49</v>
      </c>
      <c r="G707" s="30">
        <v>0</v>
      </c>
    </row>
    <row r="708" spans="1:7" x14ac:dyDescent="0.25">
      <c r="A708" t="s">
        <v>86</v>
      </c>
      <c r="B708" t="s">
        <v>87</v>
      </c>
      <c r="C708" t="s">
        <v>78</v>
      </c>
      <c r="D708">
        <v>2247882</v>
      </c>
      <c r="E708" t="s">
        <v>53</v>
      </c>
      <c r="F708" t="s">
        <v>49</v>
      </c>
      <c r="G708" s="30">
        <v>1419789.6445637301</v>
      </c>
    </row>
    <row r="709" spans="1:7" x14ac:dyDescent="0.25">
      <c r="A709" t="s">
        <v>50</v>
      </c>
      <c r="B709" t="s">
        <v>51</v>
      </c>
      <c r="C709" t="s">
        <v>52</v>
      </c>
      <c r="D709">
        <v>2248393</v>
      </c>
      <c r="E709" t="s">
        <v>53</v>
      </c>
      <c r="F709" t="s">
        <v>49</v>
      </c>
      <c r="G709" s="30">
        <v>391.395165041854</v>
      </c>
    </row>
    <row r="710" spans="1:7" x14ac:dyDescent="0.25">
      <c r="A710" t="s">
        <v>122</v>
      </c>
      <c r="B710" t="s">
        <v>123</v>
      </c>
      <c r="C710" t="s">
        <v>52</v>
      </c>
      <c r="D710">
        <v>2249606</v>
      </c>
      <c r="E710" t="s">
        <v>53</v>
      </c>
      <c r="F710" t="s">
        <v>49</v>
      </c>
      <c r="G710" s="30">
        <v>167880.68400589199</v>
      </c>
    </row>
    <row r="711" spans="1:7" x14ac:dyDescent="0.25">
      <c r="A711" t="s">
        <v>50</v>
      </c>
      <c r="B711" t="s">
        <v>51</v>
      </c>
      <c r="C711" t="s">
        <v>52</v>
      </c>
      <c r="D711">
        <v>2250552</v>
      </c>
      <c r="E711" t="s">
        <v>53</v>
      </c>
      <c r="F711" t="s">
        <v>49</v>
      </c>
      <c r="G711" s="30">
        <v>7414.41</v>
      </c>
    </row>
    <row r="712" spans="1:7" x14ac:dyDescent="0.25">
      <c r="A712" t="s">
        <v>120</v>
      </c>
      <c r="B712" t="s">
        <v>121</v>
      </c>
      <c r="C712" t="s">
        <v>67</v>
      </c>
      <c r="D712">
        <v>2251265</v>
      </c>
      <c r="E712" t="s">
        <v>53</v>
      </c>
      <c r="F712" t="s">
        <v>49</v>
      </c>
      <c r="G712" s="30">
        <v>453906.77897771099</v>
      </c>
    </row>
    <row r="713" spans="1:7" x14ac:dyDescent="0.25">
      <c r="A713" t="s">
        <v>50</v>
      </c>
      <c r="B713" t="s">
        <v>51</v>
      </c>
      <c r="C713" t="s">
        <v>52</v>
      </c>
      <c r="D713">
        <v>2252188</v>
      </c>
      <c r="E713" t="s">
        <v>53</v>
      </c>
      <c r="F713" t="s">
        <v>49</v>
      </c>
      <c r="G713" s="30">
        <v>34600.133859765403</v>
      </c>
    </row>
    <row r="714" spans="1:7" x14ac:dyDescent="0.25">
      <c r="A714" t="s">
        <v>90</v>
      </c>
      <c r="B714" t="s">
        <v>91</v>
      </c>
      <c r="C714" t="s">
        <v>81</v>
      </c>
      <c r="D714">
        <v>2252289</v>
      </c>
      <c r="E714" t="s">
        <v>53</v>
      </c>
      <c r="F714" t="s">
        <v>49</v>
      </c>
      <c r="G714" s="30">
        <v>98706.435111994404</v>
      </c>
    </row>
    <row r="715" spans="1:7" x14ac:dyDescent="0.25">
      <c r="A715" t="s">
        <v>45</v>
      </c>
      <c r="B715" t="s">
        <v>46</v>
      </c>
      <c r="C715" t="s">
        <v>47</v>
      </c>
      <c r="D715">
        <v>2253402</v>
      </c>
      <c r="E715" t="s">
        <v>48</v>
      </c>
      <c r="F715" t="s">
        <v>49</v>
      </c>
      <c r="G715" s="30">
        <v>0</v>
      </c>
    </row>
    <row r="716" spans="1:7" x14ac:dyDescent="0.25">
      <c r="A716" t="s">
        <v>112</v>
      </c>
      <c r="B716" t="s">
        <v>113</v>
      </c>
      <c r="C716" t="s">
        <v>81</v>
      </c>
      <c r="D716">
        <v>2253531</v>
      </c>
      <c r="E716" t="s">
        <v>53</v>
      </c>
      <c r="F716" t="s">
        <v>49</v>
      </c>
      <c r="G716" s="30">
        <v>1031104.9754296599</v>
      </c>
    </row>
    <row r="717" spans="1:7" x14ac:dyDescent="0.25">
      <c r="A717" t="s">
        <v>114</v>
      </c>
      <c r="B717" t="s">
        <v>115</v>
      </c>
      <c r="C717" t="s">
        <v>56</v>
      </c>
      <c r="D717">
        <v>2258386</v>
      </c>
      <c r="E717" t="s">
        <v>48</v>
      </c>
      <c r="F717" t="s">
        <v>49</v>
      </c>
      <c r="G717" s="30">
        <v>0</v>
      </c>
    </row>
    <row r="718" spans="1:7" x14ac:dyDescent="0.25">
      <c r="A718" t="s">
        <v>63</v>
      </c>
      <c r="B718" t="s">
        <v>64</v>
      </c>
      <c r="C718" t="s">
        <v>56</v>
      </c>
      <c r="D718">
        <v>2258989</v>
      </c>
      <c r="E718" t="s">
        <v>53</v>
      </c>
      <c r="F718" t="s">
        <v>49</v>
      </c>
      <c r="G718" s="30">
        <v>642938.94063568395</v>
      </c>
    </row>
    <row r="719" spans="1:7" x14ac:dyDescent="0.25">
      <c r="A719" t="s">
        <v>65</v>
      </c>
      <c r="B719" t="s">
        <v>66</v>
      </c>
      <c r="C719" t="s">
        <v>67</v>
      </c>
      <c r="D719">
        <v>2259163</v>
      </c>
      <c r="E719" t="s">
        <v>53</v>
      </c>
      <c r="F719" t="s">
        <v>49</v>
      </c>
      <c r="G719" s="30">
        <v>1538199.6153728501</v>
      </c>
    </row>
    <row r="720" spans="1:7" x14ac:dyDescent="0.25">
      <c r="A720" t="s">
        <v>45</v>
      </c>
      <c r="B720" t="s">
        <v>46</v>
      </c>
      <c r="C720" t="s">
        <v>47</v>
      </c>
      <c r="D720">
        <v>2260934</v>
      </c>
      <c r="E720" t="s">
        <v>48</v>
      </c>
      <c r="F720" t="s">
        <v>49</v>
      </c>
      <c r="G720" s="30">
        <v>0</v>
      </c>
    </row>
    <row r="721" spans="1:7" x14ac:dyDescent="0.25">
      <c r="A721" t="s">
        <v>104</v>
      </c>
      <c r="B721" t="s">
        <v>105</v>
      </c>
      <c r="C721" t="s">
        <v>78</v>
      </c>
      <c r="D721">
        <v>2261581</v>
      </c>
      <c r="E721" t="s">
        <v>53</v>
      </c>
      <c r="F721" t="s">
        <v>49</v>
      </c>
      <c r="G721" s="30">
        <v>232901.86</v>
      </c>
    </row>
    <row r="722" spans="1:7" x14ac:dyDescent="0.25">
      <c r="A722" t="s">
        <v>45</v>
      </c>
      <c r="B722" t="s">
        <v>46</v>
      </c>
      <c r="C722" t="s">
        <v>47</v>
      </c>
      <c r="D722">
        <v>2264739</v>
      </c>
      <c r="E722" t="s">
        <v>53</v>
      </c>
      <c r="F722" t="s">
        <v>49</v>
      </c>
      <c r="G722" s="30">
        <v>27388.0127543665</v>
      </c>
    </row>
    <row r="723" spans="1:7" x14ac:dyDescent="0.25">
      <c r="A723" t="s">
        <v>45</v>
      </c>
      <c r="B723" t="s">
        <v>46</v>
      </c>
      <c r="C723" t="s">
        <v>47</v>
      </c>
      <c r="D723">
        <v>2266780</v>
      </c>
      <c r="E723" t="s">
        <v>48</v>
      </c>
      <c r="F723" t="s">
        <v>49</v>
      </c>
      <c r="G723" s="30">
        <v>0</v>
      </c>
    </row>
    <row r="724" spans="1:7" x14ac:dyDescent="0.25">
      <c r="A724" t="s">
        <v>50</v>
      </c>
      <c r="B724" t="s">
        <v>51</v>
      </c>
      <c r="C724" t="s">
        <v>52</v>
      </c>
      <c r="D724">
        <v>2267246</v>
      </c>
      <c r="E724" t="s">
        <v>48</v>
      </c>
      <c r="F724" t="s">
        <v>49</v>
      </c>
      <c r="G724" s="30">
        <v>0</v>
      </c>
    </row>
    <row r="725" spans="1:7" x14ac:dyDescent="0.25">
      <c r="A725" t="s">
        <v>45</v>
      </c>
      <c r="B725" t="s">
        <v>46</v>
      </c>
      <c r="C725" t="s">
        <v>47</v>
      </c>
      <c r="D725">
        <v>2268422</v>
      </c>
      <c r="E725" t="s">
        <v>48</v>
      </c>
      <c r="F725" t="s">
        <v>49</v>
      </c>
      <c r="G725" s="30">
        <v>0</v>
      </c>
    </row>
    <row r="726" spans="1:7" x14ac:dyDescent="0.25">
      <c r="A726" t="s">
        <v>50</v>
      </c>
      <c r="B726" t="s">
        <v>51</v>
      </c>
      <c r="C726" t="s">
        <v>52</v>
      </c>
      <c r="D726">
        <v>2268727</v>
      </c>
      <c r="E726" t="s">
        <v>53</v>
      </c>
      <c r="F726" t="s">
        <v>49</v>
      </c>
      <c r="G726" s="30">
        <v>43972.0746096285</v>
      </c>
    </row>
    <row r="727" spans="1:7" x14ac:dyDescent="0.25">
      <c r="A727" t="s">
        <v>45</v>
      </c>
      <c r="B727" t="s">
        <v>46</v>
      </c>
      <c r="C727" t="s">
        <v>47</v>
      </c>
      <c r="D727">
        <v>2270678</v>
      </c>
      <c r="E727" t="s">
        <v>53</v>
      </c>
      <c r="F727" t="s">
        <v>49</v>
      </c>
      <c r="G727" s="30">
        <v>101203.19</v>
      </c>
    </row>
    <row r="728" spans="1:7" x14ac:dyDescent="0.25">
      <c r="A728" t="s">
        <v>45</v>
      </c>
      <c r="B728" t="s">
        <v>46</v>
      </c>
      <c r="C728" t="s">
        <v>47</v>
      </c>
      <c r="D728">
        <v>2271375</v>
      </c>
      <c r="E728" t="s">
        <v>48</v>
      </c>
      <c r="F728" t="s">
        <v>49</v>
      </c>
      <c r="G728" s="30">
        <v>0</v>
      </c>
    </row>
    <row r="729" spans="1:7" x14ac:dyDescent="0.25">
      <c r="A729" t="s">
        <v>45</v>
      </c>
      <c r="B729" t="s">
        <v>46</v>
      </c>
      <c r="C729" t="s">
        <v>47</v>
      </c>
      <c r="D729">
        <v>2272237</v>
      </c>
      <c r="E729" t="s">
        <v>48</v>
      </c>
      <c r="F729" t="s">
        <v>49</v>
      </c>
      <c r="G729" s="30">
        <v>0</v>
      </c>
    </row>
    <row r="730" spans="1:7" x14ac:dyDescent="0.25">
      <c r="A730" t="s">
        <v>65</v>
      </c>
      <c r="B730" t="s">
        <v>66</v>
      </c>
      <c r="C730" t="s">
        <v>67</v>
      </c>
      <c r="D730">
        <v>2272527</v>
      </c>
      <c r="E730" t="s">
        <v>53</v>
      </c>
      <c r="F730" t="s">
        <v>49</v>
      </c>
      <c r="G730" s="30">
        <v>2765147.00631407</v>
      </c>
    </row>
    <row r="731" spans="1:7" x14ac:dyDescent="0.25">
      <c r="A731" t="s">
        <v>45</v>
      </c>
      <c r="B731" t="s">
        <v>46</v>
      </c>
      <c r="C731" t="s">
        <v>47</v>
      </c>
      <c r="D731">
        <v>2276458</v>
      </c>
      <c r="E731" t="s">
        <v>48</v>
      </c>
      <c r="F731" t="s">
        <v>49</v>
      </c>
      <c r="G731" s="30">
        <v>0</v>
      </c>
    </row>
    <row r="732" spans="1:7" x14ac:dyDescent="0.25">
      <c r="A732" t="s">
        <v>114</v>
      </c>
      <c r="B732" t="s">
        <v>115</v>
      </c>
      <c r="C732" t="s">
        <v>56</v>
      </c>
      <c r="D732">
        <v>2278347</v>
      </c>
      <c r="E732" t="s">
        <v>53</v>
      </c>
      <c r="F732" t="s">
        <v>49</v>
      </c>
      <c r="G732" s="30">
        <v>5396.76712890625</v>
      </c>
    </row>
    <row r="733" spans="1:7" x14ac:dyDescent="0.25">
      <c r="A733" t="s">
        <v>133</v>
      </c>
      <c r="B733" t="s">
        <v>134</v>
      </c>
      <c r="C733" t="s">
        <v>47</v>
      </c>
      <c r="D733">
        <v>2279460</v>
      </c>
      <c r="E733" t="s">
        <v>48</v>
      </c>
      <c r="F733" t="s">
        <v>49</v>
      </c>
      <c r="G733" s="30">
        <v>0</v>
      </c>
    </row>
    <row r="734" spans="1:7" x14ac:dyDescent="0.25">
      <c r="A734" t="s">
        <v>126</v>
      </c>
      <c r="B734" t="s">
        <v>127</v>
      </c>
      <c r="C734" t="s">
        <v>67</v>
      </c>
      <c r="D734">
        <v>2279597</v>
      </c>
      <c r="E734" t="s">
        <v>53</v>
      </c>
      <c r="F734" t="s">
        <v>49</v>
      </c>
      <c r="G734" s="30">
        <v>75911.732700987006</v>
      </c>
    </row>
    <row r="735" spans="1:7" x14ac:dyDescent="0.25">
      <c r="A735" t="s">
        <v>50</v>
      </c>
      <c r="B735" t="s">
        <v>51</v>
      </c>
      <c r="C735" t="s">
        <v>52</v>
      </c>
      <c r="D735">
        <v>2280972</v>
      </c>
      <c r="E735" t="s">
        <v>53</v>
      </c>
      <c r="F735" t="s">
        <v>49</v>
      </c>
      <c r="G735" s="30">
        <v>40.96</v>
      </c>
    </row>
    <row r="736" spans="1:7" x14ac:dyDescent="0.25">
      <c r="A736" t="s">
        <v>61</v>
      </c>
      <c r="B736" t="s">
        <v>62</v>
      </c>
      <c r="C736" t="s">
        <v>56</v>
      </c>
      <c r="D736">
        <v>2281677</v>
      </c>
      <c r="E736" t="s">
        <v>53</v>
      </c>
      <c r="F736" t="s">
        <v>49</v>
      </c>
      <c r="G736" s="30">
        <v>888410.13976325595</v>
      </c>
    </row>
    <row r="737" spans="1:7" x14ac:dyDescent="0.25">
      <c r="A737" t="s">
        <v>72</v>
      </c>
      <c r="B737" t="s">
        <v>73</v>
      </c>
      <c r="C737" t="s">
        <v>67</v>
      </c>
      <c r="D737">
        <v>2282856</v>
      </c>
      <c r="E737" t="s">
        <v>48</v>
      </c>
      <c r="F737" t="s">
        <v>49</v>
      </c>
      <c r="G737" s="30">
        <v>0</v>
      </c>
    </row>
    <row r="738" spans="1:7" x14ac:dyDescent="0.25">
      <c r="A738" t="s">
        <v>45</v>
      </c>
      <c r="B738" t="s">
        <v>46</v>
      </c>
      <c r="C738" t="s">
        <v>47</v>
      </c>
      <c r="D738">
        <v>2283247</v>
      </c>
      <c r="E738" t="s">
        <v>53</v>
      </c>
      <c r="F738" t="s">
        <v>49</v>
      </c>
      <c r="G738" s="30">
        <v>137.72999999999999</v>
      </c>
    </row>
    <row r="739" spans="1:7" x14ac:dyDescent="0.25">
      <c r="A739" t="s">
        <v>116</v>
      </c>
      <c r="B739" t="s">
        <v>117</v>
      </c>
      <c r="C739" t="s">
        <v>47</v>
      </c>
      <c r="D739">
        <v>2285992</v>
      </c>
      <c r="E739" t="s">
        <v>53</v>
      </c>
      <c r="F739" t="s">
        <v>49</v>
      </c>
      <c r="G739" s="30">
        <v>219283.42897554301</v>
      </c>
    </row>
    <row r="740" spans="1:7" x14ac:dyDescent="0.25">
      <c r="A740" t="s">
        <v>133</v>
      </c>
      <c r="B740" t="s">
        <v>134</v>
      </c>
      <c r="C740" t="s">
        <v>47</v>
      </c>
      <c r="D740">
        <v>2286198</v>
      </c>
      <c r="E740" t="s">
        <v>53</v>
      </c>
      <c r="F740" t="s">
        <v>49</v>
      </c>
      <c r="G740" s="30">
        <v>345442.745</v>
      </c>
    </row>
    <row r="741" spans="1:7" x14ac:dyDescent="0.25">
      <c r="A741" t="s">
        <v>45</v>
      </c>
      <c r="B741" t="s">
        <v>46</v>
      </c>
      <c r="C741" t="s">
        <v>47</v>
      </c>
      <c r="D741">
        <v>2287646</v>
      </c>
      <c r="E741" t="s">
        <v>48</v>
      </c>
      <c r="F741" t="s">
        <v>49</v>
      </c>
      <c r="G741" s="30">
        <v>0</v>
      </c>
    </row>
    <row r="742" spans="1:7" x14ac:dyDescent="0.25">
      <c r="A742" t="s">
        <v>45</v>
      </c>
      <c r="B742" t="s">
        <v>46</v>
      </c>
      <c r="C742" t="s">
        <v>47</v>
      </c>
      <c r="D742">
        <v>2289286</v>
      </c>
      <c r="E742" t="s">
        <v>53</v>
      </c>
      <c r="F742" t="s">
        <v>49</v>
      </c>
      <c r="G742" s="30">
        <v>124297.999514668</v>
      </c>
    </row>
    <row r="743" spans="1:7" x14ac:dyDescent="0.25">
      <c r="A743" t="s">
        <v>133</v>
      </c>
      <c r="B743" t="s">
        <v>134</v>
      </c>
      <c r="C743" t="s">
        <v>47</v>
      </c>
      <c r="D743">
        <v>2290372</v>
      </c>
      <c r="E743" t="s">
        <v>53</v>
      </c>
      <c r="F743" t="s">
        <v>49</v>
      </c>
      <c r="G743" s="30">
        <v>358067.18086090498</v>
      </c>
    </row>
    <row r="744" spans="1:7" x14ac:dyDescent="0.25">
      <c r="A744" t="s">
        <v>45</v>
      </c>
      <c r="B744" t="s">
        <v>46</v>
      </c>
      <c r="C744" t="s">
        <v>47</v>
      </c>
      <c r="D744">
        <v>2292294</v>
      </c>
      <c r="E744" t="s">
        <v>48</v>
      </c>
      <c r="F744" t="s">
        <v>49</v>
      </c>
      <c r="G744" s="30">
        <v>96.99</v>
      </c>
    </row>
    <row r="745" spans="1:7" x14ac:dyDescent="0.25">
      <c r="A745" t="s">
        <v>86</v>
      </c>
      <c r="B745" t="s">
        <v>87</v>
      </c>
      <c r="C745" t="s">
        <v>78</v>
      </c>
      <c r="D745">
        <v>2294450</v>
      </c>
      <c r="E745" t="s">
        <v>53</v>
      </c>
      <c r="F745" t="s">
        <v>49</v>
      </c>
      <c r="G745" s="30">
        <v>234739.227972169</v>
      </c>
    </row>
    <row r="746" spans="1:7" x14ac:dyDescent="0.25">
      <c r="A746" t="s">
        <v>45</v>
      </c>
      <c r="B746" t="s">
        <v>46</v>
      </c>
      <c r="C746" t="s">
        <v>47</v>
      </c>
      <c r="D746">
        <v>2296555</v>
      </c>
      <c r="E746" t="s">
        <v>53</v>
      </c>
      <c r="F746" t="s">
        <v>49</v>
      </c>
      <c r="G746" s="30">
        <v>133.51</v>
      </c>
    </row>
    <row r="747" spans="1:7" x14ac:dyDescent="0.25">
      <c r="A747" t="s">
        <v>96</v>
      </c>
      <c r="B747" t="s">
        <v>97</v>
      </c>
      <c r="C747" t="s">
        <v>81</v>
      </c>
      <c r="D747">
        <v>2296579</v>
      </c>
      <c r="E747" t="s">
        <v>53</v>
      </c>
      <c r="F747" t="s">
        <v>49</v>
      </c>
      <c r="G747" s="30">
        <v>23068.688528602499</v>
      </c>
    </row>
    <row r="748" spans="1:7" x14ac:dyDescent="0.25">
      <c r="A748" t="s">
        <v>88</v>
      </c>
      <c r="B748" t="s">
        <v>89</v>
      </c>
      <c r="C748" t="s">
        <v>78</v>
      </c>
      <c r="D748">
        <v>2297105</v>
      </c>
      <c r="E748" t="s">
        <v>53</v>
      </c>
      <c r="F748" t="s">
        <v>49</v>
      </c>
      <c r="G748" s="30">
        <v>165320.89184704999</v>
      </c>
    </row>
    <row r="749" spans="1:7" x14ac:dyDescent="0.25">
      <c r="A749" t="s">
        <v>45</v>
      </c>
      <c r="B749" t="s">
        <v>46</v>
      </c>
      <c r="C749" t="s">
        <v>47</v>
      </c>
      <c r="D749">
        <v>2298524</v>
      </c>
      <c r="E749" t="s">
        <v>48</v>
      </c>
      <c r="F749" t="s">
        <v>49</v>
      </c>
      <c r="G749" s="30">
        <v>0</v>
      </c>
    </row>
    <row r="750" spans="1:7" x14ac:dyDescent="0.25">
      <c r="A750" t="s">
        <v>45</v>
      </c>
      <c r="B750" t="s">
        <v>46</v>
      </c>
      <c r="C750" t="s">
        <v>47</v>
      </c>
      <c r="D750">
        <v>2300960</v>
      </c>
      <c r="E750" t="s">
        <v>48</v>
      </c>
      <c r="F750" t="s">
        <v>49</v>
      </c>
      <c r="G750" s="30">
        <v>0</v>
      </c>
    </row>
    <row r="751" spans="1:7" x14ac:dyDescent="0.25">
      <c r="A751" t="s">
        <v>120</v>
      </c>
      <c r="B751" t="s">
        <v>121</v>
      </c>
      <c r="C751" t="s">
        <v>67</v>
      </c>
      <c r="D751">
        <v>2301541</v>
      </c>
      <c r="E751" t="s">
        <v>53</v>
      </c>
      <c r="F751" t="s">
        <v>49</v>
      </c>
      <c r="G751" s="30">
        <v>365592.58626188099</v>
      </c>
    </row>
    <row r="752" spans="1:7" x14ac:dyDescent="0.25">
      <c r="A752" t="s">
        <v>45</v>
      </c>
      <c r="B752" t="s">
        <v>46</v>
      </c>
      <c r="C752" t="s">
        <v>47</v>
      </c>
      <c r="D752">
        <v>2304047</v>
      </c>
      <c r="E752" t="s">
        <v>48</v>
      </c>
      <c r="F752" t="s">
        <v>49</v>
      </c>
      <c r="G752" s="30">
        <v>0</v>
      </c>
    </row>
    <row r="753" spans="1:7" x14ac:dyDescent="0.25">
      <c r="A753" t="s">
        <v>50</v>
      </c>
      <c r="B753" t="s">
        <v>51</v>
      </c>
      <c r="C753" t="s">
        <v>52</v>
      </c>
      <c r="D753">
        <v>2304363</v>
      </c>
      <c r="E753" t="s">
        <v>53</v>
      </c>
      <c r="F753" t="s">
        <v>49</v>
      </c>
      <c r="G753" s="30">
        <v>15220.6185153842</v>
      </c>
    </row>
    <row r="754" spans="1:7" x14ac:dyDescent="0.25">
      <c r="A754" t="s">
        <v>50</v>
      </c>
      <c r="B754" t="s">
        <v>51</v>
      </c>
      <c r="C754" t="s">
        <v>52</v>
      </c>
      <c r="D754">
        <v>2305669</v>
      </c>
      <c r="E754" t="s">
        <v>48</v>
      </c>
      <c r="F754" t="s">
        <v>49</v>
      </c>
      <c r="G754" s="30">
        <v>0</v>
      </c>
    </row>
    <row r="755" spans="1:7" x14ac:dyDescent="0.25">
      <c r="A755" t="s">
        <v>128</v>
      </c>
      <c r="B755" t="s">
        <v>129</v>
      </c>
      <c r="C755" t="s">
        <v>130</v>
      </c>
      <c r="D755">
        <v>2306018</v>
      </c>
      <c r="E755" t="s">
        <v>53</v>
      </c>
      <c r="F755" t="s">
        <v>49</v>
      </c>
      <c r="G755" s="30">
        <v>1148801.76799488</v>
      </c>
    </row>
    <row r="756" spans="1:7" x14ac:dyDescent="0.25">
      <c r="A756" t="s">
        <v>45</v>
      </c>
      <c r="B756" t="s">
        <v>46</v>
      </c>
      <c r="C756" t="s">
        <v>47</v>
      </c>
      <c r="D756">
        <v>2309320</v>
      </c>
      <c r="E756" t="s">
        <v>48</v>
      </c>
      <c r="F756" t="s">
        <v>49</v>
      </c>
      <c r="G756" s="30">
        <v>0</v>
      </c>
    </row>
    <row r="757" spans="1:7" x14ac:dyDescent="0.25">
      <c r="A757" t="s">
        <v>45</v>
      </c>
      <c r="B757" t="s">
        <v>46</v>
      </c>
      <c r="C757" t="s">
        <v>47</v>
      </c>
      <c r="D757">
        <v>2310510</v>
      </c>
      <c r="E757" t="s">
        <v>48</v>
      </c>
      <c r="F757" t="s">
        <v>49</v>
      </c>
      <c r="G757" s="30">
        <v>0</v>
      </c>
    </row>
    <row r="758" spans="1:7" x14ac:dyDescent="0.25">
      <c r="A758" t="s">
        <v>72</v>
      </c>
      <c r="B758" t="s">
        <v>73</v>
      </c>
      <c r="C758" t="s">
        <v>67</v>
      </c>
      <c r="D758">
        <v>2312772</v>
      </c>
      <c r="E758" t="s">
        <v>53</v>
      </c>
      <c r="F758" t="s">
        <v>49</v>
      </c>
      <c r="G758" s="30">
        <v>36818.2890625</v>
      </c>
    </row>
    <row r="759" spans="1:7" x14ac:dyDescent="0.25">
      <c r="A759" t="s">
        <v>45</v>
      </c>
      <c r="B759" t="s">
        <v>46</v>
      </c>
      <c r="C759" t="s">
        <v>47</v>
      </c>
      <c r="D759">
        <v>2313839</v>
      </c>
      <c r="E759" t="s">
        <v>53</v>
      </c>
      <c r="F759" t="s">
        <v>49</v>
      </c>
      <c r="G759" s="30">
        <v>79445.700800324499</v>
      </c>
    </row>
    <row r="760" spans="1:7" x14ac:dyDescent="0.25">
      <c r="A760" t="s">
        <v>45</v>
      </c>
      <c r="B760" t="s">
        <v>46</v>
      </c>
      <c r="C760" t="s">
        <v>47</v>
      </c>
      <c r="D760">
        <v>2314102</v>
      </c>
      <c r="E760" t="s">
        <v>48</v>
      </c>
      <c r="F760" t="s">
        <v>49</v>
      </c>
      <c r="G760" s="30">
        <v>0</v>
      </c>
    </row>
    <row r="761" spans="1:7" x14ac:dyDescent="0.25">
      <c r="A761" t="s">
        <v>45</v>
      </c>
      <c r="B761" t="s">
        <v>46</v>
      </c>
      <c r="C761" t="s">
        <v>47</v>
      </c>
      <c r="D761">
        <v>2316972</v>
      </c>
      <c r="E761" t="s">
        <v>48</v>
      </c>
      <c r="F761" t="s">
        <v>49</v>
      </c>
      <c r="G761" s="30">
        <v>0</v>
      </c>
    </row>
    <row r="762" spans="1:7" x14ac:dyDescent="0.25">
      <c r="A762" t="s">
        <v>88</v>
      </c>
      <c r="B762" t="s">
        <v>89</v>
      </c>
      <c r="C762" t="s">
        <v>78</v>
      </c>
      <c r="D762">
        <v>2318399</v>
      </c>
      <c r="E762" t="s">
        <v>53</v>
      </c>
      <c r="F762" t="s">
        <v>49</v>
      </c>
      <c r="G762" s="30">
        <v>156634.415897778</v>
      </c>
    </row>
    <row r="763" spans="1:7" x14ac:dyDescent="0.25">
      <c r="A763" t="s">
        <v>116</v>
      </c>
      <c r="B763" t="s">
        <v>117</v>
      </c>
      <c r="C763" t="s">
        <v>47</v>
      </c>
      <c r="D763">
        <v>2318437</v>
      </c>
      <c r="E763" t="s">
        <v>53</v>
      </c>
      <c r="F763" t="s">
        <v>49</v>
      </c>
      <c r="G763" s="30">
        <v>448136.147401075</v>
      </c>
    </row>
    <row r="764" spans="1:7" x14ac:dyDescent="0.25">
      <c r="A764" t="s">
        <v>92</v>
      </c>
      <c r="B764" t="s">
        <v>93</v>
      </c>
      <c r="C764" t="s">
        <v>81</v>
      </c>
      <c r="D764">
        <v>2318464</v>
      </c>
      <c r="E764" t="s">
        <v>53</v>
      </c>
      <c r="F764" t="s">
        <v>49</v>
      </c>
      <c r="G764" s="30">
        <v>110247.709519494</v>
      </c>
    </row>
    <row r="765" spans="1:7" x14ac:dyDescent="0.25">
      <c r="A765" t="s">
        <v>50</v>
      </c>
      <c r="B765" t="s">
        <v>51</v>
      </c>
      <c r="C765" t="s">
        <v>52</v>
      </c>
      <c r="D765">
        <v>2319420</v>
      </c>
      <c r="E765" t="s">
        <v>53</v>
      </c>
      <c r="F765" t="s">
        <v>49</v>
      </c>
      <c r="G765" s="30">
        <v>88524.780970306601</v>
      </c>
    </row>
    <row r="766" spans="1:7" x14ac:dyDescent="0.25">
      <c r="A766" t="s">
        <v>45</v>
      </c>
      <c r="B766" t="s">
        <v>46</v>
      </c>
      <c r="C766" t="s">
        <v>47</v>
      </c>
      <c r="D766">
        <v>2320080</v>
      </c>
      <c r="E766" t="s">
        <v>53</v>
      </c>
      <c r="F766" t="s">
        <v>49</v>
      </c>
      <c r="G766" s="30">
        <v>89.396122783724806</v>
      </c>
    </row>
    <row r="767" spans="1:7" x14ac:dyDescent="0.25">
      <c r="A767" t="s">
        <v>61</v>
      </c>
      <c r="B767" t="s">
        <v>62</v>
      </c>
      <c r="C767" t="s">
        <v>56</v>
      </c>
      <c r="D767">
        <v>2320357</v>
      </c>
      <c r="E767" t="s">
        <v>53</v>
      </c>
      <c r="F767" t="s">
        <v>49</v>
      </c>
      <c r="G767" s="30">
        <v>33319.9699072597</v>
      </c>
    </row>
    <row r="768" spans="1:7" x14ac:dyDescent="0.25">
      <c r="A768" t="s">
        <v>116</v>
      </c>
      <c r="B768" t="s">
        <v>117</v>
      </c>
      <c r="C768" t="s">
        <v>47</v>
      </c>
      <c r="D768">
        <v>2323988</v>
      </c>
      <c r="E768" t="s">
        <v>53</v>
      </c>
      <c r="F768" t="s">
        <v>49</v>
      </c>
      <c r="G768" s="30">
        <v>501430.28514938999</v>
      </c>
    </row>
    <row r="769" spans="1:7" x14ac:dyDescent="0.25">
      <c r="A769" t="s">
        <v>45</v>
      </c>
      <c r="B769" t="s">
        <v>46</v>
      </c>
      <c r="C769" t="s">
        <v>47</v>
      </c>
      <c r="D769">
        <v>2324278</v>
      </c>
      <c r="E769" t="s">
        <v>53</v>
      </c>
      <c r="F769" t="s">
        <v>49</v>
      </c>
      <c r="G769" s="30">
        <v>32295.710078125001</v>
      </c>
    </row>
    <row r="770" spans="1:7" x14ac:dyDescent="0.25">
      <c r="A770" t="s">
        <v>45</v>
      </c>
      <c r="B770" t="s">
        <v>46</v>
      </c>
      <c r="C770" t="s">
        <v>47</v>
      </c>
      <c r="D770">
        <v>2324774</v>
      </c>
      <c r="E770" t="s">
        <v>48</v>
      </c>
      <c r="F770" t="s">
        <v>49</v>
      </c>
      <c r="G770" s="30">
        <v>0</v>
      </c>
    </row>
    <row r="771" spans="1:7" x14ac:dyDescent="0.25">
      <c r="A771" t="s">
        <v>50</v>
      </c>
      <c r="B771" t="s">
        <v>51</v>
      </c>
      <c r="C771" t="s">
        <v>52</v>
      </c>
      <c r="D771">
        <v>2331119</v>
      </c>
      <c r="E771" t="s">
        <v>53</v>
      </c>
      <c r="F771" t="s">
        <v>49</v>
      </c>
      <c r="G771" s="30">
        <v>25807.055855340801</v>
      </c>
    </row>
    <row r="772" spans="1:7" x14ac:dyDescent="0.25">
      <c r="A772" t="s">
        <v>50</v>
      </c>
      <c r="B772" t="s">
        <v>51</v>
      </c>
      <c r="C772" t="s">
        <v>52</v>
      </c>
      <c r="D772">
        <v>2332537</v>
      </c>
      <c r="E772" t="s">
        <v>53</v>
      </c>
      <c r="F772" t="s">
        <v>49</v>
      </c>
      <c r="G772" s="30">
        <v>16153.299779524201</v>
      </c>
    </row>
    <row r="773" spans="1:7" x14ac:dyDescent="0.25">
      <c r="A773" t="s">
        <v>45</v>
      </c>
      <c r="B773" t="s">
        <v>46</v>
      </c>
      <c r="C773" t="s">
        <v>47</v>
      </c>
      <c r="D773">
        <v>2333169</v>
      </c>
      <c r="E773" t="s">
        <v>48</v>
      </c>
      <c r="F773" t="s">
        <v>49</v>
      </c>
      <c r="G773" s="30">
        <v>0</v>
      </c>
    </row>
    <row r="774" spans="1:7" x14ac:dyDescent="0.25">
      <c r="A774" t="s">
        <v>72</v>
      </c>
      <c r="B774" t="s">
        <v>73</v>
      </c>
      <c r="C774" t="s">
        <v>67</v>
      </c>
      <c r="D774">
        <v>2333291</v>
      </c>
      <c r="E774" t="s">
        <v>53</v>
      </c>
      <c r="F774" t="s">
        <v>49</v>
      </c>
      <c r="G774" s="30">
        <v>855524.29</v>
      </c>
    </row>
    <row r="775" spans="1:7" x14ac:dyDescent="0.25">
      <c r="A775" t="s">
        <v>133</v>
      </c>
      <c r="B775" t="s">
        <v>134</v>
      </c>
      <c r="C775" t="s">
        <v>47</v>
      </c>
      <c r="D775">
        <v>2334322</v>
      </c>
      <c r="E775" t="s">
        <v>53</v>
      </c>
      <c r="F775" t="s">
        <v>49</v>
      </c>
      <c r="G775" s="30">
        <v>102.48</v>
      </c>
    </row>
    <row r="776" spans="1:7" x14ac:dyDescent="0.25">
      <c r="A776" t="s">
        <v>50</v>
      </c>
      <c r="B776" t="s">
        <v>51</v>
      </c>
      <c r="C776" t="s">
        <v>52</v>
      </c>
      <c r="D776">
        <v>2335592</v>
      </c>
      <c r="E776" t="s">
        <v>48</v>
      </c>
      <c r="F776" t="s">
        <v>49</v>
      </c>
      <c r="G776" s="30">
        <v>0</v>
      </c>
    </row>
    <row r="777" spans="1:7" x14ac:dyDescent="0.25">
      <c r="A777" t="s">
        <v>102</v>
      </c>
      <c r="B777" t="s">
        <v>103</v>
      </c>
      <c r="C777" t="s">
        <v>47</v>
      </c>
      <c r="D777">
        <v>2335771</v>
      </c>
      <c r="E777" t="s">
        <v>53</v>
      </c>
      <c r="F777" t="s">
        <v>49</v>
      </c>
      <c r="G777" s="30">
        <v>204974.754860944</v>
      </c>
    </row>
    <row r="778" spans="1:7" x14ac:dyDescent="0.25">
      <c r="A778" t="s">
        <v>45</v>
      </c>
      <c r="B778" t="s">
        <v>46</v>
      </c>
      <c r="C778" t="s">
        <v>47</v>
      </c>
      <c r="D778">
        <v>2336696</v>
      </c>
      <c r="E778" t="s">
        <v>53</v>
      </c>
      <c r="F778" t="s">
        <v>49</v>
      </c>
      <c r="G778" s="30">
        <v>3685.9632346687999</v>
      </c>
    </row>
    <row r="779" spans="1:7" x14ac:dyDescent="0.25">
      <c r="A779" t="s">
        <v>45</v>
      </c>
      <c r="B779" t="s">
        <v>46</v>
      </c>
      <c r="C779" t="s">
        <v>47</v>
      </c>
      <c r="D779">
        <v>2340075</v>
      </c>
      <c r="E779" t="s">
        <v>48</v>
      </c>
      <c r="F779" t="s">
        <v>49</v>
      </c>
      <c r="G779" s="30">
        <v>0</v>
      </c>
    </row>
    <row r="780" spans="1:7" x14ac:dyDescent="0.25">
      <c r="A780" t="s">
        <v>45</v>
      </c>
      <c r="B780" t="s">
        <v>46</v>
      </c>
      <c r="C780" t="s">
        <v>47</v>
      </c>
      <c r="D780">
        <v>2340563</v>
      </c>
      <c r="E780" t="s">
        <v>48</v>
      </c>
      <c r="F780" t="s">
        <v>49</v>
      </c>
      <c r="G780" s="30">
        <v>0.86</v>
      </c>
    </row>
    <row r="781" spans="1:7" x14ac:dyDescent="0.25">
      <c r="A781" t="s">
        <v>45</v>
      </c>
      <c r="B781" t="s">
        <v>46</v>
      </c>
      <c r="C781" t="s">
        <v>47</v>
      </c>
      <c r="D781">
        <v>2340844</v>
      </c>
      <c r="E781" t="s">
        <v>48</v>
      </c>
      <c r="F781" t="s">
        <v>49</v>
      </c>
      <c r="G781" s="30">
        <v>0</v>
      </c>
    </row>
    <row r="782" spans="1:7" x14ac:dyDescent="0.25">
      <c r="A782" t="s">
        <v>112</v>
      </c>
      <c r="B782" t="s">
        <v>113</v>
      </c>
      <c r="C782" t="s">
        <v>81</v>
      </c>
      <c r="D782">
        <v>2342154</v>
      </c>
      <c r="E782" t="s">
        <v>53</v>
      </c>
      <c r="F782" t="s">
        <v>49</v>
      </c>
      <c r="G782" s="30">
        <v>148680.222758886</v>
      </c>
    </row>
    <row r="783" spans="1:7" x14ac:dyDescent="0.25">
      <c r="A783" t="s">
        <v>116</v>
      </c>
      <c r="B783" t="s">
        <v>117</v>
      </c>
      <c r="C783" t="s">
        <v>47</v>
      </c>
      <c r="D783">
        <v>2342562</v>
      </c>
      <c r="E783" t="s">
        <v>53</v>
      </c>
      <c r="F783" t="s">
        <v>49</v>
      </c>
      <c r="G783" s="30">
        <v>486590.05170039</v>
      </c>
    </row>
    <row r="784" spans="1:7" x14ac:dyDescent="0.25">
      <c r="A784" t="s">
        <v>50</v>
      </c>
      <c r="B784" t="s">
        <v>51</v>
      </c>
      <c r="C784" t="s">
        <v>52</v>
      </c>
      <c r="D784">
        <v>2343029</v>
      </c>
      <c r="E784" t="s">
        <v>53</v>
      </c>
      <c r="F784" t="s">
        <v>49</v>
      </c>
      <c r="G784" s="30">
        <v>31385.283313580301</v>
      </c>
    </row>
    <row r="785" spans="1:7" x14ac:dyDescent="0.25">
      <c r="A785" t="s">
        <v>45</v>
      </c>
      <c r="B785" t="s">
        <v>46</v>
      </c>
      <c r="C785" t="s">
        <v>47</v>
      </c>
      <c r="D785">
        <v>2344074</v>
      </c>
      <c r="E785" t="s">
        <v>48</v>
      </c>
      <c r="F785" t="s">
        <v>49</v>
      </c>
      <c r="G785" s="30">
        <v>0</v>
      </c>
    </row>
    <row r="786" spans="1:7" x14ac:dyDescent="0.25">
      <c r="A786" t="s">
        <v>102</v>
      </c>
      <c r="B786" t="s">
        <v>103</v>
      </c>
      <c r="C786" t="s">
        <v>47</v>
      </c>
      <c r="D786">
        <v>2344193</v>
      </c>
      <c r="E786" t="s">
        <v>53</v>
      </c>
      <c r="F786" t="s">
        <v>49</v>
      </c>
      <c r="G786" s="30">
        <v>233320.91316043501</v>
      </c>
    </row>
    <row r="787" spans="1:7" x14ac:dyDescent="0.25">
      <c r="A787" t="s">
        <v>86</v>
      </c>
      <c r="B787" t="s">
        <v>87</v>
      </c>
      <c r="C787" t="s">
        <v>78</v>
      </c>
      <c r="D787">
        <v>2345342</v>
      </c>
      <c r="E787" t="s">
        <v>53</v>
      </c>
      <c r="F787" t="s">
        <v>49</v>
      </c>
      <c r="G787" s="30">
        <v>3921440.6726478199</v>
      </c>
    </row>
    <row r="788" spans="1:7" x14ac:dyDescent="0.25">
      <c r="A788" t="s">
        <v>45</v>
      </c>
      <c r="B788" t="s">
        <v>46</v>
      </c>
      <c r="C788" t="s">
        <v>47</v>
      </c>
      <c r="D788">
        <v>2346078</v>
      </c>
      <c r="E788" t="s">
        <v>48</v>
      </c>
      <c r="F788" t="s">
        <v>49</v>
      </c>
      <c r="G788" s="30">
        <v>0</v>
      </c>
    </row>
    <row r="789" spans="1:7" x14ac:dyDescent="0.25">
      <c r="A789" t="s">
        <v>70</v>
      </c>
      <c r="B789" t="s">
        <v>71</v>
      </c>
      <c r="C789" t="s">
        <v>47</v>
      </c>
      <c r="D789">
        <v>2346164</v>
      </c>
      <c r="E789" t="s">
        <v>53</v>
      </c>
      <c r="F789" t="s">
        <v>49</v>
      </c>
      <c r="G789" s="30">
        <v>13117.457764803599</v>
      </c>
    </row>
    <row r="790" spans="1:7" x14ac:dyDescent="0.25">
      <c r="A790" t="s">
        <v>106</v>
      </c>
      <c r="B790" t="s">
        <v>107</v>
      </c>
      <c r="C790" t="s">
        <v>56</v>
      </c>
      <c r="D790">
        <v>2346413</v>
      </c>
      <c r="E790" t="s">
        <v>53</v>
      </c>
      <c r="F790" t="s">
        <v>49</v>
      </c>
      <c r="G790" s="30">
        <v>281452.96720471402</v>
      </c>
    </row>
    <row r="791" spans="1:7" x14ac:dyDescent="0.25">
      <c r="A791" t="s">
        <v>50</v>
      </c>
      <c r="B791" t="s">
        <v>51</v>
      </c>
      <c r="C791" t="s">
        <v>52</v>
      </c>
      <c r="D791">
        <v>2352644</v>
      </c>
      <c r="E791" t="s">
        <v>53</v>
      </c>
      <c r="F791" t="s">
        <v>49</v>
      </c>
      <c r="G791" s="30">
        <v>41135.1771008301</v>
      </c>
    </row>
    <row r="792" spans="1:7" x14ac:dyDescent="0.25">
      <c r="A792" t="s">
        <v>45</v>
      </c>
      <c r="B792" t="s">
        <v>46</v>
      </c>
      <c r="C792" t="s">
        <v>47</v>
      </c>
      <c r="D792">
        <v>2353474</v>
      </c>
      <c r="E792" t="s">
        <v>48</v>
      </c>
      <c r="F792" t="s">
        <v>49</v>
      </c>
      <c r="G792" s="30">
        <v>0</v>
      </c>
    </row>
    <row r="793" spans="1:7" x14ac:dyDescent="0.25">
      <c r="A793" t="s">
        <v>120</v>
      </c>
      <c r="B793" t="s">
        <v>121</v>
      </c>
      <c r="C793" t="s">
        <v>67</v>
      </c>
      <c r="D793">
        <v>2353904</v>
      </c>
      <c r="E793" t="s">
        <v>53</v>
      </c>
      <c r="F793" t="s">
        <v>49</v>
      </c>
      <c r="G793" s="30">
        <v>594606.77280122496</v>
      </c>
    </row>
    <row r="794" spans="1:7" x14ac:dyDescent="0.25">
      <c r="A794" t="s">
        <v>116</v>
      </c>
      <c r="B794" t="s">
        <v>117</v>
      </c>
      <c r="C794" t="s">
        <v>47</v>
      </c>
      <c r="D794">
        <v>2358549</v>
      </c>
      <c r="E794" t="s">
        <v>53</v>
      </c>
      <c r="F794" t="s">
        <v>49</v>
      </c>
      <c r="G794" s="30">
        <v>189623.23080120399</v>
      </c>
    </row>
    <row r="795" spans="1:7" x14ac:dyDescent="0.25">
      <c r="A795" t="s">
        <v>45</v>
      </c>
      <c r="B795" t="s">
        <v>46</v>
      </c>
      <c r="C795" t="s">
        <v>47</v>
      </c>
      <c r="D795">
        <v>2359413</v>
      </c>
      <c r="E795" t="s">
        <v>48</v>
      </c>
      <c r="F795" t="s">
        <v>49</v>
      </c>
      <c r="G795" s="30">
        <v>0</v>
      </c>
    </row>
    <row r="796" spans="1:7" x14ac:dyDescent="0.25">
      <c r="A796" t="s">
        <v>94</v>
      </c>
      <c r="B796" t="s">
        <v>95</v>
      </c>
      <c r="C796" t="s">
        <v>78</v>
      </c>
      <c r="D796">
        <v>2359781</v>
      </c>
      <c r="E796" t="s">
        <v>53</v>
      </c>
      <c r="F796" t="s">
        <v>49</v>
      </c>
      <c r="G796" s="30">
        <v>147853.4718</v>
      </c>
    </row>
    <row r="797" spans="1:7" x14ac:dyDescent="0.25">
      <c r="A797" t="s">
        <v>76</v>
      </c>
      <c r="B797" t="s">
        <v>77</v>
      </c>
      <c r="C797" t="s">
        <v>78</v>
      </c>
      <c r="D797">
        <v>2360716</v>
      </c>
      <c r="E797" t="s">
        <v>53</v>
      </c>
      <c r="F797" t="s">
        <v>49</v>
      </c>
      <c r="G797" s="30">
        <v>1720815.57941118</v>
      </c>
    </row>
    <row r="798" spans="1:7" x14ac:dyDescent="0.25">
      <c r="A798" t="s">
        <v>45</v>
      </c>
      <c r="B798" t="s">
        <v>46</v>
      </c>
      <c r="C798" t="s">
        <v>47</v>
      </c>
      <c r="D798">
        <v>2363652</v>
      </c>
      <c r="E798" t="s">
        <v>48</v>
      </c>
      <c r="F798" t="s">
        <v>49</v>
      </c>
      <c r="G798" s="30">
        <v>0.52</v>
      </c>
    </row>
    <row r="799" spans="1:7" x14ac:dyDescent="0.25">
      <c r="A799" t="s">
        <v>86</v>
      </c>
      <c r="B799" t="s">
        <v>87</v>
      </c>
      <c r="C799" t="s">
        <v>78</v>
      </c>
      <c r="D799">
        <v>2365556</v>
      </c>
      <c r="E799" t="s">
        <v>53</v>
      </c>
      <c r="F799" t="s">
        <v>49</v>
      </c>
      <c r="G799" s="30">
        <v>1590713.9218161199</v>
      </c>
    </row>
    <row r="800" spans="1:7" x14ac:dyDescent="0.25">
      <c r="A800" t="s">
        <v>100</v>
      </c>
      <c r="B800" t="s">
        <v>101</v>
      </c>
      <c r="C800" t="s">
        <v>52</v>
      </c>
      <c r="D800">
        <v>2365640</v>
      </c>
      <c r="E800" t="s">
        <v>53</v>
      </c>
      <c r="F800" t="s">
        <v>49</v>
      </c>
      <c r="G800" s="30">
        <v>131456.8046875</v>
      </c>
    </row>
    <row r="801" spans="1:7" x14ac:dyDescent="0.25">
      <c r="A801" t="s">
        <v>70</v>
      </c>
      <c r="B801" t="s">
        <v>71</v>
      </c>
      <c r="C801" t="s">
        <v>47</v>
      </c>
      <c r="D801">
        <v>2368218</v>
      </c>
      <c r="E801" t="s">
        <v>53</v>
      </c>
      <c r="F801" t="s">
        <v>49</v>
      </c>
      <c r="G801" s="30">
        <v>21677.763357810501</v>
      </c>
    </row>
    <row r="802" spans="1:7" x14ac:dyDescent="0.25">
      <c r="A802" t="s">
        <v>86</v>
      </c>
      <c r="B802" t="s">
        <v>87</v>
      </c>
      <c r="C802" t="s">
        <v>78</v>
      </c>
      <c r="D802">
        <v>2369771</v>
      </c>
      <c r="E802" t="s">
        <v>53</v>
      </c>
      <c r="F802" t="s">
        <v>49</v>
      </c>
      <c r="G802" s="30">
        <v>395455.11537397699</v>
      </c>
    </row>
    <row r="803" spans="1:7" x14ac:dyDescent="0.25">
      <c r="A803" t="s">
        <v>88</v>
      </c>
      <c r="B803" t="s">
        <v>89</v>
      </c>
      <c r="C803" t="s">
        <v>78</v>
      </c>
      <c r="D803">
        <v>2372378</v>
      </c>
      <c r="E803" t="s">
        <v>53</v>
      </c>
      <c r="F803" t="s">
        <v>49</v>
      </c>
      <c r="G803" s="30">
        <v>210241.758755149</v>
      </c>
    </row>
    <row r="804" spans="1:7" x14ac:dyDescent="0.25">
      <c r="A804" t="s">
        <v>50</v>
      </c>
      <c r="B804" t="s">
        <v>51</v>
      </c>
      <c r="C804" t="s">
        <v>52</v>
      </c>
      <c r="D804">
        <v>2372512</v>
      </c>
      <c r="E804" t="s">
        <v>53</v>
      </c>
      <c r="F804" t="s">
        <v>49</v>
      </c>
      <c r="G804" s="30">
        <v>88627.988920169897</v>
      </c>
    </row>
    <row r="805" spans="1:7" x14ac:dyDescent="0.25">
      <c r="A805" t="s">
        <v>104</v>
      </c>
      <c r="B805" t="s">
        <v>105</v>
      </c>
      <c r="C805" t="s">
        <v>78</v>
      </c>
      <c r="D805">
        <v>2372623</v>
      </c>
      <c r="E805" t="s">
        <v>53</v>
      </c>
      <c r="F805" t="s">
        <v>49</v>
      </c>
      <c r="G805" s="30">
        <v>209085.56367132699</v>
      </c>
    </row>
    <row r="806" spans="1:7" x14ac:dyDescent="0.25">
      <c r="A806" t="s">
        <v>126</v>
      </c>
      <c r="B806" t="s">
        <v>127</v>
      </c>
      <c r="C806" t="s">
        <v>67</v>
      </c>
      <c r="D806">
        <v>2373692</v>
      </c>
      <c r="E806" t="s">
        <v>53</v>
      </c>
      <c r="F806" t="s">
        <v>49</v>
      </c>
      <c r="G806" s="30">
        <v>56867.367297885001</v>
      </c>
    </row>
    <row r="807" spans="1:7" x14ac:dyDescent="0.25">
      <c r="A807" t="s">
        <v>45</v>
      </c>
      <c r="B807" t="s">
        <v>46</v>
      </c>
      <c r="C807" t="s">
        <v>47</v>
      </c>
      <c r="D807">
        <v>2374207</v>
      </c>
      <c r="E807" t="s">
        <v>48</v>
      </c>
      <c r="F807" t="s">
        <v>49</v>
      </c>
      <c r="G807" s="30">
        <v>0</v>
      </c>
    </row>
    <row r="808" spans="1:7" x14ac:dyDescent="0.25">
      <c r="A808" t="s">
        <v>114</v>
      </c>
      <c r="B808" t="s">
        <v>115</v>
      </c>
      <c r="C808" t="s">
        <v>56</v>
      </c>
      <c r="D808">
        <v>2376969</v>
      </c>
      <c r="E808" t="s">
        <v>53</v>
      </c>
      <c r="F808" t="s">
        <v>49</v>
      </c>
      <c r="G808" s="30">
        <v>402326.74826371501</v>
      </c>
    </row>
    <row r="809" spans="1:7" x14ac:dyDescent="0.25">
      <c r="A809" t="s">
        <v>50</v>
      </c>
      <c r="B809" t="s">
        <v>51</v>
      </c>
      <c r="C809" t="s">
        <v>52</v>
      </c>
      <c r="D809">
        <v>2383198</v>
      </c>
      <c r="E809" t="s">
        <v>53</v>
      </c>
      <c r="F809" t="s">
        <v>49</v>
      </c>
      <c r="G809" s="30">
        <v>40500.063240560201</v>
      </c>
    </row>
    <row r="810" spans="1:7" x14ac:dyDescent="0.25">
      <c r="A810" t="s">
        <v>45</v>
      </c>
      <c r="B810" t="s">
        <v>46</v>
      </c>
      <c r="C810" t="s">
        <v>47</v>
      </c>
      <c r="D810">
        <v>2385598</v>
      </c>
      <c r="E810" t="s">
        <v>48</v>
      </c>
      <c r="F810" t="s">
        <v>49</v>
      </c>
      <c r="G810" s="30">
        <v>0</v>
      </c>
    </row>
    <row r="811" spans="1:7" x14ac:dyDescent="0.25">
      <c r="A811" t="s">
        <v>86</v>
      </c>
      <c r="B811" t="s">
        <v>87</v>
      </c>
      <c r="C811" t="s">
        <v>78</v>
      </c>
      <c r="D811">
        <v>2387314</v>
      </c>
      <c r="E811" t="s">
        <v>53</v>
      </c>
      <c r="F811" t="s">
        <v>49</v>
      </c>
      <c r="G811" s="30">
        <v>44055.063495980801</v>
      </c>
    </row>
    <row r="812" spans="1:7" x14ac:dyDescent="0.25">
      <c r="A812" t="s">
        <v>100</v>
      </c>
      <c r="B812" t="s">
        <v>101</v>
      </c>
      <c r="C812" t="s">
        <v>52</v>
      </c>
      <c r="D812">
        <v>2387845</v>
      </c>
      <c r="E812" t="s">
        <v>53</v>
      </c>
      <c r="F812" t="s">
        <v>49</v>
      </c>
      <c r="G812" s="30">
        <v>413112.18408015301</v>
      </c>
    </row>
    <row r="813" spans="1:7" x14ac:dyDescent="0.25">
      <c r="A813" t="s">
        <v>54</v>
      </c>
      <c r="B813" t="s">
        <v>55</v>
      </c>
      <c r="C813" t="s">
        <v>56</v>
      </c>
      <c r="D813">
        <v>2388242</v>
      </c>
      <c r="E813" t="s">
        <v>53</v>
      </c>
      <c r="F813" t="s">
        <v>49</v>
      </c>
      <c r="G813" s="30">
        <v>156.66999999999999</v>
      </c>
    </row>
    <row r="814" spans="1:7" x14ac:dyDescent="0.25">
      <c r="A814" t="s">
        <v>63</v>
      </c>
      <c r="B814" t="s">
        <v>64</v>
      </c>
      <c r="C814" t="s">
        <v>56</v>
      </c>
      <c r="D814">
        <v>2393595</v>
      </c>
      <c r="E814" t="s">
        <v>53</v>
      </c>
      <c r="F814" t="s">
        <v>49</v>
      </c>
      <c r="G814" s="30">
        <v>1009382.70997547</v>
      </c>
    </row>
    <row r="815" spans="1:7" x14ac:dyDescent="0.25">
      <c r="A815" t="s">
        <v>131</v>
      </c>
      <c r="B815" t="s">
        <v>132</v>
      </c>
      <c r="C815" t="s">
        <v>67</v>
      </c>
      <c r="D815">
        <v>2395448</v>
      </c>
      <c r="E815" t="s">
        <v>53</v>
      </c>
      <c r="F815" t="s">
        <v>49</v>
      </c>
      <c r="G815" s="30">
        <v>901882.07250000001</v>
      </c>
    </row>
    <row r="816" spans="1:7" x14ac:dyDescent="0.25">
      <c r="A816" t="s">
        <v>57</v>
      </c>
      <c r="B816" t="s">
        <v>58</v>
      </c>
      <c r="C816" t="s">
        <v>56</v>
      </c>
      <c r="D816">
        <v>2395778</v>
      </c>
      <c r="E816" t="s">
        <v>53</v>
      </c>
      <c r="F816" t="s">
        <v>49</v>
      </c>
      <c r="G816" s="30">
        <v>153922.820704641</v>
      </c>
    </row>
    <row r="817" spans="1:7" x14ac:dyDescent="0.25">
      <c r="A817" t="s">
        <v>63</v>
      </c>
      <c r="B817" t="s">
        <v>64</v>
      </c>
      <c r="C817" t="s">
        <v>56</v>
      </c>
      <c r="D817">
        <v>2395862</v>
      </c>
      <c r="E817" t="s">
        <v>53</v>
      </c>
      <c r="F817" t="s">
        <v>49</v>
      </c>
      <c r="G817" s="30">
        <v>1009645.28</v>
      </c>
    </row>
    <row r="818" spans="1:7" x14ac:dyDescent="0.25">
      <c r="A818" t="s">
        <v>57</v>
      </c>
      <c r="B818" t="s">
        <v>58</v>
      </c>
      <c r="C818" t="s">
        <v>56</v>
      </c>
      <c r="D818">
        <v>2396073</v>
      </c>
      <c r="E818" t="s">
        <v>53</v>
      </c>
      <c r="F818" t="s">
        <v>49</v>
      </c>
      <c r="G818" s="30">
        <v>13254.39</v>
      </c>
    </row>
    <row r="819" spans="1:7" x14ac:dyDescent="0.25">
      <c r="A819" t="s">
        <v>54</v>
      </c>
      <c r="B819" t="s">
        <v>55</v>
      </c>
      <c r="C819" t="s">
        <v>56</v>
      </c>
      <c r="D819">
        <v>2397468</v>
      </c>
      <c r="E819" t="s">
        <v>53</v>
      </c>
      <c r="F819" t="s">
        <v>49</v>
      </c>
      <c r="G819" s="30">
        <v>1149895.1120861999</v>
      </c>
    </row>
    <row r="820" spans="1:7" x14ac:dyDescent="0.25">
      <c r="A820" t="s">
        <v>45</v>
      </c>
      <c r="B820" t="s">
        <v>46</v>
      </c>
      <c r="C820" t="s">
        <v>47</v>
      </c>
      <c r="D820">
        <v>2398928</v>
      </c>
      <c r="E820" t="s">
        <v>48</v>
      </c>
      <c r="F820" t="s">
        <v>49</v>
      </c>
      <c r="G820" s="30">
        <v>0</v>
      </c>
    </row>
    <row r="821" spans="1:7" x14ac:dyDescent="0.25">
      <c r="A821" t="s">
        <v>45</v>
      </c>
      <c r="B821" t="s">
        <v>46</v>
      </c>
      <c r="C821" t="s">
        <v>47</v>
      </c>
      <c r="D821">
        <v>2399469</v>
      </c>
      <c r="E821" t="s">
        <v>48</v>
      </c>
      <c r="F821" t="s">
        <v>49</v>
      </c>
      <c r="G821" s="30">
        <v>0</v>
      </c>
    </row>
    <row r="822" spans="1:7" x14ac:dyDescent="0.25">
      <c r="A822" t="s">
        <v>112</v>
      </c>
      <c r="B822" t="s">
        <v>113</v>
      </c>
      <c r="C822" t="s">
        <v>81</v>
      </c>
      <c r="D822">
        <v>2399945</v>
      </c>
      <c r="E822" t="s">
        <v>53</v>
      </c>
      <c r="F822" t="s">
        <v>49</v>
      </c>
      <c r="G822" s="30">
        <v>697813.48501994403</v>
      </c>
    </row>
    <row r="823" spans="1:7" x14ac:dyDescent="0.25">
      <c r="A823" t="s">
        <v>88</v>
      </c>
      <c r="B823" t="s">
        <v>89</v>
      </c>
      <c r="C823" t="s">
        <v>78</v>
      </c>
      <c r="D823">
        <v>2401423</v>
      </c>
      <c r="E823" t="s">
        <v>53</v>
      </c>
      <c r="F823" t="s">
        <v>49</v>
      </c>
      <c r="G823" s="30">
        <v>254505.67874999999</v>
      </c>
    </row>
    <row r="824" spans="1:7" x14ac:dyDescent="0.25">
      <c r="A824" t="s">
        <v>45</v>
      </c>
      <c r="B824" t="s">
        <v>46</v>
      </c>
      <c r="C824" t="s">
        <v>47</v>
      </c>
      <c r="D824">
        <v>2402194</v>
      </c>
      <c r="E824" t="s">
        <v>48</v>
      </c>
      <c r="F824" t="s">
        <v>49</v>
      </c>
      <c r="G824" s="30">
        <v>0</v>
      </c>
    </row>
    <row r="825" spans="1:7" x14ac:dyDescent="0.25">
      <c r="A825" t="s">
        <v>90</v>
      </c>
      <c r="B825" t="s">
        <v>91</v>
      </c>
      <c r="C825" t="s">
        <v>81</v>
      </c>
      <c r="D825">
        <v>2402961</v>
      </c>
      <c r="E825" t="s">
        <v>53</v>
      </c>
      <c r="F825" t="s">
        <v>49</v>
      </c>
      <c r="G825" s="30">
        <v>1388421.17086543</v>
      </c>
    </row>
    <row r="826" spans="1:7" x14ac:dyDescent="0.25">
      <c r="A826" t="s">
        <v>100</v>
      </c>
      <c r="B826" t="s">
        <v>101</v>
      </c>
      <c r="C826" t="s">
        <v>52</v>
      </c>
      <c r="D826">
        <v>2404113</v>
      </c>
      <c r="E826" t="s">
        <v>53</v>
      </c>
      <c r="F826" t="s">
        <v>49</v>
      </c>
      <c r="G826" s="30">
        <v>245842.707641602</v>
      </c>
    </row>
    <row r="827" spans="1:7" x14ac:dyDescent="0.25">
      <c r="A827" t="s">
        <v>50</v>
      </c>
      <c r="B827" t="s">
        <v>51</v>
      </c>
      <c r="C827" t="s">
        <v>52</v>
      </c>
      <c r="D827">
        <v>2404458</v>
      </c>
      <c r="E827" t="s">
        <v>53</v>
      </c>
      <c r="F827" t="s">
        <v>49</v>
      </c>
      <c r="G827" s="30">
        <v>23311.619582219701</v>
      </c>
    </row>
    <row r="828" spans="1:7" x14ac:dyDescent="0.25">
      <c r="A828" t="s">
        <v>128</v>
      </c>
      <c r="B828" t="s">
        <v>129</v>
      </c>
      <c r="C828" t="s">
        <v>130</v>
      </c>
      <c r="D828">
        <v>2405419</v>
      </c>
      <c r="E828" t="s">
        <v>48</v>
      </c>
      <c r="F828" t="s">
        <v>49</v>
      </c>
      <c r="G828" s="30">
        <v>0</v>
      </c>
    </row>
    <row r="829" spans="1:7" x14ac:dyDescent="0.25">
      <c r="A829" t="s">
        <v>74</v>
      </c>
      <c r="B829" t="s">
        <v>75</v>
      </c>
      <c r="C829" t="s">
        <v>67</v>
      </c>
      <c r="D829">
        <v>2406430</v>
      </c>
      <c r="E829" t="s">
        <v>48</v>
      </c>
      <c r="F829" t="s">
        <v>49</v>
      </c>
      <c r="G829" s="30">
        <v>0</v>
      </c>
    </row>
    <row r="830" spans="1:7" x14ac:dyDescent="0.25">
      <c r="A830" t="s">
        <v>45</v>
      </c>
      <c r="B830" t="s">
        <v>46</v>
      </c>
      <c r="C830" t="s">
        <v>47</v>
      </c>
      <c r="D830">
        <v>2407480</v>
      </c>
      <c r="E830" t="s">
        <v>48</v>
      </c>
      <c r="F830" t="s">
        <v>49</v>
      </c>
      <c r="G830" s="30">
        <v>0</v>
      </c>
    </row>
    <row r="831" spans="1:7" x14ac:dyDescent="0.25">
      <c r="A831" t="s">
        <v>74</v>
      </c>
      <c r="B831" t="s">
        <v>75</v>
      </c>
      <c r="C831" t="s">
        <v>67</v>
      </c>
      <c r="D831">
        <v>2408047</v>
      </c>
      <c r="E831" t="s">
        <v>48</v>
      </c>
      <c r="F831" t="s">
        <v>49</v>
      </c>
      <c r="G831" s="30">
        <v>0.72</v>
      </c>
    </row>
    <row r="832" spans="1:7" x14ac:dyDescent="0.25">
      <c r="A832" t="s">
        <v>116</v>
      </c>
      <c r="B832" t="s">
        <v>117</v>
      </c>
      <c r="C832" t="s">
        <v>47</v>
      </c>
      <c r="D832">
        <v>2412182</v>
      </c>
      <c r="E832" t="s">
        <v>53</v>
      </c>
      <c r="F832" t="s">
        <v>49</v>
      </c>
      <c r="G832" s="30">
        <v>156982.62308644599</v>
      </c>
    </row>
    <row r="833" spans="1:7" x14ac:dyDescent="0.25">
      <c r="A833" t="s">
        <v>45</v>
      </c>
      <c r="B833" t="s">
        <v>46</v>
      </c>
      <c r="C833" t="s">
        <v>47</v>
      </c>
      <c r="D833">
        <v>2412679</v>
      </c>
      <c r="E833" t="s">
        <v>53</v>
      </c>
      <c r="F833" t="s">
        <v>49</v>
      </c>
      <c r="G833" s="30">
        <v>72256.399374999994</v>
      </c>
    </row>
    <row r="834" spans="1:7" x14ac:dyDescent="0.25">
      <c r="A834" t="s">
        <v>45</v>
      </c>
      <c r="B834" t="s">
        <v>46</v>
      </c>
      <c r="C834" t="s">
        <v>47</v>
      </c>
      <c r="D834">
        <v>2413350</v>
      </c>
      <c r="E834" t="s">
        <v>48</v>
      </c>
      <c r="F834" t="s">
        <v>49</v>
      </c>
      <c r="G834" s="30">
        <v>0</v>
      </c>
    </row>
    <row r="835" spans="1:7" x14ac:dyDescent="0.25">
      <c r="A835" t="s">
        <v>120</v>
      </c>
      <c r="B835" t="s">
        <v>121</v>
      </c>
      <c r="C835" t="s">
        <v>67</v>
      </c>
      <c r="D835">
        <v>2417755</v>
      </c>
      <c r="E835" t="s">
        <v>53</v>
      </c>
      <c r="F835" t="s">
        <v>49</v>
      </c>
      <c r="G835" s="30">
        <v>1134613.0780362999</v>
      </c>
    </row>
    <row r="836" spans="1:7" x14ac:dyDescent="0.25">
      <c r="A836" t="s">
        <v>45</v>
      </c>
      <c r="B836" t="s">
        <v>46</v>
      </c>
      <c r="C836" t="s">
        <v>47</v>
      </c>
      <c r="D836">
        <v>2419905</v>
      </c>
      <c r="E836" t="s">
        <v>48</v>
      </c>
      <c r="F836" t="s">
        <v>49</v>
      </c>
      <c r="G836" s="30">
        <v>0</v>
      </c>
    </row>
    <row r="837" spans="1:7" x14ac:dyDescent="0.25">
      <c r="A837" t="s">
        <v>106</v>
      </c>
      <c r="B837" t="s">
        <v>107</v>
      </c>
      <c r="C837" t="s">
        <v>56</v>
      </c>
      <c r="D837">
        <v>2424321</v>
      </c>
      <c r="E837" t="s">
        <v>53</v>
      </c>
      <c r="F837" t="s">
        <v>49</v>
      </c>
      <c r="G837" s="30">
        <v>195134.522872075</v>
      </c>
    </row>
    <row r="838" spans="1:7" x14ac:dyDescent="0.25">
      <c r="A838" t="s">
        <v>45</v>
      </c>
      <c r="B838" t="s">
        <v>46</v>
      </c>
      <c r="C838" t="s">
        <v>47</v>
      </c>
      <c r="D838">
        <v>2426575</v>
      </c>
      <c r="E838" t="s">
        <v>48</v>
      </c>
      <c r="F838" t="s">
        <v>49</v>
      </c>
      <c r="G838" s="30">
        <v>0</v>
      </c>
    </row>
    <row r="839" spans="1:7" x14ac:dyDescent="0.25">
      <c r="A839" t="s">
        <v>50</v>
      </c>
      <c r="B839" t="s">
        <v>51</v>
      </c>
      <c r="C839" t="s">
        <v>52</v>
      </c>
      <c r="D839">
        <v>2426968</v>
      </c>
      <c r="E839" t="s">
        <v>53</v>
      </c>
      <c r="F839" t="s">
        <v>49</v>
      </c>
      <c r="G839" s="30">
        <v>14185.408775901</v>
      </c>
    </row>
    <row r="840" spans="1:7" x14ac:dyDescent="0.25">
      <c r="A840" t="s">
        <v>61</v>
      </c>
      <c r="B840" t="s">
        <v>62</v>
      </c>
      <c r="C840" t="s">
        <v>56</v>
      </c>
      <c r="D840">
        <v>2427312</v>
      </c>
      <c r="E840" t="s">
        <v>53</v>
      </c>
      <c r="F840" t="s">
        <v>49</v>
      </c>
      <c r="G840" s="30">
        <v>278189.54596473702</v>
      </c>
    </row>
    <row r="841" spans="1:7" x14ac:dyDescent="0.25">
      <c r="A841" t="s">
        <v>50</v>
      </c>
      <c r="B841" t="s">
        <v>51</v>
      </c>
      <c r="C841" t="s">
        <v>52</v>
      </c>
      <c r="D841">
        <v>2427657</v>
      </c>
      <c r="E841" t="s">
        <v>53</v>
      </c>
      <c r="F841" t="s">
        <v>49</v>
      </c>
      <c r="G841" s="30">
        <v>2333.31</v>
      </c>
    </row>
    <row r="842" spans="1:7" x14ac:dyDescent="0.25">
      <c r="A842" t="s">
        <v>104</v>
      </c>
      <c r="B842" t="s">
        <v>105</v>
      </c>
      <c r="C842" t="s">
        <v>78</v>
      </c>
      <c r="D842">
        <v>2429180</v>
      </c>
      <c r="E842" t="s">
        <v>53</v>
      </c>
      <c r="F842" t="s">
        <v>49</v>
      </c>
      <c r="G842" s="30">
        <v>10308.251504388199</v>
      </c>
    </row>
    <row r="843" spans="1:7" x14ac:dyDescent="0.25">
      <c r="A843" t="s">
        <v>45</v>
      </c>
      <c r="B843" t="s">
        <v>46</v>
      </c>
      <c r="C843" t="s">
        <v>47</v>
      </c>
      <c r="D843">
        <v>2431245</v>
      </c>
      <c r="E843" t="s">
        <v>48</v>
      </c>
      <c r="F843" t="s">
        <v>49</v>
      </c>
      <c r="G843" s="30">
        <v>0</v>
      </c>
    </row>
    <row r="844" spans="1:7" x14ac:dyDescent="0.25">
      <c r="A844" t="s">
        <v>54</v>
      </c>
      <c r="B844" t="s">
        <v>55</v>
      </c>
      <c r="C844" t="s">
        <v>56</v>
      </c>
      <c r="D844">
        <v>2431443</v>
      </c>
      <c r="E844" t="s">
        <v>48</v>
      </c>
      <c r="F844" t="s">
        <v>49</v>
      </c>
      <c r="G844" s="30">
        <v>0</v>
      </c>
    </row>
    <row r="845" spans="1:7" x14ac:dyDescent="0.25">
      <c r="A845" t="s">
        <v>45</v>
      </c>
      <c r="B845" t="s">
        <v>46</v>
      </c>
      <c r="C845" t="s">
        <v>47</v>
      </c>
      <c r="D845">
        <v>2432994</v>
      </c>
      <c r="E845" t="s">
        <v>48</v>
      </c>
      <c r="F845" t="s">
        <v>49</v>
      </c>
      <c r="G845" s="30">
        <v>0</v>
      </c>
    </row>
    <row r="846" spans="1:7" x14ac:dyDescent="0.25">
      <c r="A846" t="s">
        <v>88</v>
      </c>
      <c r="B846" t="s">
        <v>89</v>
      </c>
      <c r="C846" t="s">
        <v>78</v>
      </c>
      <c r="D846">
        <v>2434371</v>
      </c>
      <c r="E846" t="s">
        <v>53</v>
      </c>
      <c r="F846" t="s">
        <v>49</v>
      </c>
      <c r="G846" s="30">
        <v>389167.05987683003</v>
      </c>
    </row>
    <row r="847" spans="1:7" x14ac:dyDescent="0.25">
      <c r="A847" t="s">
        <v>50</v>
      </c>
      <c r="B847" t="s">
        <v>51</v>
      </c>
      <c r="C847" t="s">
        <v>52</v>
      </c>
      <c r="D847">
        <v>2435363</v>
      </c>
      <c r="E847" t="s">
        <v>48</v>
      </c>
      <c r="F847" t="s">
        <v>49</v>
      </c>
      <c r="G847" s="30">
        <v>0</v>
      </c>
    </row>
    <row r="848" spans="1:7" x14ac:dyDescent="0.25">
      <c r="A848" t="s">
        <v>122</v>
      </c>
      <c r="B848" t="s">
        <v>123</v>
      </c>
      <c r="C848" t="s">
        <v>52</v>
      </c>
      <c r="D848">
        <v>2436765</v>
      </c>
      <c r="E848" t="s">
        <v>53</v>
      </c>
      <c r="F848" t="s">
        <v>49</v>
      </c>
      <c r="G848" s="30">
        <v>28401.947942556599</v>
      </c>
    </row>
    <row r="849" spans="1:7" x14ac:dyDescent="0.25">
      <c r="A849" t="s">
        <v>72</v>
      </c>
      <c r="B849" t="s">
        <v>73</v>
      </c>
      <c r="C849" t="s">
        <v>67</v>
      </c>
      <c r="D849">
        <v>2437123</v>
      </c>
      <c r="E849" t="s">
        <v>48</v>
      </c>
      <c r="F849" t="s">
        <v>49</v>
      </c>
      <c r="G849" s="30">
        <v>0</v>
      </c>
    </row>
    <row r="850" spans="1:7" x14ac:dyDescent="0.25">
      <c r="A850" t="s">
        <v>54</v>
      </c>
      <c r="B850" t="s">
        <v>55</v>
      </c>
      <c r="C850" t="s">
        <v>56</v>
      </c>
      <c r="D850">
        <v>2437943</v>
      </c>
      <c r="E850" t="s">
        <v>53</v>
      </c>
      <c r="F850" t="s">
        <v>49</v>
      </c>
      <c r="G850" s="30">
        <v>7158377.9615449198</v>
      </c>
    </row>
    <row r="851" spans="1:7" x14ac:dyDescent="0.25">
      <c r="A851" t="s">
        <v>61</v>
      </c>
      <c r="B851" t="s">
        <v>62</v>
      </c>
      <c r="C851" t="s">
        <v>56</v>
      </c>
      <c r="D851">
        <v>2438017</v>
      </c>
      <c r="E851" t="s">
        <v>53</v>
      </c>
      <c r="F851" t="s">
        <v>49</v>
      </c>
      <c r="G851" s="30">
        <v>580641.60188547603</v>
      </c>
    </row>
    <row r="852" spans="1:7" x14ac:dyDescent="0.25">
      <c r="A852" t="s">
        <v>74</v>
      </c>
      <c r="B852" t="s">
        <v>75</v>
      </c>
      <c r="C852" t="s">
        <v>67</v>
      </c>
      <c r="D852">
        <v>2438571</v>
      </c>
      <c r="E852" t="s">
        <v>53</v>
      </c>
      <c r="F852" t="s">
        <v>49</v>
      </c>
      <c r="G852" s="30">
        <v>980933.53693067504</v>
      </c>
    </row>
    <row r="853" spans="1:7" x14ac:dyDescent="0.25">
      <c r="A853" t="s">
        <v>45</v>
      </c>
      <c r="B853" t="s">
        <v>46</v>
      </c>
      <c r="C853" t="s">
        <v>47</v>
      </c>
      <c r="D853">
        <v>2439658</v>
      </c>
      <c r="E853" t="s">
        <v>48</v>
      </c>
      <c r="F853" t="s">
        <v>49</v>
      </c>
      <c r="G853" s="30">
        <v>0</v>
      </c>
    </row>
    <row r="854" spans="1:7" x14ac:dyDescent="0.25">
      <c r="A854" t="s">
        <v>74</v>
      </c>
      <c r="B854" t="s">
        <v>75</v>
      </c>
      <c r="C854" t="s">
        <v>67</v>
      </c>
      <c r="D854">
        <v>2439697</v>
      </c>
      <c r="E854" t="s">
        <v>53</v>
      </c>
      <c r="F854" t="s">
        <v>49</v>
      </c>
      <c r="G854" s="30">
        <v>96590.603953685801</v>
      </c>
    </row>
    <row r="855" spans="1:7" x14ac:dyDescent="0.25">
      <c r="A855" t="s">
        <v>59</v>
      </c>
      <c r="B855" t="s">
        <v>60</v>
      </c>
      <c r="C855" t="s">
        <v>56</v>
      </c>
      <c r="D855">
        <v>2440329</v>
      </c>
      <c r="E855" t="s">
        <v>53</v>
      </c>
      <c r="F855" t="s">
        <v>49</v>
      </c>
      <c r="G855" s="30">
        <v>494197.46086665598</v>
      </c>
    </row>
    <row r="856" spans="1:7" x14ac:dyDescent="0.25">
      <c r="A856" t="s">
        <v>45</v>
      </c>
      <c r="B856" t="s">
        <v>46</v>
      </c>
      <c r="C856" t="s">
        <v>47</v>
      </c>
      <c r="D856">
        <v>2441852</v>
      </c>
      <c r="E856" t="s">
        <v>48</v>
      </c>
      <c r="F856" t="s">
        <v>49</v>
      </c>
      <c r="G856" s="30">
        <v>0</v>
      </c>
    </row>
    <row r="857" spans="1:7" x14ac:dyDescent="0.25">
      <c r="A857" t="s">
        <v>50</v>
      </c>
      <c r="B857" t="s">
        <v>51</v>
      </c>
      <c r="C857" t="s">
        <v>52</v>
      </c>
      <c r="D857">
        <v>2444111</v>
      </c>
      <c r="E857" t="s">
        <v>48</v>
      </c>
      <c r="F857" t="s">
        <v>49</v>
      </c>
      <c r="G857" s="30">
        <v>0</v>
      </c>
    </row>
    <row r="858" spans="1:7" x14ac:dyDescent="0.25">
      <c r="A858" t="s">
        <v>118</v>
      </c>
      <c r="B858" t="s">
        <v>119</v>
      </c>
      <c r="C858" t="s">
        <v>56</v>
      </c>
      <c r="D858">
        <v>2444987</v>
      </c>
      <c r="E858" t="s">
        <v>53</v>
      </c>
      <c r="F858" t="s">
        <v>49</v>
      </c>
      <c r="G858" s="30">
        <v>207674.73272094401</v>
      </c>
    </row>
    <row r="859" spans="1:7" x14ac:dyDescent="0.25">
      <c r="A859" t="s">
        <v>61</v>
      </c>
      <c r="B859" t="s">
        <v>62</v>
      </c>
      <c r="C859" t="s">
        <v>56</v>
      </c>
      <c r="D859">
        <v>2445261</v>
      </c>
      <c r="E859" t="s">
        <v>53</v>
      </c>
      <c r="F859" t="s">
        <v>49</v>
      </c>
      <c r="G859" s="30">
        <v>297.01</v>
      </c>
    </row>
    <row r="860" spans="1:7" x14ac:dyDescent="0.25">
      <c r="A860" t="s">
        <v>45</v>
      </c>
      <c r="B860" t="s">
        <v>46</v>
      </c>
      <c r="C860" t="s">
        <v>47</v>
      </c>
      <c r="D860">
        <v>2447812</v>
      </c>
      <c r="E860" t="s">
        <v>53</v>
      </c>
      <c r="F860" t="s">
        <v>49</v>
      </c>
      <c r="G860" s="30">
        <v>17223.719071800399</v>
      </c>
    </row>
    <row r="861" spans="1:7" x14ac:dyDescent="0.25">
      <c r="A861" t="s">
        <v>45</v>
      </c>
      <c r="B861" t="s">
        <v>46</v>
      </c>
      <c r="C861" t="s">
        <v>47</v>
      </c>
      <c r="D861">
        <v>2448109</v>
      </c>
      <c r="E861" t="s">
        <v>48</v>
      </c>
      <c r="F861" t="s">
        <v>49</v>
      </c>
      <c r="G861" s="30">
        <v>0</v>
      </c>
    </row>
    <row r="862" spans="1:7" x14ac:dyDescent="0.25">
      <c r="A862" t="s">
        <v>50</v>
      </c>
      <c r="B862" t="s">
        <v>51</v>
      </c>
      <c r="C862" t="s">
        <v>52</v>
      </c>
      <c r="D862">
        <v>2451809</v>
      </c>
      <c r="E862" t="s">
        <v>53</v>
      </c>
      <c r="F862" t="s">
        <v>49</v>
      </c>
      <c r="G862" s="30">
        <v>56833.909865376299</v>
      </c>
    </row>
    <row r="863" spans="1:7" x14ac:dyDescent="0.25">
      <c r="A863" t="s">
        <v>68</v>
      </c>
      <c r="B863" t="s">
        <v>69</v>
      </c>
      <c r="C863" t="s">
        <v>56</v>
      </c>
      <c r="D863">
        <v>2451926</v>
      </c>
      <c r="E863" t="s">
        <v>53</v>
      </c>
      <c r="F863" t="s">
        <v>49</v>
      </c>
      <c r="G863" s="30">
        <v>84622.452545153501</v>
      </c>
    </row>
    <row r="864" spans="1:7" x14ac:dyDescent="0.25">
      <c r="A864" t="s">
        <v>72</v>
      </c>
      <c r="B864" t="s">
        <v>73</v>
      </c>
      <c r="C864" t="s">
        <v>67</v>
      </c>
      <c r="D864">
        <v>2452043</v>
      </c>
      <c r="E864" t="s">
        <v>53</v>
      </c>
      <c r="F864" t="s">
        <v>49</v>
      </c>
      <c r="G864" s="30">
        <v>216281.896217172</v>
      </c>
    </row>
    <row r="865" spans="1:7" x14ac:dyDescent="0.25">
      <c r="A865" t="s">
        <v>68</v>
      </c>
      <c r="B865" t="s">
        <v>69</v>
      </c>
      <c r="C865" t="s">
        <v>56</v>
      </c>
      <c r="D865">
        <v>2454125</v>
      </c>
      <c r="E865" t="s">
        <v>53</v>
      </c>
      <c r="F865" t="s">
        <v>49</v>
      </c>
      <c r="G865" s="30">
        <v>201008.77862196599</v>
      </c>
    </row>
    <row r="866" spans="1:7" x14ac:dyDescent="0.25">
      <c r="A866" t="s">
        <v>94</v>
      </c>
      <c r="B866" t="s">
        <v>95</v>
      </c>
      <c r="C866" t="s">
        <v>78</v>
      </c>
      <c r="D866">
        <v>2460073</v>
      </c>
      <c r="E866" t="s">
        <v>53</v>
      </c>
      <c r="F866" t="s">
        <v>49</v>
      </c>
      <c r="G866" s="30">
        <v>702462.82862733002</v>
      </c>
    </row>
    <row r="867" spans="1:7" x14ac:dyDescent="0.25">
      <c r="A867" t="s">
        <v>61</v>
      </c>
      <c r="B867" t="s">
        <v>62</v>
      </c>
      <c r="C867" t="s">
        <v>56</v>
      </c>
      <c r="D867">
        <v>2460212</v>
      </c>
      <c r="E867" t="s">
        <v>48</v>
      </c>
      <c r="F867" t="s">
        <v>49</v>
      </c>
      <c r="G867" s="30">
        <v>0</v>
      </c>
    </row>
    <row r="868" spans="1:7" x14ac:dyDescent="0.25">
      <c r="A868" t="s">
        <v>45</v>
      </c>
      <c r="B868" t="s">
        <v>46</v>
      </c>
      <c r="C868" t="s">
        <v>47</v>
      </c>
      <c r="D868">
        <v>2462358</v>
      </c>
      <c r="E868" t="s">
        <v>48</v>
      </c>
      <c r="F868" t="s">
        <v>49</v>
      </c>
      <c r="G868" s="30">
        <v>0.31</v>
      </c>
    </row>
    <row r="869" spans="1:7" x14ac:dyDescent="0.25">
      <c r="A869" t="s">
        <v>45</v>
      </c>
      <c r="B869" t="s">
        <v>46</v>
      </c>
      <c r="C869" t="s">
        <v>47</v>
      </c>
      <c r="D869">
        <v>2465372</v>
      </c>
      <c r="E869" t="s">
        <v>48</v>
      </c>
      <c r="F869" t="s">
        <v>49</v>
      </c>
      <c r="G869" s="30">
        <v>0</v>
      </c>
    </row>
    <row r="870" spans="1:7" x14ac:dyDescent="0.25">
      <c r="A870" t="s">
        <v>68</v>
      </c>
      <c r="B870" t="s">
        <v>69</v>
      </c>
      <c r="C870" t="s">
        <v>56</v>
      </c>
      <c r="D870">
        <v>2468031</v>
      </c>
      <c r="E870" t="s">
        <v>53</v>
      </c>
      <c r="F870" t="s">
        <v>49</v>
      </c>
      <c r="G870" s="30">
        <v>419495.28790152603</v>
      </c>
    </row>
    <row r="871" spans="1:7" x14ac:dyDescent="0.25">
      <c r="A871" t="s">
        <v>45</v>
      </c>
      <c r="B871" t="s">
        <v>46</v>
      </c>
      <c r="C871" t="s">
        <v>47</v>
      </c>
      <c r="D871">
        <v>2469082</v>
      </c>
      <c r="E871" t="s">
        <v>53</v>
      </c>
      <c r="F871" t="s">
        <v>49</v>
      </c>
      <c r="G871" s="30">
        <v>56039.462950000903</v>
      </c>
    </row>
    <row r="872" spans="1:7" x14ac:dyDescent="0.25">
      <c r="A872" t="s">
        <v>50</v>
      </c>
      <c r="B872" t="s">
        <v>51</v>
      </c>
      <c r="C872" t="s">
        <v>52</v>
      </c>
      <c r="D872">
        <v>2469361</v>
      </c>
      <c r="E872" t="s">
        <v>53</v>
      </c>
      <c r="F872" t="s">
        <v>49</v>
      </c>
      <c r="G872" s="30">
        <v>30753.390660000001</v>
      </c>
    </row>
    <row r="873" spans="1:7" x14ac:dyDescent="0.25">
      <c r="A873" t="s">
        <v>50</v>
      </c>
      <c r="B873" t="s">
        <v>51</v>
      </c>
      <c r="C873" t="s">
        <v>52</v>
      </c>
      <c r="D873">
        <v>2470556</v>
      </c>
      <c r="E873" t="s">
        <v>48</v>
      </c>
      <c r="F873" t="s">
        <v>49</v>
      </c>
      <c r="G873" s="30">
        <v>0</v>
      </c>
    </row>
    <row r="874" spans="1:7" x14ac:dyDescent="0.25">
      <c r="A874" t="s">
        <v>50</v>
      </c>
      <c r="B874" t="s">
        <v>51</v>
      </c>
      <c r="C874" t="s">
        <v>52</v>
      </c>
      <c r="D874">
        <v>2473480</v>
      </c>
      <c r="E874" t="s">
        <v>53</v>
      </c>
      <c r="F874" t="s">
        <v>49</v>
      </c>
      <c r="G874" s="30">
        <v>51641.363626282997</v>
      </c>
    </row>
    <row r="875" spans="1:7" x14ac:dyDescent="0.25">
      <c r="A875" t="s">
        <v>128</v>
      </c>
      <c r="B875" t="s">
        <v>129</v>
      </c>
      <c r="C875" t="s">
        <v>130</v>
      </c>
      <c r="D875">
        <v>2474075</v>
      </c>
      <c r="E875" t="s">
        <v>53</v>
      </c>
      <c r="F875" t="s">
        <v>49</v>
      </c>
      <c r="G875" s="30">
        <v>573258.53364300798</v>
      </c>
    </row>
    <row r="876" spans="1:7" x14ac:dyDescent="0.25">
      <c r="A876" t="s">
        <v>45</v>
      </c>
      <c r="B876" t="s">
        <v>46</v>
      </c>
      <c r="C876" t="s">
        <v>47</v>
      </c>
      <c r="D876">
        <v>2475780</v>
      </c>
      <c r="E876" t="s">
        <v>48</v>
      </c>
      <c r="F876" t="s">
        <v>49</v>
      </c>
      <c r="G876" s="30">
        <v>0</v>
      </c>
    </row>
    <row r="877" spans="1:7" x14ac:dyDescent="0.25">
      <c r="A877" t="s">
        <v>54</v>
      </c>
      <c r="B877" t="s">
        <v>55</v>
      </c>
      <c r="C877" t="s">
        <v>56</v>
      </c>
      <c r="D877">
        <v>2477230</v>
      </c>
      <c r="E877" t="s">
        <v>53</v>
      </c>
      <c r="F877" t="s">
        <v>49</v>
      </c>
      <c r="G877" s="30">
        <v>499655.350194306</v>
      </c>
    </row>
    <row r="878" spans="1:7" x14ac:dyDescent="0.25">
      <c r="A878" t="s">
        <v>135</v>
      </c>
      <c r="B878" t="s">
        <v>136</v>
      </c>
      <c r="C878" t="s">
        <v>56</v>
      </c>
      <c r="D878">
        <v>2480562</v>
      </c>
      <c r="E878" t="s">
        <v>53</v>
      </c>
      <c r="F878" t="s">
        <v>49</v>
      </c>
      <c r="G878" s="30">
        <v>292388.79525516398</v>
      </c>
    </row>
    <row r="879" spans="1:7" x14ac:dyDescent="0.25">
      <c r="A879" t="s">
        <v>45</v>
      </c>
      <c r="B879" t="s">
        <v>46</v>
      </c>
      <c r="C879" t="s">
        <v>47</v>
      </c>
      <c r="D879">
        <v>2481722</v>
      </c>
      <c r="E879" t="s">
        <v>48</v>
      </c>
      <c r="F879" t="s">
        <v>49</v>
      </c>
      <c r="G879" s="30">
        <v>0</v>
      </c>
    </row>
    <row r="880" spans="1:7" x14ac:dyDescent="0.25">
      <c r="A880" t="s">
        <v>84</v>
      </c>
      <c r="B880" t="s">
        <v>85</v>
      </c>
      <c r="C880" t="s">
        <v>67</v>
      </c>
      <c r="D880">
        <v>2481880</v>
      </c>
      <c r="E880" t="s">
        <v>53</v>
      </c>
      <c r="F880" t="s">
        <v>49</v>
      </c>
      <c r="G880" s="30">
        <v>2515793.7957091699</v>
      </c>
    </row>
    <row r="881" spans="1:7" x14ac:dyDescent="0.25">
      <c r="A881" t="s">
        <v>45</v>
      </c>
      <c r="B881" t="s">
        <v>46</v>
      </c>
      <c r="C881" t="s">
        <v>47</v>
      </c>
      <c r="D881">
        <v>2482969</v>
      </c>
      <c r="E881" t="s">
        <v>48</v>
      </c>
      <c r="F881" t="s">
        <v>49</v>
      </c>
      <c r="G881" s="30">
        <v>0</v>
      </c>
    </row>
    <row r="882" spans="1:7" x14ac:dyDescent="0.25">
      <c r="A882" t="s">
        <v>45</v>
      </c>
      <c r="B882" t="s">
        <v>46</v>
      </c>
      <c r="C882" t="s">
        <v>47</v>
      </c>
      <c r="D882">
        <v>2485636</v>
      </c>
      <c r="E882" t="s">
        <v>53</v>
      </c>
      <c r="F882" t="s">
        <v>49</v>
      </c>
      <c r="G882" s="30">
        <v>187637.15684360499</v>
      </c>
    </row>
    <row r="883" spans="1:7" x14ac:dyDescent="0.25">
      <c r="A883" t="s">
        <v>45</v>
      </c>
      <c r="B883" t="s">
        <v>46</v>
      </c>
      <c r="C883" t="s">
        <v>47</v>
      </c>
      <c r="D883">
        <v>2485696</v>
      </c>
      <c r="E883" t="s">
        <v>48</v>
      </c>
      <c r="F883" t="s">
        <v>49</v>
      </c>
      <c r="G883" s="30">
        <v>0</v>
      </c>
    </row>
    <row r="884" spans="1:7" x14ac:dyDescent="0.25">
      <c r="A884" t="s">
        <v>45</v>
      </c>
      <c r="B884" t="s">
        <v>46</v>
      </c>
      <c r="C884" t="s">
        <v>47</v>
      </c>
      <c r="D884">
        <v>2487595</v>
      </c>
      <c r="E884" t="s">
        <v>48</v>
      </c>
      <c r="F884" t="s">
        <v>49</v>
      </c>
      <c r="G884" s="30">
        <v>0</v>
      </c>
    </row>
    <row r="885" spans="1:7" x14ac:dyDescent="0.25">
      <c r="A885" t="s">
        <v>45</v>
      </c>
      <c r="B885" t="s">
        <v>46</v>
      </c>
      <c r="C885" t="s">
        <v>47</v>
      </c>
      <c r="D885">
        <v>2491015</v>
      </c>
      <c r="E885" t="s">
        <v>48</v>
      </c>
      <c r="F885" t="s">
        <v>49</v>
      </c>
      <c r="G885" s="30">
        <v>0</v>
      </c>
    </row>
    <row r="886" spans="1:7" x14ac:dyDescent="0.25">
      <c r="A886" t="s">
        <v>54</v>
      </c>
      <c r="B886" t="s">
        <v>55</v>
      </c>
      <c r="C886" t="s">
        <v>56</v>
      </c>
      <c r="D886">
        <v>2492621</v>
      </c>
      <c r="E886" t="s">
        <v>53</v>
      </c>
      <c r="F886" t="s">
        <v>49</v>
      </c>
      <c r="G886" s="30">
        <v>260144.24028662001</v>
      </c>
    </row>
    <row r="887" spans="1:7" x14ac:dyDescent="0.25">
      <c r="A887" t="s">
        <v>50</v>
      </c>
      <c r="B887" t="s">
        <v>51</v>
      </c>
      <c r="C887" t="s">
        <v>52</v>
      </c>
      <c r="D887">
        <v>2493645</v>
      </c>
      <c r="E887" t="s">
        <v>53</v>
      </c>
      <c r="F887" t="s">
        <v>49</v>
      </c>
      <c r="G887" s="30">
        <v>181.93</v>
      </c>
    </row>
    <row r="888" spans="1:7" x14ac:dyDescent="0.25">
      <c r="A888" t="s">
        <v>45</v>
      </c>
      <c r="B888" t="s">
        <v>46</v>
      </c>
      <c r="C888" t="s">
        <v>47</v>
      </c>
      <c r="D888">
        <v>2493891</v>
      </c>
      <c r="E888" t="s">
        <v>48</v>
      </c>
      <c r="F888" t="s">
        <v>49</v>
      </c>
      <c r="G888" s="30">
        <v>0</v>
      </c>
    </row>
    <row r="889" spans="1:7" x14ac:dyDescent="0.25">
      <c r="A889" t="s">
        <v>57</v>
      </c>
      <c r="B889" t="s">
        <v>58</v>
      </c>
      <c r="C889" t="s">
        <v>56</v>
      </c>
      <c r="D889">
        <v>2496804</v>
      </c>
      <c r="E889" t="s">
        <v>53</v>
      </c>
      <c r="F889" t="s">
        <v>49</v>
      </c>
      <c r="G889" s="30">
        <v>894594.38394043001</v>
      </c>
    </row>
    <row r="890" spans="1:7" x14ac:dyDescent="0.25">
      <c r="A890" t="s">
        <v>92</v>
      </c>
      <c r="B890" t="s">
        <v>93</v>
      </c>
      <c r="C890" t="s">
        <v>81</v>
      </c>
      <c r="D890">
        <v>2498519</v>
      </c>
      <c r="E890" t="s">
        <v>53</v>
      </c>
      <c r="F890" t="s">
        <v>49</v>
      </c>
      <c r="G890" s="30">
        <v>210296.35397734799</v>
      </c>
    </row>
    <row r="891" spans="1:7" x14ac:dyDescent="0.25">
      <c r="A891" t="s">
        <v>126</v>
      </c>
      <c r="B891" t="s">
        <v>127</v>
      </c>
      <c r="C891" t="s">
        <v>67</v>
      </c>
      <c r="D891">
        <v>2498646</v>
      </c>
      <c r="E891" t="s">
        <v>53</v>
      </c>
      <c r="F891" t="s">
        <v>49</v>
      </c>
      <c r="G891" s="30">
        <v>584725.41113146301</v>
      </c>
    </row>
    <row r="892" spans="1:7" x14ac:dyDescent="0.25">
      <c r="A892" t="s">
        <v>45</v>
      </c>
      <c r="B892" t="s">
        <v>46</v>
      </c>
      <c r="C892" t="s">
        <v>47</v>
      </c>
      <c r="D892">
        <v>2499434</v>
      </c>
      <c r="E892" t="s">
        <v>48</v>
      </c>
      <c r="F892" t="s">
        <v>49</v>
      </c>
      <c r="G892" s="30">
        <v>0</v>
      </c>
    </row>
    <row r="893" spans="1:7" x14ac:dyDescent="0.25">
      <c r="A893" t="s">
        <v>106</v>
      </c>
      <c r="B893" t="s">
        <v>107</v>
      </c>
      <c r="C893" t="s">
        <v>56</v>
      </c>
      <c r="D893">
        <v>2499455</v>
      </c>
      <c r="E893" t="s">
        <v>53</v>
      </c>
      <c r="F893" t="s">
        <v>49</v>
      </c>
      <c r="G893" s="30">
        <v>5818103.7501857001</v>
      </c>
    </row>
    <row r="894" spans="1:7" x14ac:dyDescent="0.25">
      <c r="A894" t="s">
        <v>45</v>
      </c>
      <c r="B894" t="s">
        <v>46</v>
      </c>
      <c r="C894" t="s">
        <v>47</v>
      </c>
      <c r="D894">
        <v>2499560</v>
      </c>
      <c r="E894" t="s">
        <v>48</v>
      </c>
      <c r="F894" t="s">
        <v>49</v>
      </c>
      <c r="G894" s="30">
        <v>0</v>
      </c>
    </row>
    <row r="895" spans="1:7" x14ac:dyDescent="0.25">
      <c r="A895" t="s">
        <v>70</v>
      </c>
      <c r="B895" t="s">
        <v>71</v>
      </c>
      <c r="C895" t="s">
        <v>47</v>
      </c>
      <c r="D895">
        <v>2500914</v>
      </c>
      <c r="E895" t="s">
        <v>53</v>
      </c>
      <c r="F895" t="s">
        <v>49</v>
      </c>
      <c r="G895" s="30">
        <v>173445.398964953</v>
      </c>
    </row>
    <row r="896" spans="1:7" x14ac:dyDescent="0.25">
      <c r="A896" t="s">
        <v>45</v>
      </c>
      <c r="B896" t="s">
        <v>46</v>
      </c>
      <c r="C896" t="s">
        <v>47</v>
      </c>
      <c r="D896">
        <v>2502982</v>
      </c>
      <c r="E896" t="s">
        <v>53</v>
      </c>
      <c r="F896" t="s">
        <v>49</v>
      </c>
      <c r="G896" s="30">
        <v>39.97</v>
      </c>
    </row>
    <row r="897" spans="1:7" x14ac:dyDescent="0.25">
      <c r="A897" t="s">
        <v>54</v>
      </c>
      <c r="B897" t="s">
        <v>55</v>
      </c>
      <c r="C897" t="s">
        <v>56</v>
      </c>
      <c r="D897">
        <v>2503698</v>
      </c>
      <c r="E897" t="s">
        <v>53</v>
      </c>
      <c r="F897" t="s">
        <v>49</v>
      </c>
      <c r="G897" s="30">
        <v>291355.40915956901</v>
      </c>
    </row>
    <row r="898" spans="1:7" x14ac:dyDescent="0.25">
      <c r="A898" t="s">
        <v>45</v>
      </c>
      <c r="B898" t="s">
        <v>46</v>
      </c>
      <c r="C898" t="s">
        <v>47</v>
      </c>
      <c r="D898">
        <v>2505253</v>
      </c>
      <c r="E898" t="s">
        <v>48</v>
      </c>
      <c r="F898" t="s">
        <v>49</v>
      </c>
      <c r="G898" s="30">
        <v>0</v>
      </c>
    </row>
    <row r="899" spans="1:7" x14ac:dyDescent="0.25">
      <c r="A899" t="s">
        <v>88</v>
      </c>
      <c r="B899" t="s">
        <v>89</v>
      </c>
      <c r="C899" t="s">
        <v>78</v>
      </c>
      <c r="D899">
        <v>2506880</v>
      </c>
      <c r="E899" t="s">
        <v>53</v>
      </c>
      <c r="F899" t="s">
        <v>49</v>
      </c>
      <c r="G899" s="30">
        <v>1023027.44567513</v>
      </c>
    </row>
    <row r="900" spans="1:7" x14ac:dyDescent="0.25">
      <c r="A900" t="s">
        <v>63</v>
      </c>
      <c r="B900" t="s">
        <v>64</v>
      </c>
      <c r="C900" t="s">
        <v>56</v>
      </c>
      <c r="D900">
        <v>2507013</v>
      </c>
      <c r="E900" t="s">
        <v>53</v>
      </c>
      <c r="F900" t="s">
        <v>49</v>
      </c>
      <c r="G900" s="30">
        <v>148570.82</v>
      </c>
    </row>
    <row r="901" spans="1:7" x14ac:dyDescent="0.25">
      <c r="A901" t="s">
        <v>50</v>
      </c>
      <c r="B901" t="s">
        <v>51</v>
      </c>
      <c r="C901" t="s">
        <v>52</v>
      </c>
      <c r="D901">
        <v>2507370</v>
      </c>
      <c r="E901" t="s">
        <v>53</v>
      </c>
      <c r="F901" t="s">
        <v>49</v>
      </c>
      <c r="G901" s="30">
        <v>60.618181872198797</v>
      </c>
    </row>
    <row r="902" spans="1:7" x14ac:dyDescent="0.25">
      <c r="A902" t="s">
        <v>116</v>
      </c>
      <c r="B902" t="s">
        <v>117</v>
      </c>
      <c r="C902" t="s">
        <v>47</v>
      </c>
      <c r="D902">
        <v>2509079</v>
      </c>
      <c r="E902" t="s">
        <v>53</v>
      </c>
      <c r="F902" t="s">
        <v>49</v>
      </c>
      <c r="G902" s="30">
        <v>933147.15594118205</v>
      </c>
    </row>
    <row r="903" spans="1:7" x14ac:dyDescent="0.25">
      <c r="A903" t="s">
        <v>54</v>
      </c>
      <c r="B903" t="s">
        <v>55</v>
      </c>
      <c r="C903" t="s">
        <v>56</v>
      </c>
      <c r="D903">
        <v>2509365</v>
      </c>
      <c r="E903" t="s">
        <v>53</v>
      </c>
      <c r="F903" t="s">
        <v>49</v>
      </c>
      <c r="G903" s="30">
        <v>376590.79890645901</v>
      </c>
    </row>
    <row r="904" spans="1:7" x14ac:dyDescent="0.25">
      <c r="A904" t="s">
        <v>74</v>
      </c>
      <c r="B904" t="s">
        <v>75</v>
      </c>
      <c r="C904" t="s">
        <v>67</v>
      </c>
      <c r="D904">
        <v>2513050</v>
      </c>
      <c r="E904" t="s">
        <v>48</v>
      </c>
      <c r="F904" t="s">
        <v>49</v>
      </c>
      <c r="G904" s="30">
        <v>0</v>
      </c>
    </row>
    <row r="905" spans="1:7" x14ac:dyDescent="0.25">
      <c r="A905" t="s">
        <v>54</v>
      </c>
      <c r="B905" t="s">
        <v>55</v>
      </c>
      <c r="C905" t="s">
        <v>56</v>
      </c>
      <c r="D905">
        <v>2514599</v>
      </c>
      <c r="E905" t="s">
        <v>53</v>
      </c>
      <c r="F905" t="s">
        <v>49</v>
      </c>
      <c r="G905" s="30">
        <v>516055.60150114901</v>
      </c>
    </row>
    <row r="906" spans="1:7" x14ac:dyDescent="0.25">
      <c r="A906" t="s">
        <v>104</v>
      </c>
      <c r="B906" t="s">
        <v>105</v>
      </c>
      <c r="C906" t="s">
        <v>78</v>
      </c>
      <c r="D906">
        <v>2515119</v>
      </c>
      <c r="E906" t="s">
        <v>53</v>
      </c>
      <c r="F906" t="s">
        <v>49</v>
      </c>
      <c r="G906" s="30">
        <v>140595.56660156199</v>
      </c>
    </row>
    <row r="907" spans="1:7" x14ac:dyDescent="0.25">
      <c r="A907" t="s">
        <v>54</v>
      </c>
      <c r="B907" t="s">
        <v>55</v>
      </c>
      <c r="C907" t="s">
        <v>56</v>
      </c>
      <c r="D907">
        <v>2516255</v>
      </c>
      <c r="E907" t="s">
        <v>53</v>
      </c>
      <c r="F907" t="s">
        <v>49</v>
      </c>
      <c r="G907" s="30">
        <v>1268293.48839887</v>
      </c>
    </row>
    <row r="908" spans="1:7" x14ac:dyDescent="0.25">
      <c r="A908" t="s">
        <v>45</v>
      </c>
      <c r="B908" t="s">
        <v>46</v>
      </c>
      <c r="C908" t="s">
        <v>47</v>
      </c>
      <c r="D908">
        <v>2516980</v>
      </c>
      <c r="E908" t="s">
        <v>48</v>
      </c>
      <c r="F908" t="s">
        <v>49</v>
      </c>
      <c r="G908" s="30">
        <v>-0.01</v>
      </c>
    </row>
    <row r="909" spans="1:7" x14ac:dyDescent="0.25">
      <c r="A909" t="s">
        <v>45</v>
      </c>
      <c r="B909" t="s">
        <v>46</v>
      </c>
      <c r="C909" t="s">
        <v>47</v>
      </c>
      <c r="D909">
        <v>2517942</v>
      </c>
      <c r="E909" t="s">
        <v>48</v>
      </c>
      <c r="F909" t="s">
        <v>49</v>
      </c>
      <c r="G909" s="30">
        <v>0</v>
      </c>
    </row>
    <row r="910" spans="1:7" x14ac:dyDescent="0.25">
      <c r="A910" t="s">
        <v>45</v>
      </c>
      <c r="B910" t="s">
        <v>46</v>
      </c>
      <c r="C910" t="s">
        <v>47</v>
      </c>
      <c r="D910">
        <v>2521339</v>
      </c>
      <c r="E910" t="s">
        <v>48</v>
      </c>
      <c r="F910" t="s">
        <v>49</v>
      </c>
      <c r="G910" s="30">
        <v>0</v>
      </c>
    </row>
    <row r="911" spans="1:7" x14ac:dyDescent="0.25">
      <c r="A911" t="s">
        <v>61</v>
      </c>
      <c r="B911" t="s">
        <v>62</v>
      </c>
      <c r="C911" t="s">
        <v>56</v>
      </c>
      <c r="D911">
        <v>2521408</v>
      </c>
      <c r="E911" t="s">
        <v>48</v>
      </c>
      <c r="F911" t="s">
        <v>49</v>
      </c>
      <c r="G911" s="30">
        <v>0</v>
      </c>
    </row>
    <row r="912" spans="1:7" x14ac:dyDescent="0.25">
      <c r="A912" t="s">
        <v>45</v>
      </c>
      <c r="B912" t="s">
        <v>46</v>
      </c>
      <c r="C912" t="s">
        <v>47</v>
      </c>
      <c r="D912">
        <v>2524057</v>
      </c>
      <c r="E912" t="s">
        <v>48</v>
      </c>
      <c r="F912" t="s">
        <v>49</v>
      </c>
      <c r="G912" s="30">
        <v>0</v>
      </c>
    </row>
    <row r="913" spans="1:7" x14ac:dyDescent="0.25">
      <c r="A913" t="s">
        <v>88</v>
      </c>
      <c r="B913" t="s">
        <v>89</v>
      </c>
      <c r="C913" t="s">
        <v>78</v>
      </c>
      <c r="D913">
        <v>2524470</v>
      </c>
      <c r="E913" t="s">
        <v>53</v>
      </c>
      <c r="F913" t="s">
        <v>49</v>
      </c>
      <c r="G913" s="30">
        <v>133542.602453489</v>
      </c>
    </row>
    <row r="914" spans="1:7" x14ac:dyDescent="0.25">
      <c r="A914" t="s">
        <v>86</v>
      </c>
      <c r="B914" t="s">
        <v>87</v>
      </c>
      <c r="C914" t="s">
        <v>78</v>
      </c>
      <c r="D914">
        <v>2527387</v>
      </c>
      <c r="E914" t="s">
        <v>53</v>
      </c>
      <c r="F914" t="s">
        <v>49</v>
      </c>
      <c r="G914" s="30">
        <v>3045778.3493378502</v>
      </c>
    </row>
    <row r="915" spans="1:7" x14ac:dyDescent="0.25">
      <c r="A915" t="s">
        <v>45</v>
      </c>
      <c r="B915" t="s">
        <v>46</v>
      </c>
      <c r="C915" t="s">
        <v>47</v>
      </c>
      <c r="D915">
        <v>2527610</v>
      </c>
      <c r="E915" t="s">
        <v>48</v>
      </c>
      <c r="F915" t="s">
        <v>49</v>
      </c>
      <c r="G915" s="30">
        <v>0</v>
      </c>
    </row>
    <row r="916" spans="1:7" x14ac:dyDescent="0.25">
      <c r="A916" t="s">
        <v>50</v>
      </c>
      <c r="B916" t="s">
        <v>51</v>
      </c>
      <c r="C916" t="s">
        <v>52</v>
      </c>
      <c r="D916">
        <v>2528903</v>
      </c>
      <c r="E916" t="s">
        <v>53</v>
      </c>
      <c r="F916" t="s">
        <v>49</v>
      </c>
      <c r="G916" s="30">
        <v>89600.948249836802</v>
      </c>
    </row>
    <row r="917" spans="1:7" x14ac:dyDescent="0.25">
      <c r="A917" t="s">
        <v>94</v>
      </c>
      <c r="B917" t="s">
        <v>95</v>
      </c>
      <c r="C917" t="s">
        <v>78</v>
      </c>
      <c r="D917">
        <v>2530320</v>
      </c>
      <c r="E917" t="s">
        <v>53</v>
      </c>
      <c r="F917" t="s">
        <v>49</v>
      </c>
      <c r="G917" s="30">
        <v>392510.56686199998</v>
      </c>
    </row>
    <row r="918" spans="1:7" x14ac:dyDescent="0.25">
      <c r="A918" t="s">
        <v>70</v>
      </c>
      <c r="B918" t="s">
        <v>71</v>
      </c>
      <c r="C918" t="s">
        <v>47</v>
      </c>
      <c r="D918">
        <v>2531234</v>
      </c>
      <c r="E918" t="s">
        <v>48</v>
      </c>
      <c r="F918" t="s">
        <v>49</v>
      </c>
      <c r="G918" s="30">
        <v>0</v>
      </c>
    </row>
    <row r="919" spans="1:7" x14ac:dyDescent="0.25">
      <c r="A919" t="s">
        <v>45</v>
      </c>
      <c r="B919" t="s">
        <v>46</v>
      </c>
      <c r="C919" t="s">
        <v>47</v>
      </c>
      <c r="D919">
        <v>2531908</v>
      </c>
      <c r="E919" t="s">
        <v>48</v>
      </c>
      <c r="F919" t="s">
        <v>49</v>
      </c>
      <c r="G919" s="30">
        <v>0</v>
      </c>
    </row>
    <row r="920" spans="1:7" x14ac:dyDescent="0.25">
      <c r="A920" t="s">
        <v>45</v>
      </c>
      <c r="B920" t="s">
        <v>46</v>
      </c>
      <c r="C920" t="s">
        <v>47</v>
      </c>
      <c r="D920">
        <v>2535466</v>
      </c>
      <c r="E920" t="s">
        <v>48</v>
      </c>
      <c r="F920" t="s">
        <v>49</v>
      </c>
      <c r="G920" s="30">
        <v>0.65</v>
      </c>
    </row>
    <row r="921" spans="1:7" x14ac:dyDescent="0.25">
      <c r="A921" t="s">
        <v>124</v>
      </c>
      <c r="B921" t="s">
        <v>125</v>
      </c>
      <c r="C921" t="s">
        <v>78</v>
      </c>
      <c r="D921">
        <v>2536773</v>
      </c>
      <c r="E921" t="s">
        <v>53</v>
      </c>
      <c r="F921" t="s">
        <v>49</v>
      </c>
      <c r="G921" s="30">
        <v>60734.417585168601</v>
      </c>
    </row>
    <row r="922" spans="1:7" x14ac:dyDescent="0.25">
      <c r="A922" t="s">
        <v>45</v>
      </c>
      <c r="B922" t="s">
        <v>46</v>
      </c>
      <c r="C922" t="s">
        <v>47</v>
      </c>
      <c r="D922">
        <v>2537150</v>
      </c>
      <c r="E922" t="s">
        <v>53</v>
      </c>
      <c r="F922" t="s">
        <v>49</v>
      </c>
      <c r="G922" s="30">
        <v>25323.305323655499</v>
      </c>
    </row>
    <row r="923" spans="1:7" x14ac:dyDescent="0.25">
      <c r="A923" t="s">
        <v>61</v>
      </c>
      <c r="B923" t="s">
        <v>62</v>
      </c>
      <c r="C923" t="s">
        <v>56</v>
      </c>
      <c r="D923">
        <v>2537189</v>
      </c>
      <c r="E923" t="s">
        <v>53</v>
      </c>
      <c r="F923" t="s">
        <v>49</v>
      </c>
      <c r="G923" s="30">
        <v>603400.41632901598</v>
      </c>
    </row>
    <row r="924" spans="1:7" x14ac:dyDescent="0.25">
      <c r="A924" t="s">
        <v>65</v>
      </c>
      <c r="B924" t="s">
        <v>66</v>
      </c>
      <c r="C924" t="s">
        <v>67</v>
      </c>
      <c r="D924">
        <v>2537488</v>
      </c>
      <c r="E924" t="s">
        <v>53</v>
      </c>
      <c r="F924" t="s">
        <v>49</v>
      </c>
      <c r="G924" s="30">
        <v>3897594.30503579</v>
      </c>
    </row>
    <row r="925" spans="1:7" x14ac:dyDescent="0.25">
      <c r="A925" t="s">
        <v>50</v>
      </c>
      <c r="B925" t="s">
        <v>51</v>
      </c>
      <c r="C925" t="s">
        <v>52</v>
      </c>
      <c r="D925">
        <v>2537720</v>
      </c>
      <c r="E925" t="s">
        <v>53</v>
      </c>
      <c r="F925" t="s">
        <v>49</v>
      </c>
      <c r="G925" s="30">
        <v>47083.641797747499</v>
      </c>
    </row>
    <row r="926" spans="1:7" x14ac:dyDescent="0.25">
      <c r="A926" t="s">
        <v>50</v>
      </c>
      <c r="B926" t="s">
        <v>51</v>
      </c>
      <c r="C926" t="s">
        <v>52</v>
      </c>
      <c r="D926">
        <v>2541721</v>
      </c>
      <c r="E926" t="s">
        <v>53</v>
      </c>
      <c r="F926" t="s">
        <v>49</v>
      </c>
      <c r="G926" s="30">
        <v>93419.195419421099</v>
      </c>
    </row>
    <row r="927" spans="1:7" x14ac:dyDescent="0.25">
      <c r="A927" t="s">
        <v>102</v>
      </c>
      <c r="B927" t="s">
        <v>103</v>
      </c>
      <c r="C927" t="s">
        <v>47</v>
      </c>
      <c r="D927">
        <v>2542319</v>
      </c>
      <c r="E927" t="s">
        <v>53</v>
      </c>
      <c r="F927" t="s">
        <v>49</v>
      </c>
      <c r="G927" s="30">
        <v>75616.452312318594</v>
      </c>
    </row>
    <row r="928" spans="1:7" x14ac:dyDescent="0.25">
      <c r="A928" t="s">
        <v>45</v>
      </c>
      <c r="B928" t="s">
        <v>46</v>
      </c>
      <c r="C928" t="s">
        <v>47</v>
      </c>
      <c r="D928">
        <v>2543374</v>
      </c>
      <c r="E928" t="s">
        <v>48</v>
      </c>
      <c r="F928" t="s">
        <v>49</v>
      </c>
      <c r="G928" s="30">
        <v>0</v>
      </c>
    </row>
    <row r="929" spans="1:7" x14ac:dyDescent="0.25">
      <c r="A929" t="s">
        <v>45</v>
      </c>
      <c r="B929" t="s">
        <v>46</v>
      </c>
      <c r="C929" t="s">
        <v>47</v>
      </c>
      <c r="D929">
        <v>2543925</v>
      </c>
      <c r="E929" t="s">
        <v>48</v>
      </c>
      <c r="F929" t="s">
        <v>49</v>
      </c>
      <c r="G929" s="30">
        <v>0</v>
      </c>
    </row>
    <row r="930" spans="1:7" x14ac:dyDescent="0.25">
      <c r="A930" t="s">
        <v>50</v>
      </c>
      <c r="B930" t="s">
        <v>51</v>
      </c>
      <c r="C930" t="s">
        <v>52</v>
      </c>
      <c r="D930">
        <v>2544164</v>
      </c>
      <c r="E930" t="s">
        <v>53</v>
      </c>
      <c r="F930" t="s">
        <v>49</v>
      </c>
      <c r="G930" s="30">
        <v>47037.353515625</v>
      </c>
    </row>
    <row r="931" spans="1:7" x14ac:dyDescent="0.25">
      <c r="A931" t="s">
        <v>45</v>
      </c>
      <c r="B931" t="s">
        <v>46</v>
      </c>
      <c r="C931" t="s">
        <v>47</v>
      </c>
      <c r="D931">
        <v>2544591</v>
      </c>
      <c r="E931" t="s">
        <v>48</v>
      </c>
      <c r="F931" t="s">
        <v>49</v>
      </c>
      <c r="G931" s="30">
        <v>0</v>
      </c>
    </row>
    <row r="932" spans="1:7" x14ac:dyDescent="0.25">
      <c r="A932" t="s">
        <v>63</v>
      </c>
      <c r="B932" t="s">
        <v>64</v>
      </c>
      <c r="C932" t="s">
        <v>56</v>
      </c>
      <c r="D932">
        <v>2546847</v>
      </c>
      <c r="E932" t="s">
        <v>53</v>
      </c>
      <c r="F932" t="s">
        <v>49</v>
      </c>
      <c r="G932" s="30">
        <v>1522903.7625942701</v>
      </c>
    </row>
    <row r="933" spans="1:7" x14ac:dyDescent="0.25">
      <c r="A933" t="s">
        <v>45</v>
      </c>
      <c r="B933" t="s">
        <v>46</v>
      </c>
      <c r="C933" t="s">
        <v>47</v>
      </c>
      <c r="D933">
        <v>2548904</v>
      </c>
      <c r="E933" t="s">
        <v>48</v>
      </c>
      <c r="F933" t="s">
        <v>49</v>
      </c>
      <c r="G933" s="30">
        <v>0</v>
      </c>
    </row>
    <row r="934" spans="1:7" x14ac:dyDescent="0.25">
      <c r="A934" t="s">
        <v>131</v>
      </c>
      <c r="B934" t="s">
        <v>132</v>
      </c>
      <c r="C934" t="s">
        <v>67</v>
      </c>
      <c r="D934">
        <v>2549312</v>
      </c>
      <c r="E934" t="s">
        <v>53</v>
      </c>
      <c r="F934" t="s">
        <v>49</v>
      </c>
      <c r="G934" s="30">
        <v>1445647.73471322</v>
      </c>
    </row>
    <row r="935" spans="1:7" x14ac:dyDescent="0.25">
      <c r="A935" t="s">
        <v>114</v>
      </c>
      <c r="B935" t="s">
        <v>115</v>
      </c>
      <c r="C935" t="s">
        <v>56</v>
      </c>
      <c r="D935">
        <v>2549920</v>
      </c>
      <c r="E935" t="s">
        <v>53</v>
      </c>
      <c r="F935" t="s">
        <v>49</v>
      </c>
      <c r="G935" s="30">
        <v>174422.771074474</v>
      </c>
    </row>
    <row r="936" spans="1:7" x14ac:dyDescent="0.25">
      <c r="A936" t="s">
        <v>45</v>
      </c>
      <c r="B936" t="s">
        <v>46</v>
      </c>
      <c r="C936" t="s">
        <v>47</v>
      </c>
      <c r="D936">
        <v>2549924</v>
      </c>
      <c r="E936" t="s">
        <v>48</v>
      </c>
      <c r="F936" t="s">
        <v>49</v>
      </c>
      <c r="G936" s="30">
        <v>82.78</v>
      </c>
    </row>
    <row r="937" spans="1:7" x14ac:dyDescent="0.25">
      <c r="A937" t="s">
        <v>45</v>
      </c>
      <c r="B937" t="s">
        <v>46</v>
      </c>
      <c r="C937" t="s">
        <v>47</v>
      </c>
      <c r="D937">
        <v>2550601</v>
      </c>
      <c r="E937" t="s">
        <v>48</v>
      </c>
      <c r="F937" t="s">
        <v>49</v>
      </c>
      <c r="G937" s="30">
        <v>0</v>
      </c>
    </row>
    <row r="938" spans="1:7" x14ac:dyDescent="0.25">
      <c r="A938" t="s">
        <v>74</v>
      </c>
      <c r="B938" t="s">
        <v>75</v>
      </c>
      <c r="C938" t="s">
        <v>67</v>
      </c>
      <c r="D938">
        <v>2554820</v>
      </c>
      <c r="E938" t="s">
        <v>48</v>
      </c>
      <c r="F938" t="s">
        <v>49</v>
      </c>
      <c r="G938" s="30">
        <v>0</v>
      </c>
    </row>
    <row r="939" spans="1:7" x14ac:dyDescent="0.25">
      <c r="A939" t="s">
        <v>92</v>
      </c>
      <c r="B939" t="s">
        <v>93</v>
      </c>
      <c r="C939" t="s">
        <v>81</v>
      </c>
      <c r="D939">
        <v>2555235</v>
      </c>
      <c r="E939" t="s">
        <v>53</v>
      </c>
      <c r="F939" t="s">
        <v>49</v>
      </c>
      <c r="G939" s="30">
        <v>101942.72</v>
      </c>
    </row>
    <row r="940" spans="1:7" x14ac:dyDescent="0.25">
      <c r="A940" t="s">
        <v>50</v>
      </c>
      <c r="B940" t="s">
        <v>51</v>
      </c>
      <c r="C940" t="s">
        <v>52</v>
      </c>
      <c r="D940">
        <v>2559268</v>
      </c>
      <c r="E940" t="s">
        <v>53</v>
      </c>
      <c r="F940" t="s">
        <v>49</v>
      </c>
      <c r="G940" s="30">
        <v>92063.092785875604</v>
      </c>
    </row>
    <row r="941" spans="1:7" x14ac:dyDescent="0.25">
      <c r="A941" t="s">
        <v>50</v>
      </c>
      <c r="B941" t="s">
        <v>51</v>
      </c>
      <c r="C941" t="s">
        <v>52</v>
      </c>
      <c r="D941">
        <v>2559874</v>
      </c>
      <c r="E941" t="s">
        <v>53</v>
      </c>
      <c r="F941" t="s">
        <v>49</v>
      </c>
      <c r="G941" s="30">
        <v>674.13</v>
      </c>
    </row>
    <row r="942" spans="1:7" x14ac:dyDescent="0.25">
      <c r="A942" t="s">
        <v>50</v>
      </c>
      <c r="B942" t="s">
        <v>51</v>
      </c>
      <c r="C942" t="s">
        <v>52</v>
      </c>
      <c r="D942">
        <v>2560310</v>
      </c>
      <c r="E942" t="s">
        <v>53</v>
      </c>
      <c r="F942" t="s">
        <v>49</v>
      </c>
      <c r="G942" s="30">
        <v>38629.019999999997</v>
      </c>
    </row>
    <row r="943" spans="1:7" x14ac:dyDescent="0.25">
      <c r="A943" t="s">
        <v>45</v>
      </c>
      <c r="B943" t="s">
        <v>46</v>
      </c>
      <c r="C943" t="s">
        <v>47</v>
      </c>
      <c r="D943">
        <v>2560488</v>
      </c>
      <c r="E943" t="s">
        <v>48</v>
      </c>
      <c r="F943" t="s">
        <v>49</v>
      </c>
      <c r="G943" s="30">
        <v>0</v>
      </c>
    </row>
    <row r="944" spans="1:7" x14ac:dyDescent="0.25">
      <c r="A944" t="s">
        <v>122</v>
      </c>
      <c r="B944" t="s">
        <v>123</v>
      </c>
      <c r="C944" t="s">
        <v>52</v>
      </c>
      <c r="D944">
        <v>2560786</v>
      </c>
      <c r="E944" t="s">
        <v>53</v>
      </c>
      <c r="F944" t="s">
        <v>49</v>
      </c>
      <c r="G944" s="30">
        <v>2445027.4700000002</v>
      </c>
    </row>
    <row r="945" spans="1:7" x14ac:dyDescent="0.25">
      <c r="A945" t="s">
        <v>50</v>
      </c>
      <c r="B945" t="s">
        <v>51</v>
      </c>
      <c r="C945" t="s">
        <v>52</v>
      </c>
      <c r="D945">
        <v>2563646</v>
      </c>
      <c r="E945" t="s">
        <v>53</v>
      </c>
      <c r="F945" t="s">
        <v>49</v>
      </c>
      <c r="G945" s="30">
        <v>5038.84</v>
      </c>
    </row>
    <row r="946" spans="1:7" x14ac:dyDescent="0.25">
      <c r="A946" t="s">
        <v>45</v>
      </c>
      <c r="B946" t="s">
        <v>46</v>
      </c>
      <c r="C946" t="s">
        <v>47</v>
      </c>
      <c r="D946">
        <v>2566278</v>
      </c>
      <c r="E946" t="s">
        <v>48</v>
      </c>
      <c r="F946" t="s">
        <v>49</v>
      </c>
      <c r="G946" s="30">
        <v>0</v>
      </c>
    </row>
    <row r="947" spans="1:7" x14ac:dyDescent="0.25">
      <c r="A947" t="s">
        <v>45</v>
      </c>
      <c r="B947" t="s">
        <v>46</v>
      </c>
      <c r="C947" t="s">
        <v>47</v>
      </c>
      <c r="D947">
        <v>2568031</v>
      </c>
      <c r="E947" t="s">
        <v>48</v>
      </c>
      <c r="F947" t="s">
        <v>49</v>
      </c>
      <c r="G947" s="30">
        <v>0</v>
      </c>
    </row>
    <row r="948" spans="1:7" x14ac:dyDescent="0.25">
      <c r="A948" t="s">
        <v>50</v>
      </c>
      <c r="B948" t="s">
        <v>51</v>
      </c>
      <c r="C948" t="s">
        <v>52</v>
      </c>
      <c r="D948">
        <v>2571760</v>
      </c>
      <c r="E948" t="s">
        <v>53</v>
      </c>
      <c r="F948" t="s">
        <v>49</v>
      </c>
      <c r="G948" s="30">
        <v>30067.113245804401</v>
      </c>
    </row>
    <row r="949" spans="1:7" x14ac:dyDescent="0.25">
      <c r="A949" t="s">
        <v>50</v>
      </c>
      <c r="B949" t="s">
        <v>51</v>
      </c>
      <c r="C949" t="s">
        <v>52</v>
      </c>
      <c r="D949">
        <v>2572809</v>
      </c>
      <c r="E949" t="s">
        <v>53</v>
      </c>
      <c r="F949" t="s">
        <v>49</v>
      </c>
      <c r="G949" s="30">
        <v>11205.3211642804</v>
      </c>
    </row>
    <row r="950" spans="1:7" x14ac:dyDescent="0.25">
      <c r="A950" t="s">
        <v>106</v>
      </c>
      <c r="B950" t="s">
        <v>107</v>
      </c>
      <c r="C950" t="s">
        <v>56</v>
      </c>
      <c r="D950">
        <v>2574776</v>
      </c>
      <c r="E950" t="s">
        <v>53</v>
      </c>
      <c r="F950" t="s">
        <v>49</v>
      </c>
      <c r="G950" s="30">
        <v>11618069.487226</v>
      </c>
    </row>
    <row r="951" spans="1:7" x14ac:dyDescent="0.25">
      <c r="A951" t="s">
        <v>45</v>
      </c>
      <c r="B951" t="s">
        <v>46</v>
      </c>
      <c r="C951" t="s">
        <v>47</v>
      </c>
      <c r="D951">
        <v>2576352</v>
      </c>
      <c r="E951" t="s">
        <v>48</v>
      </c>
      <c r="F951" t="s">
        <v>49</v>
      </c>
      <c r="G951" s="30">
        <v>0</v>
      </c>
    </row>
    <row r="952" spans="1:7" x14ac:dyDescent="0.25">
      <c r="A952" t="s">
        <v>50</v>
      </c>
      <c r="B952" t="s">
        <v>51</v>
      </c>
      <c r="C952" t="s">
        <v>52</v>
      </c>
      <c r="D952">
        <v>2577383</v>
      </c>
      <c r="E952" t="s">
        <v>53</v>
      </c>
      <c r="F952" t="s">
        <v>49</v>
      </c>
      <c r="G952" s="30">
        <v>23150.112853856699</v>
      </c>
    </row>
    <row r="953" spans="1:7" x14ac:dyDescent="0.25">
      <c r="A953" t="s">
        <v>74</v>
      </c>
      <c r="B953" t="s">
        <v>75</v>
      </c>
      <c r="C953" t="s">
        <v>67</v>
      </c>
      <c r="D953">
        <v>2578964</v>
      </c>
      <c r="E953" t="s">
        <v>48</v>
      </c>
      <c r="F953" t="s">
        <v>49</v>
      </c>
      <c r="G953" s="30">
        <v>0</v>
      </c>
    </row>
    <row r="954" spans="1:7" x14ac:dyDescent="0.25">
      <c r="A954" t="s">
        <v>50</v>
      </c>
      <c r="B954" t="s">
        <v>51</v>
      </c>
      <c r="C954" t="s">
        <v>52</v>
      </c>
      <c r="D954">
        <v>2578983</v>
      </c>
      <c r="E954" t="s">
        <v>48</v>
      </c>
      <c r="F954" t="s">
        <v>49</v>
      </c>
      <c r="G954" s="30">
        <v>0</v>
      </c>
    </row>
    <row r="955" spans="1:7" x14ac:dyDescent="0.25">
      <c r="A955" t="s">
        <v>50</v>
      </c>
      <c r="B955" t="s">
        <v>51</v>
      </c>
      <c r="C955" t="s">
        <v>52</v>
      </c>
      <c r="D955">
        <v>2579615</v>
      </c>
      <c r="E955" t="s">
        <v>53</v>
      </c>
      <c r="F955" t="s">
        <v>49</v>
      </c>
      <c r="G955" s="30">
        <v>6542.8107346575898</v>
      </c>
    </row>
    <row r="956" spans="1:7" x14ac:dyDescent="0.25">
      <c r="A956" t="s">
        <v>45</v>
      </c>
      <c r="B956" t="s">
        <v>46</v>
      </c>
      <c r="C956" t="s">
        <v>47</v>
      </c>
      <c r="D956">
        <v>2581053</v>
      </c>
      <c r="E956" t="s">
        <v>48</v>
      </c>
      <c r="F956" t="s">
        <v>49</v>
      </c>
      <c r="G956" s="30">
        <v>0</v>
      </c>
    </row>
    <row r="957" spans="1:7" x14ac:dyDescent="0.25">
      <c r="A957" t="s">
        <v>61</v>
      </c>
      <c r="B957" t="s">
        <v>62</v>
      </c>
      <c r="C957" t="s">
        <v>56</v>
      </c>
      <c r="D957">
        <v>2582514</v>
      </c>
      <c r="E957" t="s">
        <v>48</v>
      </c>
      <c r="F957" t="s">
        <v>49</v>
      </c>
      <c r="G957" s="30">
        <v>26.52</v>
      </c>
    </row>
    <row r="958" spans="1:7" x14ac:dyDescent="0.25">
      <c r="A958" t="s">
        <v>82</v>
      </c>
      <c r="B958" t="s">
        <v>83</v>
      </c>
      <c r="C958" t="s">
        <v>56</v>
      </c>
      <c r="D958">
        <v>2585220</v>
      </c>
      <c r="E958" t="s">
        <v>53</v>
      </c>
      <c r="F958" t="s">
        <v>49</v>
      </c>
      <c r="G958" s="30">
        <v>5645.7725010550103</v>
      </c>
    </row>
    <row r="959" spans="1:7" x14ac:dyDescent="0.25">
      <c r="A959" t="s">
        <v>45</v>
      </c>
      <c r="B959" t="s">
        <v>46</v>
      </c>
      <c r="C959" t="s">
        <v>47</v>
      </c>
      <c r="D959">
        <v>2586797</v>
      </c>
      <c r="E959" t="s">
        <v>48</v>
      </c>
      <c r="F959" t="s">
        <v>49</v>
      </c>
      <c r="G959" s="30">
        <v>0</v>
      </c>
    </row>
    <row r="960" spans="1:7" x14ac:dyDescent="0.25">
      <c r="A960" t="s">
        <v>45</v>
      </c>
      <c r="B960" t="s">
        <v>46</v>
      </c>
      <c r="C960" t="s">
        <v>47</v>
      </c>
      <c r="D960">
        <v>2587014</v>
      </c>
      <c r="E960" t="s">
        <v>48</v>
      </c>
      <c r="F960" t="s">
        <v>49</v>
      </c>
      <c r="G960" s="30">
        <v>0</v>
      </c>
    </row>
    <row r="961" spans="1:7" x14ac:dyDescent="0.25">
      <c r="A961" t="s">
        <v>76</v>
      </c>
      <c r="B961" t="s">
        <v>77</v>
      </c>
      <c r="C961" t="s">
        <v>78</v>
      </c>
      <c r="D961">
        <v>2592051</v>
      </c>
      <c r="E961" t="s">
        <v>53</v>
      </c>
      <c r="F961" t="s">
        <v>49</v>
      </c>
      <c r="G961" s="30">
        <v>151602.794568446</v>
      </c>
    </row>
    <row r="962" spans="1:7" x14ac:dyDescent="0.25">
      <c r="A962" t="s">
        <v>124</v>
      </c>
      <c r="B962" t="s">
        <v>125</v>
      </c>
      <c r="C962" t="s">
        <v>78</v>
      </c>
      <c r="D962">
        <v>2597738</v>
      </c>
      <c r="E962" t="s">
        <v>53</v>
      </c>
      <c r="F962" t="s">
        <v>49</v>
      </c>
      <c r="G962" s="30">
        <v>186132.96597456801</v>
      </c>
    </row>
    <row r="963" spans="1:7" x14ac:dyDescent="0.25">
      <c r="A963" t="s">
        <v>54</v>
      </c>
      <c r="B963" t="s">
        <v>55</v>
      </c>
      <c r="C963" t="s">
        <v>56</v>
      </c>
      <c r="D963">
        <v>2602131</v>
      </c>
      <c r="E963" t="s">
        <v>53</v>
      </c>
      <c r="F963" t="s">
        <v>49</v>
      </c>
      <c r="G963" s="30">
        <v>82780.985359396596</v>
      </c>
    </row>
    <row r="964" spans="1:7" x14ac:dyDescent="0.25">
      <c r="A964" t="s">
        <v>45</v>
      </c>
      <c r="B964" t="s">
        <v>46</v>
      </c>
      <c r="C964" t="s">
        <v>47</v>
      </c>
      <c r="D964">
        <v>2602781</v>
      </c>
      <c r="E964" t="s">
        <v>48</v>
      </c>
      <c r="F964" t="s">
        <v>49</v>
      </c>
      <c r="G964" s="30">
        <v>0</v>
      </c>
    </row>
    <row r="965" spans="1:7" x14ac:dyDescent="0.25">
      <c r="A965" t="s">
        <v>45</v>
      </c>
      <c r="B965" t="s">
        <v>46</v>
      </c>
      <c r="C965" t="s">
        <v>47</v>
      </c>
      <c r="D965">
        <v>2605613</v>
      </c>
      <c r="E965" t="s">
        <v>48</v>
      </c>
      <c r="F965" t="s">
        <v>49</v>
      </c>
      <c r="G965" s="30">
        <v>0</v>
      </c>
    </row>
    <row r="966" spans="1:7" x14ac:dyDescent="0.25">
      <c r="A966" t="s">
        <v>82</v>
      </c>
      <c r="B966" t="s">
        <v>83</v>
      </c>
      <c r="C966" t="s">
        <v>56</v>
      </c>
      <c r="D966">
        <v>2606465</v>
      </c>
      <c r="E966" t="s">
        <v>53</v>
      </c>
      <c r="F966" t="s">
        <v>49</v>
      </c>
      <c r="G966" s="30">
        <v>349307.14925346302</v>
      </c>
    </row>
    <row r="967" spans="1:7" x14ac:dyDescent="0.25">
      <c r="A967" t="s">
        <v>45</v>
      </c>
      <c r="B967" t="s">
        <v>46</v>
      </c>
      <c r="C967" t="s">
        <v>47</v>
      </c>
      <c r="D967">
        <v>2608362</v>
      </c>
      <c r="E967" t="s">
        <v>48</v>
      </c>
      <c r="F967" t="s">
        <v>49</v>
      </c>
      <c r="G967" s="30">
        <v>0</v>
      </c>
    </row>
    <row r="968" spans="1:7" x14ac:dyDescent="0.25">
      <c r="A968" t="s">
        <v>54</v>
      </c>
      <c r="B968" t="s">
        <v>55</v>
      </c>
      <c r="C968" t="s">
        <v>56</v>
      </c>
      <c r="D968">
        <v>2609423</v>
      </c>
      <c r="E968" t="s">
        <v>53</v>
      </c>
      <c r="F968" t="s">
        <v>49</v>
      </c>
      <c r="G968" s="30">
        <v>1096123.6235925199</v>
      </c>
    </row>
    <row r="969" spans="1:7" x14ac:dyDescent="0.25">
      <c r="A969" t="s">
        <v>50</v>
      </c>
      <c r="B969" t="s">
        <v>51</v>
      </c>
      <c r="C969" t="s">
        <v>52</v>
      </c>
      <c r="D969">
        <v>2610419</v>
      </c>
      <c r="E969" t="s">
        <v>53</v>
      </c>
      <c r="F969" t="s">
        <v>49</v>
      </c>
      <c r="G969" s="30">
        <v>20028.2797138803</v>
      </c>
    </row>
    <row r="970" spans="1:7" x14ac:dyDescent="0.25">
      <c r="A970" t="s">
        <v>124</v>
      </c>
      <c r="B970" t="s">
        <v>125</v>
      </c>
      <c r="C970" t="s">
        <v>78</v>
      </c>
      <c r="D970">
        <v>2614153</v>
      </c>
      <c r="E970" t="s">
        <v>53</v>
      </c>
      <c r="F970" t="s">
        <v>49</v>
      </c>
      <c r="G970" s="30">
        <v>146260.306054616</v>
      </c>
    </row>
    <row r="971" spans="1:7" x14ac:dyDescent="0.25">
      <c r="A971" t="s">
        <v>104</v>
      </c>
      <c r="B971" t="s">
        <v>105</v>
      </c>
      <c r="C971" t="s">
        <v>78</v>
      </c>
      <c r="D971">
        <v>2615081</v>
      </c>
      <c r="E971" t="s">
        <v>53</v>
      </c>
      <c r="F971" t="s">
        <v>49</v>
      </c>
      <c r="G971" s="30">
        <v>111573.057802939</v>
      </c>
    </row>
    <row r="972" spans="1:7" x14ac:dyDescent="0.25">
      <c r="A972" t="s">
        <v>65</v>
      </c>
      <c r="B972" t="s">
        <v>66</v>
      </c>
      <c r="C972" t="s">
        <v>67</v>
      </c>
      <c r="D972">
        <v>2616407</v>
      </c>
      <c r="E972" t="s">
        <v>53</v>
      </c>
      <c r="F972" t="s">
        <v>49</v>
      </c>
      <c r="G972" s="30">
        <v>175506.77</v>
      </c>
    </row>
    <row r="973" spans="1:7" x14ac:dyDescent="0.25">
      <c r="A973" t="s">
        <v>50</v>
      </c>
      <c r="B973" t="s">
        <v>51</v>
      </c>
      <c r="C973" t="s">
        <v>52</v>
      </c>
      <c r="D973">
        <v>2618048</v>
      </c>
      <c r="E973" t="s">
        <v>53</v>
      </c>
      <c r="F973" t="s">
        <v>49</v>
      </c>
      <c r="G973" s="30">
        <v>47168.478515625</v>
      </c>
    </row>
    <row r="974" spans="1:7" x14ac:dyDescent="0.25">
      <c r="A974" t="s">
        <v>50</v>
      </c>
      <c r="B974" t="s">
        <v>51</v>
      </c>
      <c r="C974" t="s">
        <v>52</v>
      </c>
      <c r="D974">
        <v>2620817</v>
      </c>
      <c r="E974" t="s">
        <v>53</v>
      </c>
      <c r="F974" t="s">
        <v>49</v>
      </c>
      <c r="G974" s="30">
        <v>73358.480346884098</v>
      </c>
    </row>
    <row r="975" spans="1:7" x14ac:dyDescent="0.25">
      <c r="A975" t="s">
        <v>50</v>
      </c>
      <c r="B975" t="s">
        <v>51</v>
      </c>
      <c r="C975" t="s">
        <v>52</v>
      </c>
      <c r="D975">
        <v>2620915</v>
      </c>
      <c r="E975" t="s">
        <v>53</v>
      </c>
      <c r="F975" t="s">
        <v>49</v>
      </c>
      <c r="G975" s="30">
        <v>27507.085312499999</v>
      </c>
    </row>
    <row r="976" spans="1:7" x14ac:dyDescent="0.25">
      <c r="A976" t="s">
        <v>50</v>
      </c>
      <c r="B976" t="s">
        <v>51</v>
      </c>
      <c r="C976" t="s">
        <v>52</v>
      </c>
      <c r="D976">
        <v>2622495</v>
      </c>
      <c r="E976" t="s">
        <v>53</v>
      </c>
      <c r="F976" t="s">
        <v>49</v>
      </c>
      <c r="G976" s="30">
        <v>3765.09106445313</v>
      </c>
    </row>
    <row r="977" spans="1:7" x14ac:dyDescent="0.25">
      <c r="A977" t="s">
        <v>54</v>
      </c>
      <c r="B977" t="s">
        <v>55</v>
      </c>
      <c r="C977" t="s">
        <v>56</v>
      </c>
      <c r="D977">
        <v>2624880</v>
      </c>
      <c r="E977" t="s">
        <v>53</v>
      </c>
      <c r="F977" t="s">
        <v>49</v>
      </c>
      <c r="G977" s="30">
        <v>267305.697969876</v>
      </c>
    </row>
    <row r="978" spans="1:7" x14ac:dyDescent="0.25">
      <c r="A978" t="s">
        <v>50</v>
      </c>
      <c r="B978" t="s">
        <v>51</v>
      </c>
      <c r="C978" t="s">
        <v>52</v>
      </c>
      <c r="D978">
        <v>2626471</v>
      </c>
      <c r="E978" t="s">
        <v>53</v>
      </c>
      <c r="F978" t="s">
        <v>49</v>
      </c>
      <c r="G978" s="30">
        <v>23009.599999999999</v>
      </c>
    </row>
    <row r="979" spans="1:7" x14ac:dyDescent="0.25">
      <c r="A979" t="s">
        <v>76</v>
      </c>
      <c r="B979" t="s">
        <v>77</v>
      </c>
      <c r="C979" t="s">
        <v>78</v>
      </c>
      <c r="D979">
        <v>2626878</v>
      </c>
      <c r="E979" t="s">
        <v>53</v>
      </c>
      <c r="F979" t="s">
        <v>49</v>
      </c>
      <c r="G979" s="30">
        <v>321654.26537728001</v>
      </c>
    </row>
    <row r="980" spans="1:7" x14ac:dyDescent="0.25">
      <c r="A980" t="s">
        <v>45</v>
      </c>
      <c r="B980" t="s">
        <v>46</v>
      </c>
      <c r="C980" t="s">
        <v>47</v>
      </c>
      <c r="D980">
        <v>2627106</v>
      </c>
      <c r="E980" t="s">
        <v>53</v>
      </c>
      <c r="F980" t="s">
        <v>49</v>
      </c>
      <c r="G980" s="30">
        <v>86.49</v>
      </c>
    </row>
    <row r="981" spans="1:7" x14ac:dyDescent="0.25">
      <c r="A981" t="s">
        <v>50</v>
      </c>
      <c r="B981" t="s">
        <v>51</v>
      </c>
      <c r="C981" t="s">
        <v>52</v>
      </c>
      <c r="D981">
        <v>2628655</v>
      </c>
      <c r="E981" t="s">
        <v>53</v>
      </c>
      <c r="F981" t="s">
        <v>49</v>
      </c>
      <c r="G981" s="30">
        <v>-546.11</v>
      </c>
    </row>
    <row r="982" spans="1:7" x14ac:dyDescent="0.25">
      <c r="A982" t="s">
        <v>50</v>
      </c>
      <c r="B982" t="s">
        <v>51</v>
      </c>
      <c r="C982" t="s">
        <v>52</v>
      </c>
      <c r="D982">
        <v>2630677</v>
      </c>
      <c r="E982" t="s">
        <v>53</v>
      </c>
      <c r="F982" t="s">
        <v>49</v>
      </c>
      <c r="G982" s="30">
        <v>29389.658133655299</v>
      </c>
    </row>
    <row r="983" spans="1:7" x14ac:dyDescent="0.25">
      <c r="A983" t="s">
        <v>50</v>
      </c>
      <c r="B983" t="s">
        <v>51</v>
      </c>
      <c r="C983" t="s">
        <v>52</v>
      </c>
      <c r="D983">
        <v>2631215</v>
      </c>
      <c r="E983" t="s">
        <v>53</v>
      </c>
      <c r="F983" t="s">
        <v>49</v>
      </c>
      <c r="G983" s="30">
        <v>13741.917522572799</v>
      </c>
    </row>
    <row r="984" spans="1:7" x14ac:dyDescent="0.25">
      <c r="A984" t="s">
        <v>50</v>
      </c>
      <c r="B984" t="s">
        <v>51</v>
      </c>
      <c r="C984" t="s">
        <v>52</v>
      </c>
      <c r="D984">
        <v>2631278</v>
      </c>
      <c r="E984" t="s">
        <v>53</v>
      </c>
      <c r="F984" t="s">
        <v>49</v>
      </c>
      <c r="G984" s="30">
        <v>37091.600039062498</v>
      </c>
    </row>
    <row r="985" spans="1:7" x14ac:dyDescent="0.25">
      <c r="A985" t="s">
        <v>45</v>
      </c>
      <c r="B985" t="s">
        <v>46</v>
      </c>
      <c r="C985" t="s">
        <v>47</v>
      </c>
      <c r="D985">
        <v>2632158</v>
      </c>
      <c r="E985" t="s">
        <v>48</v>
      </c>
      <c r="F985" t="s">
        <v>49</v>
      </c>
      <c r="G985" s="30">
        <v>0</v>
      </c>
    </row>
    <row r="986" spans="1:7" x14ac:dyDescent="0.25">
      <c r="A986" t="s">
        <v>63</v>
      </c>
      <c r="B986" t="s">
        <v>64</v>
      </c>
      <c r="C986" t="s">
        <v>56</v>
      </c>
      <c r="D986">
        <v>2633052</v>
      </c>
      <c r="E986" t="s">
        <v>53</v>
      </c>
      <c r="F986" t="s">
        <v>49</v>
      </c>
      <c r="G986" s="30">
        <v>747101.52972656302</v>
      </c>
    </row>
    <row r="987" spans="1:7" x14ac:dyDescent="0.25">
      <c r="A987" t="s">
        <v>98</v>
      </c>
      <c r="B987" t="s">
        <v>99</v>
      </c>
      <c r="C987" t="s">
        <v>81</v>
      </c>
      <c r="D987">
        <v>2635017</v>
      </c>
      <c r="E987" t="s">
        <v>53</v>
      </c>
      <c r="F987" t="s">
        <v>49</v>
      </c>
      <c r="G987" s="30">
        <v>254773.54753096899</v>
      </c>
    </row>
    <row r="988" spans="1:7" x14ac:dyDescent="0.25">
      <c r="A988" t="s">
        <v>45</v>
      </c>
      <c r="B988" t="s">
        <v>46</v>
      </c>
      <c r="C988" t="s">
        <v>47</v>
      </c>
      <c r="D988">
        <v>2635337</v>
      </c>
      <c r="E988" t="s">
        <v>48</v>
      </c>
      <c r="F988" t="s">
        <v>49</v>
      </c>
      <c r="G988" s="30">
        <v>18.22</v>
      </c>
    </row>
    <row r="989" spans="1:7" x14ac:dyDescent="0.25">
      <c r="A989" t="s">
        <v>76</v>
      </c>
      <c r="B989" t="s">
        <v>77</v>
      </c>
      <c r="C989" t="s">
        <v>78</v>
      </c>
      <c r="D989">
        <v>2635959</v>
      </c>
      <c r="E989" t="s">
        <v>53</v>
      </c>
      <c r="F989" t="s">
        <v>49</v>
      </c>
      <c r="G989" s="30">
        <v>118621.32914062501</v>
      </c>
    </row>
    <row r="990" spans="1:7" x14ac:dyDescent="0.25">
      <c r="A990" t="s">
        <v>88</v>
      </c>
      <c r="B990" t="s">
        <v>89</v>
      </c>
      <c r="C990" t="s">
        <v>78</v>
      </c>
      <c r="D990">
        <v>2637269</v>
      </c>
      <c r="E990" t="s">
        <v>53</v>
      </c>
      <c r="F990" t="s">
        <v>49</v>
      </c>
      <c r="G990" s="30">
        <v>206770.01600810199</v>
      </c>
    </row>
    <row r="991" spans="1:7" x14ac:dyDescent="0.25">
      <c r="A991" t="s">
        <v>45</v>
      </c>
      <c r="B991" t="s">
        <v>46</v>
      </c>
      <c r="C991" t="s">
        <v>47</v>
      </c>
      <c r="D991">
        <v>2638221</v>
      </c>
      <c r="E991" t="s">
        <v>53</v>
      </c>
      <c r="F991" t="s">
        <v>49</v>
      </c>
      <c r="G991" s="30">
        <v>181592.99842679701</v>
      </c>
    </row>
    <row r="992" spans="1:7" x14ac:dyDescent="0.25">
      <c r="A992" t="s">
        <v>114</v>
      </c>
      <c r="B992" t="s">
        <v>115</v>
      </c>
      <c r="C992" t="s">
        <v>56</v>
      </c>
      <c r="D992">
        <v>2640126</v>
      </c>
      <c r="E992" t="s">
        <v>53</v>
      </c>
      <c r="F992" t="s">
        <v>49</v>
      </c>
      <c r="G992" s="30">
        <v>558714.82415432099</v>
      </c>
    </row>
    <row r="993" spans="1:7" x14ac:dyDescent="0.25">
      <c r="A993" t="s">
        <v>82</v>
      </c>
      <c r="B993" t="s">
        <v>83</v>
      </c>
      <c r="C993" t="s">
        <v>56</v>
      </c>
      <c r="D993">
        <v>2640789</v>
      </c>
      <c r="E993" t="s">
        <v>53</v>
      </c>
      <c r="F993" t="s">
        <v>49</v>
      </c>
      <c r="G993" s="30">
        <v>1239486.32024154</v>
      </c>
    </row>
    <row r="994" spans="1:7" x14ac:dyDescent="0.25">
      <c r="A994" t="s">
        <v>86</v>
      </c>
      <c r="B994" t="s">
        <v>87</v>
      </c>
      <c r="C994" t="s">
        <v>78</v>
      </c>
      <c r="D994">
        <v>2641964</v>
      </c>
      <c r="E994" t="s">
        <v>53</v>
      </c>
      <c r="F994" t="s">
        <v>49</v>
      </c>
      <c r="G994" s="30">
        <v>650424.259494356</v>
      </c>
    </row>
    <row r="995" spans="1:7" x14ac:dyDescent="0.25">
      <c r="A995" t="s">
        <v>50</v>
      </c>
      <c r="B995" t="s">
        <v>51</v>
      </c>
      <c r="C995" t="s">
        <v>52</v>
      </c>
      <c r="D995">
        <v>2642882</v>
      </c>
      <c r="E995" t="s">
        <v>53</v>
      </c>
      <c r="F995" t="s">
        <v>49</v>
      </c>
      <c r="G995" s="30">
        <v>60816.478966111303</v>
      </c>
    </row>
    <row r="996" spans="1:7" x14ac:dyDescent="0.25">
      <c r="A996" t="s">
        <v>100</v>
      </c>
      <c r="B996" t="s">
        <v>101</v>
      </c>
      <c r="C996" t="s">
        <v>52</v>
      </c>
      <c r="D996">
        <v>2645345</v>
      </c>
      <c r="E996" t="s">
        <v>53</v>
      </c>
      <c r="F996" t="s">
        <v>49</v>
      </c>
      <c r="G996" s="30">
        <v>148083.78222656299</v>
      </c>
    </row>
    <row r="997" spans="1:7" x14ac:dyDescent="0.25">
      <c r="A997" t="s">
        <v>102</v>
      </c>
      <c r="B997" t="s">
        <v>103</v>
      </c>
      <c r="C997" t="s">
        <v>47</v>
      </c>
      <c r="D997">
        <v>2647204</v>
      </c>
      <c r="E997" t="s">
        <v>53</v>
      </c>
      <c r="F997" t="s">
        <v>49</v>
      </c>
      <c r="G997" s="30">
        <v>119410.6</v>
      </c>
    </row>
    <row r="998" spans="1:7" x14ac:dyDescent="0.25">
      <c r="A998" t="s">
        <v>45</v>
      </c>
      <c r="B998" t="s">
        <v>46</v>
      </c>
      <c r="C998" t="s">
        <v>47</v>
      </c>
      <c r="D998">
        <v>2647235</v>
      </c>
      <c r="E998" t="s">
        <v>48</v>
      </c>
      <c r="F998" t="s">
        <v>49</v>
      </c>
      <c r="G998" s="30">
        <v>0</v>
      </c>
    </row>
    <row r="999" spans="1:7" x14ac:dyDescent="0.25">
      <c r="A999" t="s">
        <v>135</v>
      </c>
      <c r="B999" t="s">
        <v>136</v>
      </c>
      <c r="C999" t="s">
        <v>56</v>
      </c>
      <c r="D999">
        <v>2647489</v>
      </c>
      <c r="E999" t="s">
        <v>53</v>
      </c>
      <c r="F999" t="s">
        <v>49</v>
      </c>
      <c r="G999" s="30">
        <v>30116.582575361899</v>
      </c>
    </row>
    <row r="1000" spans="1:7" x14ac:dyDescent="0.25">
      <c r="A1000" t="s">
        <v>84</v>
      </c>
      <c r="B1000" t="s">
        <v>85</v>
      </c>
      <c r="C1000" t="s">
        <v>67</v>
      </c>
      <c r="D1000">
        <v>2648555</v>
      </c>
      <c r="E1000" t="s">
        <v>53</v>
      </c>
      <c r="F1000" t="s">
        <v>49</v>
      </c>
      <c r="G1000" s="30">
        <v>227044.08624790001</v>
      </c>
    </row>
    <row r="1001" spans="1:7" x14ac:dyDescent="0.25">
      <c r="A1001" t="s">
        <v>122</v>
      </c>
      <c r="B1001" t="s">
        <v>123</v>
      </c>
      <c r="C1001" t="s">
        <v>52</v>
      </c>
      <c r="D1001">
        <v>2650682</v>
      </c>
      <c r="E1001" t="s">
        <v>48</v>
      </c>
      <c r="F1001" t="s">
        <v>49</v>
      </c>
      <c r="G1001" s="30">
        <v>0.46</v>
      </c>
    </row>
    <row r="1002" spans="1:7" x14ac:dyDescent="0.25">
      <c r="A1002" t="s">
        <v>63</v>
      </c>
      <c r="B1002" t="s">
        <v>64</v>
      </c>
      <c r="C1002" t="s">
        <v>56</v>
      </c>
      <c r="D1002">
        <v>2650739</v>
      </c>
      <c r="E1002" t="s">
        <v>53</v>
      </c>
      <c r="F1002" t="s">
        <v>49</v>
      </c>
      <c r="G1002" s="30">
        <v>425913.52579364099</v>
      </c>
    </row>
    <row r="1003" spans="1:7" x14ac:dyDescent="0.25">
      <c r="A1003" t="s">
        <v>50</v>
      </c>
      <c r="B1003" t="s">
        <v>51</v>
      </c>
      <c r="C1003" t="s">
        <v>52</v>
      </c>
      <c r="D1003">
        <v>2652287</v>
      </c>
      <c r="E1003" t="s">
        <v>53</v>
      </c>
      <c r="F1003" t="s">
        <v>49</v>
      </c>
      <c r="G1003" s="30">
        <v>89967.125778494606</v>
      </c>
    </row>
    <row r="1004" spans="1:7" x14ac:dyDescent="0.25">
      <c r="A1004" t="s">
        <v>45</v>
      </c>
      <c r="B1004" t="s">
        <v>46</v>
      </c>
      <c r="C1004" t="s">
        <v>47</v>
      </c>
      <c r="D1004">
        <v>2653467</v>
      </c>
      <c r="E1004" t="s">
        <v>48</v>
      </c>
      <c r="F1004" t="s">
        <v>49</v>
      </c>
      <c r="G1004" s="30">
        <v>0</v>
      </c>
    </row>
    <row r="1005" spans="1:7" x14ac:dyDescent="0.25">
      <c r="A1005" t="s">
        <v>74</v>
      </c>
      <c r="B1005" t="s">
        <v>75</v>
      </c>
      <c r="C1005" t="s">
        <v>67</v>
      </c>
      <c r="D1005">
        <v>2654219</v>
      </c>
      <c r="E1005" t="s">
        <v>48</v>
      </c>
      <c r="F1005" t="s">
        <v>49</v>
      </c>
      <c r="G1005" s="30">
        <v>20.93</v>
      </c>
    </row>
    <row r="1006" spans="1:7" x14ac:dyDescent="0.25">
      <c r="A1006" t="s">
        <v>65</v>
      </c>
      <c r="B1006" t="s">
        <v>66</v>
      </c>
      <c r="C1006" t="s">
        <v>67</v>
      </c>
      <c r="D1006">
        <v>2654429</v>
      </c>
      <c r="E1006" t="s">
        <v>53</v>
      </c>
      <c r="F1006" t="s">
        <v>49</v>
      </c>
      <c r="G1006" s="30">
        <v>273699.25348706701</v>
      </c>
    </row>
    <row r="1007" spans="1:7" x14ac:dyDescent="0.25">
      <c r="A1007" t="s">
        <v>82</v>
      </c>
      <c r="B1007" t="s">
        <v>83</v>
      </c>
      <c r="C1007" t="s">
        <v>56</v>
      </c>
      <c r="D1007">
        <v>2654689</v>
      </c>
      <c r="E1007" t="s">
        <v>53</v>
      </c>
      <c r="F1007" t="s">
        <v>49</v>
      </c>
      <c r="G1007" s="30">
        <v>1080529.5737230501</v>
      </c>
    </row>
    <row r="1008" spans="1:7" x14ac:dyDescent="0.25">
      <c r="A1008" t="s">
        <v>50</v>
      </c>
      <c r="B1008" t="s">
        <v>51</v>
      </c>
      <c r="C1008" t="s">
        <v>52</v>
      </c>
      <c r="D1008">
        <v>2656050</v>
      </c>
      <c r="E1008" t="s">
        <v>53</v>
      </c>
      <c r="F1008" t="s">
        <v>49</v>
      </c>
      <c r="G1008" s="30">
        <v>21373.592313127901</v>
      </c>
    </row>
    <row r="1009" spans="1:7" x14ac:dyDescent="0.25">
      <c r="A1009" t="s">
        <v>50</v>
      </c>
      <c r="B1009" t="s">
        <v>51</v>
      </c>
      <c r="C1009" t="s">
        <v>52</v>
      </c>
      <c r="D1009">
        <v>2656235</v>
      </c>
      <c r="E1009" t="s">
        <v>53</v>
      </c>
      <c r="F1009" t="s">
        <v>49</v>
      </c>
      <c r="G1009" s="30">
        <v>51492.782478249297</v>
      </c>
    </row>
    <row r="1010" spans="1:7" x14ac:dyDescent="0.25">
      <c r="A1010" t="s">
        <v>50</v>
      </c>
      <c r="B1010" t="s">
        <v>51</v>
      </c>
      <c r="C1010" t="s">
        <v>52</v>
      </c>
      <c r="D1010">
        <v>2657039</v>
      </c>
      <c r="E1010" t="s">
        <v>53</v>
      </c>
      <c r="F1010" t="s">
        <v>49</v>
      </c>
      <c r="G1010" s="30">
        <v>29394.205161184698</v>
      </c>
    </row>
    <row r="1011" spans="1:7" x14ac:dyDescent="0.25">
      <c r="A1011" t="s">
        <v>50</v>
      </c>
      <c r="B1011" t="s">
        <v>51</v>
      </c>
      <c r="C1011" t="s">
        <v>52</v>
      </c>
      <c r="D1011">
        <v>2660896</v>
      </c>
      <c r="E1011" t="s">
        <v>48</v>
      </c>
      <c r="F1011" t="s">
        <v>49</v>
      </c>
      <c r="G1011" s="30">
        <v>0</v>
      </c>
    </row>
    <row r="1012" spans="1:7" x14ac:dyDescent="0.25">
      <c r="A1012" t="s">
        <v>100</v>
      </c>
      <c r="B1012" t="s">
        <v>101</v>
      </c>
      <c r="C1012" t="s">
        <v>52</v>
      </c>
      <c r="D1012">
        <v>2661029</v>
      </c>
      <c r="E1012" t="s">
        <v>53</v>
      </c>
      <c r="F1012" t="s">
        <v>49</v>
      </c>
      <c r="G1012" s="30">
        <v>44280.367938224503</v>
      </c>
    </row>
    <row r="1013" spans="1:7" x14ac:dyDescent="0.25">
      <c r="A1013" t="s">
        <v>82</v>
      </c>
      <c r="B1013" t="s">
        <v>83</v>
      </c>
      <c r="C1013" t="s">
        <v>56</v>
      </c>
      <c r="D1013">
        <v>2662135</v>
      </c>
      <c r="E1013" t="s">
        <v>53</v>
      </c>
      <c r="F1013" t="s">
        <v>49</v>
      </c>
      <c r="G1013" s="30">
        <v>661523.63353308605</v>
      </c>
    </row>
    <row r="1014" spans="1:7" x14ac:dyDescent="0.25">
      <c r="A1014" t="s">
        <v>45</v>
      </c>
      <c r="B1014" t="s">
        <v>46</v>
      </c>
      <c r="C1014" t="s">
        <v>47</v>
      </c>
      <c r="D1014">
        <v>2662379</v>
      </c>
      <c r="E1014" t="s">
        <v>53</v>
      </c>
      <c r="F1014" t="s">
        <v>49</v>
      </c>
      <c r="G1014" s="30">
        <v>6957.4690366000004</v>
      </c>
    </row>
    <row r="1015" spans="1:7" x14ac:dyDescent="0.25">
      <c r="A1015" t="s">
        <v>133</v>
      </c>
      <c r="B1015" t="s">
        <v>134</v>
      </c>
      <c r="C1015" t="s">
        <v>47</v>
      </c>
      <c r="D1015">
        <v>2663098</v>
      </c>
      <c r="E1015" t="s">
        <v>53</v>
      </c>
      <c r="F1015" t="s">
        <v>49</v>
      </c>
      <c r="G1015" s="30">
        <v>537660.69961931603</v>
      </c>
    </row>
    <row r="1016" spans="1:7" x14ac:dyDescent="0.25">
      <c r="A1016" t="s">
        <v>104</v>
      </c>
      <c r="B1016" t="s">
        <v>105</v>
      </c>
      <c r="C1016" t="s">
        <v>78</v>
      </c>
      <c r="D1016">
        <v>2663209</v>
      </c>
      <c r="E1016" t="s">
        <v>53</v>
      </c>
      <c r="F1016" t="s">
        <v>49</v>
      </c>
      <c r="G1016" s="30">
        <v>102758.190265688</v>
      </c>
    </row>
    <row r="1017" spans="1:7" x14ac:dyDescent="0.25">
      <c r="A1017" t="s">
        <v>45</v>
      </c>
      <c r="B1017" t="s">
        <v>46</v>
      </c>
      <c r="C1017" t="s">
        <v>47</v>
      </c>
      <c r="D1017">
        <v>2663417</v>
      </c>
      <c r="E1017" t="s">
        <v>48</v>
      </c>
      <c r="F1017" t="s">
        <v>49</v>
      </c>
      <c r="G1017" s="30">
        <v>0</v>
      </c>
    </row>
    <row r="1018" spans="1:7" x14ac:dyDescent="0.25">
      <c r="A1018" t="s">
        <v>120</v>
      </c>
      <c r="B1018" t="s">
        <v>121</v>
      </c>
      <c r="C1018" t="s">
        <v>67</v>
      </c>
      <c r="D1018">
        <v>2665647</v>
      </c>
      <c r="E1018" t="s">
        <v>53</v>
      </c>
      <c r="F1018" t="s">
        <v>49</v>
      </c>
      <c r="G1018" s="30">
        <v>272210.93575950601</v>
      </c>
    </row>
    <row r="1019" spans="1:7" x14ac:dyDescent="0.25">
      <c r="A1019" t="s">
        <v>74</v>
      </c>
      <c r="B1019" t="s">
        <v>75</v>
      </c>
      <c r="C1019" t="s">
        <v>67</v>
      </c>
      <c r="D1019">
        <v>2666078</v>
      </c>
      <c r="E1019" t="s">
        <v>53</v>
      </c>
      <c r="F1019" t="s">
        <v>49</v>
      </c>
      <c r="G1019" s="30">
        <v>3796986.9371973402</v>
      </c>
    </row>
    <row r="1020" spans="1:7" x14ac:dyDescent="0.25">
      <c r="A1020" t="s">
        <v>72</v>
      </c>
      <c r="B1020" t="s">
        <v>73</v>
      </c>
      <c r="C1020" t="s">
        <v>67</v>
      </c>
      <c r="D1020">
        <v>2667000</v>
      </c>
      <c r="E1020" t="s">
        <v>53</v>
      </c>
      <c r="F1020" t="s">
        <v>49</v>
      </c>
      <c r="G1020" s="30">
        <v>547198.60637455096</v>
      </c>
    </row>
    <row r="1021" spans="1:7" x14ac:dyDescent="0.25">
      <c r="A1021" t="s">
        <v>74</v>
      </c>
      <c r="B1021" t="s">
        <v>75</v>
      </c>
      <c r="C1021" t="s">
        <v>67</v>
      </c>
      <c r="D1021">
        <v>2667496</v>
      </c>
      <c r="E1021" t="s">
        <v>48</v>
      </c>
      <c r="F1021" t="s">
        <v>49</v>
      </c>
      <c r="G1021" s="30">
        <v>0</v>
      </c>
    </row>
    <row r="1022" spans="1:7" x14ac:dyDescent="0.25">
      <c r="A1022" t="s">
        <v>50</v>
      </c>
      <c r="B1022" t="s">
        <v>51</v>
      </c>
      <c r="C1022" t="s">
        <v>52</v>
      </c>
      <c r="D1022">
        <v>2669823</v>
      </c>
      <c r="E1022" t="s">
        <v>53</v>
      </c>
      <c r="F1022" t="s">
        <v>49</v>
      </c>
      <c r="G1022" s="30">
        <v>54574.572309000003</v>
      </c>
    </row>
    <row r="1023" spans="1:7" x14ac:dyDescent="0.25">
      <c r="A1023" t="s">
        <v>45</v>
      </c>
      <c r="B1023" t="s">
        <v>46</v>
      </c>
      <c r="C1023" t="s">
        <v>47</v>
      </c>
      <c r="D1023">
        <v>2677085</v>
      </c>
      <c r="E1023" t="s">
        <v>53</v>
      </c>
      <c r="F1023" t="s">
        <v>49</v>
      </c>
      <c r="G1023" s="30">
        <v>53411.787755725498</v>
      </c>
    </row>
    <row r="1024" spans="1:7" x14ac:dyDescent="0.25">
      <c r="A1024" t="s">
        <v>45</v>
      </c>
      <c r="B1024" t="s">
        <v>46</v>
      </c>
      <c r="C1024" t="s">
        <v>47</v>
      </c>
      <c r="D1024">
        <v>2677247</v>
      </c>
      <c r="E1024" t="s">
        <v>48</v>
      </c>
      <c r="F1024" t="s">
        <v>49</v>
      </c>
      <c r="G1024" s="30">
        <v>0</v>
      </c>
    </row>
    <row r="1025" spans="1:7" x14ac:dyDescent="0.25">
      <c r="A1025" t="s">
        <v>50</v>
      </c>
      <c r="B1025" t="s">
        <v>51</v>
      </c>
      <c r="C1025" t="s">
        <v>52</v>
      </c>
      <c r="D1025">
        <v>2678101</v>
      </c>
      <c r="E1025" t="s">
        <v>53</v>
      </c>
      <c r="F1025" t="s">
        <v>49</v>
      </c>
      <c r="G1025" s="30">
        <v>183.759929711957</v>
      </c>
    </row>
    <row r="1026" spans="1:7" x14ac:dyDescent="0.25">
      <c r="A1026" t="s">
        <v>50</v>
      </c>
      <c r="B1026" t="s">
        <v>51</v>
      </c>
      <c r="C1026" t="s">
        <v>52</v>
      </c>
      <c r="D1026">
        <v>2679001</v>
      </c>
      <c r="E1026" t="s">
        <v>53</v>
      </c>
      <c r="F1026" t="s">
        <v>49</v>
      </c>
      <c r="G1026" s="30">
        <v>46663.001953125</v>
      </c>
    </row>
    <row r="1027" spans="1:7" x14ac:dyDescent="0.25">
      <c r="A1027" t="s">
        <v>45</v>
      </c>
      <c r="B1027" t="s">
        <v>46</v>
      </c>
      <c r="C1027" t="s">
        <v>47</v>
      </c>
      <c r="D1027">
        <v>2679506</v>
      </c>
      <c r="E1027" t="s">
        <v>48</v>
      </c>
      <c r="F1027" t="s">
        <v>49</v>
      </c>
      <c r="G1027" s="30">
        <v>0</v>
      </c>
    </row>
    <row r="1028" spans="1:7" x14ac:dyDescent="0.25">
      <c r="A1028" t="s">
        <v>50</v>
      </c>
      <c r="B1028" t="s">
        <v>51</v>
      </c>
      <c r="C1028" t="s">
        <v>52</v>
      </c>
      <c r="D1028">
        <v>2680357</v>
      </c>
      <c r="E1028" t="s">
        <v>53</v>
      </c>
      <c r="F1028" t="s">
        <v>49</v>
      </c>
      <c r="G1028" s="30">
        <v>8415.7900000000009</v>
      </c>
    </row>
    <row r="1029" spans="1:7" x14ac:dyDescent="0.25">
      <c r="A1029" t="s">
        <v>96</v>
      </c>
      <c r="B1029" t="s">
        <v>97</v>
      </c>
      <c r="C1029" t="s">
        <v>81</v>
      </c>
      <c r="D1029">
        <v>2687510</v>
      </c>
      <c r="E1029" t="s">
        <v>48</v>
      </c>
      <c r="F1029" t="s">
        <v>49</v>
      </c>
      <c r="G1029" s="30">
        <v>0</v>
      </c>
    </row>
    <row r="1030" spans="1:7" x14ac:dyDescent="0.25">
      <c r="A1030" t="s">
        <v>45</v>
      </c>
      <c r="B1030" t="s">
        <v>46</v>
      </c>
      <c r="C1030" t="s">
        <v>47</v>
      </c>
      <c r="D1030">
        <v>2688656</v>
      </c>
      <c r="E1030" t="s">
        <v>48</v>
      </c>
      <c r="F1030" t="s">
        <v>49</v>
      </c>
      <c r="G1030" s="30">
        <v>0</v>
      </c>
    </row>
    <row r="1031" spans="1:7" x14ac:dyDescent="0.25">
      <c r="A1031" t="s">
        <v>98</v>
      </c>
      <c r="B1031" t="s">
        <v>99</v>
      </c>
      <c r="C1031" t="s">
        <v>81</v>
      </c>
      <c r="D1031">
        <v>2690138</v>
      </c>
      <c r="E1031" t="s">
        <v>53</v>
      </c>
      <c r="F1031" t="s">
        <v>49</v>
      </c>
      <c r="G1031" s="30">
        <v>668899.33596553805</v>
      </c>
    </row>
    <row r="1032" spans="1:7" x14ac:dyDescent="0.25">
      <c r="A1032" t="s">
        <v>50</v>
      </c>
      <c r="B1032" t="s">
        <v>51</v>
      </c>
      <c r="C1032" t="s">
        <v>52</v>
      </c>
      <c r="D1032">
        <v>2691676</v>
      </c>
      <c r="E1032" t="s">
        <v>53</v>
      </c>
      <c r="F1032" t="s">
        <v>49</v>
      </c>
      <c r="G1032" s="30">
        <v>100</v>
      </c>
    </row>
    <row r="1033" spans="1:7" x14ac:dyDescent="0.25">
      <c r="A1033" t="s">
        <v>128</v>
      </c>
      <c r="B1033" t="s">
        <v>129</v>
      </c>
      <c r="C1033" t="s">
        <v>130</v>
      </c>
      <c r="D1033">
        <v>2692840</v>
      </c>
      <c r="E1033" t="s">
        <v>53</v>
      </c>
      <c r="F1033" t="s">
        <v>49</v>
      </c>
      <c r="G1033" s="30">
        <v>6880491.63328081</v>
      </c>
    </row>
    <row r="1034" spans="1:7" x14ac:dyDescent="0.25">
      <c r="A1034" t="s">
        <v>124</v>
      </c>
      <c r="B1034" t="s">
        <v>125</v>
      </c>
      <c r="C1034" t="s">
        <v>78</v>
      </c>
      <c r="D1034">
        <v>2693178</v>
      </c>
      <c r="E1034" t="s">
        <v>53</v>
      </c>
      <c r="F1034" t="s">
        <v>49</v>
      </c>
      <c r="G1034" s="30">
        <v>249430.301703679</v>
      </c>
    </row>
    <row r="1035" spans="1:7" x14ac:dyDescent="0.25">
      <c r="A1035" t="s">
        <v>50</v>
      </c>
      <c r="B1035" t="s">
        <v>51</v>
      </c>
      <c r="C1035" t="s">
        <v>52</v>
      </c>
      <c r="D1035">
        <v>2693282</v>
      </c>
      <c r="E1035" t="s">
        <v>53</v>
      </c>
      <c r="F1035" t="s">
        <v>49</v>
      </c>
      <c r="G1035" s="30">
        <v>18204.4069335938</v>
      </c>
    </row>
    <row r="1036" spans="1:7" x14ac:dyDescent="0.25">
      <c r="A1036" t="s">
        <v>76</v>
      </c>
      <c r="B1036" t="s">
        <v>77</v>
      </c>
      <c r="C1036" t="s">
        <v>78</v>
      </c>
      <c r="D1036">
        <v>2698023</v>
      </c>
      <c r="E1036" t="s">
        <v>53</v>
      </c>
      <c r="F1036" t="s">
        <v>49</v>
      </c>
      <c r="G1036" s="30">
        <v>137837.94409668</v>
      </c>
    </row>
    <row r="1037" spans="1:7" x14ac:dyDescent="0.25">
      <c r="A1037" t="s">
        <v>63</v>
      </c>
      <c r="B1037" t="s">
        <v>64</v>
      </c>
      <c r="C1037" t="s">
        <v>56</v>
      </c>
      <c r="D1037">
        <v>2699733</v>
      </c>
      <c r="E1037" t="s">
        <v>53</v>
      </c>
      <c r="F1037" t="s">
        <v>49</v>
      </c>
      <c r="G1037" s="30">
        <v>8715.1461273998193</v>
      </c>
    </row>
    <row r="1038" spans="1:7" x14ac:dyDescent="0.25">
      <c r="A1038" t="s">
        <v>74</v>
      </c>
      <c r="B1038" t="s">
        <v>75</v>
      </c>
      <c r="C1038" t="s">
        <v>67</v>
      </c>
      <c r="D1038">
        <v>2700620</v>
      </c>
      <c r="E1038" t="s">
        <v>53</v>
      </c>
      <c r="F1038" t="s">
        <v>49</v>
      </c>
      <c r="G1038" s="30">
        <v>6111.7755493320101</v>
      </c>
    </row>
    <row r="1039" spans="1:7" x14ac:dyDescent="0.25">
      <c r="A1039" t="s">
        <v>54</v>
      </c>
      <c r="B1039" t="s">
        <v>55</v>
      </c>
      <c r="C1039" t="s">
        <v>56</v>
      </c>
      <c r="D1039">
        <v>2700649</v>
      </c>
      <c r="E1039" t="s">
        <v>53</v>
      </c>
      <c r="F1039" t="s">
        <v>49</v>
      </c>
      <c r="G1039" s="30">
        <v>1747257.5201598001</v>
      </c>
    </row>
    <row r="1040" spans="1:7" x14ac:dyDescent="0.25">
      <c r="A1040" t="s">
        <v>124</v>
      </c>
      <c r="B1040" t="s">
        <v>125</v>
      </c>
      <c r="C1040" t="s">
        <v>78</v>
      </c>
      <c r="D1040">
        <v>2703365</v>
      </c>
      <c r="E1040" t="s">
        <v>53</v>
      </c>
      <c r="F1040" t="s">
        <v>49</v>
      </c>
      <c r="G1040" s="30">
        <v>313155.55482708401</v>
      </c>
    </row>
    <row r="1041" spans="1:7" x14ac:dyDescent="0.25">
      <c r="A1041" t="s">
        <v>50</v>
      </c>
      <c r="B1041" t="s">
        <v>51</v>
      </c>
      <c r="C1041" t="s">
        <v>52</v>
      </c>
      <c r="D1041">
        <v>2712244</v>
      </c>
      <c r="E1041" t="s">
        <v>53</v>
      </c>
      <c r="F1041" t="s">
        <v>49</v>
      </c>
      <c r="G1041" s="30">
        <v>55260.318187104203</v>
      </c>
    </row>
    <row r="1042" spans="1:7" x14ac:dyDescent="0.25">
      <c r="A1042" t="s">
        <v>45</v>
      </c>
      <c r="B1042" t="s">
        <v>46</v>
      </c>
      <c r="C1042" t="s">
        <v>47</v>
      </c>
      <c r="D1042">
        <v>2712764</v>
      </c>
      <c r="E1042" t="s">
        <v>48</v>
      </c>
      <c r="F1042" t="s">
        <v>49</v>
      </c>
      <c r="G1042" s="30">
        <v>0</v>
      </c>
    </row>
    <row r="1043" spans="1:7" x14ac:dyDescent="0.25">
      <c r="A1043" t="s">
        <v>59</v>
      </c>
      <c r="B1043" t="s">
        <v>60</v>
      </c>
      <c r="C1043" t="s">
        <v>56</v>
      </c>
      <c r="D1043">
        <v>2716439</v>
      </c>
      <c r="E1043" t="s">
        <v>53</v>
      </c>
      <c r="F1043" t="s">
        <v>49</v>
      </c>
      <c r="G1043" s="30">
        <v>387019.68722168001</v>
      </c>
    </row>
    <row r="1044" spans="1:7" x14ac:dyDescent="0.25">
      <c r="A1044" t="s">
        <v>45</v>
      </c>
      <c r="B1044" t="s">
        <v>46</v>
      </c>
      <c r="C1044" t="s">
        <v>47</v>
      </c>
      <c r="D1044">
        <v>2721163</v>
      </c>
      <c r="E1044" t="s">
        <v>48</v>
      </c>
      <c r="F1044" t="s">
        <v>49</v>
      </c>
      <c r="G1044" s="30">
        <v>0</v>
      </c>
    </row>
    <row r="1045" spans="1:7" x14ac:dyDescent="0.25">
      <c r="A1045" t="s">
        <v>54</v>
      </c>
      <c r="B1045" t="s">
        <v>55</v>
      </c>
      <c r="C1045" t="s">
        <v>56</v>
      </c>
      <c r="D1045">
        <v>2725214</v>
      </c>
      <c r="E1045" t="s">
        <v>53</v>
      </c>
      <c r="F1045" t="s">
        <v>49</v>
      </c>
      <c r="G1045" s="30">
        <v>1283.60597873552</v>
      </c>
    </row>
    <row r="1046" spans="1:7" x14ac:dyDescent="0.25">
      <c r="A1046" t="s">
        <v>74</v>
      </c>
      <c r="B1046" t="s">
        <v>75</v>
      </c>
      <c r="C1046" t="s">
        <v>67</v>
      </c>
      <c r="D1046">
        <v>2726954</v>
      </c>
      <c r="E1046" t="s">
        <v>53</v>
      </c>
      <c r="F1046" t="s">
        <v>49</v>
      </c>
      <c r="G1046" s="30">
        <v>166596.39582937301</v>
      </c>
    </row>
    <row r="1047" spans="1:7" x14ac:dyDescent="0.25">
      <c r="A1047" t="s">
        <v>50</v>
      </c>
      <c r="B1047" t="s">
        <v>51</v>
      </c>
      <c r="C1047" t="s">
        <v>52</v>
      </c>
      <c r="D1047">
        <v>2728232</v>
      </c>
      <c r="E1047" t="s">
        <v>53</v>
      </c>
      <c r="F1047" t="s">
        <v>49</v>
      </c>
      <c r="G1047" s="30">
        <v>78640.154779774995</v>
      </c>
    </row>
    <row r="1048" spans="1:7" x14ac:dyDescent="0.25">
      <c r="A1048" t="s">
        <v>96</v>
      </c>
      <c r="B1048" t="s">
        <v>97</v>
      </c>
      <c r="C1048" t="s">
        <v>81</v>
      </c>
      <c r="D1048">
        <v>2729971</v>
      </c>
      <c r="E1048" t="s">
        <v>48</v>
      </c>
      <c r="F1048" t="s">
        <v>49</v>
      </c>
      <c r="G1048" s="30">
        <v>0</v>
      </c>
    </row>
    <row r="1049" spans="1:7" x14ac:dyDescent="0.25">
      <c r="A1049" t="s">
        <v>50</v>
      </c>
      <c r="B1049" t="s">
        <v>51</v>
      </c>
      <c r="C1049" t="s">
        <v>52</v>
      </c>
      <c r="D1049">
        <v>2730075</v>
      </c>
      <c r="E1049" t="s">
        <v>53</v>
      </c>
      <c r="F1049" t="s">
        <v>49</v>
      </c>
      <c r="G1049" s="30">
        <v>7203.3386566256004</v>
      </c>
    </row>
    <row r="1050" spans="1:7" x14ac:dyDescent="0.25">
      <c r="A1050" t="s">
        <v>45</v>
      </c>
      <c r="B1050" t="s">
        <v>46</v>
      </c>
      <c r="C1050" t="s">
        <v>47</v>
      </c>
      <c r="D1050">
        <v>2731625</v>
      </c>
      <c r="E1050" t="s">
        <v>48</v>
      </c>
      <c r="F1050" t="s">
        <v>49</v>
      </c>
      <c r="G1050" s="30">
        <v>0</v>
      </c>
    </row>
    <row r="1051" spans="1:7" x14ac:dyDescent="0.25">
      <c r="A1051" t="s">
        <v>50</v>
      </c>
      <c r="B1051" t="s">
        <v>51</v>
      </c>
      <c r="C1051" t="s">
        <v>52</v>
      </c>
      <c r="D1051">
        <v>2734369</v>
      </c>
      <c r="E1051" t="s">
        <v>53</v>
      </c>
      <c r="F1051" t="s">
        <v>49</v>
      </c>
      <c r="G1051" s="30">
        <v>24278.589091796901</v>
      </c>
    </row>
    <row r="1052" spans="1:7" x14ac:dyDescent="0.25">
      <c r="A1052" t="s">
        <v>45</v>
      </c>
      <c r="B1052" t="s">
        <v>46</v>
      </c>
      <c r="C1052" t="s">
        <v>47</v>
      </c>
      <c r="D1052">
        <v>2734547</v>
      </c>
      <c r="E1052" t="s">
        <v>48</v>
      </c>
      <c r="F1052" t="s">
        <v>49</v>
      </c>
      <c r="G1052" s="30">
        <v>0</v>
      </c>
    </row>
    <row r="1053" spans="1:7" x14ac:dyDescent="0.25">
      <c r="A1053" t="s">
        <v>120</v>
      </c>
      <c r="B1053" t="s">
        <v>121</v>
      </c>
      <c r="C1053" t="s">
        <v>67</v>
      </c>
      <c r="D1053">
        <v>2737030</v>
      </c>
      <c r="E1053" t="s">
        <v>53</v>
      </c>
      <c r="F1053" t="s">
        <v>49</v>
      </c>
      <c r="G1053" s="30">
        <v>380618.55693981599</v>
      </c>
    </row>
    <row r="1054" spans="1:7" x14ac:dyDescent="0.25">
      <c r="A1054" t="s">
        <v>72</v>
      </c>
      <c r="B1054" t="s">
        <v>73</v>
      </c>
      <c r="C1054" t="s">
        <v>67</v>
      </c>
      <c r="D1054">
        <v>2737688</v>
      </c>
      <c r="E1054" t="s">
        <v>53</v>
      </c>
      <c r="F1054" t="s">
        <v>49</v>
      </c>
      <c r="G1054" s="30">
        <v>1569596.0577207899</v>
      </c>
    </row>
    <row r="1055" spans="1:7" x14ac:dyDescent="0.25">
      <c r="A1055" t="s">
        <v>45</v>
      </c>
      <c r="B1055" t="s">
        <v>46</v>
      </c>
      <c r="C1055" t="s">
        <v>47</v>
      </c>
      <c r="D1055">
        <v>2738811</v>
      </c>
      <c r="E1055" t="s">
        <v>48</v>
      </c>
      <c r="F1055" t="s">
        <v>49</v>
      </c>
      <c r="G1055" s="30">
        <v>1.08</v>
      </c>
    </row>
    <row r="1056" spans="1:7" x14ac:dyDescent="0.25">
      <c r="A1056" t="s">
        <v>118</v>
      </c>
      <c r="B1056" t="s">
        <v>119</v>
      </c>
      <c r="C1056" t="s">
        <v>56</v>
      </c>
      <c r="D1056">
        <v>2738825</v>
      </c>
      <c r="E1056" t="s">
        <v>53</v>
      </c>
      <c r="F1056" t="s">
        <v>49</v>
      </c>
      <c r="G1056" s="30">
        <v>66317.330350450604</v>
      </c>
    </row>
    <row r="1057" spans="1:7" x14ac:dyDescent="0.25">
      <c r="A1057" t="s">
        <v>70</v>
      </c>
      <c r="B1057" t="s">
        <v>71</v>
      </c>
      <c r="C1057" t="s">
        <v>47</v>
      </c>
      <c r="D1057">
        <v>2739861</v>
      </c>
      <c r="E1057" t="s">
        <v>53</v>
      </c>
      <c r="F1057" t="s">
        <v>49</v>
      </c>
      <c r="G1057" s="30">
        <v>338016.92175545602</v>
      </c>
    </row>
    <row r="1058" spans="1:7" x14ac:dyDescent="0.25">
      <c r="A1058" t="s">
        <v>45</v>
      </c>
      <c r="B1058" t="s">
        <v>46</v>
      </c>
      <c r="C1058" t="s">
        <v>47</v>
      </c>
      <c r="D1058">
        <v>2740731</v>
      </c>
      <c r="E1058" t="s">
        <v>48</v>
      </c>
      <c r="F1058" t="s">
        <v>49</v>
      </c>
      <c r="G1058" s="30">
        <v>0</v>
      </c>
    </row>
    <row r="1059" spans="1:7" x14ac:dyDescent="0.25">
      <c r="A1059" t="s">
        <v>133</v>
      </c>
      <c r="B1059" t="s">
        <v>134</v>
      </c>
      <c r="C1059" t="s">
        <v>47</v>
      </c>
      <c r="D1059">
        <v>2743238</v>
      </c>
      <c r="E1059" t="s">
        <v>53</v>
      </c>
      <c r="F1059" t="s">
        <v>49</v>
      </c>
      <c r="G1059" s="30">
        <v>320219.38</v>
      </c>
    </row>
    <row r="1060" spans="1:7" x14ac:dyDescent="0.25">
      <c r="A1060" t="s">
        <v>54</v>
      </c>
      <c r="B1060" t="s">
        <v>55</v>
      </c>
      <c r="C1060" t="s">
        <v>56</v>
      </c>
      <c r="D1060">
        <v>2747249</v>
      </c>
      <c r="E1060" t="s">
        <v>53</v>
      </c>
      <c r="F1060" t="s">
        <v>49</v>
      </c>
      <c r="G1060" s="30">
        <v>123841.541918712</v>
      </c>
    </row>
    <row r="1061" spans="1:7" x14ac:dyDescent="0.25">
      <c r="A1061" t="s">
        <v>82</v>
      </c>
      <c r="B1061" t="s">
        <v>83</v>
      </c>
      <c r="C1061" t="s">
        <v>56</v>
      </c>
      <c r="D1061">
        <v>2747333</v>
      </c>
      <c r="E1061" t="s">
        <v>48</v>
      </c>
      <c r="F1061" t="s">
        <v>49</v>
      </c>
      <c r="G1061" s="30">
        <v>0</v>
      </c>
    </row>
    <row r="1062" spans="1:7" x14ac:dyDescent="0.25">
      <c r="A1062" t="s">
        <v>45</v>
      </c>
      <c r="B1062" t="s">
        <v>46</v>
      </c>
      <c r="C1062" t="s">
        <v>47</v>
      </c>
      <c r="D1062">
        <v>2747549</v>
      </c>
      <c r="E1062" t="s">
        <v>48</v>
      </c>
      <c r="F1062" t="s">
        <v>49</v>
      </c>
      <c r="G1062" s="30">
        <v>34.15</v>
      </c>
    </row>
    <row r="1063" spans="1:7" x14ac:dyDescent="0.25">
      <c r="A1063" t="s">
        <v>50</v>
      </c>
      <c r="B1063" t="s">
        <v>51</v>
      </c>
      <c r="C1063" t="s">
        <v>52</v>
      </c>
      <c r="D1063">
        <v>2747994</v>
      </c>
      <c r="E1063" t="s">
        <v>53</v>
      </c>
      <c r="F1063" t="s">
        <v>49</v>
      </c>
      <c r="G1063" s="30">
        <v>25092.906616210901</v>
      </c>
    </row>
    <row r="1064" spans="1:7" x14ac:dyDescent="0.25">
      <c r="A1064" t="s">
        <v>61</v>
      </c>
      <c r="B1064" t="s">
        <v>62</v>
      </c>
      <c r="C1064" t="s">
        <v>56</v>
      </c>
      <c r="D1064">
        <v>2755304</v>
      </c>
      <c r="E1064" t="s">
        <v>53</v>
      </c>
      <c r="F1064" t="s">
        <v>49</v>
      </c>
      <c r="G1064" s="30">
        <v>354257.51121751597</v>
      </c>
    </row>
    <row r="1065" spans="1:7" x14ac:dyDescent="0.25">
      <c r="A1065" t="s">
        <v>45</v>
      </c>
      <c r="B1065" t="s">
        <v>46</v>
      </c>
      <c r="C1065" t="s">
        <v>47</v>
      </c>
      <c r="D1065">
        <v>2756484</v>
      </c>
      <c r="E1065" t="s">
        <v>48</v>
      </c>
      <c r="F1065" t="s">
        <v>49</v>
      </c>
      <c r="G1065" s="30">
        <v>0</v>
      </c>
    </row>
    <row r="1066" spans="1:7" x14ac:dyDescent="0.25">
      <c r="A1066" t="s">
        <v>50</v>
      </c>
      <c r="B1066" t="s">
        <v>51</v>
      </c>
      <c r="C1066" t="s">
        <v>52</v>
      </c>
      <c r="D1066">
        <v>2756637</v>
      </c>
      <c r="E1066" t="s">
        <v>53</v>
      </c>
      <c r="F1066" t="s">
        <v>49</v>
      </c>
      <c r="G1066" s="30">
        <v>382.24271435911999</v>
      </c>
    </row>
    <row r="1067" spans="1:7" x14ac:dyDescent="0.25">
      <c r="A1067" t="s">
        <v>45</v>
      </c>
      <c r="B1067" t="s">
        <v>46</v>
      </c>
      <c r="C1067" t="s">
        <v>47</v>
      </c>
      <c r="D1067">
        <v>2758384</v>
      </c>
      <c r="E1067" t="s">
        <v>48</v>
      </c>
      <c r="F1067" t="s">
        <v>49</v>
      </c>
      <c r="G1067" s="30">
        <v>0</v>
      </c>
    </row>
    <row r="1068" spans="1:7" x14ac:dyDescent="0.25">
      <c r="A1068" t="s">
        <v>68</v>
      </c>
      <c r="B1068" t="s">
        <v>69</v>
      </c>
      <c r="C1068" t="s">
        <v>56</v>
      </c>
      <c r="D1068">
        <v>2758440</v>
      </c>
      <c r="E1068" t="s">
        <v>53</v>
      </c>
      <c r="F1068" t="s">
        <v>49</v>
      </c>
      <c r="G1068" s="30">
        <v>246337.82680688601</v>
      </c>
    </row>
    <row r="1069" spans="1:7" x14ac:dyDescent="0.25">
      <c r="A1069" t="s">
        <v>74</v>
      </c>
      <c r="B1069" t="s">
        <v>75</v>
      </c>
      <c r="C1069" t="s">
        <v>67</v>
      </c>
      <c r="D1069">
        <v>2759231</v>
      </c>
      <c r="E1069" t="s">
        <v>48</v>
      </c>
      <c r="F1069" t="s">
        <v>49</v>
      </c>
      <c r="G1069" s="30">
        <v>0</v>
      </c>
    </row>
    <row r="1070" spans="1:7" x14ac:dyDescent="0.25">
      <c r="A1070" t="s">
        <v>45</v>
      </c>
      <c r="B1070" t="s">
        <v>46</v>
      </c>
      <c r="C1070" t="s">
        <v>47</v>
      </c>
      <c r="D1070">
        <v>2760130</v>
      </c>
      <c r="E1070" t="s">
        <v>48</v>
      </c>
      <c r="F1070" t="s">
        <v>49</v>
      </c>
      <c r="G1070" s="30">
        <v>0.28999999999999998</v>
      </c>
    </row>
    <row r="1071" spans="1:7" x14ac:dyDescent="0.25">
      <c r="A1071" t="s">
        <v>100</v>
      </c>
      <c r="B1071" t="s">
        <v>101</v>
      </c>
      <c r="C1071" t="s">
        <v>52</v>
      </c>
      <c r="D1071">
        <v>2763765</v>
      </c>
      <c r="E1071" t="s">
        <v>53</v>
      </c>
      <c r="F1071" t="s">
        <v>49</v>
      </c>
      <c r="G1071" s="30">
        <v>117088.72311408599</v>
      </c>
    </row>
    <row r="1072" spans="1:7" x14ac:dyDescent="0.25">
      <c r="A1072" t="s">
        <v>150</v>
      </c>
      <c r="B1072" t="s">
        <v>151</v>
      </c>
      <c r="C1072" t="s">
        <v>152</v>
      </c>
      <c r="D1072">
        <v>2767053</v>
      </c>
      <c r="E1072" t="s">
        <v>48</v>
      </c>
      <c r="F1072" t="s">
        <v>49</v>
      </c>
      <c r="G1072" s="30">
        <v>0</v>
      </c>
    </row>
    <row r="1073" spans="1:7" x14ac:dyDescent="0.25">
      <c r="A1073" t="s">
        <v>45</v>
      </c>
      <c r="B1073" t="s">
        <v>46</v>
      </c>
      <c r="C1073" t="s">
        <v>47</v>
      </c>
      <c r="D1073">
        <v>2772805</v>
      </c>
      <c r="E1073" t="s">
        <v>48</v>
      </c>
      <c r="F1073" t="s">
        <v>49</v>
      </c>
      <c r="G1073" s="30">
        <v>0</v>
      </c>
    </row>
    <row r="1074" spans="1:7" x14ac:dyDescent="0.25">
      <c r="A1074" t="s">
        <v>45</v>
      </c>
      <c r="B1074" t="s">
        <v>46</v>
      </c>
      <c r="C1074" t="s">
        <v>47</v>
      </c>
      <c r="D1074">
        <v>2780814</v>
      </c>
      <c r="E1074" t="s">
        <v>48</v>
      </c>
      <c r="F1074" t="s">
        <v>49</v>
      </c>
      <c r="G1074" s="30">
        <v>0</v>
      </c>
    </row>
    <row r="1075" spans="1:7" x14ac:dyDescent="0.25">
      <c r="A1075" t="s">
        <v>45</v>
      </c>
      <c r="B1075" t="s">
        <v>46</v>
      </c>
      <c r="C1075" t="s">
        <v>47</v>
      </c>
      <c r="D1075">
        <v>2784451</v>
      </c>
      <c r="E1075" t="s">
        <v>48</v>
      </c>
      <c r="F1075" t="s">
        <v>49</v>
      </c>
      <c r="G1075" s="30">
        <v>0</v>
      </c>
    </row>
    <row r="1076" spans="1:7" x14ac:dyDescent="0.25">
      <c r="A1076" t="s">
        <v>84</v>
      </c>
      <c r="B1076" t="s">
        <v>85</v>
      </c>
      <c r="C1076" t="s">
        <v>67</v>
      </c>
      <c r="D1076">
        <v>2787648</v>
      </c>
      <c r="E1076" t="s">
        <v>53</v>
      </c>
      <c r="F1076" t="s">
        <v>49</v>
      </c>
      <c r="G1076" s="30">
        <v>14516455.935137801</v>
      </c>
    </row>
    <row r="1077" spans="1:7" x14ac:dyDescent="0.25">
      <c r="A1077" t="s">
        <v>70</v>
      </c>
      <c r="B1077" t="s">
        <v>71</v>
      </c>
      <c r="C1077" t="s">
        <v>47</v>
      </c>
      <c r="D1077">
        <v>2789458</v>
      </c>
      <c r="E1077" t="s">
        <v>53</v>
      </c>
      <c r="F1077" t="s">
        <v>49</v>
      </c>
      <c r="G1077" s="30">
        <v>205594.74882613699</v>
      </c>
    </row>
    <row r="1078" spans="1:7" x14ac:dyDescent="0.25">
      <c r="A1078" t="s">
        <v>54</v>
      </c>
      <c r="B1078" t="s">
        <v>55</v>
      </c>
      <c r="C1078" t="s">
        <v>56</v>
      </c>
      <c r="D1078">
        <v>2793860</v>
      </c>
      <c r="E1078" t="s">
        <v>53</v>
      </c>
      <c r="F1078" t="s">
        <v>49</v>
      </c>
      <c r="G1078" s="30">
        <v>18596.5295981458</v>
      </c>
    </row>
    <row r="1079" spans="1:7" x14ac:dyDescent="0.25">
      <c r="A1079" t="s">
        <v>76</v>
      </c>
      <c r="B1079" t="s">
        <v>77</v>
      </c>
      <c r="C1079" t="s">
        <v>78</v>
      </c>
      <c r="D1079">
        <v>2796462</v>
      </c>
      <c r="E1079" t="s">
        <v>53</v>
      </c>
      <c r="F1079" t="s">
        <v>49</v>
      </c>
      <c r="G1079" s="30">
        <v>247820.57726137</v>
      </c>
    </row>
    <row r="1080" spans="1:7" x14ac:dyDescent="0.25">
      <c r="A1080" t="s">
        <v>104</v>
      </c>
      <c r="B1080" t="s">
        <v>105</v>
      </c>
      <c r="C1080" t="s">
        <v>78</v>
      </c>
      <c r="D1080">
        <v>2797191</v>
      </c>
      <c r="E1080" t="s">
        <v>53</v>
      </c>
      <c r="F1080" t="s">
        <v>49</v>
      </c>
      <c r="G1080" s="30">
        <v>75099.441210849094</v>
      </c>
    </row>
    <row r="1081" spans="1:7" x14ac:dyDescent="0.25">
      <c r="A1081" t="s">
        <v>45</v>
      </c>
      <c r="B1081" t="s">
        <v>46</v>
      </c>
      <c r="C1081" t="s">
        <v>47</v>
      </c>
      <c r="D1081">
        <v>2797432</v>
      </c>
      <c r="E1081" t="s">
        <v>48</v>
      </c>
      <c r="F1081" t="s">
        <v>49</v>
      </c>
      <c r="G1081" s="30">
        <v>0</v>
      </c>
    </row>
    <row r="1082" spans="1:7" x14ac:dyDescent="0.25">
      <c r="A1082" t="s">
        <v>112</v>
      </c>
      <c r="B1082" t="s">
        <v>113</v>
      </c>
      <c r="C1082" t="s">
        <v>81</v>
      </c>
      <c r="D1082">
        <v>2797647</v>
      </c>
      <c r="E1082" t="s">
        <v>53</v>
      </c>
      <c r="F1082" t="s">
        <v>49</v>
      </c>
      <c r="G1082" s="30">
        <v>292966.93290682201</v>
      </c>
    </row>
    <row r="1083" spans="1:7" x14ac:dyDescent="0.25">
      <c r="A1083" t="s">
        <v>45</v>
      </c>
      <c r="B1083" t="s">
        <v>46</v>
      </c>
      <c r="C1083" t="s">
        <v>47</v>
      </c>
      <c r="D1083">
        <v>2797915</v>
      </c>
      <c r="E1083" t="s">
        <v>53</v>
      </c>
      <c r="F1083" t="s">
        <v>49</v>
      </c>
      <c r="G1083" s="30">
        <v>334241.96779240901</v>
      </c>
    </row>
    <row r="1084" spans="1:7" x14ac:dyDescent="0.25">
      <c r="A1084" t="s">
        <v>45</v>
      </c>
      <c r="B1084" t="s">
        <v>46</v>
      </c>
      <c r="C1084" t="s">
        <v>47</v>
      </c>
      <c r="D1084">
        <v>2798793</v>
      </c>
      <c r="E1084" t="s">
        <v>48</v>
      </c>
      <c r="F1084" t="s">
        <v>49</v>
      </c>
      <c r="G1084" s="30">
        <v>0</v>
      </c>
    </row>
    <row r="1085" spans="1:7" x14ac:dyDescent="0.25">
      <c r="A1085" t="s">
        <v>45</v>
      </c>
      <c r="B1085" t="s">
        <v>46</v>
      </c>
      <c r="C1085" t="s">
        <v>47</v>
      </c>
      <c r="D1085">
        <v>2799474</v>
      </c>
      <c r="E1085" t="s">
        <v>48</v>
      </c>
      <c r="F1085" t="s">
        <v>49</v>
      </c>
      <c r="G1085" s="30">
        <v>-16.45</v>
      </c>
    </row>
    <row r="1086" spans="1:7" x14ac:dyDescent="0.25">
      <c r="A1086" t="s">
        <v>45</v>
      </c>
      <c r="B1086" t="s">
        <v>46</v>
      </c>
      <c r="C1086" t="s">
        <v>47</v>
      </c>
      <c r="D1086">
        <v>2799861</v>
      </c>
      <c r="E1086" t="s">
        <v>53</v>
      </c>
      <c r="F1086" t="s">
        <v>49</v>
      </c>
      <c r="G1086" s="30">
        <v>48.72</v>
      </c>
    </row>
    <row r="1087" spans="1:7" x14ac:dyDescent="0.25">
      <c r="A1087" t="s">
        <v>94</v>
      </c>
      <c r="B1087" t="s">
        <v>95</v>
      </c>
      <c r="C1087" t="s">
        <v>78</v>
      </c>
      <c r="D1087">
        <v>2800190</v>
      </c>
      <c r="E1087" t="s">
        <v>53</v>
      </c>
      <c r="F1087" t="s">
        <v>49</v>
      </c>
      <c r="G1087" s="30">
        <v>76582.946266425803</v>
      </c>
    </row>
    <row r="1088" spans="1:7" x14ac:dyDescent="0.25">
      <c r="A1088" t="s">
        <v>45</v>
      </c>
      <c r="B1088" t="s">
        <v>46</v>
      </c>
      <c r="C1088" t="s">
        <v>47</v>
      </c>
      <c r="D1088">
        <v>2800857</v>
      </c>
      <c r="E1088" t="s">
        <v>48</v>
      </c>
      <c r="F1088" t="s">
        <v>49</v>
      </c>
      <c r="G1088" s="30">
        <v>0</v>
      </c>
    </row>
    <row r="1089" spans="1:7" x14ac:dyDescent="0.25">
      <c r="A1089" t="s">
        <v>76</v>
      </c>
      <c r="B1089" t="s">
        <v>77</v>
      </c>
      <c r="C1089" t="s">
        <v>78</v>
      </c>
      <c r="D1089">
        <v>2801058</v>
      </c>
      <c r="E1089" t="s">
        <v>53</v>
      </c>
      <c r="F1089" t="s">
        <v>49</v>
      </c>
      <c r="G1089" s="30">
        <v>519603.34403942397</v>
      </c>
    </row>
    <row r="1090" spans="1:7" x14ac:dyDescent="0.25">
      <c r="A1090" t="s">
        <v>133</v>
      </c>
      <c r="B1090" t="s">
        <v>134</v>
      </c>
      <c r="C1090" t="s">
        <v>47</v>
      </c>
      <c r="D1090">
        <v>2801519</v>
      </c>
      <c r="E1090" t="s">
        <v>53</v>
      </c>
      <c r="F1090" t="s">
        <v>49</v>
      </c>
      <c r="G1090" s="30">
        <v>500</v>
      </c>
    </row>
    <row r="1091" spans="1:7" x14ac:dyDescent="0.25">
      <c r="A1091" t="s">
        <v>70</v>
      </c>
      <c r="B1091" t="s">
        <v>71</v>
      </c>
      <c r="C1091" t="s">
        <v>47</v>
      </c>
      <c r="D1091">
        <v>2802773</v>
      </c>
      <c r="E1091" t="s">
        <v>53</v>
      </c>
      <c r="F1091" t="s">
        <v>49</v>
      </c>
      <c r="G1091" s="30">
        <v>266861.32629507402</v>
      </c>
    </row>
    <row r="1092" spans="1:7" x14ac:dyDescent="0.25">
      <c r="A1092" t="s">
        <v>50</v>
      </c>
      <c r="B1092" t="s">
        <v>51</v>
      </c>
      <c r="C1092" t="s">
        <v>52</v>
      </c>
      <c r="D1092">
        <v>2803066</v>
      </c>
      <c r="E1092" t="s">
        <v>48</v>
      </c>
      <c r="F1092" t="s">
        <v>49</v>
      </c>
      <c r="G1092" s="30">
        <v>0</v>
      </c>
    </row>
    <row r="1093" spans="1:7" x14ac:dyDescent="0.25">
      <c r="A1093" t="s">
        <v>74</v>
      </c>
      <c r="B1093" t="s">
        <v>75</v>
      </c>
      <c r="C1093" t="s">
        <v>67</v>
      </c>
      <c r="D1093">
        <v>2803977</v>
      </c>
      <c r="E1093" t="s">
        <v>48</v>
      </c>
      <c r="F1093" t="s">
        <v>49</v>
      </c>
      <c r="G1093" s="30">
        <v>0</v>
      </c>
    </row>
    <row r="1094" spans="1:7" x14ac:dyDescent="0.25">
      <c r="A1094" t="s">
        <v>50</v>
      </c>
      <c r="B1094" t="s">
        <v>51</v>
      </c>
      <c r="C1094" t="s">
        <v>52</v>
      </c>
      <c r="D1094">
        <v>2806826</v>
      </c>
      <c r="E1094" t="s">
        <v>53</v>
      </c>
      <c r="F1094" t="s">
        <v>49</v>
      </c>
      <c r="G1094" s="30">
        <v>46400.6581931447</v>
      </c>
    </row>
    <row r="1095" spans="1:7" x14ac:dyDescent="0.25">
      <c r="A1095" t="s">
        <v>50</v>
      </c>
      <c r="B1095" t="s">
        <v>51</v>
      </c>
      <c r="C1095" t="s">
        <v>52</v>
      </c>
      <c r="D1095">
        <v>2806942</v>
      </c>
      <c r="E1095" t="s">
        <v>53</v>
      </c>
      <c r="F1095" t="s">
        <v>49</v>
      </c>
      <c r="G1095" s="30">
        <v>19185.4873730541</v>
      </c>
    </row>
    <row r="1096" spans="1:7" x14ac:dyDescent="0.25">
      <c r="A1096" t="s">
        <v>70</v>
      </c>
      <c r="B1096" t="s">
        <v>71</v>
      </c>
      <c r="C1096" t="s">
        <v>47</v>
      </c>
      <c r="D1096">
        <v>2810091</v>
      </c>
      <c r="E1096" t="s">
        <v>53</v>
      </c>
      <c r="F1096" t="s">
        <v>49</v>
      </c>
      <c r="G1096" s="30">
        <v>91815.135221893594</v>
      </c>
    </row>
    <row r="1097" spans="1:7" x14ac:dyDescent="0.25">
      <c r="A1097" t="s">
        <v>50</v>
      </c>
      <c r="B1097" t="s">
        <v>51</v>
      </c>
      <c r="C1097" t="s">
        <v>52</v>
      </c>
      <c r="D1097">
        <v>2810807</v>
      </c>
      <c r="E1097" t="s">
        <v>53</v>
      </c>
      <c r="F1097" t="s">
        <v>49</v>
      </c>
      <c r="G1097" s="30">
        <v>967.66</v>
      </c>
    </row>
    <row r="1098" spans="1:7" x14ac:dyDescent="0.25">
      <c r="A1098" t="s">
        <v>61</v>
      </c>
      <c r="B1098" t="s">
        <v>62</v>
      </c>
      <c r="C1098" t="s">
        <v>56</v>
      </c>
      <c r="D1098">
        <v>2812868</v>
      </c>
      <c r="E1098" t="s">
        <v>53</v>
      </c>
      <c r="F1098" t="s">
        <v>49</v>
      </c>
      <c r="G1098" s="30">
        <v>30453.518115625</v>
      </c>
    </row>
    <row r="1099" spans="1:7" x14ac:dyDescent="0.25">
      <c r="A1099" t="s">
        <v>133</v>
      </c>
      <c r="B1099" t="s">
        <v>134</v>
      </c>
      <c r="C1099" t="s">
        <v>47</v>
      </c>
      <c r="D1099">
        <v>2813855</v>
      </c>
      <c r="E1099" t="s">
        <v>53</v>
      </c>
      <c r="F1099" t="s">
        <v>49</v>
      </c>
      <c r="G1099" s="30">
        <v>133731.13292759101</v>
      </c>
    </row>
    <row r="1100" spans="1:7" x14ac:dyDescent="0.25">
      <c r="A1100" t="s">
        <v>72</v>
      </c>
      <c r="B1100" t="s">
        <v>73</v>
      </c>
      <c r="C1100" t="s">
        <v>67</v>
      </c>
      <c r="D1100">
        <v>2814136</v>
      </c>
      <c r="E1100" t="s">
        <v>48</v>
      </c>
      <c r="F1100" t="s">
        <v>49</v>
      </c>
      <c r="G1100" s="30">
        <v>0</v>
      </c>
    </row>
    <row r="1101" spans="1:7" x14ac:dyDescent="0.25">
      <c r="A1101" t="s">
        <v>45</v>
      </c>
      <c r="B1101" t="s">
        <v>46</v>
      </c>
      <c r="C1101" t="s">
        <v>47</v>
      </c>
      <c r="D1101">
        <v>2815678</v>
      </c>
      <c r="E1101" t="s">
        <v>48</v>
      </c>
      <c r="F1101" t="s">
        <v>49</v>
      </c>
      <c r="G1101" s="30">
        <v>0</v>
      </c>
    </row>
    <row r="1102" spans="1:7" x14ac:dyDescent="0.25">
      <c r="A1102" t="s">
        <v>45</v>
      </c>
      <c r="B1102" t="s">
        <v>46</v>
      </c>
      <c r="C1102" t="s">
        <v>47</v>
      </c>
      <c r="D1102">
        <v>2817266</v>
      </c>
      <c r="E1102" t="s">
        <v>48</v>
      </c>
      <c r="F1102" t="s">
        <v>49</v>
      </c>
      <c r="G1102" s="30">
        <v>0</v>
      </c>
    </row>
    <row r="1103" spans="1:7" x14ac:dyDescent="0.25">
      <c r="A1103" t="s">
        <v>50</v>
      </c>
      <c r="B1103" t="s">
        <v>51</v>
      </c>
      <c r="C1103" t="s">
        <v>52</v>
      </c>
      <c r="D1103">
        <v>2817951</v>
      </c>
      <c r="E1103" t="s">
        <v>53</v>
      </c>
      <c r="F1103" t="s">
        <v>49</v>
      </c>
      <c r="G1103" s="30">
        <v>61822.776671632397</v>
      </c>
    </row>
    <row r="1104" spans="1:7" x14ac:dyDescent="0.25">
      <c r="A1104" t="s">
        <v>90</v>
      </c>
      <c r="B1104" t="s">
        <v>91</v>
      </c>
      <c r="C1104" t="s">
        <v>81</v>
      </c>
      <c r="D1104">
        <v>2819604</v>
      </c>
      <c r="E1104" t="s">
        <v>53</v>
      </c>
      <c r="F1104" t="s">
        <v>49</v>
      </c>
      <c r="G1104" s="30">
        <v>61623.252742456702</v>
      </c>
    </row>
    <row r="1105" spans="1:7" x14ac:dyDescent="0.25">
      <c r="A1105" t="s">
        <v>70</v>
      </c>
      <c r="B1105" t="s">
        <v>71</v>
      </c>
      <c r="C1105" t="s">
        <v>47</v>
      </c>
      <c r="D1105">
        <v>2823786</v>
      </c>
      <c r="E1105" t="s">
        <v>53</v>
      </c>
      <c r="F1105" t="s">
        <v>49</v>
      </c>
      <c r="G1105" s="30">
        <v>1714443.9755550399</v>
      </c>
    </row>
    <row r="1106" spans="1:7" x14ac:dyDescent="0.25">
      <c r="A1106" t="s">
        <v>45</v>
      </c>
      <c r="B1106" t="s">
        <v>46</v>
      </c>
      <c r="C1106" t="s">
        <v>47</v>
      </c>
      <c r="D1106">
        <v>2823790</v>
      </c>
      <c r="E1106" t="s">
        <v>48</v>
      </c>
      <c r="F1106" t="s">
        <v>49</v>
      </c>
      <c r="G1106" s="30">
        <v>0</v>
      </c>
    </row>
    <row r="1107" spans="1:7" x14ac:dyDescent="0.25">
      <c r="A1107" t="s">
        <v>50</v>
      </c>
      <c r="B1107" t="s">
        <v>51</v>
      </c>
      <c r="C1107" t="s">
        <v>52</v>
      </c>
      <c r="D1107">
        <v>2825109</v>
      </c>
      <c r="E1107" t="s">
        <v>48</v>
      </c>
      <c r="F1107" t="s">
        <v>49</v>
      </c>
      <c r="G1107" s="30">
        <v>36</v>
      </c>
    </row>
    <row r="1108" spans="1:7" x14ac:dyDescent="0.25">
      <c r="A1108" t="s">
        <v>50</v>
      </c>
      <c r="B1108" t="s">
        <v>51</v>
      </c>
      <c r="C1108" t="s">
        <v>52</v>
      </c>
      <c r="D1108">
        <v>2825554</v>
      </c>
      <c r="E1108" t="s">
        <v>53</v>
      </c>
      <c r="F1108" t="s">
        <v>49</v>
      </c>
      <c r="G1108" s="30">
        <v>59.393731839550902</v>
      </c>
    </row>
    <row r="1109" spans="1:7" x14ac:dyDescent="0.25">
      <c r="A1109" t="s">
        <v>45</v>
      </c>
      <c r="B1109" t="s">
        <v>46</v>
      </c>
      <c r="C1109" t="s">
        <v>47</v>
      </c>
      <c r="D1109">
        <v>2825995</v>
      </c>
      <c r="E1109" t="s">
        <v>48</v>
      </c>
      <c r="F1109" t="s">
        <v>49</v>
      </c>
      <c r="G1109" s="30">
        <v>0</v>
      </c>
    </row>
    <row r="1110" spans="1:7" x14ac:dyDescent="0.25">
      <c r="A1110" t="s">
        <v>45</v>
      </c>
      <c r="B1110" t="s">
        <v>46</v>
      </c>
      <c r="C1110" t="s">
        <v>47</v>
      </c>
      <c r="D1110">
        <v>2827049</v>
      </c>
      <c r="E1110" t="s">
        <v>48</v>
      </c>
      <c r="F1110" t="s">
        <v>49</v>
      </c>
      <c r="G1110" s="30">
        <v>0</v>
      </c>
    </row>
    <row r="1111" spans="1:7" x14ac:dyDescent="0.25">
      <c r="A1111" t="s">
        <v>124</v>
      </c>
      <c r="B1111" t="s">
        <v>125</v>
      </c>
      <c r="C1111" t="s">
        <v>78</v>
      </c>
      <c r="D1111">
        <v>2827274</v>
      </c>
      <c r="E1111" t="s">
        <v>53</v>
      </c>
      <c r="F1111" t="s">
        <v>49</v>
      </c>
      <c r="G1111" s="30">
        <v>1003371.65243064</v>
      </c>
    </row>
    <row r="1112" spans="1:7" x14ac:dyDescent="0.25">
      <c r="A1112" t="s">
        <v>94</v>
      </c>
      <c r="B1112" t="s">
        <v>95</v>
      </c>
      <c r="C1112" t="s">
        <v>78</v>
      </c>
      <c r="D1112">
        <v>2830313</v>
      </c>
      <c r="E1112" t="s">
        <v>53</v>
      </c>
      <c r="F1112" t="s">
        <v>49</v>
      </c>
      <c r="G1112" s="30">
        <v>1387077.4253935099</v>
      </c>
    </row>
    <row r="1113" spans="1:7" x14ac:dyDescent="0.25">
      <c r="A1113" t="s">
        <v>50</v>
      </c>
      <c r="B1113" t="s">
        <v>51</v>
      </c>
      <c r="C1113" t="s">
        <v>52</v>
      </c>
      <c r="D1113">
        <v>2831725</v>
      </c>
      <c r="E1113" t="s">
        <v>53</v>
      </c>
      <c r="F1113" t="s">
        <v>49</v>
      </c>
      <c r="G1113" s="30">
        <v>32.25</v>
      </c>
    </row>
    <row r="1114" spans="1:7" x14ac:dyDescent="0.25">
      <c r="A1114" t="s">
        <v>45</v>
      </c>
      <c r="B1114" t="s">
        <v>46</v>
      </c>
      <c r="C1114" t="s">
        <v>47</v>
      </c>
      <c r="D1114">
        <v>2833383</v>
      </c>
      <c r="E1114" t="s">
        <v>53</v>
      </c>
      <c r="F1114" t="s">
        <v>49</v>
      </c>
      <c r="G1114" s="30">
        <v>146319.71155235599</v>
      </c>
    </row>
    <row r="1115" spans="1:7" x14ac:dyDescent="0.25">
      <c r="A1115" t="s">
        <v>65</v>
      </c>
      <c r="B1115" t="s">
        <v>66</v>
      </c>
      <c r="C1115" t="s">
        <v>67</v>
      </c>
      <c r="D1115">
        <v>2834793</v>
      </c>
      <c r="E1115" t="s">
        <v>53</v>
      </c>
      <c r="F1115" t="s">
        <v>49</v>
      </c>
      <c r="G1115" s="30">
        <v>664500.05894230795</v>
      </c>
    </row>
    <row r="1116" spans="1:7" x14ac:dyDescent="0.25">
      <c r="A1116" t="s">
        <v>50</v>
      </c>
      <c r="B1116" t="s">
        <v>51</v>
      </c>
      <c r="C1116" t="s">
        <v>52</v>
      </c>
      <c r="D1116">
        <v>2842367</v>
      </c>
      <c r="E1116" t="s">
        <v>53</v>
      </c>
      <c r="F1116" t="s">
        <v>49</v>
      </c>
      <c r="G1116" s="30">
        <v>21029.802647631201</v>
      </c>
    </row>
    <row r="1117" spans="1:7" x14ac:dyDescent="0.25">
      <c r="A1117" t="s">
        <v>102</v>
      </c>
      <c r="B1117" t="s">
        <v>103</v>
      </c>
      <c r="C1117" t="s">
        <v>47</v>
      </c>
      <c r="D1117">
        <v>2843872</v>
      </c>
      <c r="E1117" t="s">
        <v>53</v>
      </c>
      <c r="F1117" t="s">
        <v>49</v>
      </c>
      <c r="G1117" s="30">
        <v>9552.96728941332</v>
      </c>
    </row>
    <row r="1118" spans="1:7" x14ac:dyDescent="0.25">
      <c r="A1118" t="s">
        <v>50</v>
      </c>
      <c r="B1118" t="s">
        <v>51</v>
      </c>
      <c r="C1118" t="s">
        <v>52</v>
      </c>
      <c r="D1118">
        <v>2845432</v>
      </c>
      <c r="E1118" t="s">
        <v>48</v>
      </c>
      <c r="F1118" t="s">
        <v>49</v>
      </c>
      <c r="G1118" s="30">
        <v>0</v>
      </c>
    </row>
    <row r="1119" spans="1:7" x14ac:dyDescent="0.25">
      <c r="A1119" t="s">
        <v>94</v>
      </c>
      <c r="B1119" t="s">
        <v>95</v>
      </c>
      <c r="C1119" t="s">
        <v>78</v>
      </c>
      <c r="D1119">
        <v>2846568</v>
      </c>
      <c r="E1119" t="s">
        <v>53</v>
      </c>
      <c r="F1119" t="s">
        <v>49</v>
      </c>
      <c r="G1119" s="30">
        <v>131460.59829375701</v>
      </c>
    </row>
    <row r="1120" spans="1:7" x14ac:dyDescent="0.25">
      <c r="A1120" t="s">
        <v>128</v>
      </c>
      <c r="B1120" t="s">
        <v>129</v>
      </c>
      <c r="C1120" t="s">
        <v>130</v>
      </c>
      <c r="D1120">
        <v>2851398</v>
      </c>
      <c r="E1120" t="s">
        <v>53</v>
      </c>
      <c r="F1120" t="s">
        <v>49</v>
      </c>
      <c r="G1120" s="30">
        <v>534718.19415062899</v>
      </c>
    </row>
    <row r="1121" spans="1:7" x14ac:dyDescent="0.25">
      <c r="A1121" t="s">
        <v>45</v>
      </c>
      <c r="B1121" t="s">
        <v>46</v>
      </c>
      <c r="C1121" t="s">
        <v>47</v>
      </c>
      <c r="D1121">
        <v>2851546</v>
      </c>
      <c r="E1121" t="s">
        <v>48</v>
      </c>
      <c r="F1121" t="s">
        <v>49</v>
      </c>
      <c r="G1121" s="30">
        <v>0</v>
      </c>
    </row>
    <row r="1122" spans="1:7" x14ac:dyDescent="0.25">
      <c r="A1122" t="s">
        <v>50</v>
      </c>
      <c r="B1122" t="s">
        <v>51</v>
      </c>
      <c r="C1122" t="s">
        <v>52</v>
      </c>
      <c r="D1122">
        <v>2852655</v>
      </c>
      <c r="E1122" t="s">
        <v>53</v>
      </c>
      <c r="F1122" t="s">
        <v>49</v>
      </c>
      <c r="G1122" s="30">
        <v>26234.886020467198</v>
      </c>
    </row>
    <row r="1123" spans="1:7" x14ac:dyDescent="0.25">
      <c r="A1123" t="s">
        <v>45</v>
      </c>
      <c r="B1123" t="s">
        <v>46</v>
      </c>
      <c r="C1123" t="s">
        <v>47</v>
      </c>
      <c r="D1123">
        <v>2852696</v>
      </c>
      <c r="E1123" t="s">
        <v>48</v>
      </c>
      <c r="F1123" t="s">
        <v>49</v>
      </c>
      <c r="G1123" s="30">
        <v>0</v>
      </c>
    </row>
    <row r="1124" spans="1:7" x14ac:dyDescent="0.25">
      <c r="A1124" t="s">
        <v>45</v>
      </c>
      <c r="B1124" t="s">
        <v>46</v>
      </c>
      <c r="C1124" t="s">
        <v>47</v>
      </c>
      <c r="D1124">
        <v>2852915</v>
      </c>
      <c r="E1124" t="s">
        <v>53</v>
      </c>
      <c r="F1124" t="s">
        <v>49</v>
      </c>
      <c r="G1124" s="30">
        <v>94319.344206102804</v>
      </c>
    </row>
    <row r="1125" spans="1:7" x14ac:dyDescent="0.25">
      <c r="A1125" t="s">
        <v>65</v>
      </c>
      <c r="B1125" t="s">
        <v>66</v>
      </c>
      <c r="C1125" t="s">
        <v>67</v>
      </c>
      <c r="D1125">
        <v>2853581</v>
      </c>
      <c r="E1125" t="s">
        <v>53</v>
      </c>
      <c r="F1125" t="s">
        <v>49</v>
      </c>
      <c r="G1125" s="30">
        <v>2770702.74527193</v>
      </c>
    </row>
    <row r="1126" spans="1:7" x14ac:dyDescent="0.25">
      <c r="A1126" t="s">
        <v>82</v>
      </c>
      <c r="B1126" t="s">
        <v>83</v>
      </c>
      <c r="C1126" t="s">
        <v>56</v>
      </c>
      <c r="D1126">
        <v>2856146</v>
      </c>
      <c r="E1126" t="s">
        <v>53</v>
      </c>
      <c r="F1126" t="s">
        <v>49</v>
      </c>
      <c r="G1126" s="30">
        <v>3309.9009368468901</v>
      </c>
    </row>
    <row r="1127" spans="1:7" x14ac:dyDescent="0.25">
      <c r="A1127" t="s">
        <v>90</v>
      </c>
      <c r="B1127" t="s">
        <v>91</v>
      </c>
      <c r="C1127" t="s">
        <v>81</v>
      </c>
      <c r="D1127">
        <v>2857438</v>
      </c>
      <c r="E1127" t="s">
        <v>53</v>
      </c>
      <c r="F1127" t="s">
        <v>49</v>
      </c>
      <c r="G1127" s="30">
        <v>916477.31843182899</v>
      </c>
    </row>
    <row r="1128" spans="1:7" x14ac:dyDescent="0.25">
      <c r="A1128" t="s">
        <v>106</v>
      </c>
      <c r="B1128" t="s">
        <v>107</v>
      </c>
      <c r="C1128" t="s">
        <v>56</v>
      </c>
      <c r="D1128">
        <v>2858189</v>
      </c>
      <c r="E1128" t="s">
        <v>48</v>
      </c>
      <c r="F1128" t="s">
        <v>49</v>
      </c>
      <c r="G1128" s="30">
        <v>0</v>
      </c>
    </row>
    <row r="1129" spans="1:7" x14ac:dyDescent="0.25">
      <c r="A1129" t="s">
        <v>50</v>
      </c>
      <c r="B1129" t="s">
        <v>51</v>
      </c>
      <c r="C1129" t="s">
        <v>52</v>
      </c>
      <c r="D1129">
        <v>2860690</v>
      </c>
      <c r="E1129" t="s">
        <v>53</v>
      </c>
      <c r="F1129" t="s">
        <v>49</v>
      </c>
      <c r="G1129" s="30">
        <v>661.56492965897996</v>
      </c>
    </row>
    <row r="1130" spans="1:7" x14ac:dyDescent="0.25">
      <c r="A1130" t="s">
        <v>45</v>
      </c>
      <c r="B1130" t="s">
        <v>46</v>
      </c>
      <c r="C1130" t="s">
        <v>47</v>
      </c>
      <c r="D1130">
        <v>2868284</v>
      </c>
      <c r="E1130" t="s">
        <v>48</v>
      </c>
      <c r="F1130" t="s">
        <v>49</v>
      </c>
      <c r="G1130" s="30">
        <v>0</v>
      </c>
    </row>
    <row r="1131" spans="1:7" x14ac:dyDescent="0.25">
      <c r="A1131" t="s">
        <v>79</v>
      </c>
      <c r="B1131" t="s">
        <v>80</v>
      </c>
      <c r="C1131" t="s">
        <v>81</v>
      </c>
      <c r="D1131">
        <v>2868726</v>
      </c>
      <c r="E1131" t="s">
        <v>53</v>
      </c>
      <c r="F1131" t="s">
        <v>49</v>
      </c>
      <c r="G1131" s="30">
        <v>164399.303921524</v>
      </c>
    </row>
    <row r="1132" spans="1:7" x14ac:dyDescent="0.25">
      <c r="A1132" t="s">
        <v>104</v>
      </c>
      <c r="B1132" t="s">
        <v>105</v>
      </c>
      <c r="C1132" t="s">
        <v>78</v>
      </c>
      <c r="D1132">
        <v>2869710</v>
      </c>
      <c r="E1132" t="s">
        <v>53</v>
      </c>
      <c r="F1132" t="s">
        <v>49</v>
      </c>
      <c r="G1132" s="30">
        <v>100926.079199915</v>
      </c>
    </row>
    <row r="1133" spans="1:7" x14ac:dyDescent="0.25">
      <c r="A1133" t="s">
        <v>96</v>
      </c>
      <c r="B1133" t="s">
        <v>97</v>
      </c>
      <c r="C1133" t="s">
        <v>81</v>
      </c>
      <c r="D1133">
        <v>2870370</v>
      </c>
      <c r="E1133" t="s">
        <v>48</v>
      </c>
      <c r="F1133" t="s">
        <v>49</v>
      </c>
      <c r="G1133" s="30">
        <v>0</v>
      </c>
    </row>
    <row r="1134" spans="1:7" x14ac:dyDescent="0.25">
      <c r="A1134" t="s">
        <v>133</v>
      </c>
      <c r="B1134" t="s">
        <v>134</v>
      </c>
      <c r="C1134" t="s">
        <v>47</v>
      </c>
      <c r="D1134">
        <v>2873471</v>
      </c>
      <c r="E1134" t="s">
        <v>53</v>
      </c>
      <c r="F1134" t="s">
        <v>49</v>
      </c>
      <c r="G1134" s="30">
        <v>1894.43762207031</v>
      </c>
    </row>
    <row r="1135" spans="1:7" x14ac:dyDescent="0.25">
      <c r="A1135" t="s">
        <v>45</v>
      </c>
      <c r="B1135" t="s">
        <v>46</v>
      </c>
      <c r="C1135" t="s">
        <v>47</v>
      </c>
      <c r="D1135">
        <v>2874049</v>
      </c>
      <c r="E1135" t="s">
        <v>53</v>
      </c>
      <c r="F1135" t="s">
        <v>49</v>
      </c>
      <c r="G1135" s="30">
        <v>84526.5976086093</v>
      </c>
    </row>
    <row r="1136" spans="1:7" x14ac:dyDescent="0.25">
      <c r="A1136" t="s">
        <v>45</v>
      </c>
      <c r="B1136" t="s">
        <v>46</v>
      </c>
      <c r="C1136" t="s">
        <v>47</v>
      </c>
      <c r="D1136">
        <v>2875618</v>
      </c>
      <c r="E1136" t="s">
        <v>48</v>
      </c>
      <c r="F1136" t="s">
        <v>49</v>
      </c>
      <c r="G1136" s="30">
        <v>0</v>
      </c>
    </row>
    <row r="1137" spans="1:7" x14ac:dyDescent="0.25">
      <c r="A1137" t="s">
        <v>124</v>
      </c>
      <c r="B1137" t="s">
        <v>125</v>
      </c>
      <c r="C1137" t="s">
        <v>78</v>
      </c>
      <c r="D1137">
        <v>2875970</v>
      </c>
      <c r="E1137" t="s">
        <v>53</v>
      </c>
      <c r="F1137" t="s">
        <v>49</v>
      </c>
      <c r="G1137" s="30">
        <v>617569.54335776798</v>
      </c>
    </row>
    <row r="1138" spans="1:7" x14ac:dyDescent="0.25">
      <c r="A1138" t="s">
        <v>118</v>
      </c>
      <c r="B1138" t="s">
        <v>119</v>
      </c>
      <c r="C1138" t="s">
        <v>56</v>
      </c>
      <c r="D1138">
        <v>2876119</v>
      </c>
      <c r="E1138" t="s">
        <v>53</v>
      </c>
      <c r="F1138" t="s">
        <v>49</v>
      </c>
      <c r="G1138" s="30">
        <v>573995.52992013004</v>
      </c>
    </row>
    <row r="1139" spans="1:7" x14ac:dyDescent="0.25">
      <c r="A1139" t="s">
        <v>50</v>
      </c>
      <c r="B1139" t="s">
        <v>51</v>
      </c>
      <c r="C1139" t="s">
        <v>52</v>
      </c>
      <c r="D1139">
        <v>2876465</v>
      </c>
      <c r="E1139" t="s">
        <v>53</v>
      </c>
      <c r="F1139" t="s">
        <v>49</v>
      </c>
      <c r="G1139" s="30">
        <v>29374.77</v>
      </c>
    </row>
    <row r="1140" spans="1:7" x14ac:dyDescent="0.25">
      <c r="A1140" t="s">
        <v>76</v>
      </c>
      <c r="B1140" t="s">
        <v>77</v>
      </c>
      <c r="C1140" t="s">
        <v>78</v>
      </c>
      <c r="D1140">
        <v>2876707</v>
      </c>
      <c r="E1140" t="s">
        <v>53</v>
      </c>
      <c r="F1140" t="s">
        <v>49</v>
      </c>
      <c r="G1140" s="30">
        <v>365691.10867749999</v>
      </c>
    </row>
    <row r="1141" spans="1:7" x14ac:dyDescent="0.25">
      <c r="A1141" t="s">
        <v>133</v>
      </c>
      <c r="B1141" t="s">
        <v>134</v>
      </c>
      <c r="C1141" t="s">
        <v>47</v>
      </c>
      <c r="D1141">
        <v>2876934</v>
      </c>
      <c r="E1141" t="s">
        <v>53</v>
      </c>
      <c r="F1141" t="s">
        <v>49</v>
      </c>
      <c r="G1141" s="30">
        <v>1849181.6574267601</v>
      </c>
    </row>
    <row r="1142" spans="1:7" x14ac:dyDescent="0.25">
      <c r="A1142" t="s">
        <v>54</v>
      </c>
      <c r="B1142" t="s">
        <v>55</v>
      </c>
      <c r="C1142" t="s">
        <v>56</v>
      </c>
      <c r="D1142">
        <v>2878401</v>
      </c>
      <c r="E1142" t="s">
        <v>53</v>
      </c>
      <c r="F1142" t="s">
        <v>49</v>
      </c>
      <c r="G1142" s="30">
        <v>453409.83765313798</v>
      </c>
    </row>
    <row r="1143" spans="1:7" x14ac:dyDescent="0.25">
      <c r="A1143" t="s">
        <v>50</v>
      </c>
      <c r="B1143" t="s">
        <v>51</v>
      </c>
      <c r="C1143" t="s">
        <v>52</v>
      </c>
      <c r="D1143">
        <v>2878985</v>
      </c>
      <c r="E1143" t="s">
        <v>53</v>
      </c>
      <c r="F1143" t="s">
        <v>49</v>
      </c>
      <c r="G1143" s="30">
        <v>2532.2883154296901</v>
      </c>
    </row>
    <row r="1144" spans="1:7" x14ac:dyDescent="0.25">
      <c r="A1144" t="s">
        <v>50</v>
      </c>
      <c r="B1144" t="s">
        <v>51</v>
      </c>
      <c r="C1144" t="s">
        <v>52</v>
      </c>
      <c r="D1144">
        <v>2879336</v>
      </c>
      <c r="E1144" t="s">
        <v>53</v>
      </c>
      <c r="F1144" t="s">
        <v>49</v>
      </c>
      <c r="G1144" s="30">
        <v>83851.795343848295</v>
      </c>
    </row>
    <row r="1145" spans="1:7" x14ac:dyDescent="0.25">
      <c r="A1145" t="s">
        <v>65</v>
      </c>
      <c r="B1145" t="s">
        <v>66</v>
      </c>
      <c r="C1145" t="s">
        <v>67</v>
      </c>
      <c r="D1145">
        <v>2879653</v>
      </c>
      <c r="E1145" t="s">
        <v>53</v>
      </c>
      <c r="F1145" t="s">
        <v>49</v>
      </c>
      <c r="G1145" s="30">
        <v>4627061.8006688701</v>
      </c>
    </row>
    <row r="1146" spans="1:7" x14ac:dyDescent="0.25">
      <c r="A1146" t="s">
        <v>102</v>
      </c>
      <c r="B1146" t="s">
        <v>103</v>
      </c>
      <c r="C1146" t="s">
        <v>47</v>
      </c>
      <c r="D1146">
        <v>2881769</v>
      </c>
      <c r="E1146" t="s">
        <v>53</v>
      </c>
      <c r="F1146" t="s">
        <v>49</v>
      </c>
      <c r="G1146" s="30">
        <v>135289.20742187501</v>
      </c>
    </row>
    <row r="1147" spans="1:7" x14ac:dyDescent="0.25">
      <c r="A1147" t="s">
        <v>50</v>
      </c>
      <c r="B1147" t="s">
        <v>51</v>
      </c>
      <c r="C1147" t="s">
        <v>52</v>
      </c>
      <c r="D1147">
        <v>2886253</v>
      </c>
      <c r="E1147" t="s">
        <v>53</v>
      </c>
      <c r="F1147" t="s">
        <v>49</v>
      </c>
      <c r="G1147" s="30">
        <v>63869.1328125</v>
      </c>
    </row>
    <row r="1148" spans="1:7" x14ac:dyDescent="0.25">
      <c r="A1148" t="s">
        <v>114</v>
      </c>
      <c r="B1148" t="s">
        <v>115</v>
      </c>
      <c r="C1148" t="s">
        <v>56</v>
      </c>
      <c r="D1148">
        <v>2888587</v>
      </c>
      <c r="E1148" t="s">
        <v>53</v>
      </c>
      <c r="F1148" t="s">
        <v>49</v>
      </c>
      <c r="G1148" s="30">
        <v>1121562.6977099299</v>
      </c>
    </row>
    <row r="1149" spans="1:7" x14ac:dyDescent="0.25">
      <c r="A1149" t="s">
        <v>45</v>
      </c>
      <c r="B1149" t="s">
        <v>46</v>
      </c>
      <c r="C1149" t="s">
        <v>47</v>
      </c>
      <c r="D1149">
        <v>2889834</v>
      </c>
      <c r="E1149" t="s">
        <v>53</v>
      </c>
      <c r="F1149" t="s">
        <v>49</v>
      </c>
      <c r="G1149" s="30">
        <v>5202.8057406895996</v>
      </c>
    </row>
    <row r="1150" spans="1:7" x14ac:dyDescent="0.25">
      <c r="A1150" t="s">
        <v>74</v>
      </c>
      <c r="B1150" t="s">
        <v>75</v>
      </c>
      <c r="C1150" t="s">
        <v>67</v>
      </c>
      <c r="D1150">
        <v>2892115</v>
      </c>
      <c r="E1150" t="s">
        <v>48</v>
      </c>
      <c r="F1150" t="s">
        <v>49</v>
      </c>
      <c r="G1150" s="30">
        <v>0</v>
      </c>
    </row>
    <row r="1151" spans="1:7" x14ac:dyDescent="0.25">
      <c r="A1151" t="s">
        <v>76</v>
      </c>
      <c r="B1151" t="s">
        <v>77</v>
      </c>
      <c r="C1151" t="s">
        <v>78</v>
      </c>
      <c r="D1151">
        <v>2892564</v>
      </c>
      <c r="E1151" t="s">
        <v>53</v>
      </c>
      <c r="F1151" t="s">
        <v>49</v>
      </c>
      <c r="G1151" s="30">
        <v>453784.567544911</v>
      </c>
    </row>
    <row r="1152" spans="1:7" x14ac:dyDescent="0.25">
      <c r="A1152" t="s">
        <v>65</v>
      </c>
      <c r="B1152" t="s">
        <v>66</v>
      </c>
      <c r="C1152" t="s">
        <v>67</v>
      </c>
      <c r="D1152">
        <v>2894854</v>
      </c>
      <c r="E1152" t="s">
        <v>53</v>
      </c>
      <c r="F1152" t="s">
        <v>49</v>
      </c>
      <c r="G1152" s="30">
        <v>2150195.1284079398</v>
      </c>
    </row>
    <row r="1153" spans="1:7" x14ac:dyDescent="0.25">
      <c r="A1153" t="s">
        <v>50</v>
      </c>
      <c r="B1153" t="s">
        <v>51</v>
      </c>
      <c r="C1153" t="s">
        <v>52</v>
      </c>
      <c r="D1153">
        <v>2895416</v>
      </c>
      <c r="E1153" t="s">
        <v>53</v>
      </c>
      <c r="F1153" t="s">
        <v>49</v>
      </c>
      <c r="G1153" s="30">
        <v>3848.19474319246</v>
      </c>
    </row>
    <row r="1154" spans="1:7" x14ac:dyDescent="0.25">
      <c r="A1154" t="s">
        <v>76</v>
      </c>
      <c r="B1154" t="s">
        <v>77</v>
      </c>
      <c r="C1154" t="s">
        <v>78</v>
      </c>
      <c r="D1154">
        <v>2895746</v>
      </c>
      <c r="E1154" t="s">
        <v>53</v>
      </c>
      <c r="F1154" t="s">
        <v>49</v>
      </c>
      <c r="G1154" s="30">
        <v>156779.658624295</v>
      </c>
    </row>
    <row r="1155" spans="1:7" x14ac:dyDescent="0.25">
      <c r="A1155" t="s">
        <v>63</v>
      </c>
      <c r="B1155" t="s">
        <v>64</v>
      </c>
      <c r="C1155" t="s">
        <v>56</v>
      </c>
      <c r="D1155">
        <v>2898246</v>
      </c>
      <c r="E1155" t="s">
        <v>53</v>
      </c>
      <c r="F1155" t="s">
        <v>49</v>
      </c>
      <c r="G1155" s="30">
        <v>697101.80923964805</v>
      </c>
    </row>
    <row r="1156" spans="1:7" x14ac:dyDescent="0.25">
      <c r="A1156" t="s">
        <v>135</v>
      </c>
      <c r="B1156" t="s">
        <v>136</v>
      </c>
      <c r="C1156" t="s">
        <v>56</v>
      </c>
      <c r="D1156">
        <v>2898896</v>
      </c>
      <c r="E1156" t="s">
        <v>53</v>
      </c>
      <c r="F1156" t="s">
        <v>49</v>
      </c>
      <c r="G1156" s="30">
        <v>938202.732627686</v>
      </c>
    </row>
    <row r="1157" spans="1:7" x14ac:dyDescent="0.25">
      <c r="A1157" t="s">
        <v>45</v>
      </c>
      <c r="B1157" t="s">
        <v>46</v>
      </c>
      <c r="C1157" t="s">
        <v>47</v>
      </c>
      <c r="D1157">
        <v>2900148</v>
      </c>
      <c r="E1157" t="s">
        <v>48</v>
      </c>
      <c r="F1157" t="s">
        <v>49</v>
      </c>
      <c r="G1157" s="30">
        <v>10.029999999999999</v>
      </c>
    </row>
    <row r="1158" spans="1:7" x14ac:dyDescent="0.25">
      <c r="A1158" t="s">
        <v>144</v>
      </c>
      <c r="B1158" t="s">
        <v>145</v>
      </c>
      <c r="C1158" t="s">
        <v>67</v>
      </c>
      <c r="D1158">
        <v>2900348</v>
      </c>
      <c r="E1158" t="s">
        <v>53</v>
      </c>
      <c r="F1158" t="s">
        <v>49</v>
      </c>
      <c r="G1158" s="30">
        <v>14003.21</v>
      </c>
    </row>
    <row r="1159" spans="1:7" x14ac:dyDescent="0.25">
      <c r="A1159" t="s">
        <v>133</v>
      </c>
      <c r="B1159" t="s">
        <v>134</v>
      </c>
      <c r="C1159" t="s">
        <v>47</v>
      </c>
      <c r="D1159">
        <v>2901410</v>
      </c>
      <c r="E1159" t="s">
        <v>53</v>
      </c>
      <c r="F1159" t="s">
        <v>49</v>
      </c>
      <c r="G1159" s="30">
        <v>147869.265648395</v>
      </c>
    </row>
    <row r="1160" spans="1:7" x14ac:dyDescent="0.25">
      <c r="A1160" t="s">
        <v>76</v>
      </c>
      <c r="B1160" t="s">
        <v>77</v>
      </c>
      <c r="C1160" t="s">
        <v>78</v>
      </c>
      <c r="D1160">
        <v>2904647</v>
      </c>
      <c r="E1160" t="s">
        <v>53</v>
      </c>
      <c r="F1160" t="s">
        <v>49</v>
      </c>
      <c r="G1160" s="30">
        <v>1029745.8974768301</v>
      </c>
    </row>
    <row r="1161" spans="1:7" x14ac:dyDescent="0.25">
      <c r="A1161" t="s">
        <v>45</v>
      </c>
      <c r="B1161" t="s">
        <v>46</v>
      </c>
      <c r="C1161" t="s">
        <v>47</v>
      </c>
      <c r="D1161">
        <v>2906754</v>
      </c>
      <c r="E1161" t="s">
        <v>53</v>
      </c>
      <c r="F1161" t="s">
        <v>49</v>
      </c>
      <c r="G1161" s="30">
        <v>3334.52</v>
      </c>
    </row>
    <row r="1162" spans="1:7" x14ac:dyDescent="0.25">
      <c r="A1162" t="s">
        <v>45</v>
      </c>
      <c r="B1162" t="s">
        <v>46</v>
      </c>
      <c r="C1162" t="s">
        <v>47</v>
      </c>
      <c r="D1162">
        <v>2907153</v>
      </c>
      <c r="E1162" t="s">
        <v>48</v>
      </c>
      <c r="F1162" t="s">
        <v>49</v>
      </c>
      <c r="G1162" s="30">
        <v>0</v>
      </c>
    </row>
    <row r="1163" spans="1:7" x14ac:dyDescent="0.25">
      <c r="A1163" t="s">
        <v>45</v>
      </c>
      <c r="B1163" t="s">
        <v>46</v>
      </c>
      <c r="C1163" t="s">
        <v>47</v>
      </c>
      <c r="D1163">
        <v>2909737</v>
      </c>
      <c r="E1163" t="s">
        <v>48</v>
      </c>
      <c r="F1163" t="s">
        <v>49</v>
      </c>
      <c r="G1163" s="30">
        <v>0</v>
      </c>
    </row>
    <row r="1164" spans="1:7" x14ac:dyDescent="0.25">
      <c r="A1164" t="s">
        <v>45</v>
      </c>
      <c r="B1164" t="s">
        <v>46</v>
      </c>
      <c r="C1164" t="s">
        <v>47</v>
      </c>
      <c r="D1164">
        <v>2910960</v>
      </c>
      <c r="E1164" t="s">
        <v>48</v>
      </c>
      <c r="F1164" t="s">
        <v>49</v>
      </c>
      <c r="G1164" s="30">
        <v>0</v>
      </c>
    </row>
    <row r="1165" spans="1:7" x14ac:dyDescent="0.25">
      <c r="A1165" t="s">
        <v>50</v>
      </c>
      <c r="B1165" t="s">
        <v>51</v>
      </c>
      <c r="C1165" t="s">
        <v>52</v>
      </c>
      <c r="D1165">
        <v>2911152</v>
      </c>
      <c r="E1165" t="s">
        <v>53</v>
      </c>
      <c r="F1165" t="s">
        <v>49</v>
      </c>
      <c r="G1165" s="30">
        <v>23288.634765625</v>
      </c>
    </row>
    <row r="1166" spans="1:7" x14ac:dyDescent="0.25">
      <c r="A1166" t="s">
        <v>45</v>
      </c>
      <c r="B1166" t="s">
        <v>46</v>
      </c>
      <c r="C1166" t="s">
        <v>47</v>
      </c>
      <c r="D1166">
        <v>2912618</v>
      </c>
      <c r="E1166" t="s">
        <v>48</v>
      </c>
      <c r="F1166" t="s">
        <v>49</v>
      </c>
      <c r="G1166" s="30">
        <v>0</v>
      </c>
    </row>
    <row r="1167" spans="1:7" x14ac:dyDescent="0.25">
      <c r="A1167" t="s">
        <v>45</v>
      </c>
      <c r="B1167" t="s">
        <v>46</v>
      </c>
      <c r="C1167" t="s">
        <v>47</v>
      </c>
      <c r="D1167">
        <v>2915384</v>
      </c>
      <c r="E1167" t="s">
        <v>48</v>
      </c>
      <c r="F1167" t="s">
        <v>49</v>
      </c>
      <c r="G1167" s="30">
        <v>0</v>
      </c>
    </row>
    <row r="1168" spans="1:7" x14ac:dyDescent="0.25">
      <c r="A1168" t="s">
        <v>50</v>
      </c>
      <c r="B1168" t="s">
        <v>51</v>
      </c>
      <c r="C1168" t="s">
        <v>52</v>
      </c>
      <c r="D1168">
        <v>2918278</v>
      </c>
      <c r="E1168" t="s">
        <v>53</v>
      </c>
      <c r="F1168" t="s">
        <v>49</v>
      </c>
      <c r="G1168" s="30">
        <v>1189.5933079558299</v>
      </c>
    </row>
    <row r="1169" spans="1:7" x14ac:dyDescent="0.25">
      <c r="A1169" t="s">
        <v>74</v>
      </c>
      <c r="B1169" t="s">
        <v>75</v>
      </c>
      <c r="C1169" t="s">
        <v>67</v>
      </c>
      <c r="D1169">
        <v>2923370</v>
      </c>
      <c r="E1169" t="s">
        <v>53</v>
      </c>
      <c r="F1169" t="s">
        <v>49</v>
      </c>
      <c r="G1169" s="30">
        <v>2700.4665267444202</v>
      </c>
    </row>
    <row r="1170" spans="1:7" x14ac:dyDescent="0.25">
      <c r="A1170" t="s">
        <v>45</v>
      </c>
      <c r="B1170" t="s">
        <v>46</v>
      </c>
      <c r="C1170" t="s">
        <v>47</v>
      </c>
      <c r="D1170">
        <v>2926872</v>
      </c>
      <c r="E1170" t="s">
        <v>48</v>
      </c>
      <c r="F1170" t="s">
        <v>49</v>
      </c>
      <c r="G1170" s="30">
        <v>0</v>
      </c>
    </row>
    <row r="1171" spans="1:7" x14ac:dyDescent="0.25">
      <c r="A1171" t="s">
        <v>82</v>
      </c>
      <c r="B1171" t="s">
        <v>83</v>
      </c>
      <c r="C1171" t="s">
        <v>56</v>
      </c>
      <c r="D1171">
        <v>2926901</v>
      </c>
      <c r="E1171" t="s">
        <v>53</v>
      </c>
      <c r="F1171" t="s">
        <v>49</v>
      </c>
      <c r="G1171" s="30">
        <v>466973.22580170701</v>
      </c>
    </row>
    <row r="1172" spans="1:7" x14ac:dyDescent="0.25">
      <c r="A1172" t="s">
        <v>90</v>
      </c>
      <c r="B1172" t="s">
        <v>91</v>
      </c>
      <c r="C1172" t="s">
        <v>81</v>
      </c>
      <c r="D1172">
        <v>2929340</v>
      </c>
      <c r="E1172" t="s">
        <v>53</v>
      </c>
      <c r="F1172" t="s">
        <v>49</v>
      </c>
      <c r="G1172" s="30">
        <v>224961.84168945299</v>
      </c>
    </row>
    <row r="1173" spans="1:7" x14ac:dyDescent="0.25">
      <c r="A1173" t="s">
        <v>45</v>
      </c>
      <c r="B1173" t="s">
        <v>46</v>
      </c>
      <c r="C1173" t="s">
        <v>47</v>
      </c>
      <c r="D1173">
        <v>2930896</v>
      </c>
      <c r="E1173" t="s">
        <v>48</v>
      </c>
      <c r="F1173" t="s">
        <v>49</v>
      </c>
      <c r="G1173" s="30">
        <v>0</v>
      </c>
    </row>
    <row r="1174" spans="1:7" x14ac:dyDescent="0.25">
      <c r="A1174" t="s">
        <v>128</v>
      </c>
      <c r="B1174" t="s">
        <v>129</v>
      </c>
      <c r="C1174" t="s">
        <v>130</v>
      </c>
      <c r="D1174">
        <v>2935060</v>
      </c>
      <c r="E1174" t="s">
        <v>53</v>
      </c>
      <c r="F1174" t="s">
        <v>49</v>
      </c>
      <c r="G1174" s="30">
        <v>8481016.8325175401</v>
      </c>
    </row>
    <row r="1175" spans="1:7" x14ac:dyDescent="0.25">
      <c r="A1175" t="s">
        <v>50</v>
      </c>
      <c r="B1175" t="s">
        <v>51</v>
      </c>
      <c r="C1175" t="s">
        <v>52</v>
      </c>
      <c r="D1175">
        <v>2936516</v>
      </c>
      <c r="E1175" t="s">
        <v>53</v>
      </c>
      <c r="F1175" t="s">
        <v>49</v>
      </c>
      <c r="G1175" s="30">
        <v>30742.94</v>
      </c>
    </row>
    <row r="1176" spans="1:7" x14ac:dyDescent="0.25">
      <c r="A1176" t="s">
        <v>74</v>
      </c>
      <c r="B1176" t="s">
        <v>75</v>
      </c>
      <c r="C1176" t="s">
        <v>67</v>
      </c>
      <c r="D1176">
        <v>2937229</v>
      </c>
      <c r="E1176" t="s">
        <v>48</v>
      </c>
      <c r="F1176" t="s">
        <v>49</v>
      </c>
      <c r="G1176" s="30">
        <v>0</v>
      </c>
    </row>
    <row r="1177" spans="1:7" x14ac:dyDescent="0.25">
      <c r="A1177" t="s">
        <v>68</v>
      </c>
      <c r="B1177" t="s">
        <v>69</v>
      </c>
      <c r="C1177" t="s">
        <v>56</v>
      </c>
      <c r="D1177">
        <v>2939777</v>
      </c>
      <c r="E1177" t="s">
        <v>53</v>
      </c>
      <c r="F1177" t="s">
        <v>49</v>
      </c>
      <c r="G1177" s="30">
        <v>106282.649000626</v>
      </c>
    </row>
    <row r="1178" spans="1:7" x14ac:dyDescent="0.25">
      <c r="A1178" t="s">
        <v>45</v>
      </c>
      <c r="B1178" t="s">
        <v>46</v>
      </c>
      <c r="C1178" t="s">
        <v>47</v>
      </c>
      <c r="D1178">
        <v>2942696</v>
      </c>
      <c r="E1178" t="s">
        <v>53</v>
      </c>
      <c r="F1178" t="s">
        <v>49</v>
      </c>
      <c r="G1178" s="30">
        <v>13574.5044118366</v>
      </c>
    </row>
    <row r="1179" spans="1:7" x14ac:dyDescent="0.25">
      <c r="A1179" t="s">
        <v>120</v>
      </c>
      <c r="B1179" t="s">
        <v>121</v>
      </c>
      <c r="C1179" t="s">
        <v>67</v>
      </c>
      <c r="D1179">
        <v>2943121</v>
      </c>
      <c r="E1179" t="s">
        <v>53</v>
      </c>
      <c r="F1179" t="s">
        <v>49</v>
      </c>
      <c r="G1179" s="30">
        <v>1267223.2123263399</v>
      </c>
    </row>
    <row r="1180" spans="1:7" x14ac:dyDescent="0.25">
      <c r="A1180" t="s">
        <v>45</v>
      </c>
      <c r="B1180" t="s">
        <v>46</v>
      </c>
      <c r="C1180" t="s">
        <v>47</v>
      </c>
      <c r="D1180">
        <v>2948117</v>
      </c>
      <c r="E1180" t="s">
        <v>48</v>
      </c>
      <c r="F1180" t="s">
        <v>49</v>
      </c>
      <c r="G1180" s="30">
        <v>0</v>
      </c>
    </row>
    <row r="1181" spans="1:7" x14ac:dyDescent="0.25">
      <c r="A1181" t="s">
        <v>128</v>
      </c>
      <c r="B1181" t="s">
        <v>129</v>
      </c>
      <c r="C1181" t="s">
        <v>130</v>
      </c>
      <c r="D1181">
        <v>2948493</v>
      </c>
      <c r="E1181" t="s">
        <v>53</v>
      </c>
      <c r="F1181" t="s">
        <v>49</v>
      </c>
      <c r="G1181" s="30">
        <v>3730693.5370697202</v>
      </c>
    </row>
    <row r="1182" spans="1:7" x14ac:dyDescent="0.25">
      <c r="A1182" t="s">
        <v>70</v>
      </c>
      <c r="B1182" t="s">
        <v>71</v>
      </c>
      <c r="C1182" t="s">
        <v>47</v>
      </c>
      <c r="D1182">
        <v>2952645</v>
      </c>
      <c r="E1182" t="s">
        <v>53</v>
      </c>
      <c r="F1182" t="s">
        <v>49</v>
      </c>
      <c r="G1182" s="30">
        <v>2051519.0146052199</v>
      </c>
    </row>
    <row r="1183" spans="1:7" x14ac:dyDescent="0.25">
      <c r="A1183" t="s">
        <v>50</v>
      </c>
      <c r="B1183" t="s">
        <v>51</v>
      </c>
      <c r="C1183" t="s">
        <v>52</v>
      </c>
      <c r="D1183">
        <v>2954433</v>
      </c>
      <c r="E1183" t="s">
        <v>53</v>
      </c>
      <c r="F1183" t="s">
        <v>49</v>
      </c>
      <c r="G1183" s="30">
        <v>61074.775223301796</v>
      </c>
    </row>
    <row r="1184" spans="1:7" x14ac:dyDescent="0.25">
      <c r="A1184" t="s">
        <v>116</v>
      </c>
      <c r="B1184" t="s">
        <v>117</v>
      </c>
      <c r="C1184" t="s">
        <v>47</v>
      </c>
      <c r="D1184">
        <v>2954556</v>
      </c>
      <c r="E1184" t="s">
        <v>53</v>
      </c>
      <c r="F1184" t="s">
        <v>49</v>
      </c>
      <c r="G1184" s="30">
        <v>50612.797194586703</v>
      </c>
    </row>
    <row r="1185" spans="1:7" x14ac:dyDescent="0.25">
      <c r="A1185" t="s">
        <v>70</v>
      </c>
      <c r="B1185" t="s">
        <v>71</v>
      </c>
      <c r="C1185" t="s">
        <v>47</v>
      </c>
      <c r="D1185">
        <v>2955408</v>
      </c>
      <c r="G1185" s="30">
        <v>0</v>
      </c>
    </row>
    <row r="1186" spans="1:7" x14ac:dyDescent="0.25">
      <c r="A1186" t="s">
        <v>45</v>
      </c>
      <c r="B1186" t="s">
        <v>46</v>
      </c>
      <c r="C1186" t="s">
        <v>47</v>
      </c>
      <c r="D1186">
        <v>2956965</v>
      </c>
      <c r="E1186" t="s">
        <v>48</v>
      </c>
      <c r="F1186" t="s">
        <v>49</v>
      </c>
      <c r="G1186" s="30">
        <v>0</v>
      </c>
    </row>
    <row r="1187" spans="1:7" x14ac:dyDescent="0.25">
      <c r="A1187" t="s">
        <v>45</v>
      </c>
      <c r="B1187" t="s">
        <v>46</v>
      </c>
      <c r="C1187" t="s">
        <v>47</v>
      </c>
      <c r="D1187">
        <v>2957587</v>
      </c>
      <c r="E1187" t="s">
        <v>48</v>
      </c>
      <c r="F1187" t="s">
        <v>49</v>
      </c>
      <c r="G1187" s="30">
        <v>0</v>
      </c>
    </row>
    <row r="1188" spans="1:7" x14ac:dyDescent="0.25">
      <c r="A1188" t="s">
        <v>45</v>
      </c>
      <c r="B1188" t="s">
        <v>46</v>
      </c>
      <c r="C1188" t="s">
        <v>47</v>
      </c>
      <c r="D1188">
        <v>2959142</v>
      </c>
      <c r="E1188" t="s">
        <v>53</v>
      </c>
      <c r="F1188" t="s">
        <v>49</v>
      </c>
      <c r="G1188" s="30">
        <v>28746.0938897776</v>
      </c>
    </row>
    <row r="1189" spans="1:7" x14ac:dyDescent="0.25">
      <c r="A1189" t="s">
        <v>50</v>
      </c>
      <c r="B1189" t="s">
        <v>51</v>
      </c>
      <c r="C1189" t="s">
        <v>52</v>
      </c>
      <c r="D1189">
        <v>2961747</v>
      </c>
      <c r="E1189" t="s">
        <v>48</v>
      </c>
      <c r="F1189" t="s">
        <v>49</v>
      </c>
      <c r="G1189" s="30">
        <v>0</v>
      </c>
    </row>
    <row r="1190" spans="1:7" x14ac:dyDescent="0.25">
      <c r="A1190" t="s">
        <v>45</v>
      </c>
      <c r="B1190" t="s">
        <v>46</v>
      </c>
      <c r="C1190" t="s">
        <v>47</v>
      </c>
      <c r="D1190">
        <v>2964064</v>
      </c>
      <c r="E1190" t="s">
        <v>48</v>
      </c>
      <c r="F1190" t="s">
        <v>49</v>
      </c>
      <c r="G1190" s="30">
        <v>0</v>
      </c>
    </row>
    <row r="1191" spans="1:7" x14ac:dyDescent="0.25">
      <c r="A1191" t="s">
        <v>45</v>
      </c>
      <c r="B1191" t="s">
        <v>46</v>
      </c>
      <c r="C1191" t="s">
        <v>47</v>
      </c>
      <c r="D1191">
        <v>2964121</v>
      </c>
      <c r="E1191" t="s">
        <v>48</v>
      </c>
      <c r="F1191" t="s">
        <v>49</v>
      </c>
      <c r="G1191" s="30">
        <v>0</v>
      </c>
    </row>
    <row r="1192" spans="1:7" x14ac:dyDescent="0.25">
      <c r="A1192" t="s">
        <v>114</v>
      </c>
      <c r="B1192" t="s">
        <v>115</v>
      </c>
      <c r="C1192" t="s">
        <v>56</v>
      </c>
      <c r="D1192">
        <v>2965852</v>
      </c>
      <c r="E1192" t="s">
        <v>53</v>
      </c>
      <c r="F1192" t="s">
        <v>49</v>
      </c>
      <c r="G1192" s="30">
        <v>1373682.06898699</v>
      </c>
    </row>
    <row r="1193" spans="1:7" x14ac:dyDescent="0.25">
      <c r="A1193" t="s">
        <v>50</v>
      </c>
      <c r="B1193" t="s">
        <v>51</v>
      </c>
      <c r="C1193" t="s">
        <v>52</v>
      </c>
      <c r="D1193">
        <v>2966744</v>
      </c>
      <c r="E1193" t="s">
        <v>53</v>
      </c>
      <c r="F1193" t="s">
        <v>49</v>
      </c>
      <c r="G1193" s="30">
        <v>3269.91381835938</v>
      </c>
    </row>
    <row r="1194" spans="1:7" x14ac:dyDescent="0.25">
      <c r="A1194" t="s">
        <v>45</v>
      </c>
      <c r="B1194" t="s">
        <v>46</v>
      </c>
      <c r="C1194" t="s">
        <v>47</v>
      </c>
      <c r="D1194">
        <v>2968745</v>
      </c>
      <c r="E1194" t="s">
        <v>48</v>
      </c>
      <c r="F1194" t="s">
        <v>49</v>
      </c>
      <c r="G1194" s="30">
        <v>0</v>
      </c>
    </row>
    <row r="1195" spans="1:7" x14ac:dyDescent="0.25">
      <c r="A1195" t="s">
        <v>45</v>
      </c>
      <c r="B1195" t="s">
        <v>46</v>
      </c>
      <c r="C1195" t="s">
        <v>47</v>
      </c>
      <c r="D1195">
        <v>2972393</v>
      </c>
      <c r="E1195" t="s">
        <v>48</v>
      </c>
      <c r="F1195" t="s">
        <v>49</v>
      </c>
      <c r="G1195" s="30">
        <v>0</v>
      </c>
    </row>
    <row r="1196" spans="1:7" x14ac:dyDescent="0.25">
      <c r="A1196" t="s">
        <v>72</v>
      </c>
      <c r="B1196" t="s">
        <v>73</v>
      </c>
      <c r="C1196" t="s">
        <v>67</v>
      </c>
      <c r="D1196">
        <v>2972395</v>
      </c>
      <c r="E1196" t="s">
        <v>53</v>
      </c>
      <c r="F1196" t="s">
        <v>49</v>
      </c>
      <c r="G1196" s="30">
        <v>1890113.28310288</v>
      </c>
    </row>
    <row r="1197" spans="1:7" x14ac:dyDescent="0.25">
      <c r="A1197" t="s">
        <v>50</v>
      </c>
      <c r="B1197" t="s">
        <v>51</v>
      </c>
      <c r="C1197" t="s">
        <v>52</v>
      </c>
      <c r="D1197">
        <v>2980022</v>
      </c>
      <c r="E1197" t="s">
        <v>53</v>
      </c>
      <c r="F1197" t="s">
        <v>49</v>
      </c>
      <c r="G1197" s="30">
        <v>372.57</v>
      </c>
    </row>
    <row r="1198" spans="1:7" x14ac:dyDescent="0.25">
      <c r="A1198" t="s">
        <v>74</v>
      </c>
      <c r="B1198" t="s">
        <v>75</v>
      </c>
      <c r="C1198" t="s">
        <v>67</v>
      </c>
      <c r="D1198">
        <v>2980357</v>
      </c>
      <c r="E1198" t="s">
        <v>48</v>
      </c>
      <c r="F1198" t="s">
        <v>49</v>
      </c>
      <c r="G1198" s="30">
        <v>0</v>
      </c>
    </row>
    <row r="1199" spans="1:7" x14ac:dyDescent="0.25">
      <c r="A1199" t="s">
        <v>45</v>
      </c>
      <c r="B1199" t="s">
        <v>46</v>
      </c>
      <c r="C1199" t="s">
        <v>47</v>
      </c>
      <c r="D1199">
        <v>2983073</v>
      </c>
      <c r="E1199" t="s">
        <v>48</v>
      </c>
      <c r="F1199" t="s">
        <v>49</v>
      </c>
      <c r="G1199" s="30">
        <v>0</v>
      </c>
    </row>
    <row r="1200" spans="1:7" x14ac:dyDescent="0.25">
      <c r="A1200" t="s">
        <v>50</v>
      </c>
      <c r="B1200" t="s">
        <v>51</v>
      </c>
      <c r="C1200" t="s">
        <v>52</v>
      </c>
      <c r="D1200">
        <v>2985122</v>
      </c>
      <c r="E1200" t="s">
        <v>53</v>
      </c>
      <c r="F1200" t="s">
        <v>49</v>
      </c>
      <c r="G1200" s="30">
        <v>171.78</v>
      </c>
    </row>
    <row r="1201" spans="1:7" x14ac:dyDescent="0.25">
      <c r="A1201" t="s">
        <v>45</v>
      </c>
      <c r="B1201" t="s">
        <v>46</v>
      </c>
      <c r="C1201" t="s">
        <v>47</v>
      </c>
      <c r="D1201">
        <v>2988660</v>
      </c>
      <c r="E1201" t="s">
        <v>48</v>
      </c>
      <c r="F1201" t="s">
        <v>49</v>
      </c>
      <c r="G1201" s="30">
        <v>0</v>
      </c>
    </row>
    <row r="1202" spans="1:7" x14ac:dyDescent="0.25">
      <c r="A1202" t="s">
        <v>74</v>
      </c>
      <c r="B1202" t="s">
        <v>75</v>
      </c>
      <c r="C1202" t="s">
        <v>67</v>
      </c>
      <c r="D1202">
        <v>2989403</v>
      </c>
      <c r="E1202" t="s">
        <v>48</v>
      </c>
      <c r="F1202" t="s">
        <v>49</v>
      </c>
      <c r="G1202" s="30">
        <v>0</v>
      </c>
    </row>
    <row r="1203" spans="1:7" x14ac:dyDescent="0.25">
      <c r="A1203" t="s">
        <v>124</v>
      </c>
      <c r="B1203" t="s">
        <v>125</v>
      </c>
      <c r="C1203" t="s">
        <v>78</v>
      </c>
      <c r="D1203">
        <v>2993824</v>
      </c>
      <c r="E1203" t="s">
        <v>53</v>
      </c>
      <c r="F1203" t="s">
        <v>49</v>
      </c>
      <c r="G1203" s="30">
        <v>498652.25433343003</v>
      </c>
    </row>
    <row r="1204" spans="1:7" x14ac:dyDescent="0.25">
      <c r="A1204" t="s">
        <v>104</v>
      </c>
      <c r="B1204" t="s">
        <v>105</v>
      </c>
      <c r="C1204" t="s">
        <v>78</v>
      </c>
      <c r="D1204">
        <v>2994034</v>
      </c>
      <c r="E1204" t="s">
        <v>53</v>
      </c>
      <c r="F1204" t="s">
        <v>49</v>
      </c>
      <c r="G1204" s="30">
        <v>5349.5187246239002</v>
      </c>
    </row>
    <row r="1205" spans="1:7" x14ac:dyDescent="0.25">
      <c r="A1205" t="s">
        <v>50</v>
      </c>
      <c r="B1205" t="s">
        <v>51</v>
      </c>
      <c r="C1205" t="s">
        <v>52</v>
      </c>
      <c r="D1205">
        <v>2994417</v>
      </c>
      <c r="E1205" t="s">
        <v>53</v>
      </c>
      <c r="F1205" t="s">
        <v>49</v>
      </c>
      <c r="G1205" s="30">
        <v>90.7</v>
      </c>
    </row>
    <row r="1206" spans="1:7" x14ac:dyDescent="0.25">
      <c r="A1206" t="s">
        <v>45</v>
      </c>
      <c r="B1206" t="s">
        <v>46</v>
      </c>
      <c r="C1206" t="s">
        <v>47</v>
      </c>
      <c r="D1206">
        <v>2996388</v>
      </c>
      <c r="E1206" t="s">
        <v>48</v>
      </c>
      <c r="F1206" t="s">
        <v>49</v>
      </c>
      <c r="G1206" s="30">
        <v>0</v>
      </c>
    </row>
    <row r="1207" spans="1:7" x14ac:dyDescent="0.25">
      <c r="A1207" t="s">
        <v>50</v>
      </c>
      <c r="B1207" t="s">
        <v>51</v>
      </c>
      <c r="C1207" t="s">
        <v>52</v>
      </c>
      <c r="D1207">
        <v>2996952</v>
      </c>
      <c r="E1207" t="s">
        <v>53</v>
      </c>
      <c r="F1207" t="s">
        <v>49</v>
      </c>
      <c r="G1207" s="30">
        <v>-209.52</v>
      </c>
    </row>
    <row r="1208" spans="1:7" x14ac:dyDescent="0.25">
      <c r="A1208" t="s">
        <v>65</v>
      </c>
      <c r="B1208" t="s">
        <v>66</v>
      </c>
      <c r="C1208" t="s">
        <v>67</v>
      </c>
      <c r="D1208">
        <v>2998967</v>
      </c>
      <c r="E1208" t="s">
        <v>53</v>
      </c>
      <c r="F1208" t="s">
        <v>49</v>
      </c>
      <c r="G1208" s="30">
        <v>874554.34731393401</v>
      </c>
    </row>
    <row r="1209" spans="1:7" x14ac:dyDescent="0.25">
      <c r="A1209" t="s">
        <v>45</v>
      </c>
      <c r="B1209" t="s">
        <v>46</v>
      </c>
      <c r="C1209" t="s">
        <v>47</v>
      </c>
      <c r="D1209">
        <v>2999457</v>
      </c>
      <c r="E1209" t="s">
        <v>48</v>
      </c>
      <c r="F1209" t="s">
        <v>49</v>
      </c>
      <c r="G1209" s="30">
        <v>0</v>
      </c>
    </row>
    <row r="1210" spans="1:7" x14ac:dyDescent="0.25">
      <c r="A1210" t="s">
        <v>50</v>
      </c>
      <c r="B1210" t="s">
        <v>51</v>
      </c>
      <c r="C1210" t="s">
        <v>52</v>
      </c>
      <c r="D1210">
        <v>3004053</v>
      </c>
      <c r="E1210" t="s">
        <v>53</v>
      </c>
      <c r="F1210" t="s">
        <v>49</v>
      </c>
      <c r="G1210" s="30">
        <v>59423.191033752701</v>
      </c>
    </row>
    <row r="1211" spans="1:7" x14ac:dyDescent="0.25">
      <c r="A1211" t="s">
        <v>50</v>
      </c>
      <c r="B1211" t="s">
        <v>51</v>
      </c>
      <c r="C1211" t="s">
        <v>52</v>
      </c>
      <c r="D1211">
        <v>3004728</v>
      </c>
      <c r="E1211" t="s">
        <v>48</v>
      </c>
      <c r="F1211" t="s">
        <v>49</v>
      </c>
      <c r="G1211" s="30">
        <v>0</v>
      </c>
    </row>
    <row r="1212" spans="1:7" x14ac:dyDescent="0.25">
      <c r="A1212" t="s">
        <v>63</v>
      </c>
      <c r="B1212" t="s">
        <v>64</v>
      </c>
      <c r="C1212" t="s">
        <v>56</v>
      </c>
      <c r="D1212">
        <v>3006513</v>
      </c>
      <c r="E1212" t="s">
        <v>53</v>
      </c>
      <c r="F1212" t="s">
        <v>49</v>
      </c>
      <c r="G1212" s="30">
        <v>1132262.7427189101</v>
      </c>
    </row>
    <row r="1213" spans="1:7" x14ac:dyDescent="0.25">
      <c r="A1213" t="s">
        <v>45</v>
      </c>
      <c r="B1213" t="s">
        <v>46</v>
      </c>
      <c r="C1213" t="s">
        <v>47</v>
      </c>
      <c r="D1213">
        <v>3012291</v>
      </c>
      <c r="E1213" t="s">
        <v>48</v>
      </c>
      <c r="F1213" t="s">
        <v>49</v>
      </c>
      <c r="G1213" s="30">
        <v>0</v>
      </c>
    </row>
    <row r="1214" spans="1:7" x14ac:dyDescent="0.25">
      <c r="A1214" t="s">
        <v>45</v>
      </c>
      <c r="B1214" t="s">
        <v>46</v>
      </c>
      <c r="C1214" t="s">
        <v>47</v>
      </c>
      <c r="D1214">
        <v>3013109</v>
      </c>
      <c r="E1214" t="s">
        <v>48</v>
      </c>
      <c r="F1214" t="s">
        <v>49</v>
      </c>
      <c r="G1214" s="30">
        <v>0</v>
      </c>
    </row>
    <row r="1215" spans="1:7" x14ac:dyDescent="0.25">
      <c r="A1215" t="s">
        <v>128</v>
      </c>
      <c r="B1215" t="s">
        <v>129</v>
      </c>
      <c r="C1215" t="s">
        <v>130</v>
      </c>
      <c r="D1215">
        <v>3015450</v>
      </c>
      <c r="E1215" t="s">
        <v>53</v>
      </c>
      <c r="F1215" t="s">
        <v>49</v>
      </c>
      <c r="G1215" s="30">
        <v>3497838.2134869201</v>
      </c>
    </row>
    <row r="1216" spans="1:7" x14ac:dyDescent="0.25">
      <c r="A1216" t="s">
        <v>74</v>
      </c>
      <c r="B1216" t="s">
        <v>75</v>
      </c>
      <c r="C1216" t="s">
        <v>67</v>
      </c>
      <c r="D1216">
        <v>3018148</v>
      </c>
      <c r="E1216" t="s">
        <v>48</v>
      </c>
      <c r="F1216" t="s">
        <v>49</v>
      </c>
      <c r="G1216" s="30">
        <v>0</v>
      </c>
    </row>
    <row r="1217" spans="1:7" x14ac:dyDescent="0.25">
      <c r="A1217" t="s">
        <v>50</v>
      </c>
      <c r="B1217" t="s">
        <v>51</v>
      </c>
      <c r="C1217" t="s">
        <v>52</v>
      </c>
      <c r="D1217">
        <v>3021422</v>
      </c>
      <c r="E1217" t="s">
        <v>53</v>
      </c>
      <c r="F1217" t="s">
        <v>49</v>
      </c>
      <c r="G1217" s="30">
        <v>3982.31</v>
      </c>
    </row>
    <row r="1218" spans="1:7" x14ac:dyDescent="0.25">
      <c r="A1218" t="s">
        <v>57</v>
      </c>
      <c r="B1218" t="s">
        <v>58</v>
      </c>
      <c r="C1218" t="s">
        <v>56</v>
      </c>
      <c r="D1218">
        <v>3026070</v>
      </c>
      <c r="E1218" t="s">
        <v>53</v>
      </c>
      <c r="F1218" t="s">
        <v>49</v>
      </c>
      <c r="G1218" s="30">
        <v>321652.90124665201</v>
      </c>
    </row>
    <row r="1219" spans="1:7" x14ac:dyDescent="0.25">
      <c r="A1219" t="s">
        <v>45</v>
      </c>
      <c r="B1219" t="s">
        <v>46</v>
      </c>
      <c r="C1219" t="s">
        <v>47</v>
      </c>
      <c r="D1219">
        <v>3027208</v>
      </c>
      <c r="E1219" t="s">
        <v>48</v>
      </c>
      <c r="F1219" t="s">
        <v>49</v>
      </c>
      <c r="G1219" s="30">
        <v>0</v>
      </c>
    </row>
    <row r="1220" spans="1:7" x14ac:dyDescent="0.25">
      <c r="A1220" t="s">
        <v>50</v>
      </c>
      <c r="B1220" t="s">
        <v>51</v>
      </c>
      <c r="C1220" t="s">
        <v>52</v>
      </c>
      <c r="D1220">
        <v>3028064</v>
      </c>
      <c r="E1220" t="s">
        <v>53</v>
      </c>
      <c r="F1220" t="s">
        <v>49</v>
      </c>
      <c r="G1220" s="30">
        <v>982.35</v>
      </c>
    </row>
    <row r="1221" spans="1:7" x14ac:dyDescent="0.25">
      <c r="A1221" t="s">
        <v>45</v>
      </c>
      <c r="B1221" t="s">
        <v>46</v>
      </c>
      <c r="C1221" t="s">
        <v>47</v>
      </c>
      <c r="D1221">
        <v>3029519</v>
      </c>
      <c r="E1221" t="s">
        <v>53</v>
      </c>
      <c r="F1221" t="s">
        <v>49</v>
      </c>
      <c r="G1221" s="30">
        <v>7224.1275906988903</v>
      </c>
    </row>
    <row r="1222" spans="1:7" x14ac:dyDescent="0.25">
      <c r="A1222" t="s">
        <v>45</v>
      </c>
      <c r="B1222" t="s">
        <v>46</v>
      </c>
      <c r="C1222" t="s">
        <v>47</v>
      </c>
      <c r="D1222">
        <v>3031906</v>
      </c>
      <c r="E1222" t="s">
        <v>48</v>
      </c>
      <c r="F1222" t="s">
        <v>49</v>
      </c>
      <c r="G1222" s="30">
        <v>0</v>
      </c>
    </row>
    <row r="1223" spans="1:7" x14ac:dyDescent="0.25">
      <c r="A1223" t="s">
        <v>45</v>
      </c>
      <c r="B1223" t="s">
        <v>46</v>
      </c>
      <c r="C1223" t="s">
        <v>47</v>
      </c>
      <c r="D1223">
        <v>3036827</v>
      </c>
      <c r="E1223" t="s">
        <v>48</v>
      </c>
      <c r="F1223" t="s">
        <v>49</v>
      </c>
      <c r="G1223" s="30">
        <v>0</v>
      </c>
    </row>
    <row r="1224" spans="1:7" x14ac:dyDescent="0.25">
      <c r="A1224" t="s">
        <v>74</v>
      </c>
      <c r="B1224" t="s">
        <v>75</v>
      </c>
      <c r="C1224" t="s">
        <v>67</v>
      </c>
      <c r="D1224">
        <v>3037392</v>
      </c>
      <c r="E1224" t="s">
        <v>48</v>
      </c>
      <c r="F1224" t="s">
        <v>49</v>
      </c>
      <c r="G1224" s="30">
        <v>0.01</v>
      </c>
    </row>
    <row r="1225" spans="1:7" x14ac:dyDescent="0.25">
      <c r="A1225" t="s">
        <v>61</v>
      </c>
      <c r="B1225" t="s">
        <v>62</v>
      </c>
      <c r="C1225" t="s">
        <v>56</v>
      </c>
      <c r="D1225">
        <v>3039560</v>
      </c>
      <c r="E1225" t="s">
        <v>53</v>
      </c>
      <c r="F1225" t="s">
        <v>49</v>
      </c>
      <c r="G1225" s="30">
        <v>47.84</v>
      </c>
    </row>
    <row r="1226" spans="1:7" x14ac:dyDescent="0.25">
      <c r="A1226" t="s">
        <v>82</v>
      </c>
      <c r="B1226" t="s">
        <v>83</v>
      </c>
      <c r="C1226" t="s">
        <v>56</v>
      </c>
      <c r="D1226">
        <v>3039566</v>
      </c>
      <c r="E1226" t="s">
        <v>53</v>
      </c>
      <c r="F1226" t="s">
        <v>49</v>
      </c>
      <c r="G1226" s="30">
        <v>191893.85064262399</v>
      </c>
    </row>
    <row r="1227" spans="1:7" x14ac:dyDescent="0.25">
      <c r="A1227" t="s">
        <v>124</v>
      </c>
      <c r="B1227" t="s">
        <v>125</v>
      </c>
      <c r="C1227" t="s">
        <v>78</v>
      </c>
      <c r="D1227">
        <v>3040580</v>
      </c>
      <c r="E1227" t="s">
        <v>53</v>
      </c>
      <c r="F1227" t="s">
        <v>49</v>
      </c>
      <c r="G1227" s="30">
        <v>6297.3483193880302</v>
      </c>
    </row>
    <row r="1228" spans="1:7" x14ac:dyDescent="0.25">
      <c r="A1228" t="s">
        <v>45</v>
      </c>
      <c r="B1228" t="s">
        <v>46</v>
      </c>
      <c r="C1228" t="s">
        <v>47</v>
      </c>
      <c r="D1228">
        <v>3041859</v>
      </c>
      <c r="E1228" t="s">
        <v>53</v>
      </c>
      <c r="F1228" t="s">
        <v>49</v>
      </c>
      <c r="G1228" s="30">
        <v>40290.217164006703</v>
      </c>
    </row>
    <row r="1229" spans="1:7" x14ac:dyDescent="0.25">
      <c r="A1229" t="s">
        <v>45</v>
      </c>
      <c r="B1229" t="s">
        <v>46</v>
      </c>
      <c r="C1229" t="s">
        <v>47</v>
      </c>
      <c r="D1229">
        <v>3044757</v>
      </c>
      <c r="E1229" t="s">
        <v>48</v>
      </c>
      <c r="F1229" t="s">
        <v>49</v>
      </c>
      <c r="G1229" s="30">
        <v>0</v>
      </c>
    </row>
    <row r="1230" spans="1:7" x14ac:dyDescent="0.25">
      <c r="A1230" t="s">
        <v>45</v>
      </c>
      <c r="B1230" t="s">
        <v>46</v>
      </c>
      <c r="C1230" t="s">
        <v>47</v>
      </c>
      <c r="D1230">
        <v>3046509</v>
      </c>
      <c r="E1230" t="s">
        <v>48</v>
      </c>
      <c r="F1230" t="s">
        <v>49</v>
      </c>
      <c r="G1230" s="30">
        <v>0</v>
      </c>
    </row>
    <row r="1231" spans="1:7" x14ac:dyDescent="0.25">
      <c r="A1231" t="s">
        <v>126</v>
      </c>
      <c r="B1231" t="s">
        <v>127</v>
      </c>
      <c r="C1231" t="s">
        <v>67</v>
      </c>
      <c r="D1231">
        <v>3048417</v>
      </c>
      <c r="E1231" t="s">
        <v>53</v>
      </c>
      <c r="F1231" t="s">
        <v>49</v>
      </c>
      <c r="G1231" s="30">
        <v>565454.94314279698</v>
      </c>
    </row>
    <row r="1232" spans="1:7" x14ac:dyDescent="0.25">
      <c r="A1232" t="s">
        <v>45</v>
      </c>
      <c r="B1232" t="s">
        <v>46</v>
      </c>
      <c r="C1232" t="s">
        <v>47</v>
      </c>
      <c r="D1232">
        <v>3054102</v>
      </c>
      <c r="E1232" t="s">
        <v>53</v>
      </c>
      <c r="F1232" t="s">
        <v>49</v>
      </c>
      <c r="G1232" s="30">
        <v>968.34865464491895</v>
      </c>
    </row>
    <row r="1233" spans="1:7" x14ac:dyDescent="0.25">
      <c r="A1233" t="s">
        <v>45</v>
      </c>
      <c r="B1233" t="s">
        <v>46</v>
      </c>
      <c r="C1233" t="s">
        <v>47</v>
      </c>
      <c r="D1233">
        <v>3055075</v>
      </c>
      <c r="E1233" t="s">
        <v>48</v>
      </c>
      <c r="F1233" t="s">
        <v>49</v>
      </c>
      <c r="G1233" s="30">
        <v>0</v>
      </c>
    </row>
    <row r="1234" spans="1:7" x14ac:dyDescent="0.25">
      <c r="A1234" t="s">
        <v>86</v>
      </c>
      <c r="B1234" t="s">
        <v>87</v>
      </c>
      <c r="C1234" t="s">
        <v>78</v>
      </c>
      <c r="D1234">
        <v>3057332</v>
      </c>
      <c r="E1234" t="s">
        <v>48</v>
      </c>
      <c r="F1234" t="s">
        <v>49</v>
      </c>
      <c r="G1234" s="30">
        <v>0</v>
      </c>
    </row>
    <row r="1235" spans="1:7" x14ac:dyDescent="0.25">
      <c r="A1235" t="s">
        <v>59</v>
      </c>
      <c r="B1235" t="s">
        <v>60</v>
      </c>
      <c r="C1235" t="s">
        <v>56</v>
      </c>
      <c r="D1235">
        <v>3058473</v>
      </c>
      <c r="E1235" t="s">
        <v>53</v>
      </c>
      <c r="F1235" t="s">
        <v>49</v>
      </c>
      <c r="G1235" s="30">
        <v>1941848.13979168</v>
      </c>
    </row>
    <row r="1236" spans="1:7" x14ac:dyDescent="0.25">
      <c r="A1236" t="s">
        <v>68</v>
      </c>
      <c r="B1236" t="s">
        <v>69</v>
      </c>
      <c r="C1236" t="s">
        <v>56</v>
      </c>
      <c r="D1236">
        <v>3058567</v>
      </c>
      <c r="E1236" t="s">
        <v>53</v>
      </c>
      <c r="F1236" t="s">
        <v>49</v>
      </c>
      <c r="G1236" s="30">
        <v>878631.12536320998</v>
      </c>
    </row>
    <row r="1237" spans="1:7" x14ac:dyDescent="0.25">
      <c r="A1237" t="s">
        <v>70</v>
      </c>
      <c r="B1237" t="s">
        <v>71</v>
      </c>
      <c r="C1237" t="s">
        <v>47</v>
      </c>
      <c r="D1237">
        <v>3058579</v>
      </c>
      <c r="E1237" t="s">
        <v>53</v>
      </c>
      <c r="F1237" t="s">
        <v>49</v>
      </c>
      <c r="G1237" s="30">
        <v>396361.46613769</v>
      </c>
    </row>
    <row r="1238" spans="1:7" x14ac:dyDescent="0.25">
      <c r="A1238" t="s">
        <v>79</v>
      </c>
      <c r="B1238" t="s">
        <v>80</v>
      </c>
      <c r="C1238" t="s">
        <v>81</v>
      </c>
      <c r="D1238">
        <v>3059182</v>
      </c>
      <c r="E1238" t="s">
        <v>53</v>
      </c>
      <c r="F1238" t="s">
        <v>49</v>
      </c>
      <c r="G1238" s="30">
        <v>291429.14486792299</v>
      </c>
    </row>
    <row r="1239" spans="1:7" x14ac:dyDescent="0.25">
      <c r="A1239" t="s">
        <v>86</v>
      </c>
      <c r="B1239" t="s">
        <v>87</v>
      </c>
      <c r="C1239" t="s">
        <v>78</v>
      </c>
      <c r="D1239">
        <v>3059391</v>
      </c>
      <c r="E1239" t="s">
        <v>53</v>
      </c>
      <c r="F1239" t="s">
        <v>49</v>
      </c>
      <c r="G1239" s="30">
        <v>1502441.44205641</v>
      </c>
    </row>
    <row r="1240" spans="1:7" x14ac:dyDescent="0.25">
      <c r="A1240" t="s">
        <v>50</v>
      </c>
      <c r="B1240" t="s">
        <v>51</v>
      </c>
      <c r="C1240" t="s">
        <v>52</v>
      </c>
      <c r="D1240">
        <v>3061104</v>
      </c>
      <c r="E1240" t="s">
        <v>53</v>
      </c>
      <c r="F1240" t="s">
        <v>49</v>
      </c>
      <c r="G1240" s="30">
        <v>96001.858951649207</v>
      </c>
    </row>
    <row r="1241" spans="1:7" x14ac:dyDescent="0.25">
      <c r="A1241" t="s">
        <v>50</v>
      </c>
      <c r="B1241" t="s">
        <v>51</v>
      </c>
      <c r="C1241" t="s">
        <v>52</v>
      </c>
      <c r="D1241">
        <v>3066184</v>
      </c>
      <c r="E1241" t="s">
        <v>53</v>
      </c>
      <c r="F1241" t="s">
        <v>49</v>
      </c>
      <c r="G1241" s="30">
        <v>1436.58395479364</v>
      </c>
    </row>
    <row r="1242" spans="1:7" x14ac:dyDescent="0.25">
      <c r="A1242" t="s">
        <v>112</v>
      </c>
      <c r="B1242" t="s">
        <v>113</v>
      </c>
      <c r="C1242" t="s">
        <v>81</v>
      </c>
      <c r="D1242">
        <v>3066804</v>
      </c>
      <c r="E1242" t="s">
        <v>53</v>
      </c>
      <c r="F1242" t="s">
        <v>49</v>
      </c>
      <c r="G1242" s="30">
        <v>263876.31687746901</v>
      </c>
    </row>
    <row r="1243" spans="1:7" x14ac:dyDescent="0.25">
      <c r="A1243" t="s">
        <v>45</v>
      </c>
      <c r="B1243" t="s">
        <v>46</v>
      </c>
      <c r="C1243" t="s">
        <v>47</v>
      </c>
      <c r="D1243">
        <v>3069416</v>
      </c>
      <c r="E1243" t="s">
        <v>48</v>
      </c>
      <c r="F1243" t="s">
        <v>49</v>
      </c>
      <c r="G1243" s="30">
        <v>0</v>
      </c>
    </row>
    <row r="1244" spans="1:7" x14ac:dyDescent="0.25">
      <c r="A1244" t="s">
        <v>65</v>
      </c>
      <c r="B1244" t="s">
        <v>66</v>
      </c>
      <c r="C1244" t="s">
        <v>67</v>
      </c>
      <c r="D1244">
        <v>3073110</v>
      </c>
      <c r="E1244" t="s">
        <v>53</v>
      </c>
      <c r="F1244" t="s">
        <v>49</v>
      </c>
      <c r="G1244" s="30">
        <v>1915497.5836074699</v>
      </c>
    </row>
    <row r="1245" spans="1:7" x14ac:dyDescent="0.25">
      <c r="A1245" t="s">
        <v>74</v>
      </c>
      <c r="B1245" t="s">
        <v>75</v>
      </c>
      <c r="C1245" t="s">
        <v>67</v>
      </c>
      <c r="D1245">
        <v>3076636</v>
      </c>
      <c r="E1245" t="s">
        <v>48</v>
      </c>
      <c r="F1245" t="s">
        <v>49</v>
      </c>
      <c r="G1245" s="30">
        <v>0</v>
      </c>
    </row>
    <row r="1246" spans="1:7" x14ac:dyDescent="0.25">
      <c r="A1246" t="s">
        <v>122</v>
      </c>
      <c r="B1246" t="s">
        <v>123</v>
      </c>
      <c r="C1246" t="s">
        <v>52</v>
      </c>
      <c r="D1246">
        <v>3077732</v>
      </c>
      <c r="E1246" t="s">
        <v>53</v>
      </c>
      <c r="F1246" t="s">
        <v>49</v>
      </c>
      <c r="G1246" s="30">
        <v>54293.43</v>
      </c>
    </row>
    <row r="1247" spans="1:7" x14ac:dyDescent="0.25">
      <c r="A1247" t="s">
        <v>128</v>
      </c>
      <c r="B1247" t="s">
        <v>129</v>
      </c>
      <c r="C1247" t="s">
        <v>130</v>
      </c>
      <c r="D1247">
        <v>3079135</v>
      </c>
      <c r="E1247" t="s">
        <v>53</v>
      </c>
      <c r="F1247" t="s">
        <v>49</v>
      </c>
      <c r="G1247" s="30">
        <v>12426600.8063072</v>
      </c>
    </row>
    <row r="1248" spans="1:7" x14ac:dyDescent="0.25">
      <c r="A1248" t="s">
        <v>82</v>
      </c>
      <c r="B1248" t="s">
        <v>83</v>
      </c>
      <c r="C1248" t="s">
        <v>56</v>
      </c>
      <c r="D1248">
        <v>3081217</v>
      </c>
      <c r="E1248" t="s">
        <v>53</v>
      </c>
      <c r="F1248" t="s">
        <v>49</v>
      </c>
      <c r="G1248" s="30">
        <v>903097.89221468405</v>
      </c>
    </row>
    <row r="1249" spans="1:7" x14ac:dyDescent="0.25">
      <c r="A1249" t="s">
        <v>45</v>
      </c>
      <c r="B1249" t="s">
        <v>46</v>
      </c>
      <c r="C1249" t="s">
        <v>47</v>
      </c>
      <c r="D1249">
        <v>3085023</v>
      </c>
      <c r="E1249" t="s">
        <v>48</v>
      </c>
      <c r="F1249" t="s">
        <v>49</v>
      </c>
      <c r="G1249" s="30">
        <v>63.89</v>
      </c>
    </row>
    <row r="1250" spans="1:7" x14ac:dyDescent="0.25">
      <c r="A1250" t="s">
        <v>45</v>
      </c>
      <c r="B1250" t="s">
        <v>46</v>
      </c>
      <c r="C1250" t="s">
        <v>47</v>
      </c>
      <c r="D1250">
        <v>3087812</v>
      </c>
      <c r="E1250" t="s">
        <v>48</v>
      </c>
      <c r="F1250" t="s">
        <v>49</v>
      </c>
      <c r="G1250" s="30">
        <v>0</v>
      </c>
    </row>
    <row r="1251" spans="1:7" x14ac:dyDescent="0.25">
      <c r="A1251" t="s">
        <v>45</v>
      </c>
      <c r="B1251" t="s">
        <v>46</v>
      </c>
      <c r="C1251" t="s">
        <v>47</v>
      </c>
      <c r="D1251">
        <v>3089066</v>
      </c>
      <c r="E1251" t="s">
        <v>48</v>
      </c>
      <c r="F1251" t="s">
        <v>49</v>
      </c>
      <c r="G1251" s="30">
        <v>0</v>
      </c>
    </row>
    <row r="1252" spans="1:7" x14ac:dyDescent="0.25">
      <c r="A1252" t="s">
        <v>45</v>
      </c>
      <c r="B1252" t="s">
        <v>46</v>
      </c>
      <c r="C1252" t="s">
        <v>47</v>
      </c>
      <c r="D1252">
        <v>3090606</v>
      </c>
      <c r="E1252" t="s">
        <v>48</v>
      </c>
      <c r="F1252" t="s">
        <v>49</v>
      </c>
      <c r="G1252" s="30">
        <v>0</v>
      </c>
    </row>
    <row r="1253" spans="1:7" x14ac:dyDescent="0.25">
      <c r="A1253" t="s">
        <v>45</v>
      </c>
      <c r="B1253" t="s">
        <v>46</v>
      </c>
      <c r="C1253" t="s">
        <v>47</v>
      </c>
      <c r="D1253">
        <v>3091025</v>
      </c>
      <c r="E1253" t="s">
        <v>48</v>
      </c>
      <c r="F1253" t="s">
        <v>49</v>
      </c>
      <c r="G1253" s="30">
        <v>21.03</v>
      </c>
    </row>
    <row r="1254" spans="1:7" x14ac:dyDescent="0.25">
      <c r="A1254" t="s">
        <v>45</v>
      </c>
      <c r="B1254" t="s">
        <v>46</v>
      </c>
      <c r="C1254" t="s">
        <v>47</v>
      </c>
      <c r="D1254">
        <v>3093616</v>
      </c>
      <c r="E1254" t="s">
        <v>48</v>
      </c>
      <c r="F1254" t="s">
        <v>49</v>
      </c>
      <c r="G1254" s="30">
        <v>0.67</v>
      </c>
    </row>
    <row r="1255" spans="1:7" x14ac:dyDescent="0.25">
      <c r="A1255" t="s">
        <v>59</v>
      </c>
      <c r="B1255" t="s">
        <v>60</v>
      </c>
      <c r="C1255" t="s">
        <v>56</v>
      </c>
      <c r="D1255">
        <v>3094947</v>
      </c>
      <c r="E1255" t="s">
        <v>53</v>
      </c>
      <c r="F1255" t="s">
        <v>49</v>
      </c>
      <c r="G1255" s="30">
        <v>239848.74671405301</v>
      </c>
    </row>
    <row r="1256" spans="1:7" x14ac:dyDescent="0.25">
      <c r="A1256" t="s">
        <v>133</v>
      </c>
      <c r="B1256" t="s">
        <v>134</v>
      </c>
      <c r="C1256" t="s">
        <v>47</v>
      </c>
      <c r="D1256">
        <v>3096427</v>
      </c>
      <c r="E1256" t="s">
        <v>53</v>
      </c>
      <c r="F1256" t="s">
        <v>49</v>
      </c>
      <c r="G1256" s="30">
        <v>267961.51654355502</v>
      </c>
    </row>
    <row r="1257" spans="1:7" x14ac:dyDescent="0.25">
      <c r="A1257" t="s">
        <v>86</v>
      </c>
      <c r="B1257" t="s">
        <v>87</v>
      </c>
      <c r="C1257" t="s">
        <v>78</v>
      </c>
      <c r="D1257">
        <v>3100296</v>
      </c>
      <c r="E1257" t="s">
        <v>53</v>
      </c>
      <c r="F1257" t="s">
        <v>49</v>
      </c>
      <c r="G1257" s="30">
        <v>246361.359344447</v>
      </c>
    </row>
    <row r="1258" spans="1:7" x14ac:dyDescent="0.25">
      <c r="A1258" t="s">
        <v>54</v>
      </c>
      <c r="B1258" t="s">
        <v>55</v>
      </c>
      <c r="C1258" t="s">
        <v>56</v>
      </c>
      <c r="D1258">
        <v>3108099</v>
      </c>
      <c r="E1258" t="s">
        <v>53</v>
      </c>
      <c r="F1258" t="s">
        <v>49</v>
      </c>
      <c r="G1258" s="30">
        <v>178414.22752280399</v>
      </c>
    </row>
    <row r="1259" spans="1:7" x14ac:dyDescent="0.25">
      <c r="A1259" t="s">
        <v>61</v>
      </c>
      <c r="B1259" t="s">
        <v>62</v>
      </c>
      <c r="C1259" t="s">
        <v>56</v>
      </c>
      <c r="D1259">
        <v>3110010</v>
      </c>
      <c r="E1259" t="s">
        <v>53</v>
      </c>
      <c r="F1259" t="s">
        <v>49</v>
      </c>
      <c r="G1259" s="30">
        <v>7808.2243835494</v>
      </c>
    </row>
    <row r="1260" spans="1:7" x14ac:dyDescent="0.25">
      <c r="A1260" t="s">
        <v>118</v>
      </c>
      <c r="B1260" t="s">
        <v>119</v>
      </c>
      <c r="C1260" t="s">
        <v>56</v>
      </c>
      <c r="D1260">
        <v>3115709</v>
      </c>
      <c r="E1260" t="s">
        <v>53</v>
      </c>
      <c r="F1260" t="s">
        <v>49</v>
      </c>
      <c r="G1260" s="30">
        <v>828467.36774103995</v>
      </c>
    </row>
    <row r="1261" spans="1:7" x14ac:dyDescent="0.25">
      <c r="A1261" t="s">
        <v>74</v>
      </c>
      <c r="B1261" t="s">
        <v>75</v>
      </c>
      <c r="C1261" t="s">
        <v>67</v>
      </c>
      <c r="D1261">
        <v>3116285</v>
      </c>
      <c r="E1261" t="s">
        <v>48</v>
      </c>
      <c r="F1261" t="s">
        <v>49</v>
      </c>
      <c r="G1261" s="30">
        <v>0</v>
      </c>
    </row>
    <row r="1262" spans="1:7" x14ac:dyDescent="0.25">
      <c r="A1262" t="s">
        <v>45</v>
      </c>
      <c r="B1262" t="s">
        <v>46</v>
      </c>
      <c r="C1262" t="s">
        <v>47</v>
      </c>
      <c r="D1262">
        <v>3119203</v>
      </c>
      <c r="E1262" t="s">
        <v>48</v>
      </c>
      <c r="F1262" t="s">
        <v>49</v>
      </c>
      <c r="G1262" s="30">
        <v>0</v>
      </c>
    </row>
    <row r="1263" spans="1:7" x14ac:dyDescent="0.25">
      <c r="A1263" t="s">
        <v>124</v>
      </c>
      <c r="B1263" t="s">
        <v>125</v>
      </c>
      <c r="C1263" t="s">
        <v>78</v>
      </c>
      <c r="D1263">
        <v>3119647</v>
      </c>
      <c r="E1263" t="s">
        <v>53</v>
      </c>
      <c r="F1263" t="s">
        <v>49</v>
      </c>
      <c r="G1263" s="30">
        <v>142181.758701229</v>
      </c>
    </row>
    <row r="1264" spans="1:7" x14ac:dyDescent="0.25">
      <c r="A1264" t="s">
        <v>50</v>
      </c>
      <c r="B1264" t="s">
        <v>51</v>
      </c>
      <c r="C1264" t="s">
        <v>52</v>
      </c>
      <c r="D1264">
        <v>3120366</v>
      </c>
      <c r="E1264" t="s">
        <v>53</v>
      </c>
      <c r="F1264" t="s">
        <v>49</v>
      </c>
      <c r="G1264" s="30">
        <v>31132.424759171801</v>
      </c>
    </row>
    <row r="1265" spans="1:7" x14ac:dyDescent="0.25">
      <c r="A1265" t="s">
        <v>45</v>
      </c>
      <c r="B1265" t="s">
        <v>46</v>
      </c>
      <c r="C1265" t="s">
        <v>47</v>
      </c>
      <c r="D1265">
        <v>3121963</v>
      </c>
      <c r="E1265" t="s">
        <v>48</v>
      </c>
      <c r="F1265" t="s">
        <v>49</v>
      </c>
      <c r="G1265" s="30">
        <v>0</v>
      </c>
    </row>
    <row r="1266" spans="1:7" x14ac:dyDescent="0.25">
      <c r="A1266" t="s">
        <v>45</v>
      </c>
      <c r="B1266" t="s">
        <v>46</v>
      </c>
      <c r="C1266" t="s">
        <v>47</v>
      </c>
      <c r="D1266">
        <v>3122150</v>
      </c>
      <c r="E1266" t="s">
        <v>53</v>
      </c>
      <c r="F1266" t="s">
        <v>49</v>
      </c>
      <c r="G1266" s="30">
        <v>32403.08</v>
      </c>
    </row>
    <row r="1267" spans="1:7" x14ac:dyDescent="0.25">
      <c r="A1267" t="s">
        <v>70</v>
      </c>
      <c r="B1267" t="s">
        <v>71</v>
      </c>
      <c r="C1267" t="s">
        <v>47</v>
      </c>
      <c r="D1267">
        <v>3122337</v>
      </c>
      <c r="E1267" t="s">
        <v>53</v>
      </c>
      <c r="F1267" t="s">
        <v>49</v>
      </c>
      <c r="G1267" s="30">
        <v>167528.19305414899</v>
      </c>
    </row>
    <row r="1268" spans="1:7" x14ac:dyDescent="0.25">
      <c r="A1268" t="s">
        <v>45</v>
      </c>
      <c r="B1268" t="s">
        <v>46</v>
      </c>
      <c r="C1268" t="s">
        <v>47</v>
      </c>
      <c r="D1268">
        <v>3128057</v>
      </c>
      <c r="E1268" t="s">
        <v>48</v>
      </c>
      <c r="F1268" t="s">
        <v>49</v>
      </c>
      <c r="G1268" s="30">
        <v>0</v>
      </c>
    </row>
    <row r="1269" spans="1:7" x14ac:dyDescent="0.25">
      <c r="A1269" t="s">
        <v>61</v>
      </c>
      <c r="B1269" t="s">
        <v>62</v>
      </c>
      <c r="C1269" t="s">
        <v>56</v>
      </c>
      <c r="D1269">
        <v>3130062</v>
      </c>
      <c r="E1269" t="s">
        <v>53</v>
      </c>
      <c r="F1269" t="s">
        <v>49</v>
      </c>
      <c r="G1269" s="30">
        <v>717373.38754922303</v>
      </c>
    </row>
    <row r="1270" spans="1:7" x14ac:dyDescent="0.25">
      <c r="A1270" t="s">
        <v>45</v>
      </c>
      <c r="B1270" t="s">
        <v>46</v>
      </c>
      <c r="C1270" t="s">
        <v>47</v>
      </c>
      <c r="D1270">
        <v>3131683</v>
      </c>
      <c r="E1270" t="s">
        <v>48</v>
      </c>
      <c r="F1270" t="s">
        <v>49</v>
      </c>
      <c r="G1270" s="30">
        <v>0</v>
      </c>
    </row>
    <row r="1271" spans="1:7" x14ac:dyDescent="0.25">
      <c r="A1271" t="s">
        <v>54</v>
      </c>
      <c r="B1271" t="s">
        <v>55</v>
      </c>
      <c r="C1271" t="s">
        <v>56</v>
      </c>
      <c r="D1271">
        <v>3132722</v>
      </c>
      <c r="E1271" t="s">
        <v>48</v>
      </c>
      <c r="F1271" t="s">
        <v>49</v>
      </c>
      <c r="G1271" s="30">
        <v>0</v>
      </c>
    </row>
    <row r="1272" spans="1:7" x14ac:dyDescent="0.25">
      <c r="A1272" t="s">
        <v>50</v>
      </c>
      <c r="B1272" t="s">
        <v>51</v>
      </c>
      <c r="C1272" t="s">
        <v>52</v>
      </c>
      <c r="D1272">
        <v>3132977</v>
      </c>
      <c r="E1272" t="s">
        <v>53</v>
      </c>
      <c r="F1272" t="s">
        <v>49</v>
      </c>
      <c r="G1272" s="30">
        <v>49685.733068365298</v>
      </c>
    </row>
    <row r="1273" spans="1:7" x14ac:dyDescent="0.25">
      <c r="A1273" t="s">
        <v>45</v>
      </c>
      <c r="B1273" t="s">
        <v>46</v>
      </c>
      <c r="C1273" t="s">
        <v>47</v>
      </c>
      <c r="D1273">
        <v>3137272</v>
      </c>
      <c r="E1273" t="s">
        <v>48</v>
      </c>
      <c r="F1273" t="s">
        <v>49</v>
      </c>
      <c r="G1273" s="30">
        <v>0</v>
      </c>
    </row>
    <row r="1274" spans="1:7" x14ac:dyDescent="0.25">
      <c r="A1274" t="s">
        <v>45</v>
      </c>
      <c r="B1274" t="s">
        <v>46</v>
      </c>
      <c r="C1274" t="s">
        <v>47</v>
      </c>
      <c r="D1274">
        <v>3139927</v>
      </c>
      <c r="E1274" t="s">
        <v>48</v>
      </c>
      <c r="F1274" t="s">
        <v>49</v>
      </c>
      <c r="G1274" s="30">
        <v>0</v>
      </c>
    </row>
    <row r="1275" spans="1:7" x14ac:dyDescent="0.25">
      <c r="A1275" t="s">
        <v>50</v>
      </c>
      <c r="B1275" t="s">
        <v>51</v>
      </c>
      <c r="C1275" t="s">
        <v>52</v>
      </c>
      <c r="D1275">
        <v>3141989</v>
      </c>
      <c r="E1275" t="s">
        <v>53</v>
      </c>
      <c r="F1275" t="s">
        <v>49</v>
      </c>
      <c r="G1275" s="30">
        <v>22080.0071435547</v>
      </c>
    </row>
    <row r="1276" spans="1:7" x14ac:dyDescent="0.25">
      <c r="A1276" t="s">
        <v>74</v>
      </c>
      <c r="B1276" t="s">
        <v>75</v>
      </c>
      <c r="C1276" t="s">
        <v>67</v>
      </c>
      <c r="D1276">
        <v>3143212</v>
      </c>
      <c r="E1276" t="s">
        <v>48</v>
      </c>
      <c r="F1276" t="s">
        <v>49</v>
      </c>
      <c r="G1276" s="30">
        <v>0</v>
      </c>
    </row>
    <row r="1277" spans="1:7" x14ac:dyDescent="0.25">
      <c r="A1277" t="s">
        <v>45</v>
      </c>
      <c r="B1277" t="s">
        <v>46</v>
      </c>
      <c r="C1277" t="s">
        <v>47</v>
      </c>
      <c r="D1277">
        <v>3144135</v>
      </c>
      <c r="E1277" t="s">
        <v>48</v>
      </c>
      <c r="F1277" t="s">
        <v>49</v>
      </c>
      <c r="G1277" s="30">
        <v>0</v>
      </c>
    </row>
    <row r="1278" spans="1:7" x14ac:dyDescent="0.25">
      <c r="A1278" t="s">
        <v>45</v>
      </c>
      <c r="B1278" t="s">
        <v>46</v>
      </c>
      <c r="C1278" t="s">
        <v>47</v>
      </c>
      <c r="D1278">
        <v>3146027</v>
      </c>
      <c r="E1278" t="s">
        <v>48</v>
      </c>
      <c r="F1278" t="s">
        <v>49</v>
      </c>
      <c r="G1278" s="30">
        <v>0.04</v>
      </c>
    </row>
    <row r="1279" spans="1:7" x14ac:dyDescent="0.25">
      <c r="A1279" t="s">
        <v>45</v>
      </c>
      <c r="B1279" t="s">
        <v>46</v>
      </c>
      <c r="C1279" t="s">
        <v>47</v>
      </c>
      <c r="D1279">
        <v>3147381</v>
      </c>
      <c r="E1279" t="s">
        <v>48</v>
      </c>
      <c r="F1279" t="s">
        <v>49</v>
      </c>
      <c r="G1279" s="30">
        <v>0</v>
      </c>
    </row>
    <row r="1280" spans="1:7" x14ac:dyDescent="0.25">
      <c r="A1280" t="s">
        <v>90</v>
      </c>
      <c r="B1280" t="s">
        <v>91</v>
      </c>
      <c r="C1280" t="s">
        <v>81</v>
      </c>
      <c r="D1280">
        <v>3147415</v>
      </c>
      <c r="E1280" t="s">
        <v>53</v>
      </c>
      <c r="F1280" t="s">
        <v>49</v>
      </c>
      <c r="G1280" s="30">
        <v>73143.871865328198</v>
      </c>
    </row>
    <row r="1281" spans="1:7" x14ac:dyDescent="0.25">
      <c r="A1281" t="s">
        <v>50</v>
      </c>
      <c r="B1281" t="s">
        <v>51</v>
      </c>
      <c r="C1281" t="s">
        <v>52</v>
      </c>
      <c r="D1281">
        <v>3147730</v>
      </c>
      <c r="E1281" t="s">
        <v>53</v>
      </c>
      <c r="F1281" t="s">
        <v>49</v>
      </c>
      <c r="G1281" s="30">
        <v>992.20652667336401</v>
      </c>
    </row>
    <row r="1282" spans="1:7" x14ac:dyDescent="0.25">
      <c r="A1282" t="s">
        <v>45</v>
      </c>
      <c r="B1282" t="s">
        <v>46</v>
      </c>
      <c r="C1282" t="s">
        <v>47</v>
      </c>
      <c r="D1282">
        <v>3148904</v>
      </c>
      <c r="E1282" t="s">
        <v>48</v>
      </c>
      <c r="F1282" t="s">
        <v>49</v>
      </c>
      <c r="G1282" s="30">
        <v>0</v>
      </c>
    </row>
    <row r="1283" spans="1:7" x14ac:dyDescent="0.25">
      <c r="A1283" t="s">
        <v>61</v>
      </c>
      <c r="B1283" t="s">
        <v>62</v>
      </c>
      <c r="C1283" t="s">
        <v>56</v>
      </c>
      <c r="D1283">
        <v>3153044</v>
      </c>
      <c r="E1283" t="s">
        <v>53</v>
      </c>
      <c r="F1283" t="s">
        <v>49</v>
      </c>
      <c r="G1283" s="30">
        <v>1791.04</v>
      </c>
    </row>
    <row r="1284" spans="1:7" x14ac:dyDescent="0.25">
      <c r="A1284" t="s">
        <v>68</v>
      </c>
      <c r="B1284" t="s">
        <v>69</v>
      </c>
      <c r="C1284" t="s">
        <v>56</v>
      </c>
      <c r="D1284">
        <v>3159260</v>
      </c>
      <c r="E1284" t="s">
        <v>53</v>
      </c>
      <c r="F1284" t="s">
        <v>49</v>
      </c>
      <c r="G1284" s="30">
        <v>4098.5600000000004</v>
      </c>
    </row>
    <row r="1285" spans="1:7" x14ac:dyDescent="0.25">
      <c r="A1285" t="s">
        <v>72</v>
      </c>
      <c r="B1285" t="s">
        <v>73</v>
      </c>
      <c r="C1285" t="s">
        <v>67</v>
      </c>
      <c r="D1285">
        <v>3161499</v>
      </c>
      <c r="E1285" t="s">
        <v>53</v>
      </c>
      <c r="F1285" t="s">
        <v>49</v>
      </c>
      <c r="G1285" s="30">
        <v>1453481.92063634</v>
      </c>
    </row>
    <row r="1286" spans="1:7" x14ac:dyDescent="0.25">
      <c r="A1286" t="s">
        <v>50</v>
      </c>
      <c r="B1286" t="s">
        <v>51</v>
      </c>
      <c r="C1286" t="s">
        <v>52</v>
      </c>
      <c r="D1286">
        <v>3161654</v>
      </c>
      <c r="E1286" t="s">
        <v>53</v>
      </c>
      <c r="F1286" t="s">
        <v>49</v>
      </c>
      <c r="G1286" s="30">
        <v>51533.489457347998</v>
      </c>
    </row>
    <row r="1287" spans="1:7" x14ac:dyDescent="0.25">
      <c r="A1287" t="s">
        <v>112</v>
      </c>
      <c r="B1287" t="s">
        <v>113</v>
      </c>
      <c r="C1287" t="s">
        <v>81</v>
      </c>
      <c r="D1287">
        <v>3165297</v>
      </c>
      <c r="E1287" t="s">
        <v>53</v>
      </c>
      <c r="F1287" t="s">
        <v>49</v>
      </c>
      <c r="G1287" s="30">
        <v>121361.068877959</v>
      </c>
    </row>
    <row r="1288" spans="1:7" x14ac:dyDescent="0.25">
      <c r="A1288" t="s">
        <v>45</v>
      </c>
      <c r="B1288" t="s">
        <v>46</v>
      </c>
      <c r="C1288" t="s">
        <v>47</v>
      </c>
      <c r="D1288">
        <v>3169698</v>
      </c>
      <c r="E1288" t="s">
        <v>48</v>
      </c>
      <c r="F1288" t="s">
        <v>49</v>
      </c>
      <c r="G1288" s="30">
        <v>0</v>
      </c>
    </row>
    <row r="1289" spans="1:7" x14ac:dyDescent="0.25">
      <c r="A1289" t="s">
        <v>45</v>
      </c>
      <c r="B1289" t="s">
        <v>46</v>
      </c>
      <c r="C1289" t="s">
        <v>47</v>
      </c>
      <c r="D1289">
        <v>3169726</v>
      </c>
      <c r="E1289" t="s">
        <v>53</v>
      </c>
      <c r="F1289" t="s">
        <v>49</v>
      </c>
      <c r="G1289" s="30">
        <v>2080.9159525980599</v>
      </c>
    </row>
    <row r="1290" spans="1:7" x14ac:dyDescent="0.25">
      <c r="A1290" t="s">
        <v>88</v>
      </c>
      <c r="B1290" t="s">
        <v>89</v>
      </c>
      <c r="C1290" t="s">
        <v>78</v>
      </c>
      <c r="D1290">
        <v>3174046</v>
      </c>
      <c r="E1290" t="s">
        <v>53</v>
      </c>
      <c r="F1290" t="s">
        <v>49</v>
      </c>
      <c r="G1290" s="30">
        <v>660391.58821191103</v>
      </c>
    </row>
    <row r="1291" spans="1:7" x14ac:dyDescent="0.25">
      <c r="A1291" t="s">
        <v>57</v>
      </c>
      <c r="B1291" t="s">
        <v>58</v>
      </c>
      <c r="C1291" t="s">
        <v>56</v>
      </c>
      <c r="D1291">
        <v>3174631</v>
      </c>
      <c r="E1291" t="s">
        <v>48</v>
      </c>
      <c r="F1291" t="s">
        <v>49</v>
      </c>
      <c r="G1291" s="30">
        <v>0</v>
      </c>
    </row>
    <row r="1292" spans="1:7" x14ac:dyDescent="0.25">
      <c r="A1292" t="s">
        <v>45</v>
      </c>
      <c r="B1292" t="s">
        <v>46</v>
      </c>
      <c r="C1292" t="s">
        <v>47</v>
      </c>
      <c r="D1292">
        <v>3175371</v>
      </c>
      <c r="E1292" t="s">
        <v>48</v>
      </c>
      <c r="F1292" t="s">
        <v>49</v>
      </c>
      <c r="G1292" s="30">
        <v>0</v>
      </c>
    </row>
    <row r="1293" spans="1:7" x14ac:dyDescent="0.25">
      <c r="A1293" t="s">
        <v>45</v>
      </c>
      <c r="B1293" t="s">
        <v>46</v>
      </c>
      <c r="C1293" t="s">
        <v>47</v>
      </c>
      <c r="D1293">
        <v>3175571</v>
      </c>
      <c r="E1293" t="s">
        <v>48</v>
      </c>
      <c r="F1293" t="s">
        <v>49</v>
      </c>
      <c r="G1293" s="30">
        <v>60</v>
      </c>
    </row>
    <row r="1294" spans="1:7" x14ac:dyDescent="0.25">
      <c r="A1294" t="s">
        <v>45</v>
      </c>
      <c r="B1294" t="s">
        <v>46</v>
      </c>
      <c r="C1294" t="s">
        <v>47</v>
      </c>
      <c r="D1294">
        <v>3175776</v>
      </c>
      <c r="E1294" t="s">
        <v>48</v>
      </c>
      <c r="F1294" t="s">
        <v>49</v>
      </c>
      <c r="G1294" s="30">
        <v>0</v>
      </c>
    </row>
    <row r="1295" spans="1:7" x14ac:dyDescent="0.25">
      <c r="A1295" t="s">
        <v>50</v>
      </c>
      <c r="B1295" t="s">
        <v>51</v>
      </c>
      <c r="C1295" t="s">
        <v>52</v>
      </c>
      <c r="D1295">
        <v>3176716</v>
      </c>
      <c r="E1295" t="s">
        <v>53</v>
      </c>
      <c r="F1295" t="s">
        <v>49</v>
      </c>
      <c r="G1295" s="30">
        <v>82946.085846985196</v>
      </c>
    </row>
    <row r="1296" spans="1:7" x14ac:dyDescent="0.25">
      <c r="A1296" t="s">
        <v>45</v>
      </c>
      <c r="B1296" t="s">
        <v>46</v>
      </c>
      <c r="C1296" t="s">
        <v>47</v>
      </c>
      <c r="D1296">
        <v>3176728</v>
      </c>
      <c r="E1296" t="s">
        <v>53</v>
      </c>
      <c r="F1296" t="s">
        <v>49</v>
      </c>
      <c r="G1296" s="30">
        <v>39991.753629766201</v>
      </c>
    </row>
    <row r="1297" spans="1:7" x14ac:dyDescent="0.25">
      <c r="A1297" t="s">
        <v>74</v>
      </c>
      <c r="B1297" t="s">
        <v>75</v>
      </c>
      <c r="C1297" t="s">
        <v>67</v>
      </c>
      <c r="D1297">
        <v>3177315</v>
      </c>
      <c r="E1297" t="s">
        <v>48</v>
      </c>
      <c r="F1297" t="s">
        <v>49</v>
      </c>
      <c r="G1297" s="30">
        <v>0</v>
      </c>
    </row>
    <row r="1298" spans="1:7" x14ac:dyDescent="0.25">
      <c r="A1298" t="s">
        <v>45</v>
      </c>
      <c r="B1298" t="s">
        <v>46</v>
      </c>
      <c r="C1298" t="s">
        <v>47</v>
      </c>
      <c r="D1298">
        <v>3178648</v>
      </c>
      <c r="E1298" t="s">
        <v>48</v>
      </c>
      <c r="F1298" t="s">
        <v>49</v>
      </c>
      <c r="G1298" s="30">
        <v>20.97</v>
      </c>
    </row>
    <row r="1299" spans="1:7" x14ac:dyDescent="0.25">
      <c r="A1299" t="s">
        <v>45</v>
      </c>
      <c r="B1299" t="s">
        <v>46</v>
      </c>
      <c r="C1299" t="s">
        <v>47</v>
      </c>
      <c r="D1299">
        <v>3181529</v>
      </c>
      <c r="E1299" t="s">
        <v>48</v>
      </c>
      <c r="F1299" t="s">
        <v>49</v>
      </c>
      <c r="G1299" s="30">
        <v>0</v>
      </c>
    </row>
    <row r="1300" spans="1:7" x14ac:dyDescent="0.25">
      <c r="A1300" t="s">
        <v>45</v>
      </c>
      <c r="B1300" t="s">
        <v>46</v>
      </c>
      <c r="C1300" t="s">
        <v>47</v>
      </c>
      <c r="D1300">
        <v>3182947</v>
      </c>
      <c r="E1300" t="s">
        <v>48</v>
      </c>
      <c r="F1300" t="s">
        <v>49</v>
      </c>
      <c r="G1300" s="30">
        <v>0</v>
      </c>
    </row>
    <row r="1301" spans="1:7" x14ac:dyDescent="0.25">
      <c r="A1301" t="s">
        <v>45</v>
      </c>
      <c r="B1301" t="s">
        <v>46</v>
      </c>
      <c r="C1301" t="s">
        <v>47</v>
      </c>
      <c r="D1301">
        <v>3186929</v>
      </c>
      <c r="E1301" t="s">
        <v>48</v>
      </c>
      <c r="F1301" t="s">
        <v>49</v>
      </c>
      <c r="G1301" s="30">
        <v>0</v>
      </c>
    </row>
    <row r="1302" spans="1:7" x14ac:dyDescent="0.25">
      <c r="A1302" t="s">
        <v>45</v>
      </c>
      <c r="B1302" t="s">
        <v>46</v>
      </c>
      <c r="C1302" t="s">
        <v>47</v>
      </c>
      <c r="D1302">
        <v>3191286</v>
      </c>
      <c r="E1302" t="s">
        <v>48</v>
      </c>
      <c r="F1302" t="s">
        <v>49</v>
      </c>
      <c r="G1302" s="30">
        <v>0</v>
      </c>
    </row>
    <row r="1303" spans="1:7" x14ac:dyDescent="0.25">
      <c r="A1303" t="s">
        <v>50</v>
      </c>
      <c r="B1303" t="s">
        <v>51</v>
      </c>
      <c r="C1303" t="s">
        <v>52</v>
      </c>
      <c r="D1303">
        <v>3191345</v>
      </c>
      <c r="E1303" t="s">
        <v>53</v>
      </c>
      <c r="F1303" t="s">
        <v>49</v>
      </c>
      <c r="G1303" s="30">
        <v>75088.4761457602</v>
      </c>
    </row>
    <row r="1304" spans="1:7" x14ac:dyDescent="0.25">
      <c r="A1304" t="s">
        <v>45</v>
      </c>
      <c r="B1304" t="s">
        <v>46</v>
      </c>
      <c r="C1304" t="s">
        <v>47</v>
      </c>
      <c r="D1304">
        <v>3193251</v>
      </c>
      <c r="E1304" t="s">
        <v>53</v>
      </c>
      <c r="F1304" t="s">
        <v>49</v>
      </c>
      <c r="G1304" s="30">
        <v>23389.8826664642</v>
      </c>
    </row>
    <row r="1305" spans="1:7" x14ac:dyDescent="0.25">
      <c r="A1305" t="s">
        <v>45</v>
      </c>
      <c r="B1305" t="s">
        <v>46</v>
      </c>
      <c r="C1305" t="s">
        <v>47</v>
      </c>
      <c r="D1305">
        <v>3194112</v>
      </c>
      <c r="E1305" t="s">
        <v>48</v>
      </c>
      <c r="F1305" t="s">
        <v>49</v>
      </c>
      <c r="G1305" s="30">
        <v>0</v>
      </c>
    </row>
    <row r="1306" spans="1:7" x14ac:dyDescent="0.25">
      <c r="A1306" t="s">
        <v>45</v>
      </c>
      <c r="B1306" t="s">
        <v>46</v>
      </c>
      <c r="C1306" t="s">
        <v>47</v>
      </c>
      <c r="D1306">
        <v>3196227</v>
      </c>
      <c r="E1306" t="s">
        <v>48</v>
      </c>
      <c r="F1306" t="s">
        <v>49</v>
      </c>
      <c r="G1306" s="30">
        <v>0</v>
      </c>
    </row>
    <row r="1307" spans="1:7" x14ac:dyDescent="0.25">
      <c r="A1307" t="s">
        <v>100</v>
      </c>
      <c r="B1307" t="s">
        <v>101</v>
      </c>
      <c r="C1307" t="s">
        <v>52</v>
      </c>
      <c r="D1307">
        <v>3196397</v>
      </c>
      <c r="E1307" t="s">
        <v>53</v>
      </c>
      <c r="F1307" t="s">
        <v>49</v>
      </c>
      <c r="G1307" s="30">
        <v>212481.66697784001</v>
      </c>
    </row>
    <row r="1308" spans="1:7" x14ac:dyDescent="0.25">
      <c r="A1308" t="s">
        <v>50</v>
      </c>
      <c r="B1308" t="s">
        <v>51</v>
      </c>
      <c r="C1308" t="s">
        <v>52</v>
      </c>
      <c r="D1308">
        <v>3198426</v>
      </c>
      <c r="E1308" t="s">
        <v>53</v>
      </c>
      <c r="F1308" t="s">
        <v>49</v>
      </c>
      <c r="G1308" s="30">
        <v>22942.570902048101</v>
      </c>
    </row>
    <row r="1309" spans="1:7" x14ac:dyDescent="0.25">
      <c r="A1309" t="s">
        <v>61</v>
      </c>
      <c r="B1309" t="s">
        <v>62</v>
      </c>
      <c r="C1309" t="s">
        <v>56</v>
      </c>
      <c r="D1309">
        <v>3200488</v>
      </c>
      <c r="E1309" t="s">
        <v>53</v>
      </c>
      <c r="F1309" t="s">
        <v>49</v>
      </c>
      <c r="G1309" s="30">
        <v>69986.67</v>
      </c>
    </row>
    <row r="1310" spans="1:7" x14ac:dyDescent="0.25">
      <c r="A1310" t="s">
        <v>45</v>
      </c>
      <c r="B1310" t="s">
        <v>46</v>
      </c>
      <c r="C1310" t="s">
        <v>47</v>
      </c>
      <c r="D1310">
        <v>3201262</v>
      </c>
      <c r="E1310" t="s">
        <v>48</v>
      </c>
      <c r="F1310" t="s">
        <v>49</v>
      </c>
      <c r="G1310" s="30">
        <v>0</v>
      </c>
    </row>
    <row r="1311" spans="1:7" x14ac:dyDescent="0.25">
      <c r="A1311" t="s">
        <v>76</v>
      </c>
      <c r="B1311" t="s">
        <v>77</v>
      </c>
      <c r="C1311" t="s">
        <v>78</v>
      </c>
      <c r="D1311">
        <v>3203656</v>
      </c>
      <c r="E1311" t="s">
        <v>53</v>
      </c>
      <c r="F1311" t="s">
        <v>49</v>
      </c>
      <c r="G1311" s="30">
        <v>259891.99119059899</v>
      </c>
    </row>
    <row r="1312" spans="1:7" x14ac:dyDescent="0.25">
      <c r="A1312" t="s">
        <v>118</v>
      </c>
      <c r="B1312" t="s">
        <v>119</v>
      </c>
      <c r="C1312" t="s">
        <v>56</v>
      </c>
      <c r="D1312">
        <v>3204139</v>
      </c>
      <c r="E1312" t="s">
        <v>53</v>
      </c>
      <c r="F1312" t="s">
        <v>49</v>
      </c>
      <c r="G1312" s="30">
        <v>117170.269105859</v>
      </c>
    </row>
    <row r="1313" spans="1:7" x14ac:dyDescent="0.25">
      <c r="A1313" t="s">
        <v>86</v>
      </c>
      <c r="B1313" t="s">
        <v>87</v>
      </c>
      <c r="C1313" t="s">
        <v>78</v>
      </c>
      <c r="D1313">
        <v>3205032</v>
      </c>
      <c r="E1313" t="s">
        <v>53</v>
      </c>
      <c r="F1313" t="s">
        <v>49</v>
      </c>
      <c r="G1313" s="30">
        <v>200527.107181061</v>
      </c>
    </row>
    <row r="1314" spans="1:7" x14ac:dyDescent="0.25">
      <c r="A1314" t="s">
        <v>86</v>
      </c>
      <c r="B1314" t="s">
        <v>87</v>
      </c>
      <c r="C1314" t="s">
        <v>78</v>
      </c>
      <c r="D1314">
        <v>3208601</v>
      </c>
      <c r="E1314" t="s">
        <v>53</v>
      </c>
      <c r="F1314" t="s">
        <v>49</v>
      </c>
      <c r="G1314" s="30">
        <v>1809422.5252537101</v>
      </c>
    </row>
    <row r="1315" spans="1:7" x14ac:dyDescent="0.25">
      <c r="A1315" t="s">
        <v>50</v>
      </c>
      <c r="B1315" t="s">
        <v>51</v>
      </c>
      <c r="C1315" t="s">
        <v>52</v>
      </c>
      <c r="D1315">
        <v>3208833</v>
      </c>
      <c r="E1315" t="s">
        <v>53</v>
      </c>
      <c r="F1315" t="s">
        <v>49</v>
      </c>
      <c r="G1315" s="30">
        <v>101.58</v>
      </c>
    </row>
    <row r="1316" spans="1:7" x14ac:dyDescent="0.25">
      <c r="A1316" t="s">
        <v>120</v>
      </c>
      <c r="B1316" t="s">
        <v>121</v>
      </c>
      <c r="C1316" t="s">
        <v>67</v>
      </c>
      <c r="D1316">
        <v>3209269</v>
      </c>
      <c r="E1316" t="s">
        <v>53</v>
      </c>
      <c r="F1316" t="s">
        <v>49</v>
      </c>
      <c r="G1316" s="30">
        <v>311455.64592452202</v>
      </c>
    </row>
    <row r="1317" spans="1:7" x14ac:dyDescent="0.25">
      <c r="A1317" t="s">
        <v>74</v>
      </c>
      <c r="B1317" t="s">
        <v>75</v>
      </c>
      <c r="C1317" t="s">
        <v>67</v>
      </c>
      <c r="D1317">
        <v>3211103</v>
      </c>
      <c r="E1317" t="s">
        <v>48</v>
      </c>
      <c r="F1317" t="s">
        <v>49</v>
      </c>
      <c r="G1317" s="30">
        <v>0</v>
      </c>
    </row>
    <row r="1318" spans="1:7" x14ac:dyDescent="0.25">
      <c r="A1318" t="s">
        <v>68</v>
      </c>
      <c r="B1318" t="s">
        <v>69</v>
      </c>
      <c r="C1318" t="s">
        <v>56</v>
      </c>
      <c r="D1318">
        <v>3211834</v>
      </c>
      <c r="E1318" t="s">
        <v>53</v>
      </c>
      <c r="F1318" t="s">
        <v>49</v>
      </c>
      <c r="G1318" s="30">
        <v>57846.0804883034</v>
      </c>
    </row>
    <row r="1319" spans="1:7" x14ac:dyDescent="0.25">
      <c r="A1319" t="s">
        <v>50</v>
      </c>
      <c r="B1319" t="s">
        <v>51</v>
      </c>
      <c r="C1319" t="s">
        <v>52</v>
      </c>
      <c r="D1319">
        <v>3212146</v>
      </c>
      <c r="E1319" t="s">
        <v>53</v>
      </c>
      <c r="F1319" t="s">
        <v>49</v>
      </c>
      <c r="G1319" s="30">
        <v>71775.06</v>
      </c>
    </row>
    <row r="1320" spans="1:7" x14ac:dyDescent="0.25">
      <c r="A1320" t="s">
        <v>102</v>
      </c>
      <c r="B1320" t="s">
        <v>103</v>
      </c>
      <c r="C1320" t="s">
        <v>47</v>
      </c>
      <c r="D1320">
        <v>3213210</v>
      </c>
      <c r="E1320" t="s">
        <v>53</v>
      </c>
      <c r="F1320" t="s">
        <v>49</v>
      </c>
      <c r="G1320" s="30">
        <v>116263.634727877</v>
      </c>
    </row>
    <row r="1321" spans="1:7" x14ac:dyDescent="0.25">
      <c r="A1321" t="s">
        <v>50</v>
      </c>
      <c r="B1321" t="s">
        <v>51</v>
      </c>
      <c r="C1321" t="s">
        <v>52</v>
      </c>
      <c r="D1321">
        <v>3213856</v>
      </c>
      <c r="E1321" t="s">
        <v>53</v>
      </c>
      <c r="F1321" t="s">
        <v>49</v>
      </c>
      <c r="G1321" s="30">
        <v>1289.85204963152</v>
      </c>
    </row>
    <row r="1322" spans="1:7" x14ac:dyDescent="0.25">
      <c r="A1322" t="s">
        <v>45</v>
      </c>
      <c r="B1322" t="s">
        <v>46</v>
      </c>
      <c r="C1322" t="s">
        <v>47</v>
      </c>
      <c r="D1322">
        <v>3214137</v>
      </c>
      <c r="E1322" t="s">
        <v>48</v>
      </c>
      <c r="F1322" t="s">
        <v>49</v>
      </c>
      <c r="G1322" s="30">
        <v>0</v>
      </c>
    </row>
    <row r="1323" spans="1:7" x14ac:dyDescent="0.25">
      <c r="A1323" t="s">
        <v>50</v>
      </c>
      <c r="B1323" t="s">
        <v>51</v>
      </c>
      <c r="C1323" t="s">
        <v>52</v>
      </c>
      <c r="D1323">
        <v>3217084</v>
      </c>
      <c r="E1323" t="s">
        <v>53</v>
      </c>
      <c r="F1323" t="s">
        <v>49</v>
      </c>
      <c r="G1323" s="30">
        <v>13752.223162844901</v>
      </c>
    </row>
    <row r="1324" spans="1:7" x14ac:dyDescent="0.25">
      <c r="A1324" t="s">
        <v>104</v>
      </c>
      <c r="B1324" t="s">
        <v>105</v>
      </c>
      <c r="C1324" t="s">
        <v>78</v>
      </c>
      <c r="D1324">
        <v>3217357</v>
      </c>
      <c r="E1324" t="s">
        <v>48</v>
      </c>
      <c r="F1324" t="s">
        <v>49</v>
      </c>
      <c r="G1324" s="30">
        <v>0</v>
      </c>
    </row>
    <row r="1325" spans="1:7" x14ac:dyDescent="0.25">
      <c r="A1325" t="s">
        <v>45</v>
      </c>
      <c r="B1325" t="s">
        <v>46</v>
      </c>
      <c r="C1325" t="s">
        <v>47</v>
      </c>
      <c r="D1325">
        <v>3217970</v>
      </c>
      <c r="E1325" t="s">
        <v>48</v>
      </c>
      <c r="F1325" t="s">
        <v>49</v>
      </c>
      <c r="G1325" s="30">
        <v>0</v>
      </c>
    </row>
    <row r="1326" spans="1:7" x14ac:dyDescent="0.25">
      <c r="A1326" t="s">
        <v>116</v>
      </c>
      <c r="B1326" t="s">
        <v>117</v>
      </c>
      <c r="C1326" t="s">
        <v>47</v>
      </c>
      <c r="D1326">
        <v>3219043</v>
      </c>
      <c r="E1326" t="s">
        <v>53</v>
      </c>
      <c r="F1326" t="s">
        <v>49</v>
      </c>
      <c r="G1326" s="30">
        <v>558107.23766547604</v>
      </c>
    </row>
    <row r="1327" spans="1:7" x14ac:dyDescent="0.25">
      <c r="A1327" t="s">
        <v>76</v>
      </c>
      <c r="B1327" t="s">
        <v>77</v>
      </c>
      <c r="C1327" t="s">
        <v>78</v>
      </c>
      <c r="D1327">
        <v>3224186</v>
      </c>
      <c r="E1327" t="s">
        <v>53</v>
      </c>
      <c r="F1327" t="s">
        <v>49</v>
      </c>
      <c r="G1327" s="30">
        <v>431812.917325933</v>
      </c>
    </row>
    <row r="1328" spans="1:7" x14ac:dyDescent="0.25">
      <c r="A1328" t="s">
        <v>45</v>
      </c>
      <c r="B1328" t="s">
        <v>46</v>
      </c>
      <c r="C1328" t="s">
        <v>47</v>
      </c>
      <c r="D1328">
        <v>3225099</v>
      </c>
      <c r="E1328" t="s">
        <v>48</v>
      </c>
      <c r="F1328" t="s">
        <v>49</v>
      </c>
      <c r="G1328" s="30">
        <v>0</v>
      </c>
    </row>
    <row r="1329" spans="1:7" x14ac:dyDescent="0.25">
      <c r="A1329" t="s">
        <v>118</v>
      </c>
      <c r="B1329" t="s">
        <v>119</v>
      </c>
      <c r="C1329" t="s">
        <v>56</v>
      </c>
      <c r="D1329">
        <v>3228900</v>
      </c>
      <c r="E1329" t="s">
        <v>53</v>
      </c>
      <c r="F1329" t="s">
        <v>49</v>
      </c>
      <c r="G1329" s="30">
        <v>36160.356505475698</v>
      </c>
    </row>
    <row r="1330" spans="1:7" x14ac:dyDescent="0.25">
      <c r="A1330" t="s">
        <v>124</v>
      </c>
      <c r="B1330" t="s">
        <v>125</v>
      </c>
      <c r="C1330" t="s">
        <v>78</v>
      </c>
      <c r="D1330">
        <v>3230981</v>
      </c>
      <c r="E1330" t="s">
        <v>53</v>
      </c>
      <c r="F1330" t="s">
        <v>49</v>
      </c>
      <c r="G1330" s="30">
        <v>63492.95</v>
      </c>
    </row>
    <row r="1331" spans="1:7" x14ac:dyDescent="0.25">
      <c r="A1331" t="s">
        <v>45</v>
      </c>
      <c r="B1331" t="s">
        <v>46</v>
      </c>
      <c r="C1331" t="s">
        <v>47</v>
      </c>
      <c r="D1331">
        <v>3234388</v>
      </c>
      <c r="E1331" t="s">
        <v>48</v>
      </c>
      <c r="F1331" t="s">
        <v>49</v>
      </c>
      <c r="G1331" s="30">
        <v>0</v>
      </c>
    </row>
    <row r="1332" spans="1:7" x14ac:dyDescent="0.25">
      <c r="A1332" t="s">
        <v>76</v>
      </c>
      <c r="B1332" t="s">
        <v>77</v>
      </c>
      <c r="C1332" t="s">
        <v>78</v>
      </c>
      <c r="D1332">
        <v>3234686</v>
      </c>
      <c r="E1332" t="s">
        <v>53</v>
      </c>
      <c r="F1332" t="s">
        <v>49</v>
      </c>
      <c r="G1332" s="30">
        <v>74974.403757585795</v>
      </c>
    </row>
    <row r="1333" spans="1:7" x14ac:dyDescent="0.25">
      <c r="A1333" t="s">
        <v>102</v>
      </c>
      <c r="B1333" t="s">
        <v>103</v>
      </c>
      <c r="C1333" t="s">
        <v>47</v>
      </c>
      <c r="D1333">
        <v>3238417</v>
      </c>
      <c r="E1333" t="s">
        <v>53</v>
      </c>
      <c r="F1333" t="s">
        <v>49</v>
      </c>
      <c r="G1333" s="30">
        <v>944671.86065360997</v>
      </c>
    </row>
    <row r="1334" spans="1:7" x14ac:dyDescent="0.25">
      <c r="A1334" t="s">
        <v>116</v>
      </c>
      <c r="B1334" t="s">
        <v>117</v>
      </c>
      <c r="C1334" t="s">
        <v>47</v>
      </c>
      <c r="D1334">
        <v>3238997</v>
      </c>
      <c r="E1334" t="s">
        <v>53</v>
      </c>
      <c r="F1334" t="s">
        <v>49</v>
      </c>
      <c r="G1334" s="30">
        <v>846589.89279038506</v>
      </c>
    </row>
    <row r="1335" spans="1:7" x14ac:dyDescent="0.25">
      <c r="A1335" t="s">
        <v>128</v>
      </c>
      <c r="B1335" t="s">
        <v>129</v>
      </c>
      <c r="C1335" t="s">
        <v>130</v>
      </c>
      <c r="D1335">
        <v>3240324</v>
      </c>
      <c r="E1335" t="s">
        <v>53</v>
      </c>
      <c r="F1335" t="s">
        <v>49</v>
      </c>
      <c r="G1335" s="30">
        <v>1480196.00478308</v>
      </c>
    </row>
    <row r="1336" spans="1:7" x14ac:dyDescent="0.25">
      <c r="A1336" t="s">
        <v>74</v>
      </c>
      <c r="B1336" t="s">
        <v>75</v>
      </c>
      <c r="C1336" t="s">
        <v>67</v>
      </c>
      <c r="D1336">
        <v>3241074</v>
      </c>
      <c r="E1336" t="s">
        <v>48</v>
      </c>
      <c r="F1336" t="s">
        <v>49</v>
      </c>
      <c r="G1336" s="30">
        <v>0</v>
      </c>
    </row>
    <row r="1337" spans="1:7" x14ac:dyDescent="0.25">
      <c r="A1337" t="s">
        <v>61</v>
      </c>
      <c r="B1337" t="s">
        <v>62</v>
      </c>
      <c r="C1337" t="s">
        <v>56</v>
      </c>
      <c r="D1337">
        <v>3241618</v>
      </c>
      <c r="E1337" t="s">
        <v>53</v>
      </c>
      <c r="F1337" t="s">
        <v>49</v>
      </c>
      <c r="G1337" s="30">
        <v>1924.79</v>
      </c>
    </row>
    <row r="1338" spans="1:7" x14ac:dyDescent="0.25">
      <c r="A1338" t="s">
        <v>45</v>
      </c>
      <c r="B1338" t="s">
        <v>46</v>
      </c>
      <c r="C1338" t="s">
        <v>47</v>
      </c>
      <c r="D1338">
        <v>3241634</v>
      </c>
      <c r="E1338" t="s">
        <v>48</v>
      </c>
      <c r="F1338" t="s">
        <v>49</v>
      </c>
      <c r="G1338" s="30">
        <v>0</v>
      </c>
    </row>
    <row r="1339" spans="1:7" x14ac:dyDescent="0.25">
      <c r="A1339" t="s">
        <v>70</v>
      </c>
      <c r="B1339" t="s">
        <v>71</v>
      </c>
      <c r="C1339" t="s">
        <v>47</v>
      </c>
      <c r="D1339">
        <v>3242468</v>
      </c>
      <c r="E1339" t="s">
        <v>53</v>
      </c>
      <c r="F1339" t="s">
        <v>49</v>
      </c>
      <c r="G1339" s="30">
        <v>158038.639660538</v>
      </c>
    </row>
    <row r="1340" spans="1:7" x14ac:dyDescent="0.25">
      <c r="A1340" t="s">
        <v>45</v>
      </c>
      <c r="B1340" t="s">
        <v>46</v>
      </c>
      <c r="C1340" t="s">
        <v>47</v>
      </c>
      <c r="D1340">
        <v>3243208</v>
      </c>
      <c r="E1340" t="s">
        <v>48</v>
      </c>
      <c r="F1340" t="s">
        <v>49</v>
      </c>
      <c r="G1340" s="30">
        <v>0</v>
      </c>
    </row>
    <row r="1341" spans="1:7" x14ac:dyDescent="0.25">
      <c r="A1341" t="s">
        <v>116</v>
      </c>
      <c r="B1341" t="s">
        <v>117</v>
      </c>
      <c r="C1341" t="s">
        <v>47</v>
      </c>
      <c r="D1341">
        <v>3245967</v>
      </c>
      <c r="E1341" t="s">
        <v>53</v>
      </c>
      <c r="F1341" t="s">
        <v>49</v>
      </c>
      <c r="G1341" s="30">
        <v>1562322.09164833</v>
      </c>
    </row>
    <row r="1342" spans="1:7" x14ac:dyDescent="0.25">
      <c r="A1342" t="s">
        <v>45</v>
      </c>
      <c r="B1342" t="s">
        <v>46</v>
      </c>
      <c r="C1342" t="s">
        <v>47</v>
      </c>
      <c r="D1342">
        <v>3247197</v>
      </c>
      <c r="E1342" t="s">
        <v>48</v>
      </c>
      <c r="F1342" t="s">
        <v>49</v>
      </c>
      <c r="G1342" s="30">
        <v>0</v>
      </c>
    </row>
    <row r="1343" spans="1:7" x14ac:dyDescent="0.25">
      <c r="A1343" t="s">
        <v>50</v>
      </c>
      <c r="B1343" t="s">
        <v>51</v>
      </c>
      <c r="C1343" t="s">
        <v>52</v>
      </c>
      <c r="D1343">
        <v>3247917</v>
      </c>
      <c r="E1343" t="s">
        <v>53</v>
      </c>
      <c r="F1343" t="s">
        <v>49</v>
      </c>
      <c r="G1343" s="30">
        <v>1818.10692817369</v>
      </c>
    </row>
    <row r="1344" spans="1:7" x14ac:dyDescent="0.25">
      <c r="A1344" t="s">
        <v>68</v>
      </c>
      <c r="B1344" t="s">
        <v>69</v>
      </c>
      <c r="C1344" t="s">
        <v>56</v>
      </c>
      <c r="D1344">
        <v>3248419</v>
      </c>
      <c r="E1344" t="s">
        <v>53</v>
      </c>
      <c r="F1344" t="s">
        <v>49</v>
      </c>
      <c r="G1344" s="30">
        <v>110.294948845422</v>
      </c>
    </row>
    <row r="1345" spans="1:7" x14ac:dyDescent="0.25">
      <c r="A1345" t="s">
        <v>118</v>
      </c>
      <c r="B1345" t="s">
        <v>119</v>
      </c>
      <c r="C1345" t="s">
        <v>56</v>
      </c>
      <c r="D1345">
        <v>3248878</v>
      </c>
      <c r="E1345" t="s">
        <v>48</v>
      </c>
      <c r="F1345" t="s">
        <v>49</v>
      </c>
      <c r="G1345" s="30">
        <v>0</v>
      </c>
    </row>
    <row r="1346" spans="1:7" x14ac:dyDescent="0.25">
      <c r="A1346" t="s">
        <v>133</v>
      </c>
      <c r="B1346" t="s">
        <v>134</v>
      </c>
      <c r="C1346" t="s">
        <v>47</v>
      </c>
      <c r="D1346">
        <v>3248928</v>
      </c>
      <c r="E1346" t="s">
        <v>53</v>
      </c>
      <c r="F1346" t="s">
        <v>49</v>
      </c>
      <c r="G1346" s="30">
        <v>385617.91333412298</v>
      </c>
    </row>
    <row r="1347" spans="1:7" x14ac:dyDescent="0.25">
      <c r="A1347" t="s">
        <v>50</v>
      </c>
      <c r="B1347" t="s">
        <v>51</v>
      </c>
      <c r="C1347" t="s">
        <v>52</v>
      </c>
      <c r="D1347">
        <v>3249301</v>
      </c>
      <c r="E1347" t="s">
        <v>53</v>
      </c>
      <c r="F1347" t="s">
        <v>49</v>
      </c>
      <c r="G1347" s="30">
        <v>100</v>
      </c>
    </row>
    <row r="1348" spans="1:7" x14ac:dyDescent="0.25">
      <c r="A1348" t="s">
        <v>61</v>
      </c>
      <c r="B1348" t="s">
        <v>62</v>
      </c>
      <c r="C1348" t="s">
        <v>56</v>
      </c>
      <c r="D1348">
        <v>3251887</v>
      </c>
      <c r="E1348" t="s">
        <v>53</v>
      </c>
      <c r="F1348" t="s">
        <v>49</v>
      </c>
      <c r="G1348" s="30">
        <v>88556.872698774401</v>
      </c>
    </row>
    <row r="1349" spans="1:7" x14ac:dyDescent="0.25">
      <c r="A1349" t="s">
        <v>45</v>
      </c>
      <c r="B1349" t="s">
        <v>46</v>
      </c>
      <c r="C1349" t="s">
        <v>47</v>
      </c>
      <c r="D1349">
        <v>3253291</v>
      </c>
      <c r="E1349" t="s">
        <v>48</v>
      </c>
      <c r="F1349" t="s">
        <v>49</v>
      </c>
      <c r="G1349" s="30">
        <v>0</v>
      </c>
    </row>
    <row r="1350" spans="1:7" x14ac:dyDescent="0.25">
      <c r="A1350" t="s">
        <v>116</v>
      </c>
      <c r="B1350" t="s">
        <v>117</v>
      </c>
      <c r="C1350" t="s">
        <v>47</v>
      </c>
      <c r="D1350">
        <v>3253493</v>
      </c>
      <c r="E1350" t="s">
        <v>53</v>
      </c>
      <c r="F1350" t="s">
        <v>49</v>
      </c>
      <c r="G1350" s="30">
        <v>311318.53198863601</v>
      </c>
    </row>
    <row r="1351" spans="1:7" x14ac:dyDescent="0.25">
      <c r="A1351" t="s">
        <v>68</v>
      </c>
      <c r="B1351" t="s">
        <v>69</v>
      </c>
      <c r="C1351" t="s">
        <v>56</v>
      </c>
      <c r="D1351">
        <v>3253836</v>
      </c>
      <c r="E1351" t="s">
        <v>53</v>
      </c>
      <c r="F1351" t="s">
        <v>49</v>
      </c>
      <c r="G1351" s="30">
        <v>83534.173052996499</v>
      </c>
    </row>
    <row r="1352" spans="1:7" x14ac:dyDescent="0.25">
      <c r="A1352" t="s">
        <v>98</v>
      </c>
      <c r="B1352" t="s">
        <v>99</v>
      </c>
      <c r="C1352" t="s">
        <v>81</v>
      </c>
      <c r="D1352">
        <v>3254104</v>
      </c>
      <c r="E1352" t="s">
        <v>53</v>
      </c>
      <c r="F1352" t="s">
        <v>49</v>
      </c>
      <c r="G1352" s="30">
        <v>593814.45712656202</v>
      </c>
    </row>
    <row r="1353" spans="1:7" x14ac:dyDescent="0.25">
      <c r="A1353" t="s">
        <v>72</v>
      </c>
      <c r="B1353" t="s">
        <v>73</v>
      </c>
      <c r="C1353" t="s">
        <v>67</v>
      </c>
      <c r="D1353">
        <v>3255968</v>
      </c>
      <c r="E1353" t="s">
        <v>53</v>
      </c>
      <c r="F1353" t="s">
        <v>49</v>
      </c>
      <c r="G1353" s="30">
        <v>72690.350000000006</v>
      </c>
    </row>
    <row r="1354" spans="1:7" x14ac:dyDescent="0.25">
      <c r="A1354" t="s">
        <v>45</v>
      </c>
      <c r="B1354" t="s">
        <v>46</v>
      </c>
      <c r="C1354" t="s">
        <v>47</v>
      </c>
      <c r="D1354">
        <v>3257584</v>
      </c>
      <c r="E1354" t="s">
        <v>48</v>
      </c>
      <c r="F1354" t="s">
        <v>49</v>
      </c>
      <c r="G1354" s="30">
        <v>0</v>
      </c>
    </row>
    <row r="1355" spans="1:7" x14ac:dyDescent="0.25">
      <c r="A1355" t="s">
        <v>45</v>
      </c>
      <c r="B1355" t="s">
        <v>46</v>
      </c>
      <c r="C1355" t="s">
        <v>47</v>
      </c>
      <c r="D1355">
        <v>3260597</v>
      </c>
      <c r="E1355" t="s">
        <v>48</v>
      </c>
      <c r="F1355" t="s">
        <v>49</v>
      </c>
      <c r="G1355" s="30">
        <v>0</v>
      </c>
    </row>
    <row r="1356" spans="1:7" x14ac:dyDescent="0.25">
      <c r="A1356" t="s">
        <v>45</v>
      </c>
      <c r="B1356" t="s">
        <v>46</v>
      </c>
      <c r="C1356" t="s">
        <v>47</v>
      </c>
      <c r="D1356">
        <v>3263317</v>
      </c>
      <c r="E1356" t="s">
        <v>53</v>
      </c>
      <c r="F1356" t="s">
        <v>49</v>
      </c>
      <c r="G1356" s="30">
        <v>2823.0960425698299</v>
      </c>
    </row>
    <row r="1357" spans="1:7" x14ac:dyDescent="0.25">
      <c r="A1357" t="s">
        <v>102</v>
      </c>
      <c r="B1357" t="s">
        <v>103</v>
      </c>
      <c r="C1357" t="s">
        <v>47</v>
      </c>
      <c r="D1357">
        <v>3265315</v>
      </c>
      <c r="E1357" t="s">
        <v>53</v>
      </c>
      <c r="F1357" t="s">
        <v>49</v>
      </c>
      <c r="G1357" s="30">
        <v>203280.64181009601</v>
      </c>
    </row>
    <row r="1358" spans="1:7" x14ac:dyDescent="0.25">
      <c r="A1358" t="s">
        <v>94</v>
      </c>
      <c r="B1358" t="s">
        <v>95</v>
      </c>
      <c r="C1358" t="s">
        <v>78</v>
      </c>
      <c r="D1358">
        <v>3265727</v>
      </c>
      <c r="E1358" t="s">
        <v>53</v>
      </c>
      <c r="F1358" t="s">
        <v>49</v>
      </c>
      <c r="G1358" s="30">
        <v>51387.252070312497</v>
      </c>
    </row>
    <row r="1359" spans="1:7" x14ac:dyDescent="0.25">
      <c r="A1359" t="s">
        <v>45</v>
      </c>
      <c r="B1359" t="s">
        <v>46</v>
      </c>
      <c r="C1359" t="s">
        <v>47</v>
      </c>
      <c r="D1359">
        <v>3266413</v>
      </c>
      <c r="E1359" t="s">
        <v>48</v>
      </c>
      <c r="F1359" t="s">
        <v>49</v>
      </c>
      <c r="G1359" s="30">
        <v>0</v>
      </c>
    </row>
    <row r="1360" spans="1:7" x14ac:dyDescent="0.25">
      <c r="A1360" t="s">
        <v>90</v>
      </c>
      <c r="B1360" t="s">
        <v>91</v>
      </c>
      <c r="C1360" t="s">
        <v>81</v>
      </c>
      <c r="D1360">
        <v>3267480</v>
      </c>
      <c r="E1360" t="s">
        <v>53</v>
      </c>
      <c r="F1360" t="s">
        <v>49</v>
      </c>
      <c r="G1360" s="30">
        <v>394846.60368641</v>
      </c>
    </row>
    <row r="1361" spans="1:7" x14ac:dyDescent="0.25">
      <c r="A1361" t="s">
        <v>76</v>
      </c>
      <c r="B1361" t="s">
        <v>77</v>
      </c>
      <c r="C1361" t="s">
        <v>78</v>
      </c>
      <c r="D1361">
        <v>3268560</v>
      </c>
      <c r="E1361" t="s">
        <v>53</v>
      </c>
      <c r="F1361" t="s">
        <v>49</v>
      </c>
      <c r="G1361" s="30">
        <v>106802.498474801</v>
      </c>
    </row>
    <row r="1362" spans="1:7" x14ac:dyDescent="0.25">
      <c r="A1362" t="s">
        <v>50</v>
      </c>
      <c r="B1362" t="s">
        <v>51</v>
      </c>
      <c r="C1362" t="s">
        <v>52</v>
      </c>
      <c r="D1362">
        <v>3269779</v>
      </c>
      <c r="E1362" t="s">
        <v>53</v>
      </c>
      <c r="F1362" t="s">
        <v>49</v>
      </c>
      <c r="G1362" s="30">
        <v>27097.399479218198</v>
      </c>
    </row>
    <row r="1363" spans="1:7" x14ac:dyDescent="0.25">
      <c r="A1363" t="s">
        <v>120</v>
      </c>
      <c r="B1363" t="s">
        <v>121</v>
      </c>
      <c r="C1363" t="s">
        <v>67</v>
      </c>
      <c r="D1363">
        <v>3269952</v>
      </c>
      <c r="E1363" t="s">
        <v>53</v>
      </c>
      <c r="F1363" t="s">
        <v>49</v>
      </c>
      <c r="G1363" s="30">
        <v>587058.79127904295</v>
      </c>
    </row>
    <row r="1364" spans="1:7" x14ac:dyDescent="0.25">
      <c r="A1364" t="s">
        <v>45</v>
      </c>
      <c r="B1364" t="s">
        <v>46</v>
      </c>
      <c r="C1364" t="s">
        <v>47</v>
      </c>
      <c r="D1364">
        <v>3269958</v>
      </c>
      <c r="E1364" t="s">
        <v>53</v>
      </c>
      <c r="F1364" t="s">
        <v>49</v>
      </c>
      <c r="G1364" s="30">
        <v>54542.402799479998</v>
      </c>
    </row>
    <row r="1365" spans="1:7" x14ac:dyDescent="0.25">
      <c r="A1365" t="s">
        <v>45</v>
      </c>
      <c r="B1365" t="s">
        <v>46</v>
      </c>
      <c r="C1365" t="s">
        <v>47</v>
      </c>
      <c r="D1365">
        <v>3270199</v>
      </c>
      <c r="E1365" t="s">
        <v>48</v>
      </c>
      <c r="F1365" t="s">
        <v>49</v>
      </c>
      <c r="G1365" s="30">
        <v>0</v>
      </c>
    </row>
    <row r="1366" spans="1:7" x14ac:dyDescent="0.25">
      <c r="A1366" t="s">
        <v>50</v>
      </c>
      <c r="B1366" t="s">
        <v>51</v>
      </c>
      <c r="C1366" t="s">
        <v>52</v>
      </c>
      <c r="D1366">
        <v>3272648</v>
      </c>
      <c r="E1366" t="s">
        <v>53</v>
      </c>
      <c r="F1366" t="s">
        <v>49</v>
      </c>
      <c r="G1366" s="30">
        <v>61134.355165290202</v>
      </c>
    </row>
    <row r="1367" spans="1:7" x14ac:dyDescent="0.25">
      <c r="A1367" t="s">
        <v>128</v>
      </c>
      <c r="B1367" t="s">
        <v>129</v>
      </c>
      <c r="C1367" t="s">
        <v>130</v>
      </c>
      <c r="D1367">
        <v>3275103</v>
      </c>
      <c r="E1367" t="s">
        <v>53</v>
      </c>
      <c r="F1367" t="s">
        <v>49</v>
      </c>
      <c r="G1367" s="30">
        <v>21956211.157257199</v>
      </c>
    </row>
    <row r="1368" spans="1:7" x14ac:dyDescent="0.25">
      <c r="A1368" t="s">
        <v>57</v>
      </c>
      <c r="B1368" t="s">
        <v>58</v>
      </c>
      <c r="C1368" t="s">
        <v>56</v>
      </c>
      <c r="D1368">
        <v>3275227</v>
      </c>
      <c r="E1368" t="s">
        <v>48</v>
      </c>
      <c r="F1368" t="s">
        <v>49</v>
      </c>
      <c r="G1368" s="30">
        <v>0</v>
      </c>
    </row>
    <row r="1369" spans="1:7" x14ac:dyDescent="0.25">
      <c r="A1369" t="s">
        <v>45</v>
      </c>
      <c r="B1369" t="s">
        <v>46</v>
      </c>
      <c r="C1369" t="s">
        <v>47</v>
      </c>
      <c r="D1369">
        <v>3277106</v>
      </c>
      <c r="E1369" t="s">
        <v>48</v>
      </c>
      <c r="F1369" t="s">
        <v>49</v>
      </c>
      <c r="G1369" s="30">
        <v>0</v>
      </c>
    </row>
    <row r="1370" spans="1:7" x14ac:dyDescent="0.25">
      <c r="A1370" t="s">
        <v>82</v>
      </c>
      <c r="B1370" t="s">
        <v>83</v>
      </c>
      <c r="C1370" t="s">
        <v>56</v>
      </c>
      <c r="D1370">
        <v>3277132</v>
      </c>
      <c r="E1370" t="s">
        <v>53</v>
      </c>
      <c r="F1370" t="s">
        <v>49</v>
      </c>
      <c r="G1370" s="30">
        <v>505656.00310206198</v>
      </c>
    </row>
    <row r="1371" spans="1:7" x14ac:dyDescent="0.25">
      <c r="A1371" t="s">
        <v>45</v>
      </c>
      <c r="B1371" t="s">
        <v>46</v>
      </c>
      <c r="C1371" t="s">
        <v>47</v>
      </c>
      <c r="D1371">
        <v>3279065</v>
      </c>
      <c r="E1371" t="s">
        <v>48</v>
      </c>
      <c r="F1371" t="s">
        <v>49</v>
      </c>
      <c r="G1371" s="30">
        <v>0</v>
      </c>
    </row>
    <row r="1372" spans="1:7" x14ac:dyDescent="0.25">
      <c r="A1372" t="s">
        <v>72</v>
      </c>
      <c r="B1372" t="s">
        <v>73</v>
      </c>
      <c r="C1372" t="s">
        <v>67</v>
      </c>
      <c r="D1372">
        <v>3279562</v>
      </c>
      <c r="E1372" t="s">
        <v>53</v>
      </c>
      <c r="F1372" t="s">
        <v>49</v>
      </c>
      <c r="G1372" s="30">
        <v>-64.831583259552403</v>
      </c>
    </row>
    <row r="1373" spans="1:7" x14ac:dyDescent="0.25">
      <c r="A1373" t="s">
        <v>63</v>
      </c>
      <c r="B1373" t="s">
        <v>64</v>
      </c>
      <c r="C1373" t="s">
        <v>56</v>
      </c>
      <c r="D1373">
        <v>3279792</v>
      </c>
      <c r="E1373" t="s">
        <v>53</v>
      </c>
      <c r="F1373" t="s">
        <v>49</v>
      </c>
      <c r="G1373" s="30">
        <v>1734761.87679688</v>
      </c>
    </row>
    <row r="1374" spans="1:7" x14ac:dyDescent="0.25">
      <c r="A1374" t="s">
        <v>45</v>
      </c>
      <c r="B1374" t="s">
        <v>46</v>
      </c>
      <c r="C1374" t="s">
        <v>47</v>
      </c>
      <c r="D1374">
        <v>3281548</v>
      </c>
      <c r="E1374" t="s">
        <v>48</v>
      </c>
      <c r="F1374" t="s">
        <v>49</v>
      </c>
      <c r="G1374" s="30">
        <v>0</v>
      </c>
    </row>
    <row r="1375" spans="1:7" x14ac:dyDescent="0.25">
      <c r="A1375" t="s">
        <v>45</v>
      </c>
      <c r="B1375" t="s">
        <v>46</v>
      </c>
      <c r="C1375" t="s">
        <v>47</v>
      </c>
      <c r="D1375">
        <v>3282699</v>
      </c>
      <c r="E1375" t="s">
        <v>53</v>
      </c>
      <c r="F1375" t="s">
        <v>49</v>
      </c>
      <c r="G1375" s="30">
        <v>13813.4876935129</v>
      </c>
    </row>
    <row r="1376" spans="1:7" x14ac:dyDescent="0.25">
      <c r="A1376" t="s">
        <v>126</v>
      </c>
      <c r="B1376" t="s">
        <v>127</v>
      </c>
      <c r="C1376" t="s">
        <v>67</v>
      </c>
      <c r="D1376">
        <v>3283202</v>
      </c>
      <c r="E1376" t="s">
        <v>53</v>
      </c>
      <c r="F1376" t="s">
        <v>49</v>
      </c>
      <c r="G1376" s="30">
        <v>2388211.6961118099</v>
      </c>
    </row>
    <row r="1377" spans="1:7" x14ac:dyDescent="0.25">
      <c r="A1377" t="s">
        <v>98</v>
      </c>
      <c r="B1377" t="s">
        <v>99</v>
      </c>
      <c r="C1377" t="s">
        <v>81</v>
      </c>
      <c r="D1377">
        <v>3283881</v>
      </c>
      <c r="E1377" t="s">
        <v>53</v>
      </c>
      <c r="F1377" t="s">
        <v>49</v>
      </c>
      <c r="G1377" s="30">
        <v>244704.94604093599</v>
      </c>
    </row>
    <row r="1378" spans="1:7" x14ac:dyDescent="0.25">
      <c r="A1378" t="s">
        <v>76</v>
      </c>
      <c r="B1378" t="s">
        <v>77</v>
      </c>
      <c r="C1378" t="s">
        <v>78</v>
      </c>
      <c r="D1378">
        <v>3284532</v>
      </c>
      <c r="E1378" t="s">
        <v>53</v>
      </c>
      <c r="F1378" t="s">
        <v>49</v>
      </c>
      <c r="G1378" s="30">
        <v>126866.65625</v>
      </c>
    </row>
    <row r="1379" spans="1:7" x14ac:dyDescent="0.25">
      <c r="A1379" t="s">
        <v>86</v>
      </c>
      <c r="B1379" t="s">
        <v>87</v>
      </c>
      <c r="C1379" t="s">
        <v>78</v>
      </c>
      <c r="D1379">
        <v>3286188</v>
      </c>
      <c r="E1379" t="s">
        <v>53</v>
      </c>
      <c r="F1379" t="s">
        <v>49</v>
      </c>
      <c r="G1379" s="30">
        <v>423188.91486479301</v>
      </c>
    </row>
    <row r="1380" spans="1:7" x14ac:dyDescent="0.25">
      <c r="A1380" t="s">
        <v>45</v>
      </c>
      <c r="B1380" t="s">
        <v>46</v>
      </c>
      <c r="C1380" t="s">
        <v>47</v>
      </c>
      <c r="D1380">
        <v>3289415</v>
      </c>
      <c r="E1380" t="s">
        <v>48</v>
      </c>
      <c r="F1380" t="s">
        <v>49</v>
      </c>
      <c r="G1380" s="30">
        <v>0</v>
      </c>
    </row>
    <row r="1381" spans="1:7" x14ac:dyDescent="0.25">
      <c r="A1381" t="s">
        <v>114</v>
      </c>
      <c r="B1381" t="s">
        <v>115</v>
      </c>
      <c r="C1381" t="s">
        <v>56</v>
      </c>
      <c r="D1381">
        <v>3289734</v>
      </c>
      <c r="E1381" t="s">
        <v>48</v>
      </c>
      <c r="F1381" t="s">
        <v>49</v>
      </c>
      <c r="G1381" s="30">
        <v>0</v>
      </c>
    </row>
    <row r="1382" spans="1:7" x14ac:dyDescent="0.25">
      <c r="A1382" t="s">
        <v>106</v>
      </c>
      <c r="B1382" t="s">
        <v>107</v>
      </c>
      <c r="C1382" t="s">
        <v>56</v>
      </c>
      <c r="D1382">
        <v>3290108</v>
      </c>
      <c r="E1382" t="s">
        <v>53</v>
      </c>
      <c r="F1382" t="s">
        <v>49</v>
      </c>
      <c r="G1382" s="30">
        <v>7789.3341064859796</v>
      </c>
    </row>
    <row r="1383" spans="1:7" x14ac:dyDescent="0.25">
      <c r="A1383" t="s">
        <v>126</v>
      </c>
      <c r="B1383" t="s">
        <v>127</v>
      </c>
      <c r="C1383" t="s">
        <v>67</v>
      </c>
      <c r="D1383">
        <v>3291198</v>
      </c>
      <c r="E1383" t="s">
        <v>48</v>
      </c>
      <c r="F1383" t="s">
        <v>49</v>
      </c>
      <c r="G1383" s="30">
        <v>0</v>
      </c>
    </row>
    <row r="1384" spans="1:7" x14ac:dyDescent="0.25">
      <c r="A1384" t="s">
        <v>72</v>
      </c>
      <c r="B1384" t="s">
        <v>73</v>
      </c>
      <c r="C1384" t="s">
        <v>67</v>
      </c>
      <c r="D1384">
        <v>3292997</v>
      </c>
      <c r="E1384" t="s">
        <v>53</v>
      </c>
      <c r="F1384" t="s">
        <v>49</v>
      </c>
      <c r="G1384" s="30">
        <v>1148765.3824617299</v>
      </c>
    </row>
    <row r="1385" spans="1:7" x14ac:dyDescent="0.25">
      <c r="A1385" t="s">
        <v>45</v>
      </c>
      <c r="B1385" t="s">
        <v>46</v>
      </c>
      <c r="C1385" t="s">
        <v>47</v>
      </c>
      <c r="D1385">
        <v>3294026</v>
      </c>
      <c r="E1385" t="s">
        <v>48</v>
      </c>
      <c r="F1385" t="s">
        <v>49</v>
      </c>
      <c r="G1385" s="30">
        <v>0</v>
      </c>
    </row>
    <row r="1386" spans="1:7" x14ac:dyDescent="0.25">
      <c r="A1386" t="s">
        <v>45</v>
      </c>
      <c r="B1386" t="s">
        <v>46</v>
      </c>
      <c r="C1386" t="s">
        <v>47</v>
      </c>
      <c r="D1386">
        <v>3294682</v>
      </c>
      <c r="E1386" t="s">
        <v>53</v>
      </c>
      <c r="F1386" t="s">
        <v>49</v>
      </c>
      <c r="G1386" s="30">
        <v>163688.08888505501</v>
      </c>
    </row>
    <row r="1387" spans="1:7" x14ac:dyDescent="0.25">
      <c r="A1387" t="s">
        <v>88</v>
      </c>
      <c r="B1387" t="s">
        <v>89</v>
      </c>
      <c r="C1387" t="s">
        <v>78</v>
      </c>
      <c r="D1387">
        <v>3295735</v>
      </c>
      <c r="E1387" t="s">
        <v>53</v>
      </c>
      <c r="F1387" t="s">
        <v>49</v>
      </c>
      <c r="G1387" s="30">
        <v>133627.55803632099</v>
      </c>
    </row>
    <row r="1388" spans="1:7" x14ac:dyDescent="0.25">
      <c r="A1388" t="s">
        <v>135</v>
      </c>
      <c r="B1388" t="s">
        <v>136</v>
      </c>
      <c r="C1388" t="s">
        <v>56</v>
      </c>
      <c r="D1388">
        <v>3295893</v>
      </c>
      <c r="E1388" t="s">
        <v>53</v>
      </c>
      <c r="F1388" t="s">
        <v>49</v>
      </c>
      <c r="G1388" s="30">
        <v>990135.08244295698</v>
      </c>
    </row>
    <row r="1389" spans="1:7" x14ac:dyDescent="0.25">
      <c r="A1389" t="s">
        <v>124</v>
      </c>
      <c r="B1389" t="s">
        <v>125</v>
      </c>
      <c r="C1389" t="s">
        <v>78</v>
      </c>
      <c r="D1389">
        <v>3296080</v>
      </c>
      <c r="E1389" t="s">
        <v>53</v>
      </c>
      <c r="F1389" t="s">
        <v>49</v>
      </c>
      <c r="G1389" s="30">
        <v>680884.857027955</v>
      </c>
    </row>
    <row r="1390" spans="1:7" x14ac:dyDescent="0.25">
      <c r="A1390" t="s">
        <v>50</v>
      </c>
      <c r="B1390" t="s">
        <v>51</v>
      </c>
      <c r="C1390" t="s">
        <v>52</v>
      </c>
      <c r="D1390">
        <v>3296846</v>
      </c>
      <c r="E1390" t="s">
        <v>53</v>
      </c>
      <c r="F1390" t="s">
        <v>49</v>
      </c>
      <c r="G1390" s="30">
        <v>24327.394043017601</v>
      </c>
    </row>
    <row r="1391" spans="1:7" x14ac:dyDescent="0.25">
      <c r="A1391" t="s">
        <v>128</v>
      </c>
      <c r="B1391" t="s">
        <v>129</v>
      </c>
      <c r="C1391" t="s">
        <v>130</v>
      </c>
      <c r="D1391">
        <v>3297493</v>
      </c>
      <c r="E1391" t="s">
        <v>53</v>
      </c>
      <c r="F1391" t="s">
        <v>49</v>
      </c>
      <c r="G1391" s="30">
        <v>14453212.0910857</v>
      </c>
    </row>
    <row r="1392" spans="1:7" x14ac:dyDescent="0.25">
      <c r="A1392" t="s">
        <v>45</v>
      </c>
      <c r="B1392" t="s">
        <v>46</v>
      </c>
      <c r="C1392" t="s">
        <v>47</v>
      </c>
      <c r="D1392">
        <v>3299272</v>
      </c>
      <c r="E1392" t="s">
        <v>53</v>
      </c>
      <c r="F1392" t="s">
        <v>49</v>
      </c>
      <c r="G1392" s="30">
        <v>3578.39</v>
      </c>
    </row>
    <row r="1393" spans="1:7" x14ac:dyDescent="0.25">
      <c r="A1393" t="s">
        <v>45</v>
      </c>
      <c r="B1393" t="s">
        <v>46</v>
      </c>
      <c r="C1393" t="s">
        <v>47</v>
      </c>
      <c r="D1393">
        <v>3300801</v>
      </c>
      <c r="E1393" t="s">
        <v>48</v>
      </c>
      <c r="F1393" t="s">
        <v>49</v>
      </c>
      <c r="G1393" s="30">
        <v>0</v>
      </c>
    </row>
    <row r="1394" spans="1:7" x14ac:dyDescent="0.25">
      <c r="A1394" t="s">
        <v>50</v>
      </c>
      <c r="B1394" t="s">
        <v>51</v>
      </c>
      <c r="C1394" t="s">
        <v>52</v>
      </c>
      <c r="D1394">
        <v>3304516</v>
      </c>
      <c r="E1394" t="s">
        <v>53</v>
      </c>
      <c r="F1394" t="s">
        <v>49</v>
      </c>
      <c r="G1394" s="30">
        <v>60654.756093750002</v>
      </c>
    </row>
    <row r="1395" spans="1:7" x14ac:dyDescent="0.25">
      <c r="A1395" t="s">
        <v>94</v>
      </c>
      <c r="B1395" t="s">
        <v>95</v>
      </c>
      <c r="C1395" t="s">
        <v>78</v>
      </c>
      <c r="D1395">
        <v>3305640</v>
      </c>
      <c r="E1395" t="s">
        <v>53</v>
      </c>
      <c r="F1395" t="s">
        <v>49</v>
      </c>
      <c r="G1395" s="30">
        <v>153157.72295365701</v>
      </c>
    </row>
    <row r="1396" spans="1:7" x14ac:dyDescent="0.25">
      <c r="A1396" t="s">
        <v>45</v>
      </c>
      <c r="B1396" t="s">
        <v>46</v>
      </c>
      <c r="C1396" t="s">
        <v>47</v>
      </c>
      <c r="D1396">
        <v>3306317</v>
      </c>
      <c r="E1396" t="s">
        <v>48</v>
      </c>
      <c r="F1396" t="s">
        <v>49</v>
      </c>
      <c r="G1396" s="30">
        <v>0</v>
      </c>
    </row>
    <row r="1397" spans="1:7" x14ac:dyDescent="0.25">
      <c r="A1397" t="s">
        <v>45</v>
      </c>
      <c r="B1397" t="s">
        <v>46</v>
      </c>
      <c r="C1397" t="s">
        <v>47</v>
      </c>
      <c r="D1397">
        <v>3307455</v>
      </c>
      <c r="E1397" t="s">
        <v>53</v>
      </c>
      <c r="F1397" t="s">
        <v>49</v>
      </c>
      <c r="G1397" s="30">
        <v>17485.573324387798</v>
      </c>
    </row>
    <row r="1398" spans="1:7" x14ac:dyDescent="0.25">
      <c r="A1398" t="s">
        <v>61</v>
      </c>
      <c r="B1398" t="s">
        <v>62</v>
      </c>
      <c r="C1398" t="s">
        <v>56</v>
      </c>
      <c r="D1398">
        <v>3307472</v>
      </c>
      <c r="E1398" t="s">
        <v>48</v>
      </c>
      <c r="F1398" t="s">
        <v>49</v>
      </c>
      <c r="G1398" s="30">
        <v>0</v>
      </c>
    </row>
    <row r="1399" spans="1:7" x14ac:dyDescent="0.25">
      <c r="A1399" t="s">
        <v>114</v>
      </c>
      <c r="B1399" t="s">
        <v>115</v>
      </c>
      <c r="C1399" t="s">
        <v>56</v>
      </c>
      <c r="D1399">
        <v>3310202</v>
      </c>
      <c r="E1399" t="s">
        <v>53</v>
      </c>
      <c r="F1399" t="s">
        <v>49</v>
      </c>
      <c r="G1399" s="30">
        <v>60518.001181863401</v>
      </c>
    </row>
    <row r="1400" spans="1:7" x14ac:dyDescent="0.25">
      <c r="A1400" t="s">
        <v>45</v>
      </c>
      <c r="B1400" t="s">
        <v>46</v>
      </c>
      <c r="C1400" t="s">
        <v>47</v>
      </c>
      <c r="D1400">
        <v>3310953</v>
      </c>
      <c r="E1400" t="s">
        <v>48</v>
      </c>
      <c r="F1400" t="s">
        <v>49</v>
      </c>
      <c r="G1400" s="30">
        <v>0</v>
      </c>
    </row>
    <row r="1401" spans="1:7" x14ac:dyDescent="0.25">
      <c r="A1401" t="s">
        <v>50</v>
      </c>
      <c r="B1401" t="s">
        <v>51</v>
      </c>
      <c r="C1401" t="s">
        <v>52</v>
      </c>
      <c r="D1401">
        <v>3312856</v>
      </c>
      <c r="E1401" t="s">
        <v>53</v>
      </c>
      <c r="F1401" t="s">
        <v>49</v>
      </c>
      <c r="G1401" s="30">
        <v>70824.341023864996</v>
      </c>
    </row>
    <row r="1402" spans="1:7" x14ac:dyDescent="0.25">
      <c r="A1402" t="s">
        <v>45</v>
      </c>
      <c r="B1402" t="s">
        <v>46</v>
      </c>
      <c r="C1402" t="s">
        <v>47</v>
      </c>
      <c r="D1402">
        <v>3312871</v>
      </c>
      <c r="E1402" t="s">
        <v>48</v>
      </c>
      <c r="F1402" t="s">
        <v>49</v>
      </c>
      <c r="G1402" s="30">
        <v>0</v>
      </c>
    </row>
    <row r="1403" spans="1:7" x14ac:dyDescent="0.25">
      <c r="A1403" t="s">
        <v>106</v>
      </c>
      <c r="B1403" t="s">
        <v>107</v>
      </c>
      <c r="C1403" t="s">
        <v>56</v>
      </c>
      <c r="D1403">
        <v>3315203</v>
      </c>
      <c r="E1403" t="s">
        <v>53</v>
      </c>
      <c r="F1403" t="s">
        <v>49</v>
      </c>
      <c r="G1403" s="30">
        <v>44486.2816971266</v>
      </c>
    </row>
    <row r="1404" spans="1:7" x14ac:dyDescent="0.25">
      <c r="A1404" t="s">
        <v>106</v>
      </c>
      <c r="B1404" t="s">
        <v>107</v>
      </c>
      <c r="C1404" t="s">
        <v>56</v>
      </c>
      <c r="D1404">
        <v>3319618</v>
      </c>
      <c r="E1404" t="s">
        <v>53</v>
      </c>
      <c r="F1404" t="s">
        <v>49</v>
      </c>
      <c r="G1404" s="30">
        <v>54008.955127686801</v>
      </c>
    </row>
    <row r="1405" spans="1:7" x14ac:dyDescent="0.25">
      <c r="A1405" t="s">
        <v>82</v>
      </c>
      <c r="B1405" t="s">
        <v>83</v>
      </c>
      <c r="C1405" t="s">
        <v>56</v>
      </c>
      <c r="D1405">
        <v>3320733</v>
      </c>
      <c r="E1405" t="s">
        <v>53</v>
      </c>
      <c r="F1405" t="s">
        <v>49</v>
      </c>
      <c r="G1405" s="30">
        <v>236263.22700602701</v>
      </c>
    </row>
    <row r="1406" spans="1:7" x14ac:dyDescent="0.25">
      <c r="A1406" t="s">
        <v>72</v>
      </c>
      <c r="B1406" t="s">
        <v>73</v>
      </c>
      <c r="C1406" t="s">
        <v>67</v>
      </c>
      <c r="D1406">
        <v>3321776</v>
      </c>
      <c r="E1406" t="s">
        <v>53</v>
      </c>
      <c r="F1406" t="s">
        <v>49</v>
      </c>
      <c r="G1406" s="30">
        <v>5958891.5418771598</v>
      </c>
    </row>
    <row r="1407" spans="1:7" x14ac:dyDescent="0.25">
      <c r="A1407" t="s">
        <v>88</v>
      </c>
      <c r="B1407" t="s">
        <v>89</v>
      </c>
      <c r="C1407" t="s">
        <v>78</v>
      </c>
      <c r="D1407">
        <v>3321813</v>
      </c>
      <c r="E1407" t="s">
        <v>53</v>
      </c>
      <c r="F1407" t="s">
        <v>49</v>
      </c>
      <c r="G1407" s="30">
        <v>443815.340797026</v>
      </c>
    </row>
    <row r="1408" spans="1:7" x14ac:dyDescent="0.25">
      <c r="A1408" t="s">
        <v>104</v>
      </c>
      <c r="B1408" t="s">
        <v>105</v>
      </c>
      <c r="C1408" t="s">
        <v>78</v>
      </c>
      <c r="D1408">
        <v>3324948</v>
      </c>
      <c r="E1408" t="s">
        <v>53</v>
      </c>
      <c r="F1408" t="s">
        <v>49</v>
      </c>
      <c r="G1408" s="30">
        <v>404318.06001808</v>
      </c>
    </row>
    <row r="1409" spans="1:7" x14ac:dyDescent="0.25">
      <c r="A1409" t="s">
        <v>76</v>
      </c>
      <c r="B1409" t="s">
        <v>77</v>
      </c>
      <c r="C1409" t="s">
        <v>78</v>
      </c>
      <c r="D1409">
        <v>3325472</v>
      </c>
      <c r="E1409" t="s">
        <v>53</v>
      </c>
      <c r="F1409" t="s">
        <v>49</v>
      </c>
      <c r="G1409" s="30">
        <v>96662.160263144193</v>
      </c>
    </row>
    <row r="1410" spans="1:7" x14ac:dyDescent="0.25">
      <c r="A1410" t="s">
        <v>86</v>
      </c>
      <c r="B1410" t="s">
        <v>87</v>
      </c>
      <c r="C1410" t="s">
        <v>78</v>
      </c>
      <c r="D1410">
        <v>3327245</v>
      </c>
      <c r="E1410" t="s">
        <v>53</v>
      </c>
      <c r="F1410" t="s">
        <v>49</v>
      </c>
      <c r="G1410" s="30">
        <v>1654675.3513295799</v>
      </c>
    </row>
    <row r="1411" spans="1:7" x14ac:dyDescent="0.25">
      <c r="A1411" t="s">
        <v>57</v>
      </c>
      <c r="B1411" t="s">
        <v>58</v>
      </c>
      <c r="C1411" t="s">
        <v>56</v>
      </c>
      <c r="D1411">
        <v>3328459</v>
      </c>
      <c r="E1411" t="s">
        <v>53</v>
      </c>
      <c r="F1411" t="s">
        <v>49</v>
      </c>
      <c r="G1411" s="30">
        <v>17036.205390625</v>
      </c>
    </row>
    <row r="1412" spans="1:7" x14ac:dyDescent="0.25">
      <c r="A1412" t="s">
        <v>45</v>
      </c>
      <c r="B1412" t="s">
        <v>46</v>
      </c>
      <c r="C1412" t="s">
        <v>47</v>
      </c>
      <c r="D1412">
        <v>3329205</v>
      </c>
      <c r="E1412" t="s">
        <v>48</v>
      </c>
      <c r="F1412" t="s">
        <v>49</v>
      </c>
      <c r="G1412" s="30">
        <v>0</v>
      </c>
    </row>
    <row r="1413" spans="1:7" x14ac:dyDescent="0.25">
      <c r="A1413" t="s">
        <v>45</v>
      </c>
      <c r="B1413" t="s">
        <v>46</v>
      </c>
      <c r="C1413" t="s">
        <v>47</v>
      </c>
      <c r="D1413">
        <v>3329248</v>
      </c>
      <c r="E1413" t="s">
        <v>48</v>
      </c>
      <c r="F1413" t="s">
        <v>49</v>
      </c>
      <c r="G1413" s="30">
        <v>0</v>
      </c>
    </row>
    <row r="1414" spans="1:7" x14ac:dyDescent="0.25">
      <c r="A1414" t="s">
        <v>100</v>
      </c>
      <c r="B1414" t="s">
        <v>101</v>
      </c>
      <c r="C1414" t="s">
        <v>52</v>
      </c>
      <c r="D1414">
        <v>3329343</v>
      </c>
      <c r="E1414" t="s">
        <v>48</v>
      </c>
      <c r="F1414" t="s">
        <v>49</v>
      </c>
      <c r="G1414" s="30">
        <v>0</v>
      </c>
    </row>
    <row r="1415" spans="1:7" x14ac:dyDescent="0.25">
      <c r="A1415" t="s">
        <v>86</v>
      </c>
      <c r="B1415" t="s">
        <v>87</v>
      </c>
      <c r="C1415" t="s">
        <v>78</v>
      </c>
      <c r="D1415">
        <v>3330324</v>
      </c>
      <c r="E1415" t="s">
        <v>53</v>
      </c>
      <c r="F1415" t="s">
        <v>49</v>
      </c>
      <c r="G1415" s="30">
        <v>62331.390293004202</v>
      </c>
    </row>
    <row r="1416" spans="1:7" x14ac:dyDescent="0.25">
      <c r="A1416" t="s">
        <v>45</v>
      </c>
      <c r="B1416" t="s">
        <v>46</v>
      </c>
      <c r="C1416" t="s">
        <v>47</v>
      </c>
      <c r="D1416">
        <v>3330596</v>
      </c>
      <c r="E1416" t="s">
        <v>48</v>
      </c>
      <c r="F1416" t="s">
        <v>49</v>
      </c>
      <c r="G1416" s="30">
        <v>34.92</v>
      </c>
    </row>
    <row r="1417" spans="1:7" x14ac:dyDescent="0.25">
      <c r="A1417" t="s">
        <v>50</v>
      </c>
      <c r="B1417" t="s">
        <v>51</v>
      </c>
      <c r="C1417" t="s">
        <v>52</v>
      </c>
      <c r="D1417">
        <v>3332423</v>
      </c>
      <c r="E1417" t="s">
        <v>48</v>
      </c>
      <c r="F1417" t="s">
        <v>49</v>
      </c>
      <c r="G1417" s="30">
        <v>0</v>
      </c>
    </row>
    <row r="1418" spans="1:7" x14ac:dyDescent="0.25">
      <c r="A1418" t="s">
        <v>57</v>
      </c>
      <c r="B1418" t="s">
        <v>58</v>
      </c>
      <c r="C1418" t="s">
        <v>56</v>
      </c>
      <c r="D1418">
        <v>3333544</v>
      </c>
      <c r="E1418" t="s">
        <v>53</v>
      </c>
      <c r="F1418" t="s">
        <v>49</v>
      </c>
      <c r="G1418" s="30">
        <v>17586.5548951005</v>
      </c>
    </row>
    <row r="1419" spans="1:7" x14ac:dyDescent="0.25">
      <c r="A1419" t="s">
        <v>45</v>
      </c>
      <c r="B1419" t="s">
        <v>46</v>
      </c>
      <c r="C1419" t="s">
        <v>47</v>
      </c>
      <c r="D1419">
        <v>3336524</v>
      </c>
      <c r="E1419" t="s">
        <v>53</v>
      </c>
      <c r="F1419" t="s">
        <v>49</v>
      </c>
      <c r="G1419" s="30">
        <v>86559.948572678797</v>
      </c>
    </row>
    <row r="1420" spans="1:7" x14ac:dyDescent="0.25">
      <c r="A1420" t="s">
        <v>128</v>
      </c>
      <c r="B1420" t="s">
        <v>129</v>
      </c>
      <c r="C1420" t="s">
        <v>130</v>
      </c>
      <c r="D1420">
        <v>3336592</v>
      </c>
      <c r="E1420" t="s">
        <v>53</v>
      </c>
      <c r="F1420" t="s">
        <v>49</v>
      </c>
      <c r="G1420" s="30">
        <v>201640.34483376701</v>
      </c>
    </row>
    <row r="1421" spans="1:7" x14ac:dyDescent="0.25">
      <c r="A1421" t="s">
        <v>72</v>
      </c>
      <c r="B1421" t="s">
        <v>73</v>
      </c>
      <c r="C1421" t="s">
        <v>67</v>
      </c>
      <c r="D1421">
        <v>3337243</v>
      </c>
      <c r="E1421" t="s">
        <v>53</v>
      </c>
      <c r="F1421" t="s">
        <v>49</v>
      </c>
      <c r="G1421" s="30">
        <v>7778288.6992111104</v>
      </c>
    </row>
    <row r="1422" spans="1:7" x14ac:dyDescent="0.25">
      <c r="A1422" t="s">
        <v>50</v>
      </c>
      <c r="B1422" t="s">
        <v>51</v>
      </c>
      <c r="C1422" t="s">
        <v>52</v>
      </c>
      <c r="D1422">
        <v>3337681</v>
      </c>
      <c r="E1422" t="s">
        <v>53</v>
      </c>
      <c r="F1422" t="s">
        <v>49</v>
      </c>
      <c r="G1422" s="30">
        <v>346.34271476060098</v>
      </c>
    </row>
    <row r="1423" spans="1:7" x14ac:dyDescent="0.25">
      <c r="A1423" t="s">
        <v>126</v>
      </c>
      <c r="B1423" t="s">
        <v>127</v>
      </c>
      <c r="C1423" t="s">
        <v>67</v>
      </c>
      <c r="D1423">
        <v>3341147</v>
      </c>
      <c r="E1423" t="s">
        <v>53</v>
      </c>
      <c r="F1423" t="s">
        <v>49</v>
      </c>
      <c r="G1423" s="30">
        <v>1658223.69967175</v>
      </c>
    </row>
    <row r="1424" spans="1:7" x14ac:dyDescent="0.25">
      <c r="A1424" t="s">
        <v>45</v>
      </c>
      <c r="B1424" t="s">
        <v>46</v>
      </c>
      <c r="C1424" t="s">
        <v>47</v>
      </c>
      <c r="D1424">
        <v>3342522</v>
      </c>
      <c r="E1424" t="s">
        <v>48</v>
      </c>
      <c r="F1424" t="s">
        <v>49</v>
      </c>
      <c r="G1424" s="30">
        <v>50.79</v>
      </c>
    </row>
    <row r="1425" spans="1:7" x14ac:dyDescent="0.25">
      <c r="A1425" t="s">
        <v>50</v>
      </c>
      <c r="B1425" t="s">
        <v>51</v>
      </c>
      <c r="C1425" t="s">
        <v>52</v>
      </c>
      <c r="D1425">
        <v>3342617</v>
      </c>
      <c r="E1425" t="s">
        <v>53</v>
      </c>
      <c r="F1425" t="s">
        <v>49</v>
      </c>
      <c r="G1425" s="30">
        <v>4624.7406329360001</v>
      </c>
    </row>
    <row r="1426" spans="1:7" x14ac:dyDescent="0.25">
      <c r="A1426" t="s">
        <v>45</v>
      </c>
      <c r="B1426" t="s">
        <v>46</v>
      </c>
      <c r="C1426" t="s">
        <v>47</v>
      </c>
      <c r="D1426">
        <v>3343395</v>
      </c>
      <c r="E1426" t="s">
        <v>48</v>
      </c>
      <c r="F1426" t="s">
        <v>49</v>
      </c>
      <c r="G1426" s="30">
        <v>0</v>
      </c>
    </row>
    <row r="1427" spans="1:7" x14ac:dyDescent="0.25">
      <c r="A1427" t="s">
        <v>61</v>
      </c>
      <c r="B1427" t="s">
        <v>62</v>
      </c>
      <c r="C1427" t="s">
        <v>56</v>
      </c>
      <c r="D1427">
        <v>3343432</v>
      </c>
      <c r="E1427" t="s">
        <v>48</v>
      </c>
      <c r="F1427" t="s">
        <v>49</v>
      </c>
      <c r="G1427" s="30">
        <v>-16.46</v>
      </c>
    </row>
    <row r="1428" spans="1:7" x14ac:dyDescent="0.25">
      <c r="A1428" t="s">
        <v>45</v>
      </c>
      <c r="B1428" t="s">
        <v>46</v>
      </c>
      <c r="C1428" t="s">
        <v>47</v>
      </c>
      <c r="D1428">
        <v>3343796</v>
      </c>
      <c r="E1428" t="s">
        <v>48</v>
      </c>
      <c r="F1428" t="s">
        <v>49</v>
      </c>
      <c r="G1428" s="30">
        <v>0</v>
      </c>
    </row>
    <row r="1429" spans="1:7" x14ac:dyDescent="0.25">
      <c r="A1429" t="s">
        <v>106</v>
      </c>
      <c r="B1429" t="s">
        <v>107</v>
      </c>
      <c r="C1429" t="s">
        <v>56</v>
      </c>
      <c r="D1429">
        <v>3343802</v>
      </c>
      <c r="E1429" t="s">
        <v>48</v>
      </c>
      <c r="F1429" t="s">
        <v>49</v>
      </c>
      <c r="G1429" s="30">
        <v>0</v>
      </c>
    </row>
    <row r="1430" spans="1:7" x14ac:dyDescent="0.25">
      <c r="A1430" t="s">
        <v>57</v>
      </c>
      <c r="B1430" t="s">
        <v>58</v>
      </c>
      <c r="C1430" t="s">
        <v>56</v>
      </c>
      <c r="D1430">
        <v>3344523</v>
      </c>
      <c r="E1430" t="s">
        <v>53</v>
      </c>
      <c r="F1430" t="s">
        <v>49</v>
      </c>
      <c r="G1430" s="30">
        <v>23654.743096638798</v>
      </c>
    </row>
    <row r="1431" spans="1:7" x14ac:dyDescent="0.25">
      <c r="A1431" t="s">
        <v>45</v>
      </c>
      <c r="B1431" t="s">
        <v>46</v>
      </c>
      <c r="C1431" t="s">
        <v>47</v>
      </c>
      <c r="D1431">
        <v>3345106</v>
      </c>
      <c r="E1431" t="s">
        <v>48</v>
      </c>
      <c r="F1431" t="s">
        <v>49</v>
      </c>
      <c r="G1431" s="30">
        <v>0</v>
      </c>
    </row>
    <row r="1432" spans="1:7" x14ac:dyDescent="0.25">
      <c r="A1432" t="s">
        <v>74</v>
      </c>
      <c r="B1432" t="s">
        <v>75</v>
      </c>
      <c r="C1432" t="s">
        <v>67</v>
      </c>
      <c r="D1432">
        <v>3345207</v>
      </c>
      <c r="E1432" t="s">
        <v>48</v>
      </c>
      <c r="F1432" t="s">
        <v>49</v>
      </c>
      <c r="G1432" s="30">
        <v>0</v>
      </c>
    </row>
    <row r="1433" spans="1:7" x14ac:dyDescent="0.25">
      <c r="A1433" t="s">
        <v>45</v>
      </c>
      <c r="B1433" t="s">
        <v>46</v>
      </c>
      <c r="C1433" t="s">
        <v>47</v>
      </c>
      <c r="D1433">
        <v>3345622</v>
      </c>
      <c r="E1433" t="s">
        <v>48</v>
      </c>
      <c r="F1433" t="s">
        <v>49</v>
      </c>
      <c r="G1433" s="30">
        <v>0</v>
      </c>
    </row>
    <row r="1434" spans="1:7" x14ac:dyDescent="0.25">
      <c r="A1434" t="s">
        <v>45</v>
      </c>
      <c r="B1434" t="s">
        <v>46</v>
      </c>
      <c r="C1434" t="s">
        <v>47</v>
      </c>
      <c r="D1434">
        <v>3351909</v>
      </c>
      <c r="E1434" t="s">
        <v>48</v>
      </c>
      <c r="F1434" t="s">
        <v>49</v>
      </c>
      <c r="G1434" s="30">
        <v>0</v>
      </c>
    </row>
    <row r="1435" spans="1:7" x14ac:dyDescent="0.25">
      <c r="A1435" t="s">
        <v>94</v>
      </c>
      <c r="B1435" t="s">
        <v>95</v>
      </c>
      <c r="C1435" t="s">
        <v>78</v>
      </c>
      <c r="D1435">
        <v>3352021</v>
      </c>
      <c r="E1435" t="s">
        <v>53</v>
      </c>
      <c r="F1435" t="s">
        <v>49</v>
      </c>
      <c r="G1435" s="30">
        <v>454914.354112842</v>
      </c>
    </row>
    <row r="1436" spans="1:7" x14ac:dyDescent="0.25">
      <c r="A1436" t="s">
        <v>45</v>
      </c>
      <c r="B1436" t="s">
        <v>46</v>
      </c>
      <c r="C1436" t="s">
        <v>47</v>
      </c>
      <c r="D1436">
        <v>3353636</v>
      </c>
      <c r="E1436" t="s">
        <v>53</v>
      </c>
      <c r="F1436" t="s">
        <v>49</v>
      </c>
      <c r="G1436" s="30">
        <v>284811.28789062501</v>
      </c>
    </row>
    <row r="1437" spans="1:7" x14ac:dyDescent="0.25">
      <c r="A1437" t="s">
        <v>45</v>
      </c>
      <c r="B1437" t="s">
        <v>46</v>
      </c>
      <c r="C1437" t="s">
        <v>47</v>
      </c>
      <c r="D1437">
        <v>3357160</v>
      </c>
      <c r="E1437" t="s">
        <v>53</v>
      </c>
      <c r="F1437" t="s">
        <v>49</v>
      </c>
      <c r="G1437" s="30">
        <v>19097.9007646955</v>
      </c>
    </row>
    <row r="1438" spans="1:7" x14ac:dyDescent="0.25">
      <c r="A1438" t="s">
        <v>126</v>
      </c>
      <c r="B1438" t="s">
        <v>127</v>
      </c>
      <c r="C1438" t="s">
        <v>67</v>
      </c>
      <c r="D1438">
        <v>3357989</v>
      </c>
      <c r="E1438" t="s">
        <v>53</v>
      </c>
      <c r="F1438" t="s">
        <v>49</v>
      </c>
      <c r="G1438" s="30">
        <v>233.87</v>
      </c>
    </row>
    <row r="1439" spans="1:7" x14ac:dyDescent="0.25">
      <c r="A1439" t="s">
        <v>45</v>
      </c>
      <c r="B1439" t="s">
        <v>46</v>
      </c>
      <c r="C1439" t="s">
        <v>47</v>
      </c>
      <c r="D1439">
        <v>3361577</v>
      </c>
      <c r="E1439" t="s">
        <v>48</v>
      </c>
      <c r="F1439" t="s">
        <v>49</v>
      </c>
      <c r="G1439" s="30">
        <v>0</v>
      </c>
    </row>
    <row r="1440" spans="1:7" x14ac:dyDescent="0.25">
      <c r="A1440" t="s">
        <v>45</v>
      </c>
      <c r="B1440" t="s">
        <v>46</v>
      </c>
      <c r="C1440" t="s">
        <v>47</v>
      </c>
      <c r="D1440">
        <v>3367461</v>
      </c>
      <c r="E1440" t="s">
        <v>48</v>
      </c>
      <c r="F1440" t="s">
        <v>49</v>
      </c>
      <c r="G1440" s="30">
        <v>0</v>
      </c>
    </row>
    <row r="1441" spans="1:7" x14ac:dyDescent="0.25">
      <c r="A1441" t="s">
        <v>133</v>
      </c>
      <c r="B1441" t="s">
        <v>134</v>
      </c>
      <c r="C1441" t="s">
        <v>47</v>
      </c>
      <c r="D1441">
        <v>3368643</v>
      </c>
      <c r="E1441" t="s">
        <v>53</v>
      </c>
      <c r="F1441" t="s">
        <v>49</v>
      </c>
      <c r="G1441" s="30">
        <v>462.91</v>
      </c>
    </row>
    <row r="1442" spans="1:7" x14ac:dyDescent="0.25">
      <c r="A1442" t="s">
        <v>50</v>
      </c>
      <c r="B1442" t="s">
        <v>51</v>
      </c>
      <c r="C1442" t="s">
        <v>52</v>
      </c>
      <c r="D1442">
        <v>3370183</v>
      </c>
      <c r="E1442" t="s">
        <v>53</v>
      </c>
      <c r="F1442" t="s">
        <v>49</v>
      </c>
      <c r="G1442" s="30">
        <v>29076.874441079599</v>
      </c>
    </row>
    <row r="1443" spans="1:7" x14ac:dyDescent="0.25">
      <c r="A1443" t="s">
        <v>45</v>
      </c>
      <c r="B1443" t="s">
        <v>46</v>
      </c>
      <c r="C1443" t="s">
        <v>47</v>
      </c>
      <c r="D1443">
        <v>3372198</v>
      </c>
      <c r="E1443" t="s">
        <v>48</v>
      </c>
      <c r="F1443" t="s">
        <v>49</v>
      </c>
      <c r="G1443" s="30">
        <v>0</v>
      </c>
    </row>
    <row r="1444" spans="1:7" x14ac:dyDescent="0.25">
      <c r="A1444" t="s">
        <v>45</v>
      </c>
      <c r="B1444" t="s">
        <v>46</v>
      </c>
      <c r="C1444" t="s">
        <v>47</v>
      </c>
      <c r="D1444">
        <v>3372280</v>
      </c>
      <c r="E1444" t="s">
        <v>48</v>
      </c>
      <c r="F1444" t="s">
        <v>49</v>
      </c>
      <c r="G1444" s="30">
        <v>1.49</v>
      </c>
    </row>
    <row r="1445" spans="1:7" x14ac:dyDescent="0.25">
      <c r="A1445" t="s">
        <v>50</v>
      </c>
      <c r="B1445" t="s">
        <v>51</v>
      </c>
      <c r="C1445" t="s">
        <v>52</v>
      </c>
      <c r="D1445">
        <v>3372589</v>
      </c>
      <c r="E1445" t="s">
        <v>53</v>
      </c>
      <c r="F1445" t="s">
        <v>49</v>
      </c>
      <c r="G1445" s="30">
        <v>34128.919904690003</v>
      </c>
    </row>
    <row r="1446" spans="1:7" x14ac:dyDescent="0.25">
      <c r="A1446" t="s">
        <v>72</v>
      </c>
      <c r="B1446" t="s">
        <v>73</v>
      </c>
      <c r="C1446" t="s">
        <v>67</v>
      </c>
      <c r="D1446">
        <v>3374428</v>
      </c>
      <c r="E1446" t="s">
        <v>53</v>
      </c>
      <c r="F1446" t="s">
        <v>49</v>
      </c>
      <c r="G1446" s="30">
        <v>189239.212720443</v>
      </c>
    </row>
    <row r="1447" spans="1:7" x14ac:dyDescent="0.25">
      <c r="A1447" t="s">
        <v>45</v>
      </c>
      <c r="B1447" t="s">
        <v>46</v>
      </c>
      <c r="C1447" t="s">
        <v>47</v>
      </c>
      <c r="D1447">
        <v>3374732</v>
      </c>
      <c r="E1447" t="s">
        <v>53</v>
      </c>
      <c r="F1447" t="s">
        <v>49</v>
      </c>
      <c r="G1447" s="30">
        <v>114298.963031016</v>
      </c>
    </row>
    <row r="1448" spans="1:7" x14ac:dyDescent="0.25">
      <c r="A1448" t="s">
        <v>45</v>
      </c>
      <c r="B1448" t="s">
        <v>46</v>
      </c>
      <c r="C1448" t="s">
        <v>47</v>
      </c>
      <c r="D1448">
        <v>3375622</v>
      </c>
      <c r="E1448" t="s">
        <v>53</v>
      </c>
      <c r="F1448" t="s">
        <v>49</v>
      </c>
      <c r="G1448" s="30">
        <v>110.25</v>
      </c>
    </row>
    <row r="1449" spans="1:7" x14ac:dyDescent="0.25">
      <c r="A1449" t="s">
        <v>133</v>
      </c>
      <c r="B1449" t="s">
        <v>134</v>
      </c>
      <c r="C1449" t="s">
        <v>47</v>
      </c>
      <c r="D1449">
        <v>3376816</v>
      </c>
      <c r="E1449" t="s">
        <v>53</v>
      </c>
      <c r="F1449" t="s">
        <v>49</v>
      </c>
      <c r="G1449" s="30">
        <v>483385.68011474598</v>
      </c>
    </row>
    <row r="1450" spans="1:7" x14ac:dyDescent="0.25">
      <c r="A1450" t="s">
        <v>54</v>
      </c>
      <c r="B1450" t="s">
        <v>55</v>
      </c>
      <c r="C1450" t="s">
        <v>56</v>
      </c>
      <c r="D1450">
        <v>3377670</v>
      </c>
      <c r="E1450" t="s">
        <v>48</v>
      </c>
      <c r="F1450" t="s">
        <v>49</v>
      </c>
      <c r="G1450" s="30">
        <v>0</v>
      </c>
    </row>
    <row r="1451" spans="1:7" x14ac:dyDescent="0.25">
      <c r="A1451" t="s">
        <v>45</v>
      </c>
      <c r="B1451" t="s">
        <v>46</v>
      </c>
      <c r="C1451" t="s">
        <v>47</v>
      </c>
      <c r="D1451">
        <v>3380328</v>
      </c>
      <c r="E1451" t="s">
        <v>53</v>
      </c>
      <c r="F1451" t="s">
        <v>49</v>
      </c>
      <c r="G1451" s="30">
        <v>295096.26736220898</v>
      </c>
    </row>
    <row r="1452" spans="1:7" x14ac:dyDescent="0.25">
      <c r="A1452" t="s">
        <v>45</v>
      </c>
      <c r="B1452" t="s">
        <v>46</v>
      </c>
      <c r="C1452" t="s">
        <v>47</v>
      </c>
      <c r="D1452">
        <v>3381120</v>
      </c>
      <c r="E1452" t="s">
        <v>48</v>
      </c>
      <c r="F1452" t="s">
        <v>49</v>
      </c>
      <c r="G1452" s="30">
        <v>0</v>
      </c>
    </row>
    <row r="1453" spans="1:7" x14ac:dyDescent="0.25">
      <c r="A1453" t="s">
        <v>50</v>
      </c>
      <c r="B1453" t="s">
        <v>51</v>
      </c>
      <c r="C1453" t="s">
        <v>52</v>
      </c>
      <c r="D1453">
        <v>3386528</v>
      </c>
      <c r="E1453" t="s">
        <v>53</v>
      </c>
      <c r="F1453" t="s">
        <v>49</v>
      </c>
      <c r="G1453" s="30">
        <v>263.78572846166799</v>
      </c>
    </row>
    <row r="1454" spans="1:7" x14ac:dyDescent="0.25">
      <c r="A1454" t="s">
        <v>88</v>
      </c>
      <c r="B1454" t="s">
        <v>89</v>
      </c>
      <c r="C1454" t="s">
        <v>78</v>
      </c>
      <c r="D1454">
        <v>3386836</v>
      </c>
      <c r="E1454" t="s">
        <v>53</v>
      </c>
      <c r="F1454" t="s">
        <v>49</v>
      </c>
      <c r="G1454" s="30">
        <v>153670.164783051</v>
      </c>
    </row>
    <row r="1455" spans="1:7" x14ac:dyDescent="0.25">
      <c r="A1455" t="s">
        <v>122</v>
      </c>
      <c r="B1455" t="s">
        <v>123</v>
      </c>
      <c r="C1455" t="s">
        <v>52</v>
      </c>
      <c r="D1455">
        <v>3386958</v>
      </c>
      <c r="E1455" t="s">
        <v>53</v>
      </c>
      <c r="F1455" t="s">
        <v>49</v>
      </c>
      <c r="G1455" s="30">
        <v>5701216.4654589398</v>
      </c>
    </row>
    <row r="1456" spans="1:7" x14ac:dyDescent="0.25">
      <c r="A1456" t="s">
        <v>45</v>
      </c>
      <c r="B1456" t="s">
        <v>46</v>
      </c>
      <c r="C1456" t="s">
        <v>47</v>
      </c>
      <c r="D1456">
        <v>3387871</v>
      </c>
      <c r="E1456" t="s">
        <v>48</v>
      </c>
      <c r="F1456" t="s">
        <v>49</v>
      </c>
      <c r="G1456" s="30">
        <v>28.63</v>
      </c>
    </row>
    <row r="1457" spans="1:7" x14ac:dyDescent="0.25">
      <c r="A1457" t="s">
        <v>45</v>
      </c>
      <c r="B1457" t="s">
        <v>46</v>
      </c>
      <c r="C1457" t="s">
        <v>47</v>
      </c>
      <c r="D1457">
        <v>3387892</v>
      </c>
      <c r="E1457" t="s">
        <v>48</v>
      </c>
      <c r="F1457" t="s">
        <v>49</v>
      </c>
      <c r="G1457" s="30">
        <v>0</v>
      </c>
    </row>
    <row r="1458" spans="1:7" x14ac:dyDescent="0.25">
      <c r="A1458" t="s">
        <v>92</v>
      </c>
      <c r="B1458" t="s">
        <v>93</v>
      </c>
      <c r="C1458" t="s">
        <v>81</v>
      </c>
      <c r="D1458">
        <v>3387972</v>
      </c>
      <c r="E1458" t="s">
        <v>48</v>
      </c>
      <c r="F1458" t="s">
        <v>49</v>
      </c>
      <c r="G1458" s="30">
        <v>0</v>
      </c>
    </row>
    <row r="1459" spans="1:7" x14ac:dyDescent="0.25">
      <c r="A1459" t="s">
        <v>65</v>
      </c>
      <c r="B1459" t="s">
        <v>66</v>
      </c>
      <c r="C1459" t="s">
        <v>67</v>
      </c>
      <c r="D1459">
        <v>3389088</v>
      </c>
      <c r="E1459" t="s">
        <v>48</v>
      </c>
      <c r="F1459" t="s">
        <v>49</v>
      </c>
      <c r="G1459" s="30">
        <v>0</v>
      </c>
    </row>
    <row r="1460" spans="1:7" x14ac:dyDescent="0.25">
      <c r="A1460" t="s">
        <v>50</v>
      </c>
      <c r="B1460" t="s">
        <v>51</v>
      </c>
      <c r="C1460" t="s">
        <v>52</v>
      </c>
      <c r="D1460">
        <v>3390241</v>
      </c>
      <c r="E1460" t="s">
        <v>53</v>
      </c>
      <c r="F1460" t="s">
        <v>49</v>
      </c>
      <c r="G1460" s="30">
        <v>8397.9101328068391</v>
      </c>
    </row>
    <row r="1461" spans="1:7" x14ac:dyDescent="0.25">
      <c r="A1461" t="s">
        <v>50</v>
      </c>
      <c r="B1461" t="s">
        <v>51</v>
      </c>
      <c r="C1461" t="s">
        <v>52</v>
      </c>
      <c r="D1461">
        <v>3390990</v>
      </c>
      <c r="E1461" t="s">
        <v>53</v>
      </c>
      <c r="F1461" t="s">
        <v>49</v>
      </c>
      <c r="G1461" s="30">
        <v>59621.15</v>
      </c>
    </row>
    <row r="1462" spans="1:7" x14ac:dyDescent="0.25">
      <c r="A1462" t="s">
        <v>45</v>
      </c>
      <c r="B1462" t="s">
        <v>46</v>
      </c>
      <c r="C1462" t="s">
        <v>47</v>
      </c>
      <c r="D1462">
        <v>3391474</v>
      </c>
      <c r="E1462" t="s">
        <v>48</v>
      </c>
      <c r="F1462" t="s">
        <v>49</v>
      </c>
      <c r="G1462" s="30">
        <v>0</v>
      </c>
    </row>
    <row r="1463" spans="1:7" x14ac:dyDescent="0.25">
      <c r="A1463" t="s">
        <v>50</v>
      </c>
      <c r="B1463" t="s">
        <v>51</v>
      </c>
      <c r="C1463" t="s">
        <v>52</v>
      </c>
      <c r="D1463">
        <v>3391498</v>
      </c>
      <c r="E1463" t="s">
        <v>53</v>
      </c>
      <c r="F1463" t="s">
        <v>49</v>
      </c>
      <c r="G1463" s="30">
        <v>57843.652952737997</v>
      </c>
    </row>
    <row r="1464" spans="1:7" x14ac:dyDescent="0.25">
      <c r="A1464" t="s">
        <v>112</v>
      </c>
      <c r="B1464" t="s">
        <v>113</v>
      </c>
      <c r="C1464" t="s">
        <v>81</v>
      </c>
      <c r="D1464">
        <v>3392296</v>
      </c>
      <c r="E1464" t="s">
        <v>48</v>
      </c>
      <c r="F1464" t="s">
        <v>49</v>
      </c>
      <c r="G1464" s="30">
        <v>0</v>
      </c>
    </row>
    <row r="1465" spans="1:7" x14ac:dyDescent="0.25">
      <c r="A1465" t="s">
        <v>90</v>
      </c>
      <c r="B1465" t="s">
        <v>91</v>
      </c>
      <c r="C1465" t="s">
        <v>81</v>
      </c>
      <c r="D1465">
        <v>3393896</v>
      </c>
      <c r="E1465" t="s">
        <v>53</v>
      </c>
      <c r="F1465" t="s">
        <v>49</v>
      </c>
      <c r="G1465" s="30">
        <v>373923.140833479</v>
      </c>
    </row>
    <row r="1466" spans="1:7" x14ac:dyDescent="0.25">
      <c r="A1466" t="s">
        <v>50</v>
      </c>
      <c r="B1466" t="s">
        <v>51</v>
      </c>
      <c r="C1466" t="s">
        <v>52</v>
      </c>
      <c r="D1466">
        <v>3397589</v>
      </c>
      <c r="E1466" t="s">
        <v>53</v>
      </c>
      <c r="F1466" t="s">
        <v>49</v>
      </c>
      <c r="G1466" s="30">
        <v>116.332361196438</v>
      </c>
    </row>
    <row r="1467" spans="1:7" x14ac:dyDescent="0.25">
      <c r="A1467" t="s">
        <v>122</v>
      </c>
      <c r="B1467" t="s">
        <v>123</v>
      </c>
      <c r="C1467" t="s">
        <v>52</v>
      </c>
      <c r="D1467">
        <v>3398529</v>
      </c>
      <c r="E1467" t="s">
        <v>53</v>
      </c>
      <c r="F1467" t="s">
        <v>49</v>
      </c>
      <c r="G1467" s="30">
        <v>1236031.2793962799</v>
      </c>
    </row>
    <row r="1468" spans="1:7" x14ac:dyDescent="0.25">
      <c r="A1468" t="s">
        <v>45</v>
      </c>
      <c r="B1468" t="s">
        <v>46</v>
      </c>
      <c r="C1468" t="s">
        <v>47</v>
      </c>
      <c r="D1468">
        <v>3398926</v>
      </c>
      <c r="E1468" t="s">
        <v>53</v>
      </c>
      <c r="F1468" t="s">
        <v>49</v>
      </c>
      <c r="G1468" s="30">
        <v>55086.197440000004</v>
      </c>
    </row>
    <row r="1469" spans="1:7" x14ac:dyDescent="0.25">
      <c r="A1469" t="s">
        <v>45</v>
      </c>
      <c r="B1469" t="s">
        <v>46</v>
      </c>
      <c r="C1469" t="s">
        <v>47</v>
      </c>
      <c r="D1469">
        <v>3404031</v>
      </c>
      <c r="E1469" t="s">
        <v>48</v>
      </c>
      <c r="F1469" t="s">
        <v>49</v>
      </c>
      <c r="G1469" s="30">
        <v>0</v>
      </c>
    </row>
    <row r="1470" spans="1:7" x14ac:dyDescent="0.25">
      <c r="A1470" t="s">
        <v>50</v>
      </c>
      <c r="B1470" t="s">
        <v>51</v>
      </c>
      <c r="C1470" t="s">
        <v>52</v>
      </c>
      <c r="D1470">
        <v>3404794</v>
      </c>
      <c r="E1470" t="s">
        <v>53</v>
      </c>
      <c r="F1470" t="s">
        <v>49</v>
      </c>
      <c r="G1470" s="30">
        <v>119.74105834960901</v>
      </c>
    </row>
    <row r="1471" spans="1:7" x14ac:dyDescent="0.25">
      <c r="A1471" t="s">
        <v>61</v>
      </c>
      <c r="B1471" t="s">
        <v>62</v>
      </c>
      <c r="C1471" t="s">
        <v>56</v>
      </c>
      <c r="D1471">
        <v>3404827</v>
      </c>
      <c r="E1471" t="s">
        <v>53</v>
      </c>
      <c r="F1471" t="s">
        <v>49</v>
      </c>
      <c r="G1471" s="30">
        <v>229744.47367277299</v>
      </c>
    </row>
    <row r="1472" spans="1:7" x14ac:dyDescent="0.25">
      <c r="A1472" t="s">
        <v>45</v>
      </c>
      <c r="B1472" t="s">
        <v>46</v>
      </c>
      <c r="C1472" t="s">
        <v>47</v>
      </c>
      <c r="D1472">
        <v>3405470</v>
      </c>
      <c r="E1472" t="s">
        <v>48</v>
      </c>
      <c r="F1472" t="s">
        <v>49</v>
      </c>
      <c r="G1472" s="30">
        <v>0</v>
      </c>
    </row>
    <row r="1473" spans="1:7" x14ac:dyDescent="0.25">
      <c r="A1473" t="s">
        <v>45</v>
      </c>
      <c r="B1473" t="s">
        <v>46</v>
      </c>
      <c r="C1473" t="s">
        <v>47</v>
      </c>
      <c r="D1473">
        <v>3406330</v>
      </c>
      <c r="E1473" t="s">
        <v>48</v>
      </c>
      <c r="F1473" t="s">
        <v>49</v>
      </c>
      <c r="G1473" s="30">
        <v>0.92</v>
      </c>
    </row>
    <row r="1474" spans="1:7" x14ac:dyDescent="0.25">
      <c r="A1474" t="s">
        <v>45</v>
      </c>
      <c r="B1474" t="s">
        <v>46</v>
      </c>
      <c r="C1474" t="s">
        <v>47</v>
      </c>
      <c r="D1474">
        <v>3410325</v>
      </c>
      <c r="E1474" t="s">
        <v>48</v>
      </c>
      <c r="F1474" t="s">
        <v>49</v>
      </c>
      <c r="G1474" s="30">
        <v>0</v>
      </c>
    </row>
    <row r="1475" spans="1:7" x14ac:dyDescent="0.25">
      <c r="A1475" t="s">
        <v>45</v>
      </c>
      <c r="B1475" t="s">
        <v>46</v>
      </c>
      <c r="C1475" t="s">
        <v>47</v>
      </c>
      <c r="D1475">
        <v>3412200</v>
      </c>
      <c r="E1475" t="s">
        <v>48</v>
      </c>
      <c r="F1475" t="s">
        <v>49</v>
      </c>
      <c r="G1475" s="30">
        <v>0</v>
      </c>
    </row>
    <row r="1476" spans="1:7" x14ac:dyDescent="0.25">
      <c r="A1476" t="s">
        <v>45</v>
      </c>
      <c r="B1476" t="s">
        <v>46</v>
      </c>
      <c r="C1476" t="s">
        <v>47</v>
      </c>
      <c r="D1476">
        <v>3412756</v>
      </c>
      <c r="E1476" t="s">
        <v>48</v>
      </c>
      <c r="F1476" t="s">
        <v>49</v>
      </c>
      <c r="G1476" s="30">
        <v>0</v>
      </c>
    </row>
    <row r="1477" spans="1:7" x14ac:dyDescent="0.25">
      <c r="A1477" t="s">
        <v>65</v>
      </c>
      <c r="B1477" t="s">
        <v>66</v>
      </c>
      <c r="C1477" t="s">
        <v>67</v>
      </c>
      <c r="D1477">
        <v>3413052</v>
      </c>
      <c r="E1477" t="s">
        <v>53</v>
      </c>
      <c r="F1477" t="s">
        <v>49</v>
      </c>
      <c r="G1477" s="30">
        <v>5687670.4705779701</v>
      </c>
    </row>
    <row r="1478" spans="1:7" x14ac:dyDescent="0.25">
      <c r="A1478" t="s">
        <v>50</v>
      </c>
      <c r="B1478" t="s">
        <v>51</v>
      </c>
      <c r="C1478" t="s">
        <v>52</v>
      </c>
      <c r="D1478">
        <v>3413706</v>
      </c>
      <c r="E1478" t="s">
        <v>53</v>
      </c>
      <c r="F1478" t="s">
        <v>49</v>
      </c>
      <c r="G1478" s="30">
        <v>38797.796875</v>
      </c>
    </row>
    <row r="1479" spans="1:7" x14ac:dyDescent="0.25">
      <c r="A1479" t="s">
        <v>124</v>
      </c>
      <c r="B1479" t="s">
        <v>125</v>
      </c>
      <c r="C1479" t="s">
        <v>78</v>
      </c>
      <c r="D1479">
        <v>3415005</v>
      </c>
      <c r="E1479" t="s">
        <v>53</v>
      </c>
      <c r="F1479" t="s">
        <v>49</v>
      </c>
      <c r="G1479" s="30">
        <v>114858.584318594</v>
      </c>
    </row>
    <row r="1480" spans="1:7" x14ac:dyDescent="0.25">
      <c r="A1480" t="s">
        <v>45</v>
      </c>
      <c r="B1480" t="s">
        <v>46</v>
      </c>
      <c r="C1480" t="s">
        <v>47</v>
      </c>
      <c r="D1480">
        <v>3415933</v>
      </c>
      <c r="E1480" t="s">
        <v>48</v>
      </c>
      <c r="F1480" t="s">
        <v>49</v>
      </c>
      <c r="G1480" s="30">
        <v>0</v>
      </c>
    </row>
    <row r="1481" spans="1:7" x14ac:dyDescent="0.25">
      <c r="A1481" t="s">
        <v>50</v>
      </c>
      <c r="B1481" t="s">
        <v>51</v>
      </c>
      <c r="C1481" t="s">
        <v>52</v>
      </c>
      <c r="D1481">
        <v>3416141</v>
      </c>
      <c r="E1481" t="s">
        <v>53</v>
      </c>
      <c r="F1481" t="s">
        <v>49</v>
      </c>
      <c r="G1481" s="30">
        <v>16912.346171552501</v>
      </c>
    </row>
    <row r="1482" spans="1:7" x14ac:dyDescent="0.25">
      <c r="A1482" t="s">
        <v>61</v>
      </c>
      <c r="B1482" t="s">
        <v>62</v>
      </c>
      <c r="C1482" t="s">
        <v>56</v>
      </c>
      <c r="D1482">
        <v>3417369</v>
      </c>
      <c r="E1482" t="s">
        <v>48</v>
      </c>
      <c r="F1482" t="s">
        <v>49</v>
      </c>
      <c r="G1482" s="30">
        <v>0</v>
      </c>
    </row>
    <row r="1483" spans="1:7" x14ac:dyDescent="0.25">
      <c r="A1483" t="s">
        <v>45</v>
      </c>
      <c r="B1483" t="s">
        <v>46</v>
      </c>
      <c r="C1483" t="s">
        <v>47</v>
      </c>
      <c r="D1483">
        <v>3417942</v>
      </c>
      <c r="E1483" t="s">
        <v>48</v>
      </c>
      <c r="F1483" t="s">
        <v>49</v>
      </c>
      <c r="G1483" s="30">
        <v>0</v>
      </c>
    </row>
    <row r="1484" spans="1:7" x14ac:dyDescent="0.25">
      <c r="A1484" t="s">
        <v>45</v>
      </c>
      <c r="B1484" t="s">
        <v>46</v>
      </c>
      <c r="C1484" t="s">
        <v>47</v>
      </c>
      <c r="D1484">
        <v>3418308</v>
      </c>
      <c r="E1484" t="s">
        <v>48</v>
      </c>
      <c r="F1484" t="s">
        <v>49</v>
      </c>
      <c r="G1484" s="30">
        <v>0</v>
      </c>
    </row>
    <row r="1485" spans="1:7" x14ac:dyDescent="0.25">
      <c r="A1485" t="s">
        <v>153</v>
      </c>
      <c r="B1485" t="s">
        <v>154</v>
      </c>
      <c r="C1485" t="s">
        <v>48</v>
      </c>
      <c r="D1485">
        <v>3419740</v>
      </c>
      <c r="E1485" t="s">
        <v>48</v>
      </c>
      <c r="F1485" t="s">
        <v>49</v>
      </c>
      <c r="G1485" s="30">
        <v>0</v>
      </c>
    </row>
    <row r="1486" spans="1:7" x14ac:dyDescent="0.25">
      <c r="A1486" t="s">
        <v>45</v>
      </c>
      <c r="B1486" t="s">
        <v>46</v>
      </c>
      <c r="C1486" t="s">
        <v>47</v>
      </c>
      <c r="D1486">
        <v>3419905</v>
      </c>
      <c r="E1486" t="s">
        <v>53</v>
      </c>
      <c r="F1486" t="s">
        <v>49</v>
      </c>
      <c r="G1486" s="30">
        <v>152163.671875</v>
      </c>
    </row>
    <row r="1487" spans="1:7" x14ac:dyDescent="0.25">
      <c r="A1487" t="s">
        <v>122</v>
      </c>
      <c r="B1487" t="s">
        <v>123</v>
      </c>
      <c r="C1487" t="s">
        <v>52</v>
      </c>
      <c r="D1487">
        <v>3420917</v>
      </c>
      <c r="E1487" t="s">
        <v>53</v>
      </c>
      <c r="F1487" t="s">
        <v>49</v>
      </c>
      <c r="G1487" s="30">
        <v>16934.689999999999</v>
      </c>
    </row>
    <row r="1488" spans="1:7" x14ac:dyDescent="0.25">
      <c r="A1488" t="s">
        <v>88</v>
      </c>
      <c r="B1488" t="s">
        <v>89</v>
      </c>
      <c r="C1488" t="s">
        <v>78</v>
      </c>
      <c r="D1488">
        <v>3421200</v>
      </c>
      <c r="E1488" t="s">
        <v>53</v>
      </c>
      <c r="F1488" t="s">
        <v>49</v>
      </c>
      <c r="G1488" s="30">
        <v>246638.369009916</v>
      </c>
    </row>
    <row r="1489" spans="1:7" x14ac:dyDescent="0.25">
      <c r="A1489" t="s">
        <v>45</v>
      </c>
      <c r="B1489" t="s">
        <v>46</v>
      </c>
      <c r="C1489" t="s">
        <v>47</v>
      </c>
      <c r="D1489">
        <v>3423642</v>
      </c>
      <c r="E1489" t="s">
        <v>48</v>
      </c>
      <c r="F1489" t="s">
        <v>49</v>
      </c>
      <c r="G1489" s="30">
        <v>0</v>
      </c>
    </row>
    <row r="1490" spans="1:7" x14ac:dyDescent="0.25">
      <c r="A1490" t="s">
        <v>45</v>
      </c>
      <c r="B1490" t="s">
        <v>46</v>
      </c>
      <c r="C1490" t="s">
        <v>47</v>
      </c>
      <c r="D1490">
        <v>3426855</v>
      </c>
      <c r="E1490" t="s">
        <v>48</v>
      </c>
      <c r="F1490" t="s">
        <v>49</v>
      </c>
      <c r="G1490" s="30">
        <v>63.46</v>
      </c>
    </row>
    <row r="1491" spans="1:7" x14ac:dyDescent="0.25">
      <c r="A1491" t="s">
        <v>45</v>
      </c>
      <c r="B1491" t="s">
        <v>46</v>
      </c>
      <c r="C1491" t="s">
        <v>47</v>
      </c>
      <c r="D1491">
        <v>3428636</v>
      </c>
      <c r="E1491" t="s">
        <v>48</v>
      </c>
      <c r="F1491" t="s">
        <v>49</v>
      </c>
      <c r="G1491" s="30">
        <v>0</v>
      </c>
    </row>
    <row r="1492" spans="1:7" x14ac:dyDescent="0.25">
      <c r="A1492" t="s">
        <v>50</v>
      </c>
      <c r="B1492" t="s">
        <v>51</v>
      </c>
      <c r="C1492" t="s">
        <v>52</v>
      </c>
      <c r="D1492">
        <v>3429940</v>
      </c>
      <c r="E1492" t="s">
        <v>53</v>
      </c>
      <c r="F1492" t="s">
        <v>49</v>
      </c>
      <c r="G1492" s="30">
        <v>99685.189012776798</v>
      </c>
    </row>
    <row r="1493" spans="1:7" x14ac:dyDescent="0.25">
      <c r="A1493" t="s">
        <v>54</v>
      </c>
      <c r="B1493" t="s">
        <v>55</v>
      </c>
      <c r="C1493" t="s">
        <v>56</v>
      </c>
      <c r="D1493">
        <v>3430395</v>
      </c>
      <c r="E1493" t="s">
        <v>53</v>
      </c>
      <c r="F1493" t="s">
        <v>49</v>
      </c>
      <c r="G1493" s="30">
        <v>275123.78696585301</v>
      </c>
    </row>
    <row r="1494" spans="1:7" x14ac:dyDescent="0.25">
      <c r="A1494" t="s">
        <v>133</v>
      </c>
      <c r="B1494" t="s">
        <v>134</v>
      </c>
      <c r="C1494" t="s">
        <v>47</v>
      </c>
      <c r="D1494">
        <v>3433028</v>
      </c>
      <c r="E1494" t="s">
        <v>53</v>
      </c>
      <c r="F1494" t="s">
        <v>49</v>
      </c>
      <c r="G1494" s="30">
        <v>144177.53062500001</v>
      </c>
    </row>
    <row r="1495" spans="1:7" x14ac:dyDescent="0.25">
      <c r="A1495" t="s">
        <v>50</v>
      </c>
      <c r="B1495" t="s">
        <v>51</v>
      </c>
      <c r="C1495" t="s">
        <v>52</v>
      </c>
      <c r="D1495">
        <v>3433959</v>
      </c>
      <c r="E1495" t="s">
        <v>53</v>
      </c>
      <c r="F1495" t="s">
        <v>49</v>
      </c>
      <c r="G1495" s="30">
        <v>6025.0892651648001</v>
      </c>
    </row>
    <row r="1496" spans="1:7" x14ac:dyDescent="0.25">
      <c r="A1496" t="s">
        <v>61</v>
      </c>
      <c r="B1496" t="s">
        <v>62</v>
      </c>
      <c r="C1496" t="s">
        <v>56</v>
      </c>
      <c r="D1496">
        <v>3436457</v>
      </c>
      <c r="E1496" t="s">
        <v>48</v>
      </c>
      <c r="F1496" t="s">
        <v>49</v>
      </c>
      <c r="G1496" s="30">
        <v>0</v>
      </c>
    </row>
    <row r="1497" spans="1:7" x14ac:dyDescent="0.25">
      <c r="A1497" t="s">
        <v>131</v>
      </c>
      <c r="B1497" t="s">
        <v>132</v>
      </c>
      <c r="C1497" t="s">
        <v>67</v>
      </c>
      <c r="D1497">
        <v>3437411</v>
      </c>
      <c r="E1497" t="s">
        <v>53</v>
      </c>
      <c r="F1497" t="s">
        <v>49</v>
      </c>
      <c r="G1497" s="30">
        <v>11549490.1333114</v>
      </c>
    </row>
    <row r="1498" spans="1:7" x14ac:dyDescent="0.25">
      <c r="A1498" t="s">
        <v>104</v>
      </c>
      <c r="B1498" t="s">
        <v>105</v>
      </c>
      <c r="C1498" t="s">
        <v>78</v>
      </c>
      <c r="D1498">
        <v>3438456</v>
      </c>
      <c r="E1498" t="s">
        <v>53</v>
      </c>
      <c r="F1498" t="s">
        <v>49</v>
      </c>
      <c r="G1498" s="30">
        <v>132639.98024869201</v>
      </c>
    </row>
    <row r="1499" spans="1:7" x14ac:dyDescent="0.25">
      <c r="A1499" t="s">
        <v>50</v>
      </c>
      <c r="B1499" t="s">
        <v>51</v>
      </c>
      <c r="C1499" t="s">
        <v>52</v>
      </c>
      <c r="D1499">
        <v>3438907</v>
      </c>
      <c r="E1499" t="s">
        <v>53</v>
      </c>
      <c r="F1499" t="s">
        <v>49</v>
      </c>
      <c r="G1499" s="30">
        <v>6224.7644296809103</v>
      </c>
    </row>
    <row r="1500" spans="1:7" x14ac:dyDescent="0.25">
      <c r="A1500" t="s">
        <v>45</v>
      </c>
      <c r="B1500" t="s">
        <v>46</v>
      </c>
      <c r="C1500" t="s">
        <v>47</v>
      </c>
      <c r="D1500">
        <v>3441312</v>
      </c>
      <c r="E1500" t="s">
        <v>53</v>
      </c>
      <c r="F1500" t="s">
        <v>49</v>
      </c>
      <c r="G1500" s="30">
        <v>165.6</v>
      </c>
    </row>
    <row r="1501" spans="1:7" x14ac:dyDescent="0.25">
      <c r="A1501" t="s">
        <v>45</v>
      </c>
      <c r="B1501" t="s">
        <v>46</v>
      </c>
      <c r="C1501" t="s">
        <v>47</v>
      </c>
      <c r="D1501">
        <v>3447597</v>
      </c>
      <c r="E1501" t="s">
        <v>48</v>
      </c>
      <c r="F1501" t="s">
        <v>49</v>
      </c>
      <c r="G1501" s="30">
        <v>0</v>
      </c>
    </row>
    <row r="1502" spans="1:7" x14ac:dyDescent="0.25">
      <c r="A1502" t="s">
        <v>50</v>
      </c>
      <c r="B1502" t="s">
        <v>51</v>
      </c>
      <c r="C1502" t="s">
        <v>52</v>
      </c>
      <c r="D1502">
        <v>3447933</v>
      </c>
      <c r="E1502" t="s">
        <v>53</v>
      </c>
      <c r="F1502" t="s">
        <v>49</v>
      </c>
      <c r="G1502" s="30">
        <v>2514.6600213343299</v>
      </c>
    </row>
    <row r="1503" spans="1:7" x14ac:dyDescent="0.25">
      <c r="A1503" t="s">
        <v>54</v>
      </c>
      <c r="B1503" t="s">
        <v>55</v>
      </c>
      <c r="C1503" t="s">
        <v>56</v>
      </c>
      <c r="D1503">
        <v>3448125</v>
      </c>
      <c r="E1503" t="s">
        <v>48</v>
      </c>
      <c r="F1503" t="s">
        <v>49</v>
      </c>
      <c r="G1503" s="30">
        <v>0</v>
      </c>
    </row>
    <row r="1504" spans="1:7" x14ac:dyDescent="0.25">
      <c r="A1504" t="s">
        <v>45</v>
      </c>
      <c r="B1504" t="s">
        <v>46</v>
      </c>
      <c r="C1504" t="s">
        <v>47</v>
      </c>
      <c r="D1504">
        <v>3448751</v>
      </c>
      <c r="E1504" t="s">
        <v>48</v>
      </c>
      <c r="F1504" t="s">
        <v>49</v>
      </c>
      <c r="G1504" s="30">
        <v>0</v>
      </c>
    </row>
    <row r="1505" spans="1:7" x14ac:dyDescent="0.25">
      <c r="A1505" t="s">
        <v>45</v>
      </c>
      <c r="B1505" t="s">
        <v>46</v>
      </c>
      <c r="C1505" t="s">
        <v>47</v>
      </c>
      <c r="D1505">
        <v>3449599</v>
      </c>
      <c r="E1505" t="s">
        <v>48</v>
      </c>
      <c r="F1505" t="s">
        <v>49</v>
      </c>
      <c r="G1505" s="30">
        <v>0</v>
      </c>
    </row>
    <row r="1506" spans="1:7" x14ac:dyDescent="0.25">
      <c r="A1506" t="s">
        <v>45</v>
      </c>
      <c r="B1506" t="s">
        <v>46</v>
      </c>
      <c r="C1506" t="s">
        <v>47</v>
      </c>
      <c r="D1506">
        <v>3450283</v>
      </c>
      <c r="E1506" t="s">
        <v>48</v>
      </c>
      <c r="F1506" t="s">
        <v>49</v>
      </c>
      <c r="G1506" s="30">
        <v>0</v>
      </c>
    </row>
    <row r="1507" spans="1:7" x14ac:dyDescent="0.25">
      <c r="A1507" t="s">
        <v>72</v>
      </c>
      <c r="B1507" t="s">
        <v>73</v>
      </c>
      <c r="C1507" t="s">
        <v>67</v>
      </c>
      <c r="D1507">
        <v>3451600</v>
      </c>
      <c r="E1507" t="s">
        <v>53</v>
      </c>
      <c r="F1507" t="s">
        <v>49</v>
      </c>
      <c r="G1507" s="30">
        <v>733658.42394827597</v>
      </c>
    </row>
    <row r="1508" spans="1:7" x14ac:dyDescent="0.25">
      <c r="A1508" t="s">
        <v>50</v>
      </c>
      <c r="B1508" t="s">
        <v>51</v>
      </c>
      <c r="C1508" t="s">
        <v>52</v>
      </c>
      <c r="D1508">
        <v>3455279</v>
      </c>
      <c r="E1508" t="s">
        <v>53</v>
      </c>
      <c r="F1508" t="s">
        <v>49</v>
      </c>
      <c r="G1508" s="30">
        <v>17058.579568586701</v>
      </c>
    </row>
    <row r="1509" spans="1:7" x14ac:dyDescent="0.25">
      <c r="A1509" t="s">
        <v>50</v>
      </c>
      <c r="B1509" t="s">
        <v>51</v>
      </c>
      <c r="C1509" t="s">
        <v>52</v>
      </c>
      <c r="D1509">
        <v>3457607</v>
      </c>
      <c r="E1509" t="s">
        <v>53</v>
      </c>
      <c r="F1509" t="s">
        <v>49</v>
      </c>
      <c r="G1509" s="30">
        <v>47855.577860196601</v>
      </c>
    </row>
    <row r="1510" spans="1:7" x14ac:dyDescent="0.25">
      <c r="A1510" t="s">
        <v>45</v>
      </c>
      <c r="B1510" t="s">
        <v>46</v>
      </c>
      <c r="C1510" t="s">
        <v>47</v>
      </c>
      <c r="D1510">
        <v>3459559</v>
      </c>
      <c r="E1510" t="s">
        <v>48</v>
      </c>
      <c r="F1510" t="s">
        <v>49</v>
      </c>
      <c r="G1510" s="30">
        <v>0</v>
      </c>
    </row>
    <row r="1511" spans="1:7" x14ac:dyDescent="0.25">
      <c r="A1511" t="s">
        <v>45</v>
      </c>
      <c r="B1511" t="s">
        <v>46</v>
      </c>
      <c r="C1511" t="s">
        <v>47</v>
      </c>
      <c r="D1511">
        <v>3466203</v>
      </c>
      <c r="E1511" t="s">
        <v>48</v>
      </c>
      <c r="F1511" t="s">
        <v>49</v>
      </c>
      <c r="G1511" s="30">
        <v>0</v>
      </c>
    </row>
    <row r="1512" spans="1:7" x14ac:dyDescent="0.25">
      <c r="A1512" t="s">
        <v>63</v>
      </c>
      <c r="B1512" t="s">
        <v>64</v>
      </c>
      <c r="C1512" t="s">
        <v>56</v>
      </c>
      <c r="D1512">
        <v>3466335</v>
      </c>
      <c r="E1512" t="s">
        <v>53</v>
      </c>
      <c r="F1512" t="s">
        <v>49</v>
      </c>
      <c r="G1512" s="30">
        <v>213150.59024754801</v>
      </c>
    </row>
    <row r="1513" spans="1:7" x14ac:dyDescent="0.25">
      <c r="A1513" t="s">
        <v>54</v>
      </c>
      <c r="B1513" t="s">
        <v>55</v>
      </c>
      <c r="C1513" t="s">
        <v>56</v>
      </c>
      <c r="D1513">
        <v>3466655</v>
      </c>
      <c r="E1513" t="s">
        <v>53</v>
      </c>
      <c r="F1513" t="s">
        <v>49</v>
      </c>
      <c r="G1513" s="30">
        <v>263279.43456547899</v>
      </c>
    </row>
    <row r="1514" spans="1:7" x14ac:dyDescent="0.25">
      <c r="A1514" t="s">
        <v>61</v>
      </c>
      <c r="B1514" t="s">
        <v>62</v>
      </c>
      <c r="C1514" t="s">
        <v>56</v>
      </c>
      <c r="D1514">
        <v>3467051</v>
      </c>
      <c r="E1514" t="s">
        <v>53</v>
      </c>
      <c r="F1514" t="s">
        <v>49</v>
      </c>
      <c r="G1514" s="30">
        <v>1643.79105781622</v>
      </c>
    </row>
    <row r="1515" spans="1:7" x14ac:dyDescent="0.25">
      <c r="A1515" t="s">
        <v>45</v>
      </c>
      <c r="B1515" t="s">
        <v>46</v>
      </c>
      <c r="C1515" t="s">
        <v>47</v>
      </c>
      <c r="D1515">
        <v>3467185</v>
      </c>
      <c r="E1515" t="s">
        <v>48</v>
      </c>
      <c r="F1515" t="s">
        <v>49</v>
      </c>
      <c r="G1515" s="30">
        <v>0</v>
      </c>
    </row>
    <row r="1516" spans="1:7" x14ac:dyDescent="0.25">
      <c r="A1516" t="s">
        <v>50</v>
      </c>
      <c r="B1516" t="s">
        <v>51</v>
      </c>
      <c r="C1516" t="s">
        <v>52</v>
      </c>
      <c r="D1516">
        <v>3467328</v>
      </c>
      <c r="E1516" t="s">
        <v>53</v>
      </c>
      <c r="F1516" t="s">
        <v>49</v>
      </c>
      <c r="G1516" s="30">
        <v>24732.330721035702</v>
      </c>
    </row>
    <row r="1517" spans="1:7" x14ac:dyDescent="0.25">
      <c r="A1517" t="s">
        <v>90</v>
      </c>
      <c r="B1517" t="s">
        <v>91</v>
      </c>
      <c r="C1517" t="s">
        <v>81</v>
      </c>
      <c r="D1517">
        <v>3468472</v>
      </c>
      <c r="E1517" t="s">
        <v>53</v>
      </c>
      <c r="F1517" t="s">
        <v>49</v>
      </c>
      <c r="G1517" s="30">
        <v>1969</v>
      </c>
    </row>
    <row r="1518" spans="1:7" x14ac:dyDescent="0.25">
      <c r="A1518" t="s">
        <v>118</v>
      </c>
      <c r="B1518" t="s">
        <v>119</v>
      </c>
      <c r="C1518" t="s">
        <v>56</v>
      </c>
      <c r="D1518">
        <v>3470835</v>
      </c>
      <c r="E1518" t="s">
        <v>53</v>
      </c>
      <c r="F1518" t="s">
        <v>49</v>
      </c>
      <c r="G1518" s="30">
        <v>117586.497628312</v>
      </c>
    </row>
    <row r="1519" spans="1:7" x14ac:dyDescent="0.25">
      <c r="A1519" t="s">
        <v>45</v>
      </c>
      <c r="B1519" t="s">
        <v>46</v>
      </c>
      <c r="C1519" t="s">
        <v>47</v>
      </c>
      <c r="D1519">
        <v>3472065</v>
      </c>
      <c r="E1519" t="s">
        <v>48</v>
      </c>
      <c r="F1519" t="s">
        <v>49</v>
      </c>
      <c r="G1519" s="30">
        <v>0</v>
      </c>
    </row>
    <row r="1520" spans="1:7" x14ac:dyDescent="0.25">
      <c r="A1520" t="s">
        <v>72</v>
      </c>
      <c r="B1520" t="s">
        <v>73</v>
      </c>
      <c r="C1520" t="s">
        <v>67</v>
      </c>
      <c r="D1520">
        <v>3472570</v>
      </c>
      <c r="E1520" t="s">
        <v>53</v>
      </c>
      <c r="F1520" t="s">
        <v>49</v>
      </c>
      <c r="G1520" s="30">
        <v>21707.8242447913</v>
      </c>
    </row>
    <row r="1521" spans="1:7" x14ac:dyDescent="0.25">
      <c r="A1521" t="s">
        <v>124</v>
      </c>
      <c r="B1521" t="s">
        <v>125</v>
      </c>
      <c r="C1521" t="s">
        <v>78</v>
      </c>
      <c r="D1521">
        <v>3475923</v>
      </c>
      <c r="E1521" t="s">
        <v>53</v>
      </c>
      <c r="F1521" t="s">
        <v>49</v>
      </c>
      <c r="G1521" s="30">
        <v>213193.81000915699</v>
      </c>
    </row>
    <row r="1522" spans="1:7" x14ac:dyDescent="0.25">
      <c r="A1522" t="s">
        <v>45</v>
      </c>
      <c r="B1522" t="s">
        <v>46</v>
      </c>
      <c r="C1522" t="s">
        <v>47</v>
      </c>
      <c r="D1522">
        <v>3480211</v>
      </c>
      <c r="E1522" t="s">
        <v>48</v>
      </c>
      <c r="F1522" t="s">
        <v>49</v>
      </c>
      <c r="G1522" s="30">
        <v>0</v>
      </c>
    </row>
    <row r="1523" spans="1:7" x14ac:dyDescent="0.25">
      <c r="A1523" t="s">
        <v>50</v>
      </c>
      <c r="B1523" t="s">
        <v>51</v>
      </c>
      <c r="C1523" t="s">
        <v>52</v>
      </c>
      <c r="D1523">
        <v>3480498</v>
      </c>
      <c r="E1523" t="s">
        <v>48</v>
      </c>
      <c r="F1523" t="s">
        <v>49</v>
      </c>
      <c r="G1523" s="30">
        <v>0</v>
      </c>
    </row>
    <row r="1524" spans="1:7" x14ac:dyDescent="0.25">
      <c r="A1524" t="s">
        <v>72</v>
      </c>
      <c r="B1524" t="s">
        <v>73</v>
      </c>
      <c r="C1524" t="s">
        <v>67</v>
      </c>
      <c r="D1524">
        <v>3481991</v>
      </c>
      <c r="E1524" t="s">
        <v>53</v>
      </c>
      <c r="F1524" t="s">
        <v>49</v>
      </c>
      <c r="G1524" s="30">
        <v>182070.837313111</v>
      </c>
    </row>
    <row r="1525" spans="1:7" x14ac:dyDescent="0.25">
      <c r="A1525" t="s">
        <v>72</v>
      </c>
      <c r="B1525" t="s">
        <v>73</v>
      </c>
      <c r="C1525" t="s">
        <v>67</v>
      </c>
      <c r="D1525">
        <v>3482022</v>
      </c>
      <c r="E1525" t="s">
        <v>53</v>
      </c>
      <c r="F1525" t="s">
        <v>49</v>
      </c>
      <c r="G1525" s="30">
        <v>104364.00408621</v>
      </c>
    </row>
    <row r="1526" spans="1:7" x14ac:dyDescent="0.25">
      <c r="A1526" t="s">
        <v>72</v>
      </c>
      <c r="B1526" t="s">
        <v>73</v>
      </c>
      <c r="C1526" t="s">
        <v>67</v>
      </c>
      <c r="D1526">
        <v>3482820</v>
      </c>
      <c r="E1526" t="s">
        <v>53</v>
      </c>
      <c r="F1526" t="s">
        <v>49</v>
      </c>
      <c r="G1526" s="30">
        <v>2212321.11375</v>
      </c>
    </row>
    <row r="1527" spans="1:7" x14ac:dyDescent="0.25">
      <c r="A1527" t="s">
        <v>50</v>
      </c>
      <c r="B1527" t="s">
        <v>51</v>
      </c>
      <c r="C1527" t="s">
        <v>52</v>
      </c>
      <c r="D1527">
        <v>3482879</v>
      </c>
      <c r="E1527" t="s">
        <v>53</v>
      </c>
      <c r="F1527" t="s">
        <v>49</v>
      </c>
      <c r="G1527" s="30">
        <v>49065.17</v>
      </c>
    </row>
    <row r="1528" spans="1:7" x14ac:dyDescent="0.25">
      <c r="A1528" t="s">
        <v>45</v>
      </c>
      <c r="B1528" t="s">
        <v>46</v>
      </c>
      <c r="C1528" t="s">
        <v>47</v>
      </c>
      <c r="D1528">
        <v>3483153</v>
      </c>
      <c r="E1528" t="s">
        <v>48</v>
      </c>
      <c r="F1528" t="s">
        <v>49</v>
      </c>
      <c r="G1528" s="30">
        <v>0</v>
      </c>
    </row>
    <row r="1529" spans="1:7" x14ac:dyDescent="0.25">
      <c r="A1529" t="s">
        <v>124</v>
      </c>
      <c r="B1529" t="s">
        <v>125</v>
      </c>
      <c r="C1529" t="s">
        <v>78</v>
      </c>
      <c r="D1529">
        <v>3484126</v>
      </c>
      <c r="E1529" t="s">
        <v>53</v>
      </c>
      <c r="F1529" t="s">
        <v>49</v>
      </c>
      <c r="G1529" s="30">
        <v>131642.91308</v>
      </c>
    </row>
    <row r="1530" spans="1:7" x14ac:dyDescent="0.25">
      <c r="A1530" t="s">
        <v>50</v>
      </c>
      <c r="B1530" t="s">
        <v>51</v>
      </c>
      <c r="C1530" t="s">
        <v>52</v>
      </c>
      <c r="D1530">
        <v>3486585</v>
      </c>
      <c r="E1530" t="s">
        <v>53</v>
      </c>
      <c r="F1530" t="s">
        <v>49</v>
      </c>
      <c r="G1530" s="30">
        <v>344.34890071000001</v>
      </c>
    </row>
    <row r="1531" spans="1:7" x14ac:dyDescent="0.25">
      <c r="A1531" t="s">
        <v>72</v>
      </c>
      <c r="B1531" t="s">
        <v>73</v>
      </c>
      <c r="C1531" t="s">
        <v>67</v>
      </c>
      <c r="D1531">
        <v>3487004</v>
      </c>
      <c r="E1531" t="s">
        <v>53</v>
      </c>
      <c r="F1531" t="s">
        <v>49</v>
      </c>
      <c r="G1531" s="30">
        <v>215033.21754210701</v>
      </c>
    </row>
    <row r="1532" spans="1:7" x14ac:dyDescent="0.25">
      <c r="A1532" t="s">
        <v>88</v>
      </c>
      <c r="B1532" t="s">
        <v>89</v>
      </c>
      <c r="C1532" t="s">
        <v>78</v>
      </c>
      <c r="D1532">
        <v>3487243</v>
      </c>
      <c r="E1532" t="s">
        <v>53</v>
      </c>
      <c r="F1532" t="s">
        <v>49</v>
      </c>
      <c r="G1532" s="30">
        <v>108222.155550271</v>
      </c>
    </row>
    <row r="1533" spans="1:7" x14ac:dyDescent="0.25">
      <c r="A1533" t="s">
        <v>45</v>
      </c>
      <c r="B1533" t="s">
        <v>46</v>
      </c>
      <c r="C1533" t="s">
        <v>47</v>
      </c>
      <c r="D1533">
        <v>3487874</v>
      </c>
      <c r="E1533" t="s">
        <v>48</v>
      </c>
      <c r="F1533" t="s">
        <v>49</v>
      </c>
      <c r="G1533" s="30">
        <v>0.71</v>
      </c>
    </row>
    <row r="1534" spans="1:7" x14ac:dyDescent="0.25">
      <c r="A1534" t="s">
        <v>45</v>
      </c>
      <c r="B1534" t="s">
        <v>46</v>
      </c>
      <c r="C1534" t="s">
        <v>47</v>
      </c>
      <c r="D1534">
        <v>3491305</v>
      </c>
      <c r="E1534" t="s">
        <v>48</v>
      </c>
      <c r="F1534" t="s">
        <v>49</v>
      </c>
      <c r="G1534" s="30">
        <v>0</v>
      </c>
    </row>
    <row r="1535" spans="1:7" x14ac:dyDescent="0.25">
      <c r="A1535" t="s">
        <v>50</v>
      </c>
      <c r="B1535" t="s">
        <v>51</v>
      </c>
      <c r="C1535" t="s">
        <v>52</v>
      </c>
      <c r="D1535">
        <v>3491701</v>
      </c>
      <c r="E1535" t="s">
        <v>53</v>
      </c>
      <c r="F1535" t="s">
        <v>49</v>
      </c>
      <c r="G1535" s="30">
        <v>5614.3751602092298</v>
      </c>
    </row>
    <row r="1536" spans="1:7" x14ac:dyDescent="0.25">
      <c r="A1536" t="s">
        <v>50</v>
      </c>
      <c r="B1536" t="s">
        <v>51</v>
      </c>
      <c r="C1536" t="s">
        <v>52</v>
      </c>
      <c r="D1536">
        <v>3491753</v>
      </c>
      <c r="E1536" t="s">
        <v>53</v>
      </c>
      <c r="F1536" t="s">
        <v>49</v>
      </c>
      <c r="G1536" s="30">
        <v>16689.509166096399</v>
      </c>
    </row>
    <row r="1537" spans="1:7" x14ac:dyDescent="0.25">
      <c r="A1537" t="s">
        <v>45</v>
      </c>
      <c r="B1537" t="s">
        <v>46</v>
      </c>
      <c r="C1537" t="s">
        <v>47</v>
      </c>
      <c r="D1537">
        <v>3493145</v>
      </c>
      <c r="E1537" t="s">
        <v>48</v>
      </c>
      <c r="F1537" t="s">
        <v>49</v>
      </c>
      <c r="G1537" s="30">
        <v>0</v>
      </c>
    </row>
    <row r="1538" spans="1:7" x14ac:dyDescent="0.25">
      <c r="A1538" t="s">
        <v>50</v>
      </c>
      <c r="B1538" t="s">
        <v>51</v>
      </c>
      <c r="C1538" t="s">
        <v>52</v>
      </c>
      <c r="D1538">
        <v>3495586</v>
      </c>
      <c r="E1538" t="s">
        <v>53</v>
      </c>
      <c r="F1538" t="s">
        <v>49</v>
      </c>
      <c r="G1538" s="30">
        <v>11527.635625000001</v>
      </c>
    </row>
    <row r="1539" spans="1:7" x14ac:dyDescent="0.25">
      <c r="A1539" t="s">
        <v>50</v>
      </c>
      <c r="B1539" t="s">
        <v>51</v>
      </c>
      <c r="C1539" t="s">
        <v>52</v>
      </c>
      <c r="D1539">
        <v>3495719</v>
      </c>
      <c r="E1539" t="s">
        <v>53</v>
      </c>
      <c r="F1539" t="s">
        <v>49</v>
      </c>
      <c r="G1539" s="30">
        <v>70.64</v>
      </c>
    </row>
    <row r="1540" spans="1:7" x14ac:dyDescent="0.25">
      <c r="A1540" t="s">
        <v>74</v>
      </c>
      <c r="B1540" t="s">
        <v>75</v>
      </c>
      <c r="C1540" t="s">
        <v>67</v>
      </c>
      <c r="D1540">
        <v>3497761</v>
      </c>
      <c r="E1540" t="s">
        <v>53</v>
      </c>
      <c r="F1540" t="s">
        <v>49</v>
      </c>
      <c r="G1540" s="30">
        <v>2527646.0968972901</v>
      </c>
    </row>
    <row r="1541" spans="1:7" x14ac:dyDescent="0.25">
      <c r="A1541" t="s">
        <v>120</v>
      </c>
      <c r="B1541" t="s">
        <v>121</v>
      </c>
      <c r="C1541" t="s">
        <v>67</v>
      </c>
      <c r="D1541">
        <v>3498963</v>
      </c>
      <c r="E1541" t="s">
        <v>48</v>
      </c>
      <c r="F1541" t="s">
        <v>49</v>
      </c>
      <c r="G1541" s="30">
        <v>0.61</v>
      </c>
    </row>
    <row r="1542" spans="1:7" x14ac:dyDescent="0.25">
      <c r="A1542" t="s">
        <v>65</v>
      </c>
      <c r="B1542" t="s">
        <v>66</v>
      </c>
      <c r="C1542" t="s">
        <v>67</v>
      </c>
      <c r="D1542">
        <v>3499078</v>
      </c>
      <c r="E1542" t="s">
        <v>48</v>
      </c>
      <c r="F1542" t="s">
        <v>49</v>
      </c>
      <c r="G1542" s="30">
        <v>0</v>
      </c>
    </row>
    <row r="1543" spans="1:7" x14ac:dyDescent="0.25">
      <c r="A1543" t="s">
        <v>45</v>
      </c>
      <c r="B1543" t="s">
        <v>46</v>
      </c>
      <c r="C1543" t="s">
        <v>47</v>
      </c>
      <c r="D1543">
        <v>3500172</v>
      </c>
      <c r="E1543" t="s">
        <v>53</v>
      </c>
      <c r="F1543" t="s">
        <v>49</v>
      </c>
      <c r="G1543" s="30">
        <v>7801.13</v>
      </c>
    </row>
    <row r="1544" spans="1:7" x14ac:dyDescent="0.25">
      <c r="A1544" t="s">
        <v>70</v>
      </c>
      <c r="B1544" t="s">
        <v>71</v>
      </c>
      <c r="C1544" t="s">
        <v>47</v>
      </c>
      <c r="D1544">
        <v>3501886</v>
      </c>
      <c r="E1544" t="s">
        <v>53</v>
      </c>
      <c r="F1544" t="s">
        <v>49</v>
      </c>
      <c r="G1544" s="30">
        <v>190840.13709732899</v>
      </c>
    </row>
    <row r="1545" spans="1:7" x14ac:dyDescent="0.25">
      <c r="A1545" t="s">
        <v>63</v>
      </c>
      <c r="B1545" t="s">
        <v>64</v>
      </c>
      <c r="C1545" t="s">
        <v>56</v>
      </c>
      <c r="D1545">
        <v>3502429</v>
      </c>
      <c r="E1545" t="s">
        <v>53</v>
      </c>
      <c r="F1545" t="s">
        <v>49</v>
      </c>
      <c r="G1545" s="30">
        <v>366374.563365257</v>
      </c>
    </row>
    <row r="1546" spans="1:7" x14ac:dyDescent="0.25">
      <c r="A1546" t="s">
        <v>45</v>
      </c>
      <c r="B1546" t="s">
        <v>46</v>
      </c>
      <c r="C1546" t="s">
        <v>47</v>
      </c>
      <c r="D1546">
        <v>3503261</v>
      </c>
      <c r="E1546" t="s">
        <v>48</v>
      </c>
      <c r="F1546" t="s">
        <v>49</v>
      </c>
      <c r="G1546" s="30">
        <v>0</v>
      </c>
    </row>
    <row r="1547" spans="1:7" x14ac:dyDescent="0.25">
      <c r="A1547" t="s">
        <v>61</v>
      </c>
      <c r="B1547" t="s">
        <v>62</v>
      </c>
      <c r="C1547" t="s">
        <v>56</v>
      </c>
      <c r="D1547">
        <v>3503889</v>
      </c>
      <c r="E1547" t="s">
        <v>53</v>
      </c>
      <c r="F1547" t="s">
        <v>49</v>
      </c>
      <c r="G1547" s="30">
        <v>542794.660322626</v>
      </c>
    </row>
    <row r="1548" spans="1:7" x14ac:dyDescent="0.25">
      <c r="A1548" t="s">
        <v>118</v>
      </c>
      <c r="B1548" t="s">
        <v>119</v>
      </c>
      <c r="C1548" t="s">
        <v>56</v>
      </c>
      <c r="D1548">
        <v>3506290</v>
      </c>
      <c r="E1548" t="s">
        <v>53</v>
      </c>
      <c r="F1548" t="s">
        <v>49</v>
      </c>
      <c r="G1548" s="30">
        <v>287126.30706540402</v>
      </c>
    </row>
    <row r="1549" spans="1:7" x14ac:dyDescent="0.25">
      <c r="A1549" t="s">
        <v>45</v>
      </c>
      <c r="B1549" t="s">
        <v>46</v>
      </c>
      <c r="C1549" t="s">
        <v>47</v>
      </c>
      <c r="D1549">
        <v>3507811</v>
      </c>
      <c r="E1549" t="s">
        <v>48</v>
      </c>
      <c r="F1549" t="s">
        <v>49</v>
      </c>
      <c r="G1549" s="30">
        <v>0</v>
      </c>
    </row>
    <row r="1550" spans="1:7" x14ac:dyDescent="0.25">
      <c r="A1550" t="s">
        <v>45</v>
      </c>
      <c r="B1550" t="s">
        <v>46</v>
      </c>
      <c r="C1550" t="s">
        <v>47</v>
      </c>
      <c r="D1550">
        <v>3508456</v>
      </c>
      <c r="E1550" t="s">
        <v>48</v>
      </c>
      <c r="F1550" t="s">
        <v>49</v>
      </c>
      <c r="G1550" s="30">
        <v>0</v>
      </c>
    </row>
    <row r="1551" spans="1:7" x14ac:dyDescent="0.25">
      <c r="A1551" t="s">
        <v>45</v>
      </c>
      <c r="B1551" t="s">
        <v>46</v>
      </c>
      <c r="C1551" t="s">
        <v>47</v>
      </c>
      <c r="D1551">
        <v>3509146</v>
      </c>
      <c r="E1551" t="s">
        <v>53</v>
      </c>
      <c r="F1551" t="s">
        <v>49</v>
      </c>
      <c r="G1551" s="30">
        <v>14309.84</v>
      </c>
    </row>
    <row r="1552" spans="1:7" x14ac:dyDescent="0.25">
      <c r="A1552" t="s">
        <v>45</v>
      </c>
      <c r="B1552" t="s">
        <v>46</v>
      </c>
      <c r="C1552" t="s">
        <v>47</v>
      </c>
      <c r="D1552">
        <v>3509788</v>
      </c>
      <c r="E1552" t="s">
        <v>48</v>
      </c>
      <c r="F1552" t="s">
        <v>49</v>
      </c>
      <c r="G1552" s="30">
        <v>0</v>
      </c>
    </row>
    <row r="1553" spans="1:7" x14ac:dyDescent="0.25">
      <c r="A1553" t="s">
        <v>90</v>
      </c>
      <c r="B1553" t="s">
        <v>91</v>
      </c>
      <c r="C1553" t="s">
        <v>81</v>
      </c>
      <c r="D1553">
        <v>3510905</v>
      </c>
      <c r="E1553" t="s">
        <v>53</v>
      </c>
      <c r="F1553" t="s">
        <v>49</v>
      </c>
      <c r="G1553" s="30">
        <v>321279.78756317397</v>
      </c>
    </row>
    <row r="1554" spans="1:7" x14ac:dyDescent="0.25">
      <c r="A1554" t="s">
        <v>45</v>
      </c>
      <c r="B1554" t="s">
        <v>46</v>
      </c>
      <c r="C1554" t="s">
        <v>47</v>
      </c>
      <c r="D1554">
        <v>3511834</v>
      </c>
      <c r="E1554" t="s">
        <v>48</v>
      </c>
      <c r="F1554" t="s">
        <v>49</v>
      </c>
      <c r="G1554" s="30">
        <v>0</v>
      </c>
    </row>
    <row r="1555" spans="1:7" x14ac:dyDescent="0.25">
      <c r="A1555" t="s">
        <v>50</v>
      </c>
      <c r="B1555" t="s">
        <v>51</v>
      </c>
      <c r="C1555" t="s">
        <v>52</v>
      </c>
      <c r="D1555">
        <v>3514421</v>
      </c>
      <c r="E1555" t="s">
        <v>53</v>
      </c>
      <c r="F1555" t="s">
        <v>49</v>
      </c>
      <c r="G1555" s="30">
        <v>570.67697228880002</v>
      </c>
    </row>
    <row r="1556" spans="1:7" x14ac:dyDescent="0.25">
      <c r="A1556" t="s">
        <v>150</v>
      </c>
      <c r="B1556" t="s">
        <v>151</v>
      </c>
      <c r="C1556" t="s">
        <v>152</v>
      </c>
      <c r="D1556">
        <v>3514511</v>
      </c>
      <c r="E1556" t="s">
        <v>48</v>
      </c>
      <c r="F1556" t="s">
        <v>49</v>
      </c>
      <c r="G1556" s="30">
        <v>0</v>
      </c>
    </row>
    <row r="1557" spans="1:7" x14ac:dyDescent="0.25">
      <c r="A1557" t="s">
        <v>76</v>
      </c>
      <c r="B1557" t="s">
        <v>77</v>
      </c>
      <c r="C1557" t="s">
        <v>78</v>
      </c>
      <c r="D1557">
        <v>3514694</v>
      </c>
      <c r="E1557" t="s">
        <v>53</v>
      </c>
      <c r="F1557" t="s">
        <v>49</v>
      </c>
      <c r="G1557" s="30">
        <v>399354.56819339399</v>
      </c>
    </row>
    <row r="1558" spans="1:7" x14ac:dyDescent="0.25">
      <c r="A1558" t="s">
        <v>50</v>
      </c>
      <c r="B1558" t="s">
        <v>51</v>
      </c>
      <c r="C1558" t="s">
        <v>52</v>
      </c>
      <c r="D1558">
        <v>3516664</v>
      </c>
      <c r="E1558" t="s">
        <v>53</v>
      </c>
      <c r="F1558" t="s">
        <v>49</v>
      </c>
      <c r="G1558" s="30">
        <v>70.802889798348403</v>
      </c>
    </row>
    <row r="1559" spans="1:7" x14ac:dyDescent="0.25">
      <c r="A1559" t="s">
        <v>65</v>
      </c>
      <c r="B1559" t="s">
        <v>66</v>
      </c>
      <c r="C1559" t="s">
        <v>67</v>
      </c>
      <c r="D1559">
        <v>3518529</v>
      </c>
      <c r="E1559" t="s">
        <v>53</v>
      </c>
      <c r="F1559" t="s">
        <v>49</v>
      </c>
      <c r="G1559" s="30">
        <v>254.45</v>
      </c>
    </row>
    <row r="1560" spans="1:7" x14ac:dyDescent="0.25">
      <c r="A1560" t="s">
        <v>126</v>
      </c>
      <c r="B1560" t="s">
        <v>127</v>
      </c>
      <c r="C1560" t="s">
        <v>67</v>
      </c>
      <c r="D1560">
        <v>3519797</v>
      </c>
      <c r="E1560" t="s">
        <v>53</v>
      </c>
      <c r="F1560" t="s">
        <v>49</v>
      </c>
      <c r="G1560" s="30">
        <v>123670.86524679</v>
      </c>
    </row>
    <row r="1561" spans="1:7" x14ac:dyDescent="0.25">
      <c r="A1561" t="s">
        <v>61</v>
      </c>
      <c r="B1561" t="s">
        <v>62</v>
      </c>
      <c r="C1561" t="s">
        <v>56</v>
      </c>
      <c r="D1561">
        <v>3522016</v>
      </c>
      <c r="E1561" t="s">
        <v>48</v>
      </c>
      <c r="F1561" t="s">
        <v>49</v>
      </c>
      <c r="G1561" s="30">
        <v>0</v>
      </c>
    </row>
    <row r="1562" spans="1:7" x14ac:dyDescent="0.25">
      <c r="A1562" t="s">
        <v>98</v>
      </c>
      <c r="B1562" t="s">
        <v>99</v>
      </c>
      <c r="C1562" t="s">
        <v>81</v>
      </c>
      <c r="D1562">
        <v>3522649</v>
      </c>
      <c r="E1562" t="s">
        <v>53</v>
      </c>
      <c r="F1562" t="s">
        <v>49</v>
      </c>
      <c r="G1562" s="30">
        <v>4041.7728222656301</v>
      </c>
    </row>
    <row r="1563" spans="1:7" x14ac:dyDescent="0.25">
      <c r="A1563" t="s">
        <v>45</v>
      </c>
      <c r="B1563" t="s">
        <v>46</v>
      </c>
      <c r="C1563" t="s">
        <v>47</v>
      </c>
      <c r="D1563">
        <v>3522923</v>
      </c>
      <c r="E1563" t="s">
        <v>48</v>
      </c>
      <c r="F1563" t="s">
        <v>49</v>
      </c>
      <c r="G1563" s="30">
        <v>0</v>
      </c>
    </row>
    <row r="1564" spans="1:7" x14ac:dyDescent="0.25">
      <c r="A1564" t="s">
        <v>45</v>
      </c>
      <c r="B1564" t="s">
        <v>46</v>
      </c>
      <c r="C1564" t="s">
        <v>47</v>
      </c>
      <c r="D1564">
        <v>3523917</v>
      </c>
      <c r="E1564" t="s">
        <v>53</v>
      </c>
      <c r="F1564" t="s">
        <v>49</v>
      </c>
      <c r="G1564" s="30">
        <v>1055.0899999999999</v>
      </c>
    </row>
    <row r="1565" spans="1:7" x14ac:dyDescent="0.25">
      <c r="A1565" t="s">
        <v>45</v>
      </c>
      <c r="B1565" t="s">
        <v>46</v>
      </c>
      <c r="C1565" t="s">
        <v>47</v>
      </c>
      <c r="D1565">
        <v>3524214</v>
      </c>
      <c r="E1565" t="s">
        <v>53</v>
      </c>
      <c r="F1565" t="s">
        <v>49</v>
      </c>
      <c r="G1565" s="30">
        <v>173825.72902779101</v>
      </c>
    </row>
    <row r="1566" spans="1:7" x14ac:dyDescent="0.25">
      <c r="A1566" t="s">
        <v>45</v>
      </c>
      <c r="B1566" t="s">
        <v>46</v>
      </c>
      <c r="C1566" t="s">
        <v>47</v>
      </c>
      <c r="D1566">
        <v>3525074</v>
      </c>
      <c r="E1566" t="s">
        <v>53</v>
      </c>
      <c r="F1566" t="s">
        <v>49</v>
      </c>
      <c r="G1566" s="30">
        <v>274.10000000000002</v>
      </c>
    </row>
    <row r="1567" spans="1:7" x14ac:dyDescent="0.25">
      <c r="A1567" t="s">
        <v>45</v>
      </c>
      <c r="B1567" t="s">
        <v>46</v>
      </c>
      <c r="C1567" t="s">
        <v>47</v>
      </c>
      <c r="D1567">
        <v>3527247</v>
      </c>
      <c r="E1567" t="s">
        <v>48</v>
      </c>
      <c r="F1567" t="s">
        <v>49</v>
      </c>
      <c r="G1567" s="30">
        <v>0</v>
      </c>
    </row>
    <row r="1568" spans="1:7" x14ac:dyDescent="0.25">
      <c r="A1568" t="s">
        <v>61</v>
      </c>
      <c r="B1568" t="s">
        <v>62</v>
      </c>
      <c r="C1568" t="s">
        <v>56</v>
      </c>
      <c r="D1568">
        <v>3531492</v>
      </c>
      <c r="E1568" t="s">
        <v>48</v>
      </c>
      <c r="F1568" t="s">
        <v>49</v>
      </c>
      <c r="G1568" s="30">
        <v>0</v>
      </c>
    </row>
    <row r="1569" spans="1:7" x14ac:dyDescent="0.25">
      <c r="A1569" t="s">
        <v>50</v>
      </c>
      <c r="B1569" t="s">
        <v>51</v>
      </c>
      <c r="C1569" t="s">
        <v>52</v>
      </c>
      <c r="D1569">
        <v>3533845</v>
      </c>
      <c r="E1569" t="s">
        <v>53</v>
      </c>
      <c r="F1569" t="s">
        <v>49</v>
      </c>
      <c r="G1569" s="30">
        <v>57328.350312511197</v>
      </c>
    </row>
    <row r="1570" spans="1:7" x14ac:dyDescent="0.25">
      <c r="A1570" t="s">
        <v>120</v>
      </c>
      <c r="B1570" t="s">
        <v>121</v>
      </c>
      <c r="C1570" t="s">
        <v>67</v>
      </c>
      <c r="D1570">
        <v>3533889</v>
      </c>
      <c r="E1570" t="s">
        <v>48</v>
      </c>
      <c r="F1570" t="s">
        <v>49</v>
      </c>
      <c r="G1570" s="30">
        <v>-10.59</v>
      </c>
    </row>
    <row r="1571" spans="1:7" x14ac:dyDescent="0.25">
      <c r="A1571" t="s">
        <v>45</v>
      </c>
      <c r="B1571" t="s">
        <v>46</v>
      </c>
      <c r="C1571" t="s">
        <v>47</v>
      </c>
      <c r="D1571">
        <v>3534613</v>
      </c>
      <c r="E1571" t="s">
        <v>48</v>
      </c>
      <c r="F1571" t="s">
        <v>49</v>
      </c>
      <c r="G1571" s="30">
        <v>0</v>
      </c>
    </row>
    <row r="1572" spans="1:7" x14ac:dyDescent="0.25">
      <c r="A1572" t="s">
        <v>65</v>
      </c>
      <c r="B1572" t="s">
        <v>66</v>
      </c>
      <c r="C1572" t="s">
        <v>67</v>
      </c>
      <c r="D1572">
        <v>3534636</v>
      </c>
      <c r="E1572" t="s">
        <v>53</v>
      </c>
      <c r="F1572" t="s">
        <v>49</v>
      </c>
      <c r="G1572" s="30">
        <v>5182466.5642187502</v>
      </c>
    </row>
    <row r="1573" spans="1:7" x14ac:dyDescent="0.25">
      <c r="A1573" t="s">
        <v>45</v>
      </c>
      <c r="B1573" t="s">
        <v>46</v>
      </c>
      <c r="C1573" t="s">
        <v>47</v>
      </c>
      <c r="D1573">
        <v>3536972</v>
      </c>
      <c r="E1573" t="s">
        <v>48</v>
      </c>
      <c r="F1573" t="s">
        <v>49</v>
      </c>
      <c r="G1573" s="30">
        <v>0</v>
      </c>
    </row>
    <row r="1574" spans="1:7" x14ac:dyDescent="0.25">
      <c r="A1574" t="s">
        <v>50</v>
      </c>
      <c r="B1574" t="s">
        <v>51</v>
      </c>
      <c r="C1574" t="s">
        <v>52</v>
      </c>
      <c r="D1574">
        <v>3537444</v>
      </c>
      <c r="E1574" t="s">
        <v>53</v>
      </c>
      <c r="F1574" t="s">
        <v>49</v>
      </c>
      <c r="G1574" s="30">
        <v>69605.938508041101</v>
      </c>
    </row>
    <row r="1575" spans="1:7" x14ac:dyDescent="0.25">
      <c r="A1575" t="s">
        <v>82</v>
      </c>
      <c r="B1575" t="s">
        <v>83</v>
      </c>
      <c r="C1575" t="s">
        <v>56</v>
      </c>
      <c r="D1575">
        <v>3537619</v>
      </c>
      <c r="E1575" t="s">
        <v>53</v>
      </c>
      <c r="F1575" t="s">
        <v>49</v>
      </c>
      <c r="G1575" s="30">
        <v>111413.19139101599</v>
      </c>
    </row>
    <row r="1576" spans="1:7" x14ac:dyDescent="0.25">
      <c r="A1576" t="s">
        <v>45</v>
      </c>
      <c r="B1576" t="s">
        <v>46</v>
      </c>
      <c r="C1576" t="s">
        <v>47</v>
      </c>
      <c r="D1576">
        <v>3538490</v>
      </c>
      <c r="E1576" t="s">
        <v>48</v>
      </c>
      <c r="F1576" t="s">
        <v>49</v>
      </c>
      <c r="G1576" s="30">
        <v>0</v>
      </c>
    </row>
    <row r="1577" spans="1:7" x14ac:dyDescent="0.25">
      <c r="A1577" t="s">
        <v>45</v>
      </c>
      <c r="B1577" t="s">
        <v>46</v>
      </c>
      <c r="C1577" t="s">
        <v>47</v>
      </c>
      <c r="D1577">
        <v>3538676</v>
      </c>
      <c r="E1577" t="s">
        <v>48</v>
      </c>
      <c r="F1577" t="s">
        <v>49</v>
      </c>
      <c r="G1577" s="30">
        <v>0</v>
      </c>
    </row>
    <row r="1578" spans="1:7" x14ac:dyDescent="0.25">
      <c r="A1578" t="s">
        <v>45</v>
      </c>
      <c r="B1578" t="s">
        <v>46</v>
      </c>
      <c r="C1578" t="s">
        <v>47</v>
      </c>
      <c r="D1578">
        <v>3539333</v>
      </c>
      <c r="E1578" t="s">
        <v>53</v>
      </c>
      <c r="F1578" t="s">
        <v>49</v>
      </c>
      <c r="G1578" s="30">
        <v>59954.48</v>
      </c>
    </row>
    <row r="1579" spans="1:7" x14ac:dyDescent="0.25">
      <c r="A1579" t="s">
        <v>45</v>
      </c>
      <c r="B1579" t="s">
        <v>46</v>
      </c>
      <c r="C1579" t="s">
        <v>47</v>
      </c>
      <c r="D1579">
        <v>3540273</v>
      </c>
      <c r="E1579" t="s">
        <v>48</v>
      </c>
      <c r="F1579" t="s">
        <v>49</v>
      </c>
      <c r="G1579" s="30">
        <v>50.07</v>
      </c>
    </row>
    <row r="1580" spans="1:7" x14ac:dyDescent="0.25">
      <c r="A1580" t="s">
        <v>104</v>
      </c>
      <c r="B1580" t="s">
        <v>105</v>
      </c>
      <c r="C1580" t="s">
        <v>78</v>
      </c>
      <c r="D1580">
        <v>3541029</v>
      </c>
      <c r="E1580" t="s">
        <v>53</v>
      </c>
      <c r="F1580" t="s">
        <v>49</v>
      </c>
      <c r="G1580" s="30">
        <v>157015.692666016</v>
      </c>
    </row>
    <row r="1581" spans="1:7" x14ac:dyDescent="0.25">
      <c r="A1581" t="s">
        <v>45</v>
      </c>
      <c r="B1581" t="s">
        <v>46</v>
      </c>
      <c r="C1581" t="s">
        <v>47</v>
      </c>
      <c r="D1581">
        <v>3546404</v>
      </c>
      <c r="E1581" t="s">
        <v>48</v>
      </c>
      <c r="F1581" t="s">
        <v>49</v>
      </c>
      <c r="G1581" s="30">
        <v>0</v>
      </c>
    </row>
    <row r="1582" spans="1:7" x14ac:dyDescent="0.25">
      <c r="A1582" t="s">
        <v>45</v>
      </c>
      <c r="B1582" t="s">
        <v>46</v>
      </c>
      <c r="C1582" t="s">
        <v>47</v>
      </c>
      <c r="D1582">
        <v>3546872</v>
      </c>
      <c r="E1582" t="s">
        <v>48</v>
      </c>
      <c r="F1582" t="s">
        <v>49</v>
      </c>
      <c r="G1582" s="30">
        <v>4.41</v>
      </c>
    </row>
    <row r="1583" spans="1:7" x14ac:dyDescent="0.25">
      <c r="A1583" t="s">
        <v>54</v>
      </c>
      <c r="B1583" t="s">
        <v>55</v>
      </c>
      <c r="C1583" t="s">
        <v>56</v>
      </c>
      <c r="D1583">
        <v>3547109</v>
      </c>
      <c r="E1583" t="s">
        <v>53</v>
      </c>
      <c r="F1583" t="s">
        <v>49</v>
      </c>
      <c r="G1583" s="30">
        <v>175383.86545747399</v>
      </c>
    </row>
    <row r="1584" spans="1:7" x14ac:dyDescent="0.25">
      <c r="A1584" t="s">
        <v>131</v>
      </c>
      <c r="B1584" t="s">
        <v>132</v>
      </c>
      <c r="C1584" t="s">
        <v>67</v>
      </c>
      <c r="D1584">
        <v>3548827</v>
      </c>
      <c r="E1584" t="s">
        <v>53</v>
      </c>
      <c r="F1584" t="s">
        <v>49</v>
      </c>
      <c r="G1584" s="30">
        <v>311395.96583173098</v>
      </c>
    </row>
    <row r="1585" spans="1:7" x14ac:dyDescent="0.25">
      <c r="A1585" t="s">
        <v>126</v>
      </c>
      <c r="B1585" t="s">
        <v>127</v>
      </c>
      <c r="C1585" t="s">
        <v>67</v>
      </c>
      <c r="D1585">
        <v>3549495</v>
      </c>
      <c r="E1585" t="s">
        <v>53</v>
      </c>
      <c r="F1585" t="s">
        <v>49</v>
      </c>
      <c r="G1585" s="30">
        <v>353972.02300186502</v>
      </c>
    </row>
    <row r="1586" spans="1:7" x14ac:dyDescent="0.25">
      <c r="A1586" t="s">
        <v>45</v>
      </c>
      <c r="B1586" t="s">
        <v>46</v>
      </c>
      <c r="C1586" t="s">
        <v>47</v>
      </c>
      <c r="D1586">
        <v>3550035</v>
      </c>
      <c r="E1586" t="s">
        <v>48</v>
      </c>
      <c r="F1586" t="s">
        <v>49</v>
      </c>
      <c r="G1586" s="30">
        <v>0</v>
      </c>
    </row>
    <row r="1587" spans="1:7" x14ac:dyDescent="0.25">
      <c r="A1587" t="s">
        <v>65</v>
      </c>
      <c r="B1587" t="s">
        <v>66</v>
      </c>
      <c r="C1587" t="s">
        <v>67</v>
      </c>
      <c r="D1587">
        <v>3550117</v>
      </c>
      <c r="E1587" t="s">
        <v>48</v>
      </c>
      <c r="F1587" t="s">
        <v>49</v>
      </c>
      <c r="G1587" s="30">
        <v>0</v>
      </c>
    </row>
    <row r="1588" spans="1:7" x14ac:dyDescent="0.25">
      <c r="A1588" t="s">
        <v>82</v>
      </c>
      <c r="B1588" t="s">
        <v>83</v>
      </c>
      <c r="C1588" t="s">
        <v>56</v>
      </c>
      <c r="D1588">
        <v>3551301</v>
      </c>
      <c r="E1588" t="s">
        <v>53</v>
      </c>
      <c r="F1588" t="s">
        <v>49</v>
      </c>
      <c r="G1588" s="30">
        <v>273958.03585082002</v>
      </c>
    </row>
    <row r="1589" spans="1:7" x14ac:dyDescent="0.25">
      <c r="A1589" t="s">
        <v>59</v>
      </c>
      <c r="B1589" t="s">
        <v>60</v>
      </c>
      <c r="C1589" t="s">
        <v>56</v>
      </c>
      <c r="D1589">
        <v>3551863</v>
      </c>
      <c r="E1589" t="s">
        <v>53</v>
      </c>
      <c r="F1589" t="s">
        <v>49</v>
      </c>
      <c r="G1589" s="30">
        <v>1222480</v>
      </c>
    </row>
    <row r="1590" spans="1:7" x14ac:dyDescent="0.25">
      <c r="A1590" t="s">
        <v>98</v>
      </c>
      <c r="B1590" t="s">
        <v>99</v>
      </c>
      <c r="C1590" t="s">
        <v>81</v>
      </c>
      <c r="D1590">
        <v>3553071</v>
      </c>
      <c r="E1590" t="s">
        <v>53</v>
      </c>
      <c r="F1590" t="s">
        <v>49</v>
      </c>
      <c r="G1590" s="30">
        <v>2227615.2338562701</v>
      </c>
    </row>
    <row r="1591" spans="1:7" x14ac:dyDescent="0.25">
      <c r="A1591" t="s">
        <v>96</v>
      </c>
      <c r="B1591" t="s">
        <v>97</v>
      </c>
      <c r="C1591" t="s">
        <v>81</v>
      </c>
      <c r="D1591">
        <v>3554743</v>
      </c>
      <c r="E1591" t="s">
        <v>48</v>
      </c>
      <c r="F1591" t="s">
        <v>49</v>
      </c>
      <c r="G1591" s="30">
        <v>0</v>
      </c>
    </row>
    <row r="1592" spans="1:7" x14ac:dyDescent="0.25">
      <c r="A1592" t="s">
        <v>45</v>
      </c>
      <c r="B1592" t="s">
        <v>46</v>
      </c>
      <c r="C1592" t="s">
        <v>47</v>
      </c>
      <c r="D1592">
        <v>3556427</v>
      </c>
      <c r="E1592" t="s">
        <v>48</v>
      </c>
      <c r="F1592" t="s">
        <v>49</v>
      </c>
      <c r="G1592" s="30">
        <v>0</v>
      </c>
    </row>
    <row r="1593" spans="1:7" x14ac:dyDescent="0.25">
      <c r="A1593" t="s">
        <v>45</v>
      </c>
      <c r="B1593" t="s">
        <v>46</v>
      </c>
      <c r="C1593" t="s">
        <v>47</v>
      </c>
      <c r="D1593">
        <v>3556443</v>
      </c>
      <c r="E1593" t="s">
        <v>53</v>
      </c>
      <c r="F1593" t="s">
        <v>49</v>
      </c>
      <c r="G1593" s="30">
        <v>21276.528689663999</v>
      </c>
    </row>
    <row r="1594" spans="1:7" x14ac:dyDescent="0.25">
      <c r="A1594" t="s">
        <v>94</v>
      </c>
      <c r="B1594" t="s">
        <v>95</v>
      </c>
      <c r="C1594" t="s">
        <v>78</v>
      </c>
      <c r="D1594">
        <v>3556741</v>
      </c>
      <c r="E1594" t="s">
        <v>53</v>
      </c>
      <c r="F1594" t="s">
        <v>49</v>
      </c>
      <c r="G1594" s="30">
        <v>1640866.6011135799</v>
      </c>
    </row>
    <row r="1595" spans="1:7" x14ac:dyDescent="0.25">
      <c r="A1595" t="s">
        <v>45</v>
      </c>
      <c r="B1595" t="s">
        <v>46</v>
      </c>
      <c r="C1595" t="s">
        <v>47</v>
      </c>
      <c r="D1595">
        <v>3557452</v>
      </c>
      <c r="E1595" t="s">
        <v>48</v>
      </c>
      <c r="F1595" t="s">
        <v>49</v>
      </c>
      <c r="G1595" s="30">
        <v>0</v>
      </c>
    </row>
    <row r="1596" spans="1:7" x14ac:dyDescent="0.25">
      <c r="A1596" t="s">
        <v>86</v>
      </c>
      <c r="B1596" t="s">
        <v>87</v>
      </c>
      <c r="C1596" t="s">
        <v>78</v>
      </c>
      <c r="D1596">
        <v>3558033</v>
      </c>
      <c r="E1596" t="s">
        <v>53</v>
      </c>
      <c r="F1596" t="s">
        <v>49</v>
      </c>
      <c r="G1596" s="30">
        <v>968751.775314603</v>
      </c>
    </row>
    <row r="1597" spans="1:7" x14ac:dyDescent="0.25">
      <c r="A1597" t="s">
        <v>106</v>
      </c>
      <c r="B1597" t="s">
        <v>107</v>
      </c>
      <c r="C1597" t="s">
        <v>56</v>
      </c>
      <c r="D1597">
        <v>3559600</v>
      </c>
      <c r="E1597" t="s">
        <v>53</v>
      </c>
      <c r="F1597" t="s">
        <v>49</v>
      </c>
      <c r="G1597" s="30">
        <v>1546184.4016719901</v>
      </c>
    </row>
    <row r="1598" spans="1:7" x14ac:dyDescent="0.25">
      <c r="A1598" t="s">
        <v>72</v>
      </c>
      <c r="B1598" t="s">
        <v>73</v>
      </c>
      <c r="C1598" t="s">
        <v>67</v>
      </c>
      <c r="D1598">
        <v>3563570</v>
      </c>
      <c r="E1598" t="s">
        <v>53</v>
      </c>
      <c r="F1598" t="s">
        <v>49</v>
      </c>
      <c r="G1598" s="30">
        <v>1292683.50448052</v>
      </c>
    </row>
    <row r="1599" spans="1:7" x14ac:dyDescent="0.25">
      <c r="A1599" t="s">
        <v>45</v>
      </c>
      <c r="B1599" t="s">
        <v>46</v>
      </c>
      <c r="C1599" t="s">
        <v>47</v>
      </c>
      <c r="D1599">
        <v>3565006</v>
      </c>
      <c r="E1599" t="s">
        <v>48</v>
      </c>
      <c r="F1599" t="s">
        <v>49</v>
      </c>
      <c r="G1599" s="30">
        <v>0</v>
      </c>
    </row>
    <row r="1600" spans="1:7" x14ac:dyDescent="0.25">
      <c r="A1600" t="s">
        <v>116</v>
      </c>
      <c r="B1600" t="s">
        <v>117</v>
      </c>
      <c r="C1600" t="s">
        <v>47</v>
      </c>
      <c r="D1600">
        <v>3566841</v>
      </c>
      <c r="E1600" t="s">
        <v>53</v>
      </c>
      <c r="F1600" t="s">
        <v>49</v>
      </c>
      <c r="G1600" s="30">
        <v>358495.39302046498</v>
      </c>
    </row>
    <row r="1601" spans="1:7" x14ac:dyDescent="0.25">
      <c r="A1601" t="s">
        <v>133</v>
      </c>
      <c r="B1601" t="s">
        <v>134</v>
      </c>
      <c r="C1601" t="s">
        <v>47</v>
      </c>
      <c r="D1601">
        <v>3566918</v>
      </c>
      <c r="E1601" t="s">
        <v>53</v>
      </c>
      <c r="F1601" t="s">
        <v>49</v>
      </c>
      <c r="G1601" s="30">
        <v>54938.796409538198</v>
      </c>
    </row>
    <row r="1602" spans="1:7" x14ac:dyDescent="0.25">
      <c r="A1602" t="s">
        <v>50</v>
      </c>
      <c r="B1602" t="s">
        <v>51</v>
      </c>
      <c r="C1602" t="s">
        <v>52</v>
      </c>
      <c r="D1602">
        <v>3567383</v>
      </c>
      <c r="E1602" t="s">
        <v>53</v>
      </c>
      <c r="F1602" t="s">
        <v>49</v>
      </c>
      <c r="G1602" s="30">
        <v>62983.108270833</v>
      </c>
    </row>
    <row r="1603" spans="1:7" x14ac:dyDescent="0.25">
      <c r="A1603" t="s">
        <v>45</v>
      </c>
      <c r="B1603" t="s">
        <v>46</v>
      </c>
      <c r="C1603" t="s">
        <v>47</v>
      </c>
      <c r="D1603">
        <v>3570462</v>
      </c>
      <c r="E1603" t="s">
        <v>53</v>
      </c>
      <c r="F1603" t="s">
        <v>49</v>
      </c>
      <c r="G1603" s="30">
        <v>25071.083867750101</v>
      </c>
    </row>
    <row r="1604" spans="1:7" x14ac:dyDescent="0.25">
      <c r="A1604" t="s">
        <v>120</v>
      </c>
      <c r="B1604" t="s">
        <v>121</v>
      </c>
      <c r="C1604" t="s">
        <v>67</v>
      </c>
      <c r="D1604">
        <v>3572215</v>
      </c>
      <c r="E1604" t="s">
        <v>53</v>
      </c>
      <c r="F1604" t="s">
        <v>49</v>
      </c>
      <c r="G1604" s="30">
        <v>1373710.4003999999</v>
      </c>
    </row>
    <row r="1605" spans="1:7" x14ac:dyDescent="0.25">
      <c r="A1605" t="s">
        <v>54</v>
      </c>
      <c r="B1605" t="s">
        <v>55</v>
      </c>
      <c r="C1605" t="s">
        <v>56</v>
      </c>
      <c r="D1605">
        <v>3573983</v>
      </c>
      <c r="E1605" t="s">
        <v>48</v>
      </c>
      <c r="F1605" t="s">
        <v>49</v>
      </c>
      <c r="G1605" s="30">
        <v>4.8499999999999996</v>
      </c>
    </row>
    <row r="1606" spans="1:7" x14ac:dyDescent="0.25">
      <c r="A1606" t="s">
        <v>50</v>
      </c>
      <c r="B1606" t="s">
        <v>51</v>
      </c>
      <c r="C1606" t="s">
        <v>52</v>
      </c>
      <c r="D1606">
        <v>3577221</v>
      </c>
      <c r="E1606" t="s">
        <v>53</v>
      </c>
      <c r="F1606" t="s">
        <v>49</v>
      </c>
      <c r="G1606" s="30">
        <v>16024.950782995</v>
      </c>
    </row>
    <row r="1607" spans="1:7" x14ac:dyDescent="0.25">
      <c r="A1607" t="s">
        <v>94</v>
      </c>
      <c r="B1607" t="s">
        <v>95</v>
      </c>
      <c r="C1607" t="s">
        <v>78</v>
      </c>
      <c r="D1607">
        <v>3579095</v>
      </c>
      <c r="E1607" t="s">
        <v>53</v>
      </c>
      <c r="F1607" t="s">
        <v>49</v>
      </c>
      <c r="G1607" s="30">
        <v>683762.93864029599</v>
      </c>
    </row>
    <row r="1608" spans="1:7" x14ac:dyDescent="0.25">
      <c r="A1608" t="s">
        <v>45</v>
      </c>
      <c r="B1608" t="s">
        <v>46</v>
      </c>
      <c r="C1608" t="s">
        <v>47</v>
      </c>
      <c r="D1608">
        <v>3580683</v>
      </c>
      <c r="E1608" t="s">
        <v>48</v>
      </c>
      <c r="F1608" t="s">
        <v>49</v>
      </c>
      <c r="G1608" s="30">
        <v>0</v>
      </c>
    </row>
    <row r="1609" spans="1:7" x14ac:dyDescent="0.25">
      <c r="A1609" t="s">
        <v>63</v>
      </c>
      <c r="B1609" t="s">
        <v>64</v>
      </c>
      <c r="C1609" t="s">
        <v>56</v>
      </c>
      <c r="D1609">
        <v>3581039</v>
      </c>
      <c r="E1609" t="s">
        <v>53</v>
      </c>
      <c r="F1609" t="s">
        <v>49</v>
      </c>
      <c r="G1609" s="30">
        <v>566119.13692304504</v>
      </c>
    </row>
    <row r="1610" spans="1:7" x14ac:dyDescent="0.25">
      <c r="A1610" t="s">
        <v>45</v>
      </c>
      <c r="B1610" t="s">
        <v>46</v>
      </c>
      <c r="C1610" t="s">
        <v>47</v>
      </c>
      <c r="D1610">
        <v>3583892</v>
      </c>
      <c r="E1610" t="s">
        <v>48</v>
      </c>
      <c r="F1610" t="s">
        <v>49</v>
      </c>
      <c r="G1610" s="30">
        <v>0</v>
      </c>
    </row>
    <row r="1611" spans="1:7" x14ac:dyDescent="0.25">
      <c r="A1611" t="s">
        <v>61</v>
      </c>
      <c r="B1611" t="s">
        <v>62</v>
      </c>
      <c r="C1611" t="s">
        <v>56</v>
      </c>
      <c r="D1611">
        <v>3586995</v>
      </c>
      <c r="E1611" t="s">
        <v>48</v>
      </c>
      <c r="F1611" t="s">
        <v>49</v>
      </c>
      <c r="G1611" s="30">
        <v>68.88</v>
      </c>
    </row>
    <row r="1612" spans="1:7" x14ac:dyDescent="0.25">
      <c r="A1612" t="s">
        <v>70</v>
      </c>
      <c r="B1612" t="s">
        <v>71</v>
      </c>
      <c r="C1612" t="s">
        <v>47</v>
      </c>
      <c r="D1612">
        <v>3587332</v>
      </c>
      <c r="E1612" t="s">
        <v>53</v>
      </c>
      <c r="F1612" t="s">
        <v>49</v>
      </c>
      <c r="G1612" s="30">
        <v>1924938.8378502899</v>
      </c>
    </row>
    <row r="1613" spans="1:7" x14ac:dyDescent="0.25">
      <c r="A1613" t="s">
        <v>45</v>
      </c>
      <c r="B1613" t="s">
        <v>46</v>
      </c>
      <c r="C1613" t="s">
        <v>47</v>
      </c>
      <c r="D1613">
        <v>3589971</v>
      </c>
      <c r="E1613" t="s">
        <v>48</v>
      </c>
      <c r="F1613" t="s">
        <v>49</v>
      </c>
      <c r="G1613" s="30">
        <v>0</v>
      </c>
    </row>
    <row r="1614" spans="1:7" x14ac:dyDescent="0.25">
      <c r="A1614" t="s">
        <v>45</v>
      </c>
      <c r="B1614" t="s">
        <v>46</v>
      </c>
      <c r="C1614" t="s">
        <v>47</v>
      </c>
      <c r="D1614">
        <v>3596325</v>
      </c>
      <c r="E1614" t="s">
        <v>48</v>
      </c>
      <c r="F1614" t="s">
        <v>49</v>
      </c>
      <c r="G1614" s="30">
        <v>0</v>
      </c>
    </row>
    <row r="1615" spans="1:7" x14ac:dyDescent="0.25">
      <c r="A1615" t="s">
        <v>45</v>
      </c>
      <c r="B1615" t="s">
        <v>46</v>
      </c>
      <c r="C1615" t="s">
        <v>47</v>
      </c>
      <c r="D1615">
        <v>3596775</v>
      </c>
      <c r="E1615" t="s">
        <v>48</v>
      </c>
      <c r="F1615" t="s">
        <v>49</v>
      </c>
      <c r="G1615" s="30">
        <v>0</v>
      </c>
    </row>
    <row r="1616" spans="1:7" x14ac:dyDescent="0.25">
      <c r="A1616" t="s">
        <v>72</v>
      </c>
      <c r="B1616" t="s">
        <v>73</v>
      </c>
      <c r="C1616" t="s">
        <v>67</v>
      </c>
      <c r="D1616">
        <v>3599238</v>
      </c>
      <c r="E1616" t="s">
        <v>53</v>
      </c>
      <c r="F1616" t="s">
        <v>49</v>
      </c>
      <c r="G1616" s="30">
        <v>21633.683738978401</v>
      </c>
    </row>
    <row r="1617" spans="1:7" x14ac:dyDescent="0.25">
      <c r="A1617" t="s">
        <v>88</v>
      </c>
      <c r="B1617" t="s">
        <v>89</v>
      </c>
      <c r="C1617" t="s">
        <v>78</v>
      </c>
      <c r="D1617">
        <v>3601414</v>
      </c>
      <c r="E1617" t="s">
        <v>53</v>
      </c>
      <c r="F1617" t="s">
        <v>49</v>
      </c>
      <c r="G1617" s="30">
        <v>301432.33702917403</v>
      </c>
    </row>
    <row r="1618" spans="1:7" x14ac:dyDescent="0.25">
      <c r="A1618" t="s">
        <v>45</v>
      </c>
      <c r="B1618" t="s">
        <v>46</v>
      </c>
      <c r="C1618" t="s">
        <v>47</v>
      </c>
      <c r="D1618">
        <v>3602419</v>
      </c>
      <c r="E1618" t="s">
        <v>48</v>
      </c>
      <c r="F1618" t="s">
        <v>49</v>
      </c>
      <c r="G1618" s="30">
        <v>0</v>
      </c>
    </row>
    <row r="1619" spans="1:7" x14ac:dyDescent="0.25">
      <c r="A1619" t="s">
        <v>88</v>
      </c>
      <c r="B1619" t="s">
        <v>89</v>
      </c>
      <c r="C1619" t="s">
        <v>78</v>
      </c>
      <c r="D1619">
        <v>3603038</v>
      </c>
      <c r="E1619" t="s">
        <v>53</v>
      </c>
      <c r="F1619" t="s">
        <v>49</v>
      </c>
      <c r="G1619" s="30">
        <v>280235.07088576298</v>
      </c>
    </row>
    <row r="1620" spans="1:7" x14ac:dyDescent="0.25">
      <c r="A1620" t="s">
        <v>63</v>
      </c>
      <c r="B1620" t="s">
        <v>64</v>
      </c>
      <c r="C1620" t="s">
        <v>56</v>
      </c>
      <c r="D1620">
        <v>3606886</v>
      </c>
      <c r="E1620" t="s">
        <v>48</v>
      </c>
      <c r="F1620" t="s">
        <v>49</v>
      </c>
      <c r="G1620" s="30">
        <v>0</v>
      </c>
    </row>
    <row r="1621" spans="1:7" x14ac:dyDescent="0.25">
      <c r="A1621" t="s">
        <v>50</v>
      </c>
      <c r="B1621" t="s">
        <v>51</v>
      </c>
      <c r="C1621" t="s">
        <v>52</v>
      </c>
      <c r="D1621">
        <v>3613882</v>
      </c>
      <c r="E1621" t="s">
        <v>53</v>
      </c>
      <c r="F1621" t="s">
        <v>49</v>
      </c>
      <c r="G1621" s="30">
        <v>6690.9463707089199</v>
      </c>
    </row>
    <row r="1622" spans="1:7" x14ac:dyDescent="0.25">
      <c r="A1622" t="s">
        <v>98</v>
      </c>
      <c r="B1622" t="s">
        <v>99</v>
      </c>
      <c r="C1622" t="s">
        <v>81</v>
      </c>
      <c r="D1622">
        <v>3617707</v>
      </c>
      <c r="E1622" t="s">
        <v>48</v>
      </c>
      <c r="F1622" t="s">
        <v>49</v>
      </c>
      <c r="G1622" s="30">
        <v>0</v>
      </c>
    </row>
    <row r="1623" spans="1:7" x14ac:dyDescent="0.25">
      <c r="A1623" t="s">
        <v>82</v>
      </c>
      <c r="B1623" t="s">
        <v>83</v>
      </c>
      <c r="C1623" t="s">
        <v>56</v>
      </c>
      <c r="D1623">
        <v>3617945</v>
      </c>
      <c r="E1623" t="s">
        <v>53</v>
      </c>
      <c r="F1623" t="s">
        <v>49</v>
      </c>
      <c r="G1623" s="30">
        <v>114443.328956746</v>
      </c>
    </row>
    <row r="1624" spans="1:7" x14ac:dyDescent="0.25">
      <c r="A1624" t="s">
        <v>100</v>
      </c>
      <c r="B1624" t="s">
        <v>101</v>
      </c>
      <c r="C1624" t="s">
        <v>52</v>
      </c>
      <c r="D1624">
        <v>3618367</v>
      </c>
      <c r="E1624" t="s">
        <v>53</v>
      </c>
      <c r="F1624" t="s">
        <v>49</v>
      </c>
      <c r="G1624" s="30">
        <v>248938.264769342</v>
      </c>
    </row>
    <row r="1625" spans="1:7" x14ac:dyDescent="0.25">
      <c r="A1625" t="s">
        <v>45</v>
      </c>
      <c r="B1625" t="s">
        <v>46</v>
      </c>
      <c r="C1625" t="s">
        <v>47</v>
      </c>
      <c r="D1625">
        <v>3619257</v>
      </c>
      <c r="E1625" t="s">
        <v>48</v>
      </c>
      <c r="F1625" t="s">
        <v>49</v>
      </c>
      <c r="G1625" s="30">
        <v>3.64</v>
      </c>
    </row>
    <row r="1626" spans="1:7" x14ac:dyDescent="0.25">
      <c r="A1626" t="s">
        <v>45</v>
      </c>
      <c r="B1626" t="s">
        <v>46</v>
      </c>
      <c r="C1626" t="s">
        <v>47</v>
      </c>
      <c r="D1626">
        <v>3619902</v>
      </c>
      <c r="E1626" t="s">
        <v>48</v>
      </c>
      <c r="F1626" t="s">
        <v>49</v>
      </c>
      <c r="G1626" s="30">
        <v>0</v>
      </c>
    </row>
    <row r="1627" spans="1:7" x14ac:dyDescent="0.25">
      <c r="A1627" t="s">
        <v>45</v>
      </c>
      <c r="B1627" t="s">
        <v>46</v>
      </c>
      <c r="C1627" t="s">
        <v>47</v>
      </c>
      <c r="D1627">
        <v>3620637</v>
      </c>
      <c r="E1627" t="s">
        <v>48</v>
      </c>
      <c r="F1627" t="s">
        <v>49</v>
      </c>
      <c r="G1627" s="30">
        <v>0</v>
      </c>
    </row>
    <row r="1628" spans="1:7" x14ac:dyDescent="0.25">
      <c r="A1628" t="s">
        <v>50</v>
      </c>
      <c r="B1628" t="s">
        <v>51</v>
      </c>
      <c r="C1628" t="s">
        <v>52</v>
      </c>
      <c r="D1628">
        <v>3622379</v>
      </c>
      <c r="E1628" t="s">
        <v>53</v>
      </c>
      <c r="F1628" t="s">
        <v>49</v>
      </c>
      <c r="G1628" s="30">
        <v>13453.46515625</v>
      </c>
    </row>
    <row r="1629" spans="1:7" x14ac:dyDescent="0.25">
      <c r="A1629" t="s">
        <v>124</v>
      </c>
      <c r="B1629" t="s">
        <v>125</v>
      </c>
      <c r="C1629" t="s">
        <v>78</v>
      </c>
      <c r="D1629">
        <v>3622568</v>
      </c>
      <c r="E1629" t="s">
        <v>53</v>
      </c>
      <c r="F1629" t="s">
        <v>49</v>
      </c>
      <c r="G1629" s="30">
        <v>773096.34079817496</v>
      </c>
    </row>
    <row r="1630" spans="1:7" x14ac:dyDescent="0.25">
      <c r="A1630" t="s">
        <v>45</v>
      </c>
      <c r="B1630" t="s">
        <v>46</v>
      </c>
      <c r="C1630" t="s">
        <v>47</v>
      </c>
      <c r="D1630">
        <v>3622677</v>
      </c>
      <c r="E1630" t="s">
        <v>48</v>
      </c>
      <c r="F1630" t="s">
        <v>49</v>
      </c>
      <c r="G1630" s="30">
        <v>0</v>
      </c>
    </row>
    <row r="1631" spans="1:7" x14ac:dyDescent="0.25">
      <c r="A1631" t="s">
        <v>54</v>
      </c>
      <c r="B1631" t="s">
        <v>55</v>
      </c>
      <c r="C1631" t="s">
        <v>56</v>
      </c>
      <c r="D1631">
        <v>3623243</v>
      </c>
      <c r="E1631" t="s">
        <v>53</v>
      </c>
      <c r="F1631" t="s">
        <v>49</v>
      </c>
      <c r="G1631" s="30">
        <v>377263.875883075</v>
      </c>
    </row>
    <row r="1632" spans="1:7" x14ac:dyDescent="0.25">
      <c r="A1632" t="s">
        <v>50</v>
      </c>
      <c r="B1632" t="s">
        <v>51</v>
      </c>
      <c r="C1632" t="s">
        <v>52</v>
      </c>
      <c r="D1632">
        <v>3626524</v>
      </c>
      <c r="E1632" t="s">
        <v>53</v>
      </c>
      <c r="F1632" t="s">
        <v>49</v>
      </c>
      <c r="G1632" s="30">
        <v>47548.217431328099</v>
      </c>
    </row>
    <row r="1633" spans="1:7" x14ac:dyDescent="0.25">
      <c r="A1633" t="s">
        <v>102</v>
      </c>
      <c r="B1633" t="s">
        <v>103</v>
      </c>
      <c r="C1633" t="s">
        <v>47</v>
      </c>
      <c r="D1633">
        <v>3627104</v>
      </c>
      <c r="E1633" t="s">
        <v>53</v>
      </c>
      <c r="F1633" t="s">
        <v>49</v>
      </c>
      <c r="G1633" s="30">
        <v>151207.86328125</v>
      </c>
    </row>
    <row r="1634" spans="1:7" x14ac:dyDescent="0.25">
      <c r="A1634" t="s">
        <v>45</v>
      </c>
      <c r="B1634" t="s">
        <v>46</v>
      </c>
      <c r="C1634" t="s">
        <v>47</v>
      </c>
      <c r="D1634">
        <v>3629033</v>
      </c>
      <c r="E1634" t="s">
        <v>53</v>
      </c>
      <c r="F1634" t="s">
        <v>49</v>
      </c>
      <c r="G1634" s="30">
        <v>3437.6158496093699</v>
      </c>
    </row>
    <row r="1635" spans="1:7" x14ac:dyDescent="0.25">
      <c r="A1635" t="s">
        <v>63</v>
      </c>
      <c r="B1635" t="s">
        <v>64</v>
      </c>
      <c r="C1635" t="s">
        <v>56</v>
      </c>
      <c r="D1635">
        <v>3633446</v>
      </c>
      <c r="E1635" t="s">
        <v>53</v>
      </c>
      <c r="F1635" t="s">
        <v>49</v>
      </c>
      <c r="G1635" s="30">
        <v>249444.07332258101</v>
      </c>
    </row>
    <row r="1636" spans="1:7" x14ac:dyDescent="0.25">
      <c r="A1636" t="s">
        <v>50</v>
      </c>
      <c r="B1636" t="s">
        <v>51</v>
      </c>
      <c r="C1636" t="s">
        <v>52</v>
      </c>
      <c r="D1636">
        <v>3634173</v>
      </c>
      <c r="E1636" t="s">
        <v>53</v>
      </c>
      <c r="F1636" t="s">
        <v>49</v>
      </c>
      <c r="G1636" s="30">
        <v>2104.3394493440701</v>
      </c>
    </row>
    <row r="1637" spans="1:7" x14ac:dyDescent="0.25">
      <c r="A1637" t="s">
        <v>45</v>
      </c>
      <c r="B1637" t="s">
        <v>46</v>
      </c>
      <c r="C1637" t="s">
        <v>47</v>
      </c>
      <c r="D1637">
        <v>3635656</v>
      </c>
      <c r="E1637" t="s">
        <v>53</v>
      </c>
      <c r="F1637" t="s">
        <v>49</v>
      </c>
      <c r="G1637" s="30">
        <v>4547.8500000028998</v>
      </c>
    </row>
    <row r="1638" spans="1:7" x14ac:dyDescent="0.25">
      <c r="A1638" t="s">
        <v>50</v>
      </c>
      <c r="B1638" t="s">
        <v>51</v>
      </c>
      <c r="C1638" t="s">
        <v>52</v>
      </c>
      <c r="D1638">
        <v>3642081</v>
      </c>
      <c r="E1638" t="s">
        <v>48</v>
      </c>
      <c r="F1638" t="s">
        <v>49</v>
      </c>
      <c r="G1638" s="30">
        <v>0.28999999999999998</v>
      </c>
    </row>
    <row r="1639" spans="1:7" x14ac:dyDescent="0.25">
      <c r="A1639" t="s">
        <v>65</v>
      </c>
      <c r="B1639" t="s">
        <v>66</v>
      </c>
      <c r="C1639" t="s">
        <v>67</v>
      </c>
      <c r="D1639">
        <v>3642288</v>
      </c>
      <c r="E1639" t="s">
        <v>53</v>
      </c>
      <c r="F1639" t="s">
        <v>49</v>
      </c>
      <c r="G1639" s="30">
        <v>135916.40892015101</v>
      </c>
    </row>
    <row r="1640" spans="1:7" x14ac:dyDescent="0.25">
      <c r="A1640" t="s">
        <v>45</v>
      </c>
      <c r="B1640" t="s">
        <v>46</v>
      </c>
      <c r="C1640" t="s">
        <v>47</v>
      </c>
      <c r="D1640">
        <v>3645641</v>
      </c>
      <c r="E1640" t="s">
        <v>48</v>
      </c>
      <c r="F1640" t="s">
        <v>49</v>
      </c>
      <c r="G1640" s="30">
        <v>29.56</v>
      </c>
    </row>
    <row r="1641" spans="1:7" x14ac:dyDescent="0.25">
      <c r="A1641" t="s">
        <v>54</v>
      </c>
      <c r="B1641" t="s">
        <v>55</v>
      </c>
      <c r="C1641" t="s">
        <v>56</v>
      </c>
      <c r="D1641">
        <v>3646266</v>
      </c>
      <c r="E1641" t="s">
        <v>53</v>
      </c>
      <c r="F1641" t="s">
        <v>49</v>
      </c>
      <c r="G1641" s="30">
        <v>43042.62</v>
      </c>
    </row>
    <row r="1642" spans="1:7" x14ac:dyDescent="0.25">
      <c r="A1642" t="s">
        <v>45</v>
      </c>
      <c r="B1642" t="s">
        <v>46</v>
      </c>
      <c r="C1642" t="s">
        <v>47</v>
      </c>
      <c r="D1642">
        <v>3647175</v>
      </c>
      <c r="E1642" t="s">
        <v>48</v>
      </c>
      <c r="F1642" t="s">
        <v>49</v>
      </c>
      <c r="G1642" s="30">
        <v>0</v>
      </c>
    </row>
    <row r="1643" spans="1:7" x14ac:dyDescent="0.25">
      <c r="A1643" t="s">
        <v>50</v>
      </c>
      <c r="B1643" t="s">
        <v>51</v>
      </c>
      <c r="C1643" t="s">
        <v>52</v>
      </c>
      <c r="D1643">
        <v>3648563</v>
      </c>
      <c r="E1643" t="s">
        <v>53</v>
      </c>
      <c r="F1643" t="s">
        <v>49</v>
      </c>
      <c r="G1643" s="30">
        <v>9813.1786718750009</v>
      </c>
    </row>
    <row r="1644" spans="1:7" x14ac:dyDescent="0.25">
      <c r="A1644" t="s">
        <v>50</v>
      </c>
      <c r="B1644" t="s">
        <v>51</v>
      </c>
      <c r="C1644" t="s">
        <v>52</v>
      </c>
      <c r="D1644">
        <v>3648779</v>
      </c>
      <c r="E1644" t="s">
        <v>53</v>
      </c>
      <c r="F1644" t="s">
        <v>49</v>
      </c>
      <c r="G1644" s="30">
        <v>71307.694518701406</v>
      </c>
    </row>
    <row r="1645" spans="1:7" x14ac:dyDescent="0.25">
      <c r="A1645" t="s">
        <v>45</v>
      </c>
      <c r="B1645" t="s">
        <v>46</v>
      </c>
      <c r="C1645" t="s">
        <v>47</v>
      </c>
      <c r="D1645">
        <v>3648946</v>
      </c>
      <c r="E1645" t="s">
        <v>48</v>
      </c>
      <c r="F1645" t="s">
        <v>49</v>
      </c>
      <c r="G1645" s="30">
        <v>0</v>
      </c>
    </row>
    <row r="1646" spans="1:7" x14ac:dyDescent="0.25">
      <c r="A1646" t="s">
        <v>86</v>
      </c>
      <c r="B1646" t="s">
        <v>87</v>
      </c>
      <c r="C1646" t="s">
        <v>78</v>
      </c>
      <c r="D1646">
        <v>3654596</v>
      </c>
      <c r="E1646" t="s">
        <v>53</v>
      </c>
      <c r="F1646" t="s">
        <v>49</v>
      </c>
      <c r="G1646" s="30">
        <v>770520.22287304699</v>
      </c>
    </row>
    <row r="1647" spans="1:7" x14ac:dyDescent="0.25">
      <c r="A1647" t="s">
        <v>61</v>
      </c>
      <c r="B1647" t="s">
        <v>62</v>
      </c>
      <c r="C1647" t="s">
        <v>56</v>
      </c>
      <c r="D1647">
        <v>3655554</v>
      </c>
      <c r="E1647" t="s">
        <v>53</v>
      </c>
      <c r="F1647" t="s">
        <v>49</v>
      </c>
      <c r="G1647" s="30">
        <v>200250.270256302</v>
      </c>
    </row>
    <row r="1648" spans="1:7" x14ac:dyDescent="0.25">
      <c r="A1648" t="s">
        <v>45</v>
      </c>
      <c r="B1648" t="s">
        <v>46</v>
      </c>
      <c r="C1648" t="s">
        <v>47</v>
      </c>
      <c r="D1648">
        <v>3658478</v>
      </c>
      <c r="E1648" t="s">
        <v>48</v>
      </c>
      <c r="F1648" t="s">
        <v>49</v>
      </c>
      <c r="G1648" s="30">
        <v>0</v>
      </c>
    </row>
    <row r="1649" spans="1:7" x14ac:dyDescent="0.25">
      <c r="A1649" t="s">
        <v>74</v>
      </c>
      <c r="B1649" t="s">
        <v>75</v>
      </c>
      <c r="C1649" t="s">
        <v>67</v>
      </c>
      <c r="D1649">
        <v>3660289</v>
      </c>
      <c r="E1649" t="s">
        <v>48</v>
      </c>
      <c r="F1649" t="s">
        <v>49</v>
      </c>
      <c r="G1649" s="30">
        <v>0</v>
      </c>
    </row>
    <row r="1650" spans="1:7" x14ac:dyDescent="0.25">
      <c r="A1650" t="s">
        <v>92</v>
      </c>
      <c r="B1650" t="s">
        <v>93</v>
      </c>
      <c r="C1650" t="s">
        <v>81</v>
      </c>
      <c r="D1650">
        <v>3661042</v>
      </c>
      <c r="E1650" t="s">
        <v>53</v>
      </c>
      <c r="F1650" t="s">
        <v>49</v>
      </c>
      <c r="G1650" s="30">
        <v>67767.845925974296</v>
      </c>
    </row>
    <row r="1651" spans="1:7" x14ac:dyDescent="0.25">
      <c r="A1651" t="s">
        <v>50</v>
      </c>
      <c r="B1651" t="s">
        <v>51</v>
      </c>
      <c r="C1651" t="s">
        <v>52</v>
      </c>
      <c r="D1651">
        <v>3663438</v>
      </c>
      <c r="E1651" t="s">
        <v>48</v>
      </c>
      <c r="F1651" t="s">
        <v>49</v>
      </c>
      <c r="G1651" s="30">
        <v>0</v>
      </c>
    </row>
    <row r="1652" spans="1:7" x14ac:dyDescent="0.25">
      <c r="A1652" t="s">
        <v>45</v>
      </c>
      <c r="B1652" t="s">
        <v>46</v>
      </c>
      <c r="C1652" t="s">
        <v>47</v>
      </c>
      <c r="D1652">
        <v>3664710</v>
      </c>
      <c r="E1652" t="s">
        <v>48</v>
      </c>
      <c r="F1652" t="s">
        <v>49</v>
      </c>
      <c r="G1652" s="30">
        <v>0</v>
      </c>
    </row>
    <row r="1653" spans="1:7" x14ac:dyDescent="0.25">
      <c r="A1653" t="s">
        <v>45</v>
      </c>
      <c r="B1653" t="s">
        <v>46</v>
      </c>
      <c r="C1653" t="s">
        <v>47</v>
      </c>
      <c r="D1653">
        <v>3667264</v>
      </c>
      <c r="E1653" t="s">
        <v>48</v>
      </c>
      <c r="F1653" t="s">
        <v>49</v>
      </c>
      <c r="G1653" s="30">
        <v>0</v>
      </c>
    </row>
    <row r="1654" spans="1:7" x14ac:dyDescent="0.25">
      <c r="A1654" t="s">
        <v>45</v>
      </c>
      <c r="B1654" t="s">
        <v>46</v>
      </c>
      <c r="C1654" t="s">
        <v>47</v>
      </c>
      <c r="D1654">
        <v>3670026</v>
      </c>
      <c r="E1654" t="s">
        <v>48</v>
      </c>
      <c r="F1654" t="s">
        <v>49</v>
      </c>
      <c r="G1654" s="30">
        <v>0</v>
      </c>
    </row>
    <row r="1655" spans="1:7" x14ac:dyDescent="0.25">
      <c r="A1655" t="s">
        <v>86</v>
      </c>
      <c r="B1655" t="s">
        <v>87</v>
      </c>
      <c r="C1655" t="s">
        <v>78</v>
      </c>
      <c r="D1655">
        <v>3671448</v>
      </c>
      <c r="E1655" t="s">
        <v>53</v>
      </c>
      <c r="F1655" t="s">
        <v>49</v>
      </c>
      <c r="G1655" s="30">
        <v>181531.69079874901</v>
      </c>
    </row>
    <row r="1656" spans="1:7" x14ac:dyDescent="0.25">
      <c r="A1656" t="s">
        <v>116</v>
      </c>
      <c r="B1656" t="s">
        <v>117</v>
      </c>
      <c r="C1656" t="s">
        <v>47</v>
      </c>
      <c r="D1656">
        <v>3672023</v>
      </c>
      <c r="E1656" t="s">
        <v>53</v>
      </c>
      <c r="F1656" t="s">
        <v>49</v>
      </c>
      <c r="G1656" s="30">
        <v>1899.99</v>
      </c>
    </row>
    <row r="1657" spans="1:7" x14ac:dyDescent="0.25">
      <c r="A1657" t="s">
        <v>126</v>
      </c>
      <c r="B1657" t="s">
        <v>127</v>
      </c>
      <c r="C1657" t="s">
        <v>67</v>
      </c>
      <c r="D1657">
        <v>3672388</v>
      </c>
      <c r="E1657" t="s">
        <v>48</v>
      </c>
      <c r="F1657" t="s">
        <v>49</v>
      </c>
      <c r="G1657" s="30">
        <v>36.43</v>
      </c>
    </row>
    <row r="1658" spans="1:7" x14ac:dyDescent="0.25">
      <c r="A1658" t="s">
        <v>45</v>
      </c>
      <c r="B1658" t="s">
        <v>46</v>
      </c>
      <c r="C1658" t="s">
        <v>47</v>
      </c>
      <c r="D1658">
        <v>3673396</v>
      </c>
      <c r="E1658" t="s">
        <v>48</v>
      </c>
      <c r="F1658" t="s">
        <v>49</v>
      </c>
      <c r="G1658" s="30">
        <v>0</v>
      </c>
    </row>
    <row r="1659" spans="1:7" x14ac:dyDescent="0.25">
      <c r="A1659" t="s">
        <v>155</v>
      </c>
      <c r="B1659" t="s">
        <v>156</v>
      </c>
      <c r="C1659" t="s">
        <v>78</v>
      </c>
      <c r="D1659">
        <v>3674917</v>
      </c>
      <c r="E1659" t="s">
        <v>53</v>
      </c>
      <c r="F1659" t="s">
        <v>49</v>
      </c>
      <c r="G1659" s="30">
        <v>44635.229918649296</v>
      </c>
    </row>
    <row r="1660" spans="1:7" x14ac:dyDescent="0.25">
      <c r="A1660" t="s">
        <v>50</v>
      </c>
      <c r="B1660" t="s">
        <v>51</v>
      </c>
      <c r="C1660" t="s">
        <v>52</v>
      </c>
      <c r="D1660">
        <v>3674957</v>
      </c>
      <c r="E1660" t="s">
        <v>53</v>
      </c>
      <c r="F1660" t="s">
        <v>49</v>
      </c>
      <c r="G1660" s="30">
        <v>41879.0044189892</v>
      </c>
    </row>
    <row r="1661" spans="1:7" x14ac:dyDescent="0.25">
      <c r="A1661" t="s">
        <v>128</v>
      </c>
      <c r="B1661" t="s">
        <v>129</v>
      </c>
      <c r="C1661" t="s">
        <v>130</v>
      </c>
      <c r="D1661">
        <v>3677309</v>
      </c>
      <c r="E1661" t="s">
        <v>53</v>
      </c>
      <c r="F1661" t="s">
        <v>49</v>
      </c>
      <c r="G1661" s="30">
        <v>434766.521470248</v>
      </c>
    </row>
    <row r="1662" spans="1:7" x14ac:dyDescent="0.25">
      <c r="A1662" t="s">
        <v>45</v>
      </c>
      <c r="B1662" t="s">
        <v>46</v>
      </c>
      <c r="C1662" t="s">
        <v>47</v>
      </c>
      <c r="D1662">
        <v>3678696</v>
      </c>
      <c r="E1662" t="s">
        <v>48</v>
      </c>
      <c r="F1662" t="s">
        <v>49</v>
      </c>
      <c r="G1662" s="30">
        <v>0</v>
      </c>
    </row>
    <row r="1663" spans="1:7" x14ac:dyDescent="0.25">
      <c r="A1663" t="s">
        <v>50</v>
      </c>
      <c r="B1663" t="s">
        <v>51</v>
      </c>
      <c r="C1663" t="s">
        <v>52</v>
      </c>
      <c r="D1663">
        <v>3679881</v>
      </c>
      <c r="E1663" t="s">
        <v>48</v>
      </c>
      <c r="F1663" t="s">
        <v>49</v>
      </c>
      <c r="G1663" s="30">
        <v>0</v>
      </c>
    </row>
    <row r="1664" spans="1:7" x14ac:dyDescent="0.25">
      <c r="A1664" t="s">
        <v>50</v>
      </c>
      <c r="B1664" t="s">
        <v>51</v>
      </c>
      <c r="C1664" t="s">
        <v>52</v>
      </c>
      <c r="D1664">
        <v>3680148</v>
      </c>
      <c r="E1664" t="s">
        <v>53</v>
      </c>
      <c r="F1664" t="s">
        <v>49</v>
      </c>
      <c r="G1664" s="30">
        <v>734.86</v>
      </c>
    </row>
    <row r="1665" spans="1:7" x14ac:dyDescent="0.25">
      <c r="A1665" t="s">
        <v>50</v>
      </c>
      <c r="B1665" t="s">
        <v>51</v>
      </c>
      <c r="C1665" t="s">
        <v>52</v>
      </c>
      <c r="D1665">
        <v>3681482</v>
      </c>
      <c r="E1665" t="s">
        <v>48</v>
      </c>
      <c r="F1665" t="s">
        <v>49</v>
      </c>
      <c r="G1665" s="30">
        <v>0</v>
      </c>
    </row>
    <row r="1666" spans="1:7" x14ac:dyDescent="0.25">
      <c r="A1666" t="s">
        <v>54</v>
      </c>
      <c r="B1666" t="s">
        <v>55</v>
      </c>
      <c r="C1666" t="s">
        <v>56</v>
      </c>
      <c r="D1666">
        <v>3686870</v>
      </c>
      <c r="E1666" t="s">
        <v>53</v>
      </c>
      <c r="F1666" t="s">
        <v>49</v>
      </c>
      <c r="G1666" s="30">
        <v>859356.29209274799</v>
      </c>
    </row>
    <row r="1667" spans="1:7" x14ac:dyDescent="0.25">
      <c r="A1667" t="s">
        <v>45</v>
      </c>
      <c r="B1667" t="s">
        <v>46</v>
      </c>
      <c r="C1667" t="s">
        <v>47</v>
      </c>
      <c r="D1667">
        <v>3688532</v>
      </c>
      <c r="E1667" t="s">
        <v>48</v>
      </c>
      <c r="F1667" t="s">
        <v>49</v>
      </c>
      <c r="G1667" s="30">
        <v>0</v>
      </c>
    </row>
    <row r="1668" spans="1:7" x14ac:dyDescent="0.25">
      <c r="A1668" t="s">
        <v>45</v>
      </c>
      <c r="B1668" t="s">
        <v>46</v>
      </c>
      <c r="C1668" t="s">
        <v>47</v>
      </c>
      <c r="D1668">
        <v>3693631</v>
      </c>
      <c r="E1668" t="s">
        <v>48</v>
      </c>
      <c r="F1668" t="s">
        <v>49</v>
      </c>
      <c r="G1668" s="30">
        <v>0</v>
      </c>
    </row>
    <row r="1669" spans="1:7" x14ac:dyDescent="0.25">
      <c r="A1669" t="s">
        <v>45</v>
      </c>
      <c r="B1669" t="s">
        <v>46</v>
      </c>
      <c r="C1669" t="s">
        <v>47</v>
      </c>
      <c r="D1669">
        <v>3694455</v>
      </c>
      <c r="E1669" t="s">
        <v>48</v>
      </c>
      <c r="F1669" t="s">
        <v>49</v>
      </c>
      <c r="G1669" s="30">
        <v>0</v>
      </c>
    </row>
    <row r="1670" spans="1:7" x14ac:dyDescent="0.25">
      <c r="A1670" t="s">
        <v>50</v>
      </c>
      <c r="B1670" t="s">
        <v>51</v>
      </c>
      <c r="C1670" t="s">
        <v>52</v>
      </c>
      <c r="D1670">
        <v>3694500</v>
      </c>
      <c r="E1670" t="s">
        <v>53</v>
      </c>
      <c r="F1670" t="s">
        <v>49</v>
      </c>
      <c r="G1670" s="30">
        <v>7926.6630126171503</v>
      </c>
    </row>
    <row r="1671" spans="1:7" x14ac:dyDescent="0.25">
      <c r="A1671" t="s">
        <v>45</v>
      </c>
      <c r="B1671" t="s">
        <v>46</v>
      </c>
      <c r="C1671" t="s">
        <v>47</v>
      </c>
      <c r="D1671">
        <v>3694690</v>
      </c>
      <c r="E1671" t="s">
        <v>48</v>
      </c>
      <c r="F1671" t="s">
        <v>49</v>
      </c>
      <c r="G1671" s="30">
        <v>0</v>
      </c>
    </row>
    <row r="1672" spans="1:7" x14ac:dyDescent="0.25">
      <c r="A1672" t="s">
        <v>45</v>
      </c>
      <c r="B1672" t="s">
        <v>46</v>
      </c>
      <c r="C1672" t="s">
        <v>47</v>
      </c>
      <c r="D1672">
        <v>3696090</v>
      </c>
      <c r="E1672" t="s">
        <v>53</v>
      </c>
      <c r="F1672" t="s">
        <v>49</v>
      </c>
      <c r="G1672" s="30">
        <v>125.17</v>
      </c>
    </row>
    <row r="1673" spans="1:7" x14ac:dyDescent="0.25">
      <c r="A1673" t="s">
        <v>50</v>
      </c>
      <c r="B1673" t="s">
        <v>51</v>
      </c>
      <c r="C1673" t="s">
        <v>52</v>
      </c>
      <c r="D1673">
        <v>3697855</v>
      </c>
      <c r="E1673" t="s">
        <v>53</v>
      </c>
      <c r="F1673" t="s">
        <v>49</v>
      </c>
      <c r="G1673" s="30">
        <v>6490.5085943286103</v>
      </c>
    </row>
    <row r="1674" spans="1:7" x14ac:dyDescent="0.25">
      <c r="A1674" t="s">
        <v>116</v>
      </c>
      <c r="B1674" t="s">
        <v>117</v>
      </c>
      <c r="C1674" t="s">
        <v>47</v>
      </c>
      <c r="D1674">
        <v>3700010</v>
      </c>
      <c r="E1674" t="s">
        <v>53</v>
      </c>
      <c r="F1674" t="s">
        <v>49</v>
      </c>
      <c r="G1674" s="30">
        <v>134954.02101128499</v>
      </c>
    </row>
    <row r="1675" spans="1:7" x14ac:dyDescent="0.25">
      <c r="A1675" t="s">
        <v>45</v>
      </c>
      <c r="B1675" t="s">
        <v>46</v>
      </c>
      <c r="C1675" t="s">
        <v>47</v>
      </c>
      <c r="D1675">
        <v>3700298</v>
      </c>
      <c r="E1675" t="s">
        <v>48</v>
      </c>
      <c r="F1675" t="s">
        <v>49</v>
      </c>
      <c r="G1675" s="30">
        <v>3.01</v>
      </c>
    </row>
    <row r="1676" spans="1:7" x14ac:dyDescent="0.25">
      <c r="A1676" t="s">
        <v>45</v>
      </c>
      <c r="B1676" t="s">
        <v>46</v>
      </c>
      <c r="C1676" t="s">
        <v>47</v>
      </c>
      <c r="D1676">
        <v>3706692</v>
      </c>
      <c r="E1676" t="s">
        <v>48</v>
      </c>
      <c r="F1676" t="s">
        <v>49</v>
      </c>
      <c r="G1676" s="30">
        <v>0</v>
      </c>
    </row>
    <row r="1677" spans="1:7" x14ac:dyDescent="0.25">
      <c r="A1677" t="s">
        <v>106</v>
      </c>
      <c r="B1677" t="s">
        <v>107</v>
      </c>
      <c r="C1677" t="s">
        <v>56</v>
      </c>
      <c r="D1677">
        <v>3708801</v>
      </c>
      <c r="E1677" t="s">
        <v>53</v>
      </c>
      <c r="F1677" t="s">
        <v>49</v>
      </c>
      <c r="G1677" s="30">
        <v>1113098.7169309901</v>
      </c>
    </row>
    <row r="1678" spans="1:7" x14ac:dyDescent="0.25">
      <c r="A1678" t="s">
        <v>45</v>
      </c>
      <c r="B1678" t="s">
        <v>46</v>
      </c>
      <c r="C1678" t="s">
        <v>47</v>
      </c>
      <c r="D1678">
        <v>3709301</v>
      </c>
      <c r="E1678" t="s">
        <v>48</v>
      </c>
      <c r="F1678" t="s">
        <v>49</v>
      </c>
      <c r="G1678" s="30">
        <v>0</v>
      </c>
    </row>
    <row r="1679" spans="1:7" x14ac:dyDescent="0.25">
      <c r="A1679" t="s">
        <v>54</v>
      </c>
      <c r="B1679" t="s">
        <v>55</v>
      </c>
      <c r="C1679" t="s">
        <v>56</v>
      </c>
      <c r="D1679">
        <v>3710633</v>
      </c>
      <c r="E1679" t="s">
        <v>48</v>
      </c>
      <c r="F1679" t="s">
        <v>49</v>
      </c>
      <c r="G1679" s="30">
        <v>0</v>
      </c>
    </row>
    <row r="1680" spans="1:7" x14ac:dyDescent="0.25">
      <c r="A1680" t="s">
        <v>114</v>
      </c>
      <c r="B1680" t="s">
        <v>115</v>
      </c>
      <c r="C1680" t="s">
        <v>56</v>
      </c>
      <c r="D1680">
        <v>3711174</v>
      </c>
      <c r="E1680" t="s">
        <v>53</v>
      </c>
      <c r="F1680" t="s">
        <v>49</v>
      </c>
      <c r="G1680" s="30">
        <v>124633.727474254</v>
      </c>
    </row>
    <row r="1681" spans="1:7" x14ac:dyDescent="0.25">
      <c r="A1681" t="s">
        <v>45</v>
      </c>
      <c r="B1681" t="s">
        <v>46</v>
      </c>
      <c r="C1681" t="s">
        <v>47</v>
      </c>
      <c r="D1681">
        <v>3712141</v>
      </c>
      <c r="E1681" t="s">
        <v>48</v>
      </c>
      <c r="F1681" t="s">
        <v>49</v>
      </c>
      <c r="G1681" s="30">
        <v>0</v>
      </c>
    </row>
    <row r="1682" spans="1:7" x14ac:dyDescent="0.25">
      <c r="A1682" t="s">
        <v>104</v>
      </c>
      <c r="B1682" t="s">
        <v>105</v>
      </c>
      <c r="C1682" t="s">
        <v>78</v>
      </c>
      <c r="D1682">
        <v>3713131</v>
      </c>
      <c r="E1682" t="s">
        <v>48</v>
      </c>
      <c r="F1682" t="s">
        <v>49</v>
      </c>
      <c r="G1682" s="30">
        <v>0</v>
      </c>
    </row>
    <row r="1683" spans="1:7" x14ac:dyDescent="0.25">
      <c r="A1683" t="s">
        <v>120</v>
      </c>
      <c r="B1683" t="s">
        <v>121</v>
      </c>
      <c r="C1683" t="s">
        <v>67</v>
      </c>
      <c r="D1683">
        <v>3715297</v>
      </c>
      <c r="E1683" t="s">
        <v>53</v>
      </c>
      <c r="F1683" t="s">
        <v>49</v>
      </c>
      <c r="G1683" s="30">
        <v>1333603.7151562499</v>
      </c>
    </row>
    <row r="1684" spans="1:7" x14ac:dyDescent="0.25">
      <c r="A1684" t="s">
        <v>102</v>
      </c>
      <c r="B1684" t="s">
        <v>103</v>
      </c>
      <c r="C1684" t="s">
        <v>47</v>
      </c>
      <c r="D1684">
        <v>3715633</v>
      </c>
      <c r="E1684" t="s">
        <v>53</v>
      </c>
      <c r="F1684" t="s">
        <v>49</v>
      </c>
      <c r="G1684" s="30">
        <v>128908.593001025</v>
      </c>
    </row>
    <row r="1685" spans="1:7" x14ac:dyDescent="0.25">
      <c r="A1685" t="s">
        <v>50</v>
      </c>
      <c r="B1685" t="s">
        <v>51</v>
      </c>
      <c r="C1685" t="s">
        <v>52</v>
      </c>
      <c r="D1685">
        <v>3715688</v>
      </c>
      <c r="E1685" t="s">
        <v>53</v>
      </c>
      <c r="F1685" t="s">
        <v>49</v>
      </c>
      <c r="G1685" s="30">
        <v>1035.57</v>
      </c>
    </row>
    <row r="1686" spans="1:7" x14ac:dyDescent="0.25">
      <c r="A1686" t="s">
        <v>45</v>
      </c>
      <c r="B1686" t="s">
        <v>46</v>
      </c>
      <c r="C1686" t="s">
        <v>47</v>
      </c>
      <c r="D1686">
        <v>3716466</v>
      </c>
      <c r="E1686" t="s">
        <v>48</v>
      </c>
      <c r="F1686" t="s">
        <v>49</v>
      </c>
      <c r="G1686" s="30">
        <v>0</v>
      </c>
    </row>
    <row r="1687" spans="1:7" x14ac:dyDescent="0.25">
      <c r="A1687" t="s">
        <v>45</v>
      </c>
      <c r="B1687" t="s">
        <v>46</v>
      </c>
      <c r="C1687" t="s">
        <v>47</v>
      </c>
      <c r="D1687">
        <v>3721149</v>
      </c>
      <c r="E1687" t="s">
        <v>48</v>
      </c>
      <c r="F1687" t="s">
        <v>49</v>
      </c>
      <c r="G1687" s="30">
        <v>0</v>
      </c>
    </row>
    <row r="1688" spans="1:7" x14ac:dyDescent="0.25">
      <c r="A1688" t="s">
        <v>61</v>
      </c>
      <c r="B1688" t="s">
        <v>62</v>
      </c>
      <c r="C1688" t="s">
        <v>56</v>
      </c>
      <c r="D1688">
        <v>3721193</v>
      </c>
      <c r="E1688" t="s">
        <v>48</v>
      </c>
      <c r="F1688" t="s">
        <v>49</v>
      </c>
      <c r="G1688" s="30">
        <v>-3.39</v>
      </c>
    </row>
    <row r="1689" spans="1:7" x14ac:dyDescent="0.25">
      <c r="A1689" t="s">
        <v>120</v>
      </c>
      <c r="B1689" t="s">
        <v>121</v>
      </c>
      <c r="C1689" t="s">
        <v>67</v>
      </c>
      <c r="D1689">
        <v>3723480</v>
      </c>
      <c r="E1689" t="s">
        <v>53</v>
      </c>
      <c r="F1689" t="s">
        <v>49</v>
      </c>
      <c r="G1689" s="30">
        <v>3709158.7151491502</v>
      </c>
    </row>
    <row r="1690" spans="1:7" x14ac:dyDescent="0.25">
      <c r="A1690" t="s">
        <v>45</v>
      </c>
      <c r="B1690" t="s">
        <v>46</v>
      </c>
      <c r="C1690" t="s">
        <v>47</v>
      </c>
      <c r="D1690">
        <v>3726915</v>
      </c>
      <c r="E1690" t="s">
        <v>48</v>
      </c>
      <c r="F1690" t="s">
        <v>49</v>
      </c>
      <c r="G1690" s="30">
        <v>0</v>
      </c>
    </row>
    <row r="1691" spans="1:7" x14ac:dyDescent="0.25">
      <c r="A1691" t="s">
        <v>74</v>
      </c>
      <c r="B1691" t="s">
        <v>75</v>
      </c>
      <c r="C1691" t="s">
        <v>67</v>
      </c>
      <c r="D1691">
        <v>3730456</v>
      </c>
      <c r="E1691" t="s">
        <v>53</v>
      </c>
      <c r="F1691" t="s">
        <v>49</v>
      </c>
      <c r="G1691" s="30">
        <v>1924858.62</v>
      </c>
    </row>
    <row r="1692" spans="1:7" x14ac:dyDescent="0.25">
      <c r="A1692" t="s">
        <v>45</v>
      </c>
      <c r="B1692" t="s">
        <v>46</v>
      </c>
      <c r="C1692" t="s">
        <v>47</v>
      </c>
      <c r="D1692">
        <v>3733768</v>
      </c>
      <c r="E1692" t="s">
        <v>48</v>
      </c>
      <c r="F1692" t="s">
        <v>49</v>
      </c>
      <c r="G1692" s="30">
        <v>0</v>
      </c>
    </row>
    <row r="1693" spans="1:7" x14ac:dyDescent="0.25">
      <c r="A1693" t="s">
        <v>50</v>
      </c>
      <c r="B1693" t="s">
        <v>51</v>
      </c>
      <c r="C1693" t="s">
        <v>52</v>
      </c>
      <c r="D1693">
        <v>3734328</v>
      </c>
      <c r="E1693" t="s">
        <v>53</v>
      </c>
      <c r="F1693" t="s">
        <v>49</v>
      </c>
      <c r="G1693" s="30">
        <v>703.53449372302703</v>
      </c>
    </row>
    <row r="1694" spans="1:7" x14ac:dyDescent="0.25">
      <c r="A1694" t="s">
        <v>104</v>
      </c>
      <c r="B1694" t="s">
        <v>105</v>
      </c>
      <c r="C1694" t="s">
        <v>78</v>
      </c>
      <c r="D1694">
        <v>3735768</v>
      </c>
      <c r="E1694" t="s">
        <v>53</v>
      </c>
      <c r="F1694" t="s">
        <v>49</v>
      </c>
      <c r="G1694" s="30">
        <v>18924.406986682901</v>
      </c>
    </row>
    <row r="1695" spans="1:7" x14ac:dyDescent="0.25">
      <c r="A1695" t="s">
        <v>114</v>
      </c>
      <c r="B1695" t="s">
        <v>115</v>
      </c>
      <c r="C1695" t="s">
        <v>56</v>
      </c>
      <c r="D1695">
        <v>3735953</v>
      </c>
      <c r="E1695" t="s">
        <v>53</v>
      </c>
      <c r="F1695" t="s">
        <v>49</v>
      </c>
      <c r="G1695" s="30">
        <v>37813.94140625</v>
      </c>
    </row>
    <row r="1696" spans="1:7" x14ac:dyDescent="0.25">
      <c r="A1696" t="s">
        <v>65</v>
      </c>
      <c r="B1696" t="s">
        <v>66</v>
      </c>
      <c r="C1696" t="s">
        <v>67</v>
      </c>
      <c r="D1696">
        <v>3736765</v>
      </c>
      <c r="E1696" t="s">
        <v>53</v>
      </c>
      <c r="F1696" t="s">
        <v>49</v>
      </c>
      <c r="G1696" s="30">
        <v>11493881.321755201</v>
      </c>
    </row>
    <row r="1697" spans="1:7" x14ac:dyDescent="0.25">
      <c r="A1697" t="s">
        <v>45</v>
      </c>
      <c r="B1697" t="s">
        <v>46</v>
      </c>
      <c r="C1697" t="s">
        <v>47</v>
      </c>
      <c r="D1697">
        <v>3739212</v>
      </c>
      <c r="E1697" t="s">
        <v>48</v>
      </c>
      <c r="F1697" t="s">
        <v>49</v>
      </c>
      <c r="G1697" s="30">
        <v>0</v>
      </c>
    </row>
    <row r="1698" spans="1:7" x14ac:dyDescent="0.25">
      <c r="A1698" t="s">
        <v>133</v>
      </c>
      <c r="B1698" t="s">
        <v>134</v>
      </c>
      <c r="C1698" t="s">
        <v>47</v>
      </c>
      <c r="D1698">
        <v>3740400</v>
      </c>
      <c r="E1698" t="s">
        <v>53</v>
      </c>
      <c r="F1698" t="s">
        <v>49</v>
      </c>
      <c r="G1698" s="30">
        <v>121668.879777868</v>
      </c>
    </row>
    <row r="1699" spans="1:7" x14ac:dyDescent="0.25">
      <c r="A1699" t="s">
        <v>50</v>
      </c>
      <c r="B1699" t="s">
        <v>51</v>
      </c>
      <c r="C1699" t="s">
        <v>52</v>
      </c>
      <c r="D1699">
        <v>3741363</v>
      </c>
      <c r="E1699" t="s">
        <v>53</v>
      </c>
      <c r="F1699" t="s">
        <v>49</v>
      </c>
      <c r="G1699" s="30">
        <v>62963.2521998753</v>
      </c>
    </row>
    <row r="1700" spans="1:7" x14ac:dyDescent="0.25">
      <c r="A1700" t="s">
        <v>61</v>
      </c>
      <c r="B1700" t="s">
        <v>62</v>
      </c>
      <c r="C1700" t="s">
        <v>56</v>
      </c>
      <c r="D1700">
        <v>3741923</v>
      </c>
      <c r="G1700" s="30">
        <v>0</v>
      </c>
    </row>
    <row r="1701" spans="1:7" x14ac:dyDescent="0.25">
      <c r="A1701" t="s">
        <v>106</v>
      </c>
      <c r="B1701" t="s">
        <v>107</v>
      </c>
      <c r="C1701" t="s">
        <v>56</v>
      </c>
      <c r="D1701">
        <v>3743289</v>
      </c>
      <c r="E1701" t="s">
        <v>53</v>
      </c>
      <c r="F1701" t="s">
        <v>49</v>
      </c>
      <c r="G1701" s="30">
        <v>195587.29353135801</v>
      </c>
    </row>
    <row r="1702" spans="1:7" x14ac:dyDescent="0.25">
      <c r="A1702" t="s">
        <v>45</v>
      </c>
      <c r="B1702" t="s">
        <v>46</v>
      </c>
      <c r="C1702" t="s">
        <v>47</v>
      </c>
      <c r="D1702">
        <v>3744070</v>
      </c>
      <c r="E1702" t="s">
        <v>48</v>
      </c>
      <c r="F1702" t="s">
        <v>49</v>
      </c>
      <c r="G1702" s="30">
        <v>0.01</v>
      </c>
    </row>
    <row r="1703" spans="1:7" x14ac:dyDescent="0.25">
      <c r="A1703" t="s">
        <v>45</v>
      </c>
      <c r="B1703" t="s">
        <v>46</v>
      </c>
      <c r="C1703" t="s">
        <v>47</v>
      </c>
      <c r="D1703">
        <v>3744244</v>
      </c>
      <c r="E1703" t="s">
        <v>48</v>
      </c>
      <c r="F1703" t="s">
        <v>49</v>
      </c>
      <c r="G1703" s="30">
        <v>0</v>
      </c>
    </row>
    <row r="1704" spans="1:7" x14ac:dyDescent="0.25">
      <c r="A1704" t="s">
        <v>45</v>
      </c>
      <c r="B1704" t="s">
        <v>46</v>
      </c>
      <c r="C1704" t="s">
        <v>47</v>
      </c>
      <c r="D1704">
        <v>3744349</v>
      </c>
      <c r="E1704" t="s">
        <v>48</v>
      </c>
      <c r="F1704" t="s">
        <v>49</v>
      </c>
      <c r="G1704" s="30">
        <v>20.239999999999998</v>
      </c>
    </row>
    <row r="1705" spans="1:7" x14ac:dyDescent="0.25">
      <c r="A1705" t="s">
        <v>45</v>
      </c>
      <c r="B1705" t="s">
        <v>46</v>
      </c>
      <c r="C1705" t="s">
        <v>47</v>
      </c>
      <c r="D1705">
        <v>3747563</v>
      </c>
      <c r="E1705" t="s">
        <v>48</v>
      </c>
      <c r="F1705" t="s">
        <v>49</v>
      </c>
      <c r="G1705" s="30">
        <v>13.24</v>
      </c>
    </row>
    <row r="1706" spans="1:7" x14ac:dyDescent="0.25">
      <c r="A1706" t="s">
        <v>50</v>
      </c>
      <c r="B1706" t="s">
        <v>51</v>
      </c>
      <c r="C1706" t="s">
        <v>52</v>
      </c>
      <c r="D1706">
        <v>3748609</v>
      </c>
      <c r="E1706" t="s">
        <v>53</v>
      </c>
      <c r="F1706" t="s">
        <v>49</v>
      </c>
      <c r="G1706" s="30">
        <v>12134.7341588279</v>
      </c>
    </row>
    <row r="1707" spans="1:7" x14ac:dyDescent="0.25">
      <c r="A1707" t="s">
        <v>72</v>
      </c>
      <c r="B1707" t="s">
        <v>73</v>
      </c>
      <c r="C1707" t="s">
        <v>67</v>
      </c>
      <c r="D1707">
        <v>3749537</v>
      </c>
      <c r="E1707" t="s">
        <v>53</v>
      </c>
      <c r="F1707" t="s">
        <v>49</v>
      </c>
      <c r="G1707" s="30">
        <v>245.83</v>
      </c>
    </row>
    <row r="1708" spans="1:7" x14ac:dyDescent="0.25">
      <c r="A1708" t="s">
        <v>61</v>
      </c>
      <c r="B1708" t="s">
        <v>62</v>
      </c>
      <c r="C1708" t="s">
        <v>56</v>
      </c>
      <c r="D1708">
        <v>3750337</v>
      </c>
      <c r="E1708" t="s">
        <v>48</v>
      </c>
      <c r="F1708" t="s">
        <v>49</v>
      </c>
      <c r="G1708" s="30">
        <v>0</v>
      </c>
    </row>
    <row r="1709" spans="1:7" x14ac:dyDescent="0.25">
      <c r="A1709" t="s">
        <v>118</v>
      </c>
      <c r="B1709" t="s">
        <v>119</v>
      </c>
      <c r="C1709" t="s">
        <v>56</v>
      </c>
      <c r="D1709">
        <v>3750721</v>
      </c>
      <c r="E1709" t="s">
        <v>53</v>
      </c>
      <c r="F1709" t="s">
        <v>49</v>
      </c>
      <c r="G1709" s="30">
        <v>217106.43519541499</v>
      </c>
    </row>
    <row r="1710" spans="1:7" x14ac:dyDescent="0.25">
      <c r="A1710" t="s">
        <v>144</v>
      </c>
      <c r="B1710" t="s">
        <v>145</v>
      </c>
      <c r="C1710" t="s">
        <v>67</v>
      </c>
      <c r="D1710">
        <v>3751150</v>
      </c>
      <c r="E1710" t="s">
        <v>53</v>
      </c>
      <c r="F1710" t="s">
        <v>49</v>
      </c>
      <c r="G1710" s="30">
        <v>77164.139687500006</v>
      </c>
    </row>
    <row r="1711" spans="1:7" x14ac:dyDescent="0.25">
      <c r="A1711" t="s">
        <v>59</v>
      </c>
      <c r="B1711" t="s">
        <v>60</v>
      </c>
      <c r="C1711" t="s">
        <v>56</v>
      </c>
      <c r="D1711">
        <v>3751634</v>
      </c>
      <c r="E1711" t="s">
        <v>53</v>
      </c>
      <c r="F1711" t="s">
        <v>49</v>
      </c>
      <c r="G1711" s="30">
        <v>408641.65284668002</v>
      </c>
    </row>
    <row r="1712" spans="1:7" x14ac:dyDescent="0.25">
      <c r="A1712" t="s">
        <v>45</v>
      </c>
      <c r="B1712" t="s">
        <v>46</v>
      </c>
      <c r="C1712" t="s">
        <v>47</v>
      </c>
      <c r="D1712">
        <v>3752063</v>
      </c>
      <c r="E1712" t="s">
        <v>48</v>
      </c>
      <c r="F1712" t="s">
        <v>49</v>
      </c>
      <c r="G1712" s="30">
        <v>0</v>
      </c>
    </row>
    <row r="1713" spans="1:7" x14ac:dyDescent="0.25">
      <c r="A1713" t="s">
        <v>128</v>
      </c>
      <c r="B1713" t="s">
        <v>129</v>
      </c>
      <c r="C1713" t="s">
        <v>130</v>
      </c>
      <c r="D1713">
        <v>3752604</v>
      </c>
      <c r="E1713" t="s">
        <v>53</v>
      </c>
      <c r="F1713" t="s">
        <v>49</v>
      </c>
      <c r="G1713" s="30">
        <v>220197.27368215899</v>
      </c>
    </row>
    <row r="1714" spans="1:7" x14ac:dyDescent="0.25">
      <c r="A1714" t="s">
        <v>45</v>
      </c>
      <c r="B1714" t="s">
        <v>46</v>
      </c>
      <c r="C1714" t="s">
        <v>47</v>
      </c>
      <c r="D1714">
        <v>3752835</v>
      </c>
      <c r="E1714" t="s">
        <v>53</v>
      </c>
      <c r="F1714" t="s">
        <v>49</v>
      </c>
      <c r="G1714" s="30">
        <v>29676.525886010299</v>
      </c>
    </row>
    <row r="1715" spans="1:7" x14ac:dyDescent="0.25">
      <c r="A1715" t="s">
        <v>45</v>
      </c>
      <c r="B1715" t="s">
        <v>46</v>
      </c>
      <c r="C1715" t="s">
        <v>47</v>
      </c>
      <c r="D1715">
        <v>3753682</v>
      </c>
      <c r="E1715" t="s">
        <v>48</v>
      </c>
      <c r="F1715" t="s">
        <v>49</v>
      </c>
      <c r="G1715" s="30">
        <v>0</v>
      </c>
    </row>
    <row r="1716" spans="1:7" x14ac:dyDescent="0.25">
      <c r="A1716" t="s">
        <v>90</v>
      </c>
      <c r="B1716" t="s">
        <v>91</v>
      </c>
      <c r="C1716" t="s">
        <v>81</v>
      </c>
      <c r="D1716">
        <v>3753934</v>
      </c>
      <c r="E1716" t="s">
        <v>53</v>
      </c>
      <c r="F1716" t="s">
        <v>49</v>
      </c>
      <c r="G1716" s="30">
        <v>3.22</v>
      </c>
    </row>
    <row r="1717" spans="1:7" x14ac:dyDescent="0.25">
      <c r="A1717" t="s">
        <v>54</v>
      </c>
      <c r="B1717" t="s">
        <v>55</v>
      </c>
      <c r="C1717" t="s">
        <v>56</v>
      </c>
      <c r="D1717">
        <v>3754960</v>
      </c>
      <c r="E1717" t="s">
        <v>53</v>
      </c>
      <c r="F1717" t="s">
        <v>49</v>
      </c>
      <c r="G1717" s="30">
        <v>1326648.07635377</v>
      </c>
    </row>
    <row r="1718" spans="1:7" x14ac:dyDescent="0.25">
      <c r="A1718" t="s">
        <v>92</v>
      </c>
      <c r="B1718" t="s">
        <v>93</v>
      </c>
      <c r="C1718" t="s">
        <v>81</v>
      </c>
      <c r="D1718">
        <v>3757925</v>
      </c>
      <c r="E1718" t="s">
        <v>53</v>
      </c>
      <c r="F1718" t="s">
        <v>49</v>
      </c>
      <c r="G1718" s="30">
        <v>721.94</v>
      </c>
    </row>
    <row r="1719" spans="1:7" x14ac:dyDescent="0.25">
      <c r="A1719" t="s">
        <v>104</v>
      </c>
      <c r="B1719" t="s">
        <v>105</v>
      </c>
      <c r="C1719" t="s">
        <v>78</v>
      </c>
      <c r="D1719">
        <v>3758298</v>
      </c>
      <c r="E1719" t="s">
        <v>53</v>
      </c>
      <c r="F1719" t="s">
        <v>49</v>
      </c>
      <c r="G1719" s="30">
        <v>108200.39391289301</v>
      </c>
    </row>
    <row r="1720" spans="1:7" x14ac:dyDescent="0.25">
      <c r="A1720" t="s">
        <v>94</v>
      </c>
      <c r="B1720" t="s">
        <v>95</v>
      </c>
      <c r="C1720" t="s">
        <v>78</v>
      </c>
      <c r="D1720">
        <v>3758627</v>
      </c>
      <c r="E1720" t="s">
        <v>53</v>
      </c>
      <c r="F1720" t="s">
        <v>49</v>
      </c>
      <c r="G1720" s="30">
        <v>124049.66574405</v>
      </c>
    </row>
    <row r="1721" spans="1:7" x14ac:dyDescent="0.25">
      <c r="A1721" t="s">
        <v>50</v>
      </c>
      <c r="B1721" t="s">
        <v>51</v>
      </c>
      <c r="C1721" t="s">
        <v>52</v>
      </c>
      <c r="D1721">
        <v>3759418</v>
      </c>
      <c r="E1721" t="s">
        <v>53</v>
      </c>
      <c r="F1721" t="s">
        <v>49</v>
      </c>
      <c r="G1721" s="30">
        <v>18612.4069281292</v>
      </c>
    </row>
    <row r="1722" spans="1:7" x14ac:dyDescent="0.25">
      <c r="A1722" t="s">
        <v>50</v>
      </c>
      <c r="B1722" t="s">
        <v>51</v>
      </c>
      <c r="C1722" t="s">
        <v>52</v>
      </c>
      <c r="D1722">
        <v>3760359</v>
      </c>
      <c r="E1722" t="s">
        <v>53</v>
      </c>
      <c r="F1722" t="s">
        <v>49</v>
      </c>
      <c r="G1722" s="30">
        <v>30303.787528320099</v>
      </c>
    </row>
    <row r="1723" spans="1:7" x14ac:dyDescent="0.25">
      <c r="A1723" t="s">
        <v>50</v>
      </c>
      <c r="B1723" t="s">
        <v>51</v>
      </c>
      <c r="C1723" t="s">
        <v>52</v>
      </c>
      <c r="D1723">
        <v>3762667</v>
      </c>
      <c r="E1723" t="s">
        <v>53</v>
      </c>
      <c r="F1723" t="s">
        <v>49</v>
      </c>
      <c r="G1723" s="30">
        <v>80531.857749920397</v>
      </c>
    </row>
    <row r="1724" spans="1:7" x14ac:dyDescent="0.25">
      <c r="A1724" t="s">
        <v>72</v>
      </c>
      <c r="B1724" t="s">
        <v>73</v>
      </c>
      <c r="C1724" t="s">
        <v>67</v>
      </c>
      <c r="D1724">
        <v>3765837</v>
      </c>
      <c r="E1724" t="s">
        <v>53</v>
      </c>
      <c r="F1724" t="s">
        <v>49</v>
      </c>
      <c r="G1724" s="30">
        <v>2170039.75609932</v>
      </c>
    </row>
    <row r="1725" spans="1:7" x14ac:dyDescent="0.25">
      <c r="A1725" t="s">
        <v>45</v>
      </c>
      <c r="B1725" t="s">
        <v>46</v>
      </c>
      <c r="C1725" t="s">
        <v>47</v>
      </c>
      <c r="D1725">
        <v>3766261</v>
      </c>
      <c r="E1725" t="s">
        <v>48</v>
      </c>
      <c r="F1725" t="s">
        <v>49</v>
      </c>
      <c r="G1725" s="30">
        <v>0.03</v>
      </c>
    </row>
    <row r="1726" spans="1:7" x14ac:dyDescent="0.25">
      <c r="A1726" t="s">
        <v>45</v>
      </c>
      <c r="B1726" t="s">
        <v>46</v>
      </c>
      <c r="C1726" t="s">
        <v>47</v>
      </c>
      <c r="D1726">
        <v>3770313</v>
      </c>
      <c r="E1726" t="s">
        <v>48</v>
      </c>
      <c r="F1726" t="s">
        <v>49</v>
      </c>
      <c r="G1726" s="30">
        <v>0</v>
      </c>
    </row>
    <row r="1727" spans="1:7" x14ac:dyDescent="0.25">
      <c r="A1727" t="s">
        <v>45</v>
      </c>
      <c r="B1727" t="s">
        <v>46</v>
      </c>
      <c r="C1727" t="s">
        <v>47</v>
      </c>
      <c r="D1727">
        <v>3771384</v>
      </c>
      <c r="E1727" t="s">
        <v>48</v>
      </c>
      <c r="F1727" t="s">
        <v>49</v>
      </c>
      <c r="G1727" s="30">
        <v>0</v>
      </c>
    </row>
    <row r="1728" spans="1:7" x14ac:dyDescent="0.25">
      <c r="A1728" t="s">
        <v>72</v>
      </c>
      <c r="B1728" t="s">
        <v>73</v>
      </c>
      <c r="C1728" t="s">
        <v>67</v>
      </c>
      <c r="D1728">
        <v>3771525</v>
      </c>
      <c r="E1728" t="s">
        <v>53</v>
      </c>
      <c r="F1728" t="s">
        <v>49</v>
      </c>
      <c r="G1728" s="30">
        <v>454040.59508964198</v>
      </c>
    </row>
    <row r="1729" spans="1:7" x14ac:dyDescent="0.25">
      <c r="A1729" t="s">
        <v>45</v>
      </c>
      <c r="B1729" t="s">
        <v>46</v>
      </c>
      <c r="C1729" t="s">
        <v>47</v>
      </c>
      <c r="D1729">
        <v>3772400</v>
      </c>
      <c r="E1729" t="s">
        <v>48</v>
      </c>
      <c r="F1729" t="s">
        <v>49</v>
      </c>
      <c r="G1729" s="30">
        <v>0</v>
      </c>
    </row>
    <row r="1730" spans="1:7" x14ac:dyDescent="0.25">
      <c r="A1730" t="s">
        <v>50</v>
      </c>
      <c r="B1730" t="s">
        <v>51</v>
      </c>
      <c r="C1730" t="s">
        <v>52</v>
      </c>
      <c r="D1730">
        <v>3775167</v>
      </c>
      <c r="E1730" t="s">
        <v>53</v>
      </c>
      <c r="F1730" t="s">
        <v>49</v>
      </c>
      <c r="G1730" s="30">
        <v>56618.107286966901</v>
      </c>
    </row>
    <row r="1731" spans="1:7" x14ac:dyDescent="0.25">
      <c r="A1731" t="s">
        <v>50</v>
      </c>
      <c r="B1731" t="s">
        <v>51</v>
      </c>
      <c r="C1731" t="s">
        <v>52</v>
      </c>
      <c r="D1731">
        <v>3777173</v>
      </c>
      <c r="E1731" t="s">
        <v>53</v>
      </c>
      <c r="F1731" t="s">
        <v>49</v>
      </c>
      <c r="G1731" s="30">
        <v>8371.91</v>
      </c>
    </row>
    <row r="1732" spans="1:7" x14ac:dyDescent="0.25">
      <c r="A1732" t="s">
        <v>100</v>
      </c>
      <c r="B1732" t="s">
        <v>101</v>
      </c>
      <c r="C1732" t="s">
        <v>52</v>
      </c>
      <c r="D1732">
        <v>3779381</v>
      </c>
      <c r="E1732" t="s">
        <v>53</v>
      </c>
      <c r="F1732" t="s">
        <v>49</v>
      </c>
      <c r="G1732" s="30">
        <v>133358.642877757</v>
      </c>
    </row>
    <row r="1733" spans="1:7" x14ac:dyDescent="0.25">
      <c r="A1733" t="s">
        <v>50</v>
      </c>
      <c r="B1733" t="s">
        <v>51</v>
      </c>
      <c r="C1733" t="s">
        <v>52</v>
      </c>
      <c r="D1733">
        <v>3787506</v>
      </c>
      <c r="E1733" t="s">
        <v>53</v>
      </c>
      <c r="F1733" t="s">
        <v>49</v>
      </c>
      <c r="G1733" s="30">
        <v>53833.081398494302</v>
      </c>
    </row>
    <row r="1734" spans="1:7" x14ac:dyDescent="0.25">
      <c r="A1734" t="s">
        <v>45</v>
      </c>
      <c r="B1734" t="s">
        <v>46</v>
      </c>
      <c r="C1734" t="s">
        <v>47</v>
      </c>
      <c r="D1734">
        <v>3793562</v>
      </c>
      <c r="E1734" t="s">
        <v>48</v>
      </c>
      <c r="F1734" t="s">
        <v>49</v>
      </c>
      <c r="G1734" s="30">
        <v>0</v>
      </c>
    </row>
    <row r="1735" spans="1:7" x14ac:dyDescent="0.25">
      <c r="A1735" t="s">
        <v>50</v>
      </c>
      <c r="B1735" t="s">
        <v>51</v>
      </c>
      <c r="C1735" t="s">
        <v>52</v>
      </c>
      <c r="D1735">
        <v>3795553</v>
      </c>
      <c r="E1735" t="s">
        <v>53</v>
      </c>
      <c r="F1735" t="s">
        <v>49</v>
      </c>
      <c r="G1735" s="30">
        <v>129.43</v>
      </c>
    </row>
    <row r="1736" spans="1:7" x14ac:dyDescent="0.25">
      <c r="A1736" t="s">
        <v>50</v>
      </c>
      <c r="B1736" t="s">
        <v>51</v>
      </c>
      <c r="C1736" t="s">
        <v>52</v>
      </c>
      <c r="D1736">
        <v>3795698</v>
      </c>
      <c r="E1736" t="s">
        <v>53</v>
      </c>
      <c r="F1736" t="s">
        <v>49</v>
      </c>
      <c r="G1736" s="30">
        <v>1597.62</v>
      </c>
    </row>
    <row r="1737" spans="1:7" x14ac:dyDescent="0.25">
      <c r="A1737" t="s">
        <v>100</v>
      </c>
      <c r="B1737" t="s">
        <v>101</v>
      </c>
      <c r="C1737" t="s">
        <v>52</v>
      </c>
      <c r="D1737">
        <v>3797466</v>
      </c>
      <c r="E1737" t="s">
        <v>53</v>
      </c>
      <c r="F1737" t="s">
        <v>49</v>
      </c>
      <c r="G1737" s="30">
        <v>177906.42959460799</v>
      </c>
    </row>
    <row r="1738" spans="1:7" x14ac:dyDescent="0.25">
      <c r="A1738" t="s">
        <v>45</v>
      </c>
      <c r="B1738" t="s">
        <v>46</v>
      </c>
      <c r="C1738" t="s">
        <v>47</v>
      </c>
      <c r="D1738">
        <v>3799007</v>
      </c>
      <c r="E1738" t="s">
        <v>53</v>
      </c>
      <c r="F1738" t="s">
        <v>49</v>
      </c>
      <c r="G1738" s="30">
        <v>8.5</v>
      </c>
    </row>
    <row r="1739" spans="1:7" x14ac:dyDescent="0.25">
      <c r="A1739" t="s">
        <v>45</v>
      </c>
      <c r="B1739" t="s">
        <v>46</v>
      </c>
      <c r="C1739" t="s">
        <v>47</v>
      </c>
      <c r="D1739">
        <v>3799593</v>
      </c>
      <c r="E1739" t="s">
        <v>53</v>
      </c>
      <c r="F1739" t="s">
        <v>49</v>
      </c>
      <c r="G1739" s="30">
        <v>232.77</v>
      </c>
    </row>
    <row r="1740" spans="1:7" x14ac:dyDescent="0.25">
      <c r="A1740" t="s">
        <v>70</v>
      </c>
      <c r="B1740" t="s">
        <v>71</v>
      </c>
      <c r="C1740" t="s">
        <v>47</v>
      </c>
      <c r="D1740">
        <v>3803945</v>
      </c>
      <c r="E1740" t="s">
        <v>48</v>
      </c>
      <c r="F1740" t="s">
        <v>49</v>
      </c>
      <c r="G1740" s="30">
        <v>0</v>
      </c>
    </row>
    <row r="1741" spans="1:7" x14ac:dyDescent="0.25">
      <c r="A1741" t="s">
        <v>45</v>
      </c>
      <c r="B1741" t="s">
        <v>46</v>
      </c>
      <c r="C1741" t="s">
        <v>47</v>
      </c>
      <c r="D1741">
        <v>3805124</v>
      </c>
      <c r="E1741" t="s">
        <v>48</v>
      </c>
      <c r="F1741" t="s">
        <v>49</v>
      </c>
      <c r="G1741" s="30">
        <v>0</v>
      </c>
    </row>
    <row r="1742" spans="1:7" x14ac:dyDescent="0.25">
      <c r="A1742" t="s">
        <v>45</v>
      </c>
      <c r="B1742" t="s">
        <v>46</v>
      </c>
      <c r="C1742" t="s">
        <v>47</v>
      </c>
      <c r="D1742">
        <v>3805355</v>
      </c>
      <c r="E1742" t="s">
        <v>48</v>
      </c>
      <c r="F1742" t="s">
        <v>49</v>
      </c>
      <c r="G1742" s="30">
        <v>0</v>
      </c>
    </row>
    <row r="1743" spans="1:7" x14ac:dyDescent="0.25">
      <c r="A1743" t="s">
        <v>45</v>
      </c>
      <c r="B1743" t="s">
        <v>46</v>
      </c>
      <c r="C1743" t="s">
        <v>47</v>
      </c>
      <c r="D1743">
        <v>3805813</v>
      </c>
      <c r="E1743" t="s">
        <v>48</v>
      </c>
      <c r="F1743" t="s">
        <v>49</v>
      </c>
      <c r="G1743" s="30">
        <v>0</v>
      </c>
    </row>
    <row r="1744" spans="1:7" x14ac:dyDescent="0.25">
      <c r="A1744" t="s">
        <v>45</v>
      </c>
      <c r="B1744" t="s">
        <v>46</v>
      </c>
      <c r="C1744" t="s">
        <v>47</v>
      </c>
      <c r="D1744">
        <v>3805872</v>
      </c>
      <c r="E1744" t="s">
        <v>48</v>
      </c>
      <c r="F1744" t="s">
        <v>49</v>
      </c>
      <c r="G1744" s="30">
        <v>0</v>
      </c>
    </row>
    <row r="1745" spans="1:7" x14ac:dyDescent="0.25">
      <c r="A1745" t="s">
        <v>50</v>
      </c>
      <c r="B1745" t="s">
        <v>51</v>
      </c>
      <c r="C1745" t="s">
        <v>52</v>
      </c>
      <c r="D1745">
        <v>3806627</v>
      </c>
      <c r="E1745" t="s">
        <v>53</v>
      </c>
      <c r="F1745" t="s">
        <v>49</v>
      </c>
      <c r="G1745" s="30">
        <v>1829.5962083821</v>
      </c>
    </row>
    <row r="1746" spans="1:7" x14ac:dyDescent="0.25">
      <c r="A1746" t="s">
        <v>45</v>
      </c>
      <c r="B1746" t="s">
        <v>46</v>
      </c>
      <c r="C1746" t="s">
        <v>47</v>
      </c>
      <c r="D1746">
        <v>3806734</v>
      </c>
      <c r="E1746" t="s">
        <v>48</v>
      </c>
      <c r="F1746" t="s">
        <v>49</v>
      </c>
      <c r="G1746" s="30">
        <v>0</v>
      </c>
    </row>
    <row r="1747" spans="1:7" x14ac:dyDescent="0.25">
      <c r="A1747" t="s">
        <v>120</v>
      </c>
      <c r="B1747" t="s">
        <v>121</v>
      </c>
      <c r="C1747" t="s">
        <v>67</v>
      </c>
      <c r="D1747">
        <v>3808296</v>
      </c>
      <c r="E1747" t="s">
        <v>53</v>
      </c>
      <c r="F1747" t="s">
        <v>49</v>
      </c>
      <c r="G1747" s="30">
        <v>1768168.0081338801</v>
      </c>
    </row>
    <row r="1748" spans="1:7" x14ac:dyDescent="0.25">
      <c r="A1748" t="s">
        <v>45</v>
      </c>
      <c r="B1748" t="s">
        <v>46</v>
      </c>
      <c r="C1748" t="s">
        <v>47</v>
      </c>
      <c r="D1748">
        <v>3808399</v>
      </c>
      <c r="E1748" t="s">
        <v>53</v>
      </c>
      <c r="F1748" t="s">
        <v>49</v>
      </c>
      <c r="G1748" s="30">
        <v>96.82</v>
      </c>
    </row>
    <row r="1749" spans="1:7" x14ac:dyDescent="0.25">
      <c r="A1749" t="s">
        <v>45</v>
      </c>
      <c r="B1749" t="s">
        <v>46</v>
      </c>
      <c r="C1749" t="s">
        <v>47</v>
      </c>
      <c r="D1749">
        <v>3808408</v>
      </c>
      <c r="E1749" t="s">
        <v>48</v>
      </c>
      <c r="F1749" t="s">
        <v>49</v>
      </c>
      <c r="G1749" s="30">
        <v>0</v>
      </c>
    </row>
    <row r="1750" spans="1:7" x14ac:dyDescent="0.25">
      <c r="A1750" t="s">
        <v>45</v>
      </c>
      <c r="B1750" t="s">
        <v>46</v>
      </c>
      <c r="C1750" t="s">
        <v>47</v>
      </c>
      <c r="D1750">
        <v>3810082</v>
      </c>
      <c r="E1750" t="s">
        <v>48</v>
      </c>
      <c r="F1750" t="s">
        <v>49</v>
      </c>
      <c r="G1750" s="30">
        <v>51.58</v>
      </c>
    </row>
    <row r="1751" spans="1:7" x14ac:dyDescent="0.25">
      <c r="A1751" t="s">
        <v>45</v>
      </c>
      <c r="B1751" t="s">
        <v>46</v>
      </c>
      <c r="C1751" t="s">
        <v>47</v>
      </c>
      <c r="D1751">
        <v>3810994</v>
      </c>
      <c r="E1751" t="s">
        <v>48</v>
      </c>
      <c r="F1751" t="s">
        <v>49</v>
      </c>
      <c r="G1751" s="30">
        <v>0</v>
      </c>
    </row>
    <row r="1752" spans="1:7" x14ac:dyDescent="0.25">
      <c r="A1752" t="s">
        <v>45</v>
      </c>
      <c r="B1752" t="s">
        <v>46</v>
      </c>
      <c r="C1752" t="s">
        <v>47</v>
      </c>
      <c r="D1752">
        <v>3811063</v>
      </c>
      <c r="E1752" t="s">
        <v>48</v>
      </c>
      <c r="F1752" t="s">
        <v>49</v>
      </c>
      <c r="G1752" s="30">
        <v>0</v>
      </c>
    </row>
    <row r="1753" spans="1:7" x14ac:dyDescent="0.25">
      <c r="A1753" t="s">
        <v>88</v>
      </c>
      <c r="B1753" t="s">
        <v>89</v>
      </c>
      <c r="C1753" t="s">
        <v>78</v>
      </c>
      <c r="D1753">
        <v>3812715</v>
      </c>
      <c r="E1753" t="s">
        <v>53</v>
      </c>
      <c r="F1753" t="s">
        <v>49</v>
      </c>
      <c r="G1753" s="30">
        <v>122178.6622701</v>
      </c>
    </row>
    <row r="1754" spans="1:7" x14ac:dyDescent="0.25">
      <c r="A1754" t="s">
        <v>45</v>
      </c>
      <c r="B1754" t="s">
        <v>46</v>
      </c>
      <c r="C1754" t="s">
        <v>47</v>
      </c>
      <c r="D1754">
        <v>3815229</v>
      </c>
      <c r="E1754" t="s">
        <v>48</v>
      </c>
      <c r="F1754" t="s">
        <v>49</v>
      </c>
      <c r="G1754" s="30">
        <v>0</v>
      </c>
    </row>
    <row r="1755" spans="1:7" x14ac:dyDescent="0.25">
      <c r="A1755" t="s">
        <v>92</v>
      </c>
      <c r="B1755" t="s">
        <v>93</v>
      </c>
      <c r="C1755" t="s">
        <v>81</v>
      </c>
      <c r="D1755">
        <v>3815414</v>
      </c>
      <c r="E1755" t="s">
        <v>53</v>
      </c>
      <c r="F1755" t="s">
        <v>49</v>
      </c>
      <c r="G1755" s="30">
        <v>176700.211643452</v>
      </c>
    </row>
    <row r="1756" spans="1:7" x14ac:dyDescent="0.25">
      <c r="A1756" t="s">
        <v>72</v>
      </c>
      <c r="B1756" t="s">
        <v>73</v>
      </c>
      <c r="C1756" t="s">
        <v>67</v>
      </c>
      <c r="D1756">
        <v>3816243</v>
      </c>
      <c r="E1756" t="s">
        <v>53</v>
      </c>
      <c r="F1756" t="s">
        <v>49</v>
      </c>
      <c r="G1756" s="30">
        <v>279449.23708072701</v>
      </c>
    </row>
    <row r="1757" spans="1:7" x14ac:dyDescent="0.25">
      <c r="A1757" t="s">
        <v>63</v>
      </c>
      <c r="B1757" t="s">
        <v>64</v>
      </c>
      <c r="C1757" t="s">
        <v>56</v>
      </c>
      <c r="D1757">
        <v>3817839</v>
      </c>
      <c r="E1757" t="s">
        <v>53</v>
      </c>
      <c r="F1757" t="s">
        <v>49</v>
      </c>
      <c r="G1757" s="30">
        <v>4092399.5620352002</v>
      </c>
    </row>
    <row r="1758" spans="1:7" x14ac:dyDescent="0.25">
      <c r="A1758" t="s">
        <v>45</v>
      </c>
      <c r="B1758" t="s">
        <v>46</v>
      </c>
      <c r="C1758" t="s">
        <v>47</v>
      </c>
      <c r="D1758">
        <v>3818365</v>
      </c>
      <c r="E1758" t="s">
        <v>48</v>
      </c>
      <c r="F1758" t="s">
        <v>49</v>
      </c>
      <c r="G1758" s="30">
        <v>0</v>
      </c>
    </row>
    <row r="1759" spans="1:7" x14ac:dyDescent="0.25">
      <c r="A1759" t="s">
        <v>50</v>
      </c>
      <c r="B1759" t="s">
        <v>51</v>
      </c>
      <c r="C1759" t="s">
        <v>52</v>
      </c>
      <c r="D1759">
        <v>3818708</v>
      </c>
      <c r="E1759" t="s">
        <v>48</v>
      </c>
      <c r="F1759" t="s">
        <v>49</v>
      </c>
      <c r="G1759" s="30">
        <v>0</v>
      </c>
    </row>
    <row r="1760" spans="1:7" x14ac:dyDescent="0.25">
      <c r="A1760" t="s">
        <v>72</v>
      </c>
      <c r="B1760" t="s">
        <v>73</v>
      </c>
      <c r="C1760" t="s">
        <v>67</v>
      </c>
      <c r="D1760">
        <v>3820345</v>
      </c>
      <c r="E1760" t="s">
        <v>53</v>
      </c>
      <c r="F1760" t="s">
        <v>49</v>
      </c>
      <c r="G1760" s="30">
        <v>1970058.1422937999</v>
      </c>
    </row>
    <row r="1761" spans="1:7" x14ac:dyDescent="0.25">
      <c r="A1761" t="s">
        <v>45</v>
      </c>
      <c r="B1761" t="s">
        <v>46</v>
      </c>
      <c r="C1761" t="s">
        <v>47</v>
      </c>
      <c r="D1761">
        <v>3823467</v>
      </c>
      <c r="E1761" t="s">
        <v>53</v>
      </c>
      <c r="F1761" t="s">
        <v>49</v>
      </c>
      <c r="G1761" s="30">
        <v>105040.8821875</v>
      </c>
    </row>
    <row r="1762" spans="1:7" x14ac:dyDescent="0.25">
      <c r="A1762" t="s">
        <v>114</v>
      </c>
      <c r="B1762" t="s">
        <v>115</v>
      </c>
      <c r="C1762" t="s">
        <v>56</v>
      </c>
      <c r="D1762">
        <v>3825311</v>
      </c>
      <c r="E1762" t="s">
        <v>53</v>
      </c>
      <c r="F1762" t="s">
        <v>49</v>
      </c>
      <c r="G1762" s="30">
        <v>646768.05852752796</v>
      </c>
    </row>
    <row r="1763" spans="1:7" x14ac:dyDescent="0.25">
      <c r="A1763" t="s">
        <v>45</v>
      </c>
      <c r="B1763" t="s">
        <v>46</v>
      </c>
      <c r="C1763" t="s">
        <v>47</v>
      </c>
      <c r="D1763">
        <v>3826280</v>
      </c>
      <c r="E1763" t="s">
        <v>53</v>
      </c>
      <c r="F1763" t="s">
        <v>49</v>
      </c>
      <c r="G1763" s="30">
        <v>100</v>
      </c>
    </row>
    <row r="1764" spans="1:7" x14ac:dyDescent="0.25">
      <c r="A1764" t="s">
        <v>72</v>
      </c>
      <c r="B1764" t="s">
        <v>73</v>
      </c>
      <c r="C1764" t="s">
        <v>67</v>
      </c>
      <c r="D1764">
        <v>3826785</v>
      </c>
      <c r="E1764" t="s">
        <v>53</v>
      </c>
      <c r="F1764" t="s">
        <v>49</v>
      </c>
      <c r="G1764" s="30">
        <v>339502.950756401</v>
      </c>
    </row>
    <row r="1765" spans="1:7" x14ac:dyDescent="0.25">
      <c r="A1765" t="s">
        <v>72</v>
      </c>
      <c r="B1765" t="s">
        <v>73</v>
      </c>
      <c r="C1765" t="s">
        <v>67</v>
      </c>
      <c r="D1765">
        <v>3826918</v>
      </c>
      <c r="E1765" t="s">
        <v>53</v>
      </c>
      <c r="F1765" t="s">
        <v>49</v>
      </c>
      <c r="G1765" s="30">
        <v>5151052.5184532097</v>
      </c>
    </row>
    <row r="1766" spans="1:7" x14ac:dyDescent="0.25">
      <c r="A1766" t="s">
        <v>50</v>
      </c>
      <c r="B1766" t="s">
        <v>51</v>
      </c>
      <c r="C1766" t="s">
        <v>52</v>
      </c>
      <c r="D1766">
        <v>3827475</v>
      </c>
      <c r="E1766" t="s">
        <v>48</v>
      </c>
      <c r="F1766" t="s">
        <v>49</v>
      </c>
      <c r="G1766" s="30">
        <v>0</v>
      </c>
    </row>
    <row r="1767" spans="1:7" x14ac:dyDescent="0.25">
      <c r="A1767" t="s">
        <v>45</v>
      </c>
      <c r="B1767" t="s">
        <v>46</v>
      </c>
      <c r="C1767" t="s">
        <v>47</v>
      </c>
      <c r="D1767">
        <v>3827503</v>
      </c>
      <c r="E1767" t="s">
        <v>48</v>
      </c>
      <c r="F1767" t="s">
        <v>49</v>
      </c>
      <c r="G1767" s="30">
        <v>0</v>
      </c>
    </row>
    <row r="1768" spans="1:7" x14ac:dyDescent="0.25">
      <c r="A1768" t="s">
        <v>86</v>
      </c>
      <c r="B1768" t="s">
        <v>87</v>
      </c>
      <c r="C1768" t="s">
        <v>78</v>
      </c>
      <c r="D1768">
        <v>3827534</v>
      </c>
      <c r="E1768" t="s">
        <v>53</v>
      </c>
      <c r="F1768" t="s">
        <v>49</v>
      </c>
      <c r="G1768" s="30">
        <v>472352.49539441499</v>
      </c>
    </row>
    <row r="1769" spans="1:7" x14ac:dyDescent="0.25">
      <c r="A1769" t="s">
        <v>54</v>
      </c>
      <c r="B1769" t="s">
        <v>55</v>
      </c>
      <c r="C1769" t="s">
        <v>56</v>
      </c>
      <c r="D1769">
        <v>3830194</v>
      </c>
      <c r="E1769" t="s">
        <v>53</v>
      </c>
      <c r="F1769" t="s">
        <v>49</v>
      </c>
      <c r="G1769" s="30">
        <v>985864.09913050197</v>
      </c>
    </row>
    <row r="1770" spans="1:7" x14ac:dyDescent="0.25">
      <c r="A1770" t="s">
        <v>88</v>
      </c>
      <c r="B1770" t="s">
        <v>89</v>
      </c>
      <c r="C1770" t="s">
        <v>78</v>
      </c>
      <c r="D1770">
        <v>3831026</v>
      </c>
      <c r="E1770" t="s">
        <v>53</v>
      </c>
      <c r="F1770" t="s">
        <v>49</v>
      </c>
      <c r="G1770" s="30">
        <v>228156.35897491701</v>
      </c>
    </row>
    <row r="1771" spans="1:7" x14ac:dyDescent="0.25">
      <c r="A1771" t="s">
        <v>114</v>
      </c>
      <c r="B1771" t="s">
        <v>115</v>
      </c>
      <c r="C1771" t="s">
        <v>56</v>
      </c>
      <c r="D1771">
        <v>3833463</v>
      </c>
      <c r="E1771" t="s">
        <v>53</v>
      </c>
      <c r="F1771" t="s">
        <v>49</v>
      </c>
      <c r="G1771" s="30">
        <v>559048.32761130098</v>
      </c>
    </row>
    <row r="1772" spans="1:7" x14ac:dyDescent="0.25">
      <c r="A1772" t="s">
        <v>102</v>
      </c>
      <c r="B1772" t="s">
        <v>103</v>
      </c>
      <c r="C1772" t="s">
        <v>47</v>
      </c>
      <c r="D1772">
        <v>3833487</v>
      </c>
      <c r="E1772" t="s">
        <v>53</v>
      </c>
      <c r="F1772" t="s">
        <v>49</v>
      </c>
      <c r="G1772" s="30">
        <v>352164.39428710903</v>
      </c>
    </row>
    <row r="1773" spans="1:7" x14ac:dyDescent="0.25">
      <c r="A1773" t="s">
        <v>45</v>
      </c>
      <c r="B1773" t="s">
        <v>46</v>
      </c>
      <c r="C1773" t="s">
        <v>47</v>
      </c>
      <c r="D1773">
        <v>3833663</v>
      </c>
      <c r="E1773" t="s">
        <v>48</v>
      </c>
      <c r="F1773" t="s">
        <v>49</v>
      </c>
      <c r="G1773" s="30">
        <v>0</v>
      </c>
    </row>
    <row r="1774" spans="1:7" x14ac:dyDescent="0.25">
      <c r="A1774" t="s">
        <v>54</v>
      </c>
      <c r="B1774" t="s">
        <v>55</v>
      </c>
      <c r="C1774" t="s">
        <v>56</v>
      </c>
      <c r="D1774">
        <v>3833950</v>
      </c>
      <c r="E1774" t="s">
        <v>53</v>
      </c>
      <c r="F1774" t="s">
        <v>49</v>
      </c>
      <c r="G1774" s="30">
        <v>517696.01773008303</v>
      </c>
    </row>
    <row r="1775" spans="1:7" x14ac:dyDescent="0.25">
      <c r="A1775" t="s">
        <v>45</v>
      </c>
      <c r="B1775" t="s">
        <v>46</v>
      </c>
      <c r="C1775" t="s">
        <v>47</v>
      </c>
      <c r="D1775">
        <v>3844383</v>
      </c>
      <c r="E1775" t="s">
        <v>48</v>
      </c>
      <c r="F1775" t="s">
        <v>49</v>
      </c>
      <c r="G1775" s="30">
        <v>0</v>
      </c>
    </row>
    <row r="1776" spans="1:7" x14ac:dyDescent="0.25">
      <c r="A1776" t="s">
        <v>54</v>
      </c>
      <c r="B1776" t="s">
        <v>55</v>
      </c>
      <c r="C1776" t="s">
        <v>56</v>
      </c>
      <c r="D1776">
        <v>3850793</v>
      </c>
      <c r="E1776" t="s">
        <v>53</v>
      </c>
      <c r="F1776" t="s">
        <v>49</v>
      </c>
      <c r="G1776" s="30">
        <v>68055.560883789105</v>
      </c>
    </row>
    <row r="1777" spans="1:7" x14ac:dyDescent="0.25">
      <c r="A1777" t="s">
        <v>54</v>
      </c>
      <c r="B1777" t="s">
        <v>55</v>
      </c>
      <c r="C1777" t="s">
        <v>56</v>
      </c>
      <c r="D1777">
        <v>3851211</v>
      </c>
      <c r="E1777" t="s">
        <v>53</v>
      </c>
      <c r="F1777" t="s">
        <v>49</v>
      </c>
      <c r="G1777" s="30">
        <v>286253.79225151701</v>
      </c>
    </row>
    <row r="1778" spans="1:7" x14ac:dyDescent="0.25">
      <c r="A1778" t="s">
        <v>45</v>
      </c>
      <c r="B1778" t="s">
        <v>46</v>
      </c>
      <c r="C1778" t="s">
        <v>47</v>
      </c>
      <c r="D1778">
        <v>3851501</v>
      </c>
      <c r="E1778" t="s">
        <v>53</v>
      </c>
      <c r="F1778" t="s">
        <v>49</v>
      </c>
      <c r="G1778" s="30">
        <v>134390.16578446599</v>
      </c>
    </row>
    <row r="1779" spans="1:7" x14ac:dyDescent="0.25">
      <c r="A1779" t="s">
        <v>54</v>
      </c>
      <c r="B1779" t="s">
        <v>55</v>
      </c>
      <c r="C1779" t="s">
        <v>56</v>
      </c>
      <c r="D1779">
        <v>3851928</v>
      </c>
      <c r="E1779" t="s">
        <v>53</v>
      </c>
      <c r="F1779" t="s">
        <v>49</v>
      </c>
      <c r="G1779" s="30">
        <v>65570.336632956794</v>
      </c>
    </row>
    <row r="1780" spans="1:7" x14ac:dyDescent="0.25">
      <c r="A1780" t="s">
        <v>50</v>
      </c>
      <c r="B1780" t="s">
        <v>51</v>
      </c>
      <c r="C1780" t="s">
        <v>52</v>
      </c>
      <c r="D1780">
        <v>3852875</v>
      </c>
      <c r="E1780" t="s">
        <v>53</v>
      </c>
      <c r="F1780" t="s">
        <v>49</v>
      </c>
      <c r="G1780" s="30">
        <v>9408.87531738281</v>
      </c>
    </row>
    <row r="1781" spans="1:7" x14ac:dyDescent="0.25">
      <c r="A1781" t="s">
        <v>50</v>
      </c>
      <c r="B1781" t="s">
        <v>51</v>
      </c>
      <c r="C1781" t="s">
        <v>52</v>
      </c>
      <c r="D1781">
        <v>3852943</v>
      </c>
      <c r="E1781" t="s">
        <v>53</v>
      </c>
      <c r="F1781" t="s">
        <v>49</v>
      </c>
      <c r="G1781" s="30">
        <v>12708.685862754801</v>
      </c>
    </row>
    <row r="1782" spans="1:7" x14ac:dyDescent="0.25">
      <c r="A1782" t="s">
        <v>45</v>
      </c>
      <c r="B1782" t="s">
        <v>46</v>
      </c>
      <c r="C1782" t="s">
        <v>47</v>
      </c>
      <c r="D1782">
        <v>3853703</v>
      </c>
      <c r="E1782" t="s">
        <v>48</v>
      </c>
      <c r="F1782" t="s">
        <v>49</v>
      </c>
      <c r="G1782" s="30">
        <v>0</v>
      </c>
    </row>
    <row r="1783" spans="1:7" x14ac:dyDescent="0.25">
      <c r="A1783" t="s">
        <v>65</v>
      </c>
      <c r="B1783" t="s">
        <v>66</v>
      </c>
      <c r="C1783" t="s">
        <v>67</v>
      </c>
      <c r="D1783">
        <v>3854213</v>
      </c>
      <c r="E1783" t="s">
        <v>53</v>
      </c>
      <c r="F1783" t="s">
        <v>49</v>
      </c>
      <c r="G1783" s="30">
        <v>847222.43158889096</v>
      </c>
    </row>
    <row r="1784" spans="1:7" x14ac:dyDescent="0.25">
      <c r="A1784" t="s">
        <v>50</v>
      </c>
      <c r="B1784" t="s">
        <v>51</v>
      </c>
      <c r="C1784" t="s">
        <v>52</v>
      </c>
      <c r="D1784">
        <v>3854865</v>
      </c>
      <c r="E1784" t="s">
        <v>53</v>
      </c>
      <c r="F1784" t="s">
        <v>49</v>
      </c>
      <c r="G1784" s="30">
        <v>11029.472636349799</v>
      </c>
    </row>
    <row r="1785" spans="1:7" x14ac:dyDescent="0.25">
      <c r="A1785" t="s">
        <v>72</v>
      </c>
      <c r="B1785" t="s">
        <v>73</v>
      </c>
      <c r="C1785" t="s">
        <v>67</v>
      </c>
      <c r="D1785">
        <v>3854922</v>
      </c>
      <c r="E1785" t="s">
        <v>53</v>
      </c>
      <c r="F1785" t="s">
        <v>49</v>
      </c>
      <c r="G1785" s="30">
        <v>1352552.07495656</v>
      </c>
    </row>
    <row r="1786" spans="1:7" x14ac:dyDescent="0.25">
      <c r="A1786" t="s">
        <v>114</v>
      </c>
      <c r="B1786" t="s">
        <v>115</v>
      </c>
      <c r="C1786" t="s">
        <v>56</v>
      </c>
      <c r="D1786">
        <v>3854940</v>
      </c>
      <c r="E1786" t="s">
        <v>48</v>
      </c>
      <c r="F1786" t="s">
        <v>49</v>
      </c>
      <c r="G1786" s="30">
        <v>0</v>
      </c>
    </row>
    <row r="1787" spans="1:7" x14ac:dyDescent="0.25">
      <c r="A1787" t="s">
        <v>63</v>
      </c>
      <c r="B1787" t="s">
        <v>64</v>
      </c>
      <c r="C1787" t="s">
        <v>56</v>
      </c>
      <c r="D1787">
        <v>3855762</v>
      </c>
      <c r="E1787" t="s">
        <v>53</v>
      </c>
      <c r="F1787" t="s">
        <v>49</v>
      </c>
      <c r="G1787" s="30">
        <v>843024.09333106398</v>
      </c>
    </row>
    <row r="1788" spans="1:7" x14ac:dyDescent="0.25">
      <c r="A1788" t="s">
        <v>45</v>
      </c>
      <c r="B1788" t="s">
        <v>46</v>
      </c>
      <c r="C1788" t="s">
        <v>47</v>
      </c>
      <c r="D1788">
        <v>3857089</v>
      </c>
      <c r="E1788" t="s">
        <v>48</v>
      </c>
      <c r="F1788" t="s">
        <v>49</v>
      </c>
      <c r="G1788" s="30">
        <v>0</v>
      </c>
    </row>
    <row r="1789" spans="1:7" x14ac:dyDescent="0.25">
      <c r="A1789" t="s">
        <v>45</v>
      </c>
      <c r="B1789" t="s">
        <v>46</v>
      </c>
      <c r="C1789" t="s">
        <v>47</v>
      </c>
      <c r="D1789">
        <v>3858890</v>
      </c>
      <c r="E1789" t="s">
        <v>48</v>
      </c>
      <c r="F1789" t="s">
        <v>49</v>
      </c>
      <c r="G1789" s="30">
        <v>0</v>
      </c>
    </row>
    <row r="1790" spans="1:7" x14ac:dyDescent="0.25">
      <c r="A1790" t="s">
        <v>45</v>
      </c>
      <c r="B1790" t="s">
        <v>46</v>
      </c>
      <c r="C1790" t="s">
        <v>47</v>
      </c>
      <c r="D1790">
        <v>3859724</v>
      </c>
      <c r="E1790" t="s">
        <v>53</v>
      </c>
      <c r="F1790" t="s">
        <v>49</v>
      </c>
      <c r="G1790" s="30">
        <v>21185.406072011399</v>
      </c>
    </row>
    <row r="1791" spans="1:7" x14ac:dyDescent="0.25">
      <c r="A1791" t="s">
        <v>50</v>
      </c>
      <c r="B1791" t="s">
        <v>51</v>
      </c>
      <c r="C1791" t="s">
        <v>52</v>
      </c>
      <c r="D1791">
        <v>3860326</v>
      </c>
      <c r="E1791" t="s">
        <v>53</v>
      </c>
      <c r="F1791" t="s">
        <v>49</v>
      </c>
      <c r="G1791" s="30">
        <v>28314.623457031201</v>
      </c>
    </row>
    <row r="1792" spans="1:7" x14ac:dyDescent="0.25">
      <c r="A1792" t="s">
        <v>45</v>
      </c>
      <c r="B1792" t="s">
        <v>46</v>
      </c>
      <c r="C1792" t="s">
        <v>47</v>
      </c>
      <c r="D1792">
        <v>3860826</v>
      </c>
      <c r="E1792" t="s">
        <v>48</v>
      </c>
      <c r="F1792" t="s">
        <v>49</v>
      </c>
      <c r="G1792" s="30">
        <v>0</v>
      </c>
    </row>
    <row r="1793" spans="1:7" x14ac:dyDescent="0.25">
      <c r="A1793" t="s">
        <v>45</v>
      </c>
      <c r="B1793" t="s">
        <v>46</v>
      </c>
      <c r="C1793" t="s">
        <v>47</v>
      </c>
      <c r="D1793">
        <v>3861926</v>
      </c>
      <c r="E1793" t="s">
        <v>48</v>
      </c>
      <c r="F1793" t="s">
        <v>49</v>
      </c>
      <c r="G1793" s="30">
        <v>0</v>
      </c>
    </row>
    <row r="1794" spans="1:7" x14ac:dyDescent="0.25">
      <c r="A1794" t="s">
        <v>45</v>
      </c>
      <c r="B1794" t="s">
        <v>46</v>
      </c>
      <c r="C1794" t="s">
        <v>47</v>
      </c>
      <c r="D1794">
        <v>3862078</v>
      </c>
      <c r="E1794" t="s">
        <v>48</v>
      </c>
      <c r="F1794" t="s">
        <v>49</v>
      </c>
      <c r="G1794" s="30">
        <v>0</v>
      </c>
    </row>
    <row r="1795" spans="1:7" x14ac:dyDescent="0.25">
      <c r="A1795" t="s">
        <v>88</v>
      </c>
      <c r="B1795" t="s">
        <v>89</v>
      </c>
      <c r="C1795" t="s">
        <v>78</v>
      </c>
      <c r="D1795">
        <v>3864104</v>
      </c>
      <c r="E1795" t="s">
        <v>53</v>
      </c>
      <c r="F1795" t="s">
        <v>49</v>
      </c>
      <c r="G1795" s="30">
        <v>76855.694237914504</v>
      </c>
    </row>
    <row r="1796" spans="1:7" x14ac:dyDescent="0.25">
      <c r="A1796" t="s">
        <v>45</v>
      </c>
      <c r="B1796" t="s">
        <v>46</v>
      </c>
      <c r="C1796" t="s">
        <v>47</v>
      </c>
      <c r="D1796">
        <v>3864131</v>
      </c>
      <c r="E1796" t="s">
        <v>48</v>
      </c>
      <c r="F1796" t="s">
        <v>49</v>
      </c>
      <c r="G1796" s="30">
        <v>0</v>
      </c>
    </row>
    <row r="1797" spans="1:7" x14ac:dyDescent="0.25">
      <c r="A1797" t="s">
        <v>116</v>
      </c>
      <c r="B1797" t="s">
        <v>117</v>
      </c>
      <c r="C1797" t="s">
        <v>47</v>
      </c>
      <c r="D1797">
        <v>3864838</v>
      </c>
      <c r="E1797" t="s">
        <v>53</v>
      </c>
      <c r="F1797" t="s">
        <v>49</v>
      </c>
      <c r="G1797" s="30">
        <v>110794.7808085</v>
      </c>
    </row>
    <row r="1798" spans="1:7" x14ac:dyDescent="0.25">
      <c r="A1798" t="s">
        <v>45</v>
      </c>
      <c r="B1798" t="s">
        <v>46</v>
      </c>
      <c r="C1798" t="s">
        <v>47</v>
      </c>
      <c r="D1798">
        <v>3865087</v>
      </c>
      <c r="E1798" t="s">
        <v>48</v>
      </c>
      <c r="F1798" t="s">
        <v>49</v>
      </c>
      <c r="G1798" s="30">
        <v>27.27</v>
      </c>
    </row>
    <row r="1799" spans="1:7" x14ac:dyDescent="0.25">
      <c r="A1799" t="s">
        <v>50</v>
      </c>
      <c r="B1799" t="s">
        <v>51</v>
      </c>
      <c r="C1799" t="s">
        <v>52</v>
      </c>
      <c r="D1799">
        <v>3865139</v>
      </c>
      <c r="E1799" t="s">
        <v>48</v>
      </c>
      <c r="F1799" t="s">
        <v>49</v>
      </c>
      <c r="G1799" s="30">
        <v>70.790000000000006</v>
      </c>
    </row>
    <row r="1800" spans="1:7" x14ac:dyDescent="0.25">
      <c r="A1800" t="s">
        <v>45</v>
      </c>
      <c r="B1800" t="s">
        <v>46</v>
      </c>
      <c r="C1800" t="s">
        <v>47</v>
      </c>
      <c r="D1800">
        <v>3867721</v>
      </c>
      <c r="E1800" t="s">
        <v>48</v>
      </c>
      <c r="F1800" t="s">
        <v>49</v>
      </c>
      <c r="G1800" s="30">
        <v>1.31</v>
      </c>
    </row>
    <row r="1801" spans="1:7" x14ac:dyDescent="0.25">
      <c r="A1801" t="s">
        <v>50</v>
      </c>
      <c r="B1801" t="s">
        <v>51</v>
      </c>
      <c r="C1801" t="s">
        <v>52</v>
      </c>
      <c r="D1801">
        <v>3867980</v>
      </c>
      <c r="E1801" t="s">
        <v>53</v>
      </c>
      <c r="F1801" t="s">
        <v>49</v>
      </c>
      <c r="G1801" s="30">
        <v>45661</v>
      </c>
    </row>
    <row r="1802" spans="1:7" x14ac:dyDescent="0.25">
      <c r="A1802" t="s">
        <v>45</v>
      </c>
      <c r="B1802" t="s">
        <v>46</v>
      </c>
      <c r="C1802" t="s">
        <v>47</v>
      </c>
      <c r="D1802">
        <v>3868864</v>
      </c>
      <c r="E1802" t="s">
        <v>48</v>
      </c>
      <c r="F1802" t="s">
        <v>49</v>
      </c>
      <c r="G1802" s="30">
        <v>0</v>
      </c>
    </row>
    <row r="1803" spans="1:7" x14ac:dyDescent="0.25">
      <c r="A1803" t="s">
        <v>45</v>
      </c>
      <c r="B1803" t="s">
        <v>46</v>
      </c>
      <c r="C1803" t="s">
        <v>47</v>
      </c>
      <c r="D1803">
        <v>3869339</v>
      </c>
      <c r="E1803" t="s">
        <v>48</v>
      </c>
      <c r="F1803" t="s">
        <v>49</v>
      </c>
      <c r="G1803" s="30">
        <v>0</v>
      </c>
    </row>
    <row r="1804" spans="1:7" x14ac:dyDescent="0.25">
      <c r="A1804" t="s">
        <v>50</v>
      </c>
      <c r="B1804" t="s">
        <v>51</v>
      </c>
      <c r="C1804" t="s">
        <v>52</v>
      </c>
      <c r="D1804">
        <v>3872108</v>
      </c>
      <c r="E1804" t="s">
        <v>53</v>
      </c>
      <c r="F1804" t="s">
        <v>49</v>
      </c>
      <c r="G1804" s="30">
        <v>18274.5322265625</v>
      </c>
    </row>
    <row r="1805" spans="1:7" x14ac:dyDescent="0.25">
      <c r="A1805" t="s">
        <v>45</v>
      </c>
      <c r="B1805" t="s">
        <v>46</v>
      </c>
      <c r="C1805" t="s">
        <v>47</v>
      </c>
      <c r="D1805">
        <v>3874205</v>
      </c>
      <c r="E1805" t="s">
        <v>48</v>
      </c>
      <c r="F1805" t="s">
        <v>49</v>
      </c>
      <c r="G1805" s="30">
        <v>0</v>
      </c>
    </row>
    <row r="1806" spans="1:7" x14ac:dyDescent="0.25">
      <c r="A1806" t="s">
        <v>102</v>
      </c>
      <c r="B1806" t="s">
        <v>103</v>
      </c>
      <c r="C1806" t="s">
        <v>47</v>
      </c>
      <c r="D1806">
        <v>3874442</v>
      </c>
      <c r="E1806" t="s">
        <v>53</v>
      </c>
      <c r="F1806" t="s">
        <v>49</v>
      </c>
      <c r="G1806" s="30">
        <v>137231.63394341801</v>
      </c>
    </row>
    <row r="1807" spans="1:7" x14ac:dyDescent="0.25">
      <c r="A1807" t="s">
        <v>45</v>
      </c>
      <c r="B1807" t="s">
        <v>46</v>
      </c>
      <c r="C1807" t="s">
        <v>47</v>
      </c>
      <c r="D1807">
        <v>3875208</v>
      </c>
      <c r="E1807" t="s">
        <v>48</v>
      </c>
      <c r="F1807" t="s">
        <v>49</v>
      </c>
      <c r="G1807" s="30">
        <v>0</v>
      </c>
    </row>
    <row r="1808" spans="1:7" x14ac:dyDescent="0.25">
      <c r="A1808" t="s">
        <v>45</v>
      </c>
      <c r="B1808" t="s">
        <v>46</v>
      </c>
      <c r="C1808" t="s">
        <v>47</v>
      </c>
      <c r="D1808">
        <v>3876274</v>
      </c>
      <c r="E1808" t="s">
        <v>53</v>
      </c>
      <c r="F1808" t="s">
        <v>49</v>
      </c>
      <c r="G1808" s="30">
        <v>241498.38533319</v>
      </c>
    </row>
    <row r="1809" spans="1:7" x14ac:dyDescent="0.25">
      <c r="A1809" t="s">
        <v>45</v>
      </c>
      <c r="B1809" t="s">
        <v>46</v>
      </c>
      <c r="C1809" t="s">
        <v>47</v>
      </c>
      <c r="D1809">
        <v>3877128</v>
      </c>
      <c r="E1809" t="s">
        <v>53</v>
      </c>
      <c r="F1809" t="s">
        <v>49</v>
      </c>
      <c r="G1809" s="30">
        <v>137887.79134932699</v>
      </c>
    </row>
    <row r="1810" spans="1:7" x14ac:dyDescent="0.25">
      <c r="A1810" t="s">
        <v>104</v>
      </c>
      <c r="B1810" t="s">
        <v>105</v>
      </c>
      <c r="C1810" t="s">
        <v>78</v>
      </c>
      <c r="D1810">
        <v>3882149</v>
      </c>
      <c r="E1810" t="s">
        <v>53</v>
      </c>
      <c r="F1810" t="s">
        <v>49</v>
      </c>
      <c r="G1810" s="30">
        <v>99086.2578125</v>
      </c>
    </row>
    <row r="1811" spans="1:7" x14ac:dyDescent="0.25">
      <c r="A1811" t="s">
        <v>50</v>
      </c>
      <c r="B1811" t="s">
        <v>51</v>
      </c>
      <c r="C1811" t="s">
        <v>52</v>
      </c>
      <c r="D1811">
        <v>3883028</v>
      </c>
      <c r="E1811" t="s">
        <v>53</v>
      </c>
      <c r="F1811" t="s">
        <v>49</v>
      </c>
      <c r="G1811" s="30">
        <v>241.129045851623</v>
      </c>
    </row>
    <row r="1812" spans="1:7" x14ac:dyDescent="0.25">
      <c r="A1812" t="s">
        <v>74</v>
      </c>
      <c r="B1812" t="s">
        <v>75</v>
      </c>
      <c r="C1812" t="s">
        <v>67</v>
      </c>
      <c r="D1812">
        <v>3883751</v>
      </c>
      <c r="E1812" t="s">
        <v>48</v>
      </c>
      <c r="F1812" t="s">
        <v>49</v>
      </c>
      <c r="G1812" s="30">
        <v>0</v>
      </c>
    </row>
    <row r="1813" spans="1:7" x14ac:dyDescent="0.25">
      <c r="A1813" t="s">
        <v>90</v>
      </c>
      <c r="B1813" t="s">
        <v>91</v>
      </c>
      <c r="C1813" t="s">
        <v>81</v>
      </c>
      <c r="D1813">
        <v>3885122</v>
      </c>
      <c r="E1813" t="s">
        <v>53</v>
      </c>
      <c r="F1813" t="s">
        <v>49</v>
      </c>
      <c r="G1813" s="30">
        <v>1557440.6244531299</v>
      </c>
    </row>
    <row r="1814" spans="1:7" x14ac:dyDescent="0.25">
      <c r="A1814" t="s">
        <v>45</v>
      </c>
      <c r="B1814" t="s">
        <v>46</v>
      </c>
      <c r="C1814" t="s">
        <v>47</v>
      </c>
      <c r="D1814">
        <v>3886536</v>
      </c>
      <c r="E1814" t="s">
        <v>48</v>
      </c>
      <c r="F1814" t="s">
        <v>49</v>
      </c>
      <c r="G1814" s="30">
        <v>0</v>
      </c>
    </row>
    <row r="1815" spans="1:7" x14ac:dyDescent="0.25">
      <c r="A1815" t="s">
        <v>45</v>
      </c>
      <c r="B1815" t="s">
        <v>46</v>
      </c>
      <c r="C1815" t="s">
        <v>47</v>
      </c>
      <c r="D1815">
        <v>3887392</v>
      </c>
      <c r="E1815" t="s">
        <v>48</v>
      </c>
      <c r="F1815" t="s">
        <v>49</v>
      </c>
      <c r="G1815" s="30">
        <v>0</v>
      </c>
    </row>
    <row r="1816" spans="1:7" x14ac:dyDescent="0.25">
      <c r="A1816" t="s">
        <v>90</v>
      </c>
      <c r="B1816" t="s">
        <v>91</v>
      </c>
      <c r="C1816" t="s">
        <v>81</v>
      </c>
      <c r="D1816">
        <v>3887795</v>
      </c>
      <c r="E1816" t="s">
        <v>53</v>
      </c>
      <c r="F1816" t="s">
        <v>49</v>
      </c>
      <c r="G1816" s="30">
        <v>1188112.24378943</v>
      </c>
    </row>
    <row r="1817" spans="1:7" x14ac:dyDescent="0.25">
      <c r="A1817" t="s">
        <v>45</v>
      </c>
      <c r="B1817" t="s">
        <v>46</v>
      </c>
      <c r="C1817" t="s">
        <v>47</v>
      </c>
      <c r="D1817">
        <v>3887868</v>
      </c>
      <c r="E1817" t="s">
        <v>48</v>
      </c>
      <c r="F1817" t="s">
        <v>49</v>
      </c>
      <c r="G1817" s="30">
        <v>0</v>
      </c>
    </row>
    <row r="1818" spans="1:7" x14ac:dyDescent="0.25">
      <c r="A1818" t="s">
        <v>45</v>
      </c>
      <c r="B1818" t="s">
        <v>46</v>
      </c>
      <c r="C1818" t="s">
        <v>47</v>
      </c>
      <c r="D1818">
        <v>3888369</v>
      </c>
      <c r="E1818" t="s">
        <v>48</v>
      </c>
      <c r="F1818" t="s">
        <v>49</v>
      </c>
      <c r="G1818" s="30">
        <v>0</v>
      </c>
    </row>
    <row r="1819" spans="1:7" x14ac:dyDescent="0.25">
      <c r="A1819" t="s">
        <v>104</v>
      </c>
      <c r="B1819" t="s">
        <v>105</v>
      </c>
      <c r="C1819" t="s">
        <v>78</v>
      </c>
      <c r="D1819">
        <v>3889522</v>
      </c>
      <c r="E1819" t="s">
        <v>53</v>
      </c>
      <c r="F1819" t="s">
        <v>49</v>
      </c>
      <c r="G1819" s="30">
        <v>139986.452139406</v>
      </c>
    </row>
    <row r="1820" spans="1:7" x14ac:dyDescent="0.25">
      <c r="A1820" t="s">
        <v>50</v>
      </c>
      <c r="B1820" t="s">
        <v>51</v>
      </c>
      <c r="C1820" t="s">
        <v>52</v>
      </c>
      <c r="D1820">
        <v>3890091</v>
      </c>
      <c r="E1820" t="s">
        <v>53</v>
      </c>
      <c r="F1820" t="s">
        <v>49</v>
      </c>
      <c r="G1820" s="30">
        <v>10356.7501618064</v>
      </c>
    </row>
    <row r="1821" spans="1:7" x14ac:dyDescent="0.25">
      <c r="A1821" t="s">
        <v>45</v>
      </c>
      <c r="B1821" t="s">
        <v>46</v>
      </c>
      <c r="C1821" t="s">
        <v>47</v>
      </c>
      <c r="D1821">
        <v>3893215</v>
      </c>
      <c r="E1821" t="s">
        <v>48</v>
      </c>
      <c r="F1821" t="s">
        <v>49</v>
      </c>
      <c r="G1821" s="30">
        <v>0</v>
      </c>
    </row>
    <row r="1822" spans="1:7" x14ac:dyDescent="0.25">
      <c r="A1822" t="s">
        <v>133</v>
      </c>
      <c r="B1822" t="s">
        <v>134</v>
      </c>
      <c r="C1822" t="s">
        <v>47</v>
      </c>
      <c r="D1822">
        <v>3893459</v>
      </c>
      <c r="E1822" t="s">
        <v>53</v>
      </c>
      <c r="F1822" t="s">
        <v>49</v>
      </c>
      <c r="G1822" s="30">
        <v>441581.88961961499</v>
      </c>
    </row>
    <row r="1823" spans="1:7" x14ac:dyDescent="0.25">
      <c r="A1823" t="s">
        <v>65</v>
      </c>
      <c r="B1823" t="s">
        <v>66</v>
      </c>
      <c r="C1823" t="s">
        <v>67</v>
      </c>
      <c r="D1823">
        <v>3893933</v>
      </c>
      <c r="E1823" t="s">
        <v>53</v>
      </c>
      <c r="F1823" t="s">
        <v>49</v>
      </c>
      <c r="G1823" s="30">
        <v>485897.45759441197</v>
      </c>
    </row>
    <row r="1824" spans="1:7" x14ac:dyDescent="0.25">
      <c r="A1824" t="s">
        <v>88</v>
      </c>
      <c r="B1824" t="s">
        <v>89</v>
      </c>
      <c r="C1824" t="s">
        <v>78</v>
      </c>
      <c r="D1824">
        <v>3894251</v>
      </c>
      <c r="E1824" t="s">
        <v>53</v>
      </c>
      <c r="F1824" t="s">
        <v>49</v>
      </c>
      <c r="G1824" s="30">
        <v>515120.75502052298</v>
      </c>
    </row>
    <row r="1825" spans="1:7" x14ac:dyDescent="0.25">
      <c r="A1825" t="s">
        <v>72</v>
      </c>
      <c r="B1825" t="s">
        <v>73</v>
      </c>
      <c r="C1825" t="s">
        <v>67</v>
      </c>
      <c r="D1825">
        <v>3894515</v>
      </c>
      <c r="E1825" t="s">
        <v>53</v>
      </c>
      <c r="F1825" t="s">
        <v>49</v>
      </c>
      <c r="G1825" s="30">
        <v>1427132.2646226401</v>
      </c>
    </row>
    <row r="1826" spans="1:7" x14ac:dyDescent="0.25">
      <c r="A1826" t="s">
        <v>124</v>
      </c>
      <c r="B1826" t="s">
        <v>125</v>
      </c>
      <c r="C1826" t="s">
        <v>78</v>
      </c>
      <c r="D1826">
        <v>3894637</v>
      </c>
      <c r="E1826" t="s">
        <v>53</v>
      </c>
      <c r="F1826" t="s">
        <v>49</v>
      </c>
      <c r="G1826" s="30">
        <v>1000234.77634991</v>
      </c>
    </row>
    <row r="1827" spans="1:7" x14ac:dyDescent="0.25">
      <c r="A1827" t="s">
        <v>124</v>
      </c>
      <c r="B1827" t="s">
        <v>125</v>
      </c>
      <c r="C1827" t="s">
        <v>78</v>
      </c>
      <c r="D1827">
        <v>3894735</v>
      </c>
      <c r="E1827" t="s">
        <v>53</v>
      </c>
      <c r="F1827" t="s">
        <v>49</v>
      </c>
      <c r="G1827" s="30">
        <v>139052.189031355</v>
      </c>
    </row>
    <row r="1828" spans="1:7" x14ac:dyDescent="0.25">
      <c r="A1828" t="s">
        <v>54</v>
      </c>
      <c r="B1828" t="s">
        <v>55</v>
      </c>
      <c r="C1828" t="s">
        <v>56</v>
      </c>
      <c r="D1828">
        <v>3897812</v>
      </c>
      <c r="E1828" t="s">
        <v>53</v>
      </c>
      <c r="F1828" t="s">
        <v>49</v>
      </c>
      <c r="G1828" s="30">
        <v>11461.8596734775</v>
      </c>
    </row>
    <row r="1829" spans="1:7" x14ac:dyDescent="0.25">
      <c r="A1829" t="s">
        <v>45</v>
      </c>
      <c r="B1829" t="s">
        <v>46</v>
      </c>
      <c r="C1829" t="s">
        <v>47</v>
      </c>
      <c r="D1829">
        <v>3899236</v>
      </c>
      <c r="E1829" t="s">
        <v>48</v>
      </c>
      <c r="F1829" t="s">
        <v>49</v>
      </c>
      <c r="G1829" s="30">
        <v>0</v>
      </c>
    </row>
    <row r="1830" spans="1:7" x14ac:dyDescent="0.25">
      <c r="A1830" t="s">
        <v>45</v>
      </c>
      <c r="B1830" t="s">
        <v>46</v>
      </c>
      <c r="C1830" t="s">
        <v>47</v>
      </c>
      <c r="D1830">
        <v>3899273</v>
      </c>
      <c r="E1830" t="s">
        <v>48</v>
      </c>
      <c r="F1830" t="s">
        <v>49</v>
      </c>
      <c r="G1830" s="30">
        <v>0</v>
      </c>
    </row>
    <row r="1831" spans="1:7" x14ac:dyDescent="0.25">
      <c r="A1831" t="s">
        <v>126</v>
      </c>
      <c r="B1831" t="s">
        <v>127</v>
      </c>
      <c r="C1831" t="s">
        <v>67</v>
      </c>
      <c r="D1831">
        <v>3899470</v>
      </c>
      <c r="E1831" t="s">
        <v>48</v>
      </c>
      <c r="F1831" t="s">
        <v>49</v>
      </c>
      <c r="G1831" s="30">
        <v>0</v>
      </c>
    </row>
    <row r="1832" spans="1:7" x14ac:dyDescent="0.25">
      <c r="A1832" t="s">
        <v>124</v>
      </c>
      <c r="B1832" t="s">
        <v>125</v>
      </c>
      <c r="C1832" t="s">
        <v>78</v>
      </c>
      <c r="D1832">
        <v>3900366</v>
      </c>
      <c r="E1832" t="s">
        <v>53</v>
      </c>
      <c r="F1832" t="s">
        <v>49</v>
      </c>
      <c r="G1832" s="30">
        <v>247974.12062500001</v>
      </c>
    </row>
    <row r="1833" spans="1:7" x14ac:dyDescent="0.25">
      <c r="A1833" t="s">
        <v>45</v>
      </c>
      <c r="B1833" t="s">
        <v>46</v>
      </c>
      <c r="C1833" t="s">
        <v>47</v>
      </c>
      <c r="D1833">
        <v>3900522</v>
      </c>
      <c r="E1833" t="s">
        <v>48</v>
      </c>
      <c r="F1833" t="s">
        <v>49</v>
      </c>
      <c r="G1833" s="30">
        <v>0</v>
      </c>
    </row>
    <row r="1834" spans="1:7" x14ac:dyDescent="0.25">
      <c r="A1834" t="s">
        <v>45</v>
      </c>
      <c r="B1834" t="s">
        <v>46</v>
      </c>
      <c r="C1834" t="s">
        <v>47</v>
      </c>
      <c r="D1834">
        <v>3900975</v>
      </c>
      <c r="E1834" t="s">
        <v>48</v>
      </c>
      <c r="F1834" t="s">
        <v>49</v>
      </c>
      <c r="G1834" s="30">
        <v>0</v>
      </c>
    </row>
    <row r="1835" spans="1:7" x14ac:dyDescent="0.25">
      <c r="A1835" t="s">
        <v>50</v>
      </c>
      <c r="B1835" t="s">
        <v>51</v>
      </c>
      <c r="C1835" t="s">
        <v>52</v>
      </c>
      <c r="D1835">
        <v>3901101</v>
      </c>
      <c r="E1835" t="s">
        <v>53</v>
      </c>
      <c r="F1835" t="s">
        <v>49</v>
      </c>
      <c r="G1835" s="30">
        <v>19344.16796875</v>
      </c>
    </row>
    <row r="1836" spans="1:7" x14ac:dyDescent="0.25">
      <c r="A1836" t="s">
        <v>45</v>
      </c>
      <c r="B1836" t="s">
        <v>46</v>
      </c>
      <c r="C1836" t="s">
        <v>47</v>
      </c>
      <c r="D1836">
        <v>3902388</v>
      </c>
      <c r="E1836" t="s">
        <v>48</v>
      </c>
      <c r="F1836" t="s">
        <v>49</v>
      </c>
      <c r="G1836" s="30">
        <v>0</v>
      </c>
    </row>
    <row r="1837" spans="1:7" x14ac:dyDescent="0.25">
      <c r="A1837" t="s">
        <v>45</v>
      </c>
      <c r="B1837" t="s">
        <v>46</v>
      </c>
      <c r="C1837" t="s">
        <v>47</v>
      </c>
      <c r="D1837">
        <v>3902925</v>
      </c>
      <c r="E1837" t="s">
        <v>48</v>
      </c>
      <c r="F1837" t="s">
        <v>49</v>
      </c>
      <c r="G1837" s="30">
        <v>0</v>
      </c>
    </row>
    <row r="1838" spans="1:7" x14ac:dyDescent="0.25">
      <c r="A1838" t="s">
        <v>50</v>
      </c>
      <c r="B1838" t="s">
        <v>51</v>
      </c>
      <c r="C1838" t="s">
        <v>52</v>
      </c>
      <c r="D1838">
        <v>3904094</v>
      </c>
      <c r="E1838" t="s">
        <v>53</v>
      </c>
      <c r="F1838" t="s">
        <v>49</v>
      </c>
      <c r="G1838" s="30">
        <v>457.75</v>
      </c>
    </row>
    <row r="1839" spans="1:7" x14ac:dyDescent="0.25">
      <c r="A1839" t="s">
        <v>128</v>
      </c>
      <c r="B1839" t="s">
        <v>129</v>
      </c>
      <c r="C1839" t="s">
        <v>130</v>
      </c>
      <c r="D1839">
        <v>3904596</v>
      </c>
      <c r="E1839" t="s">
        <v>53</v>
      </c>
      <c r="F1839" t="s">
        <v>49</v>
      </c>
      <c r="G1839" s="30">
        <v>1248259.75618737</v>
      </c>
    </row>
    <row r="1840" spans="1:7" x14ac:dyDescent="0.25">
      <c r="A1840" t="s">
        <v>45</v>
      </c>
      <c r="B1840" t="s">
        <v>46</v>
      </c>
      <c r="C1840" t="s">
        <v>47</v>
      </c>
      <c r="D1840">
        <v>3904945</v>
      </c>
      <c r="E1840" t="s">
        <v>48</v>
      </c>
      <c r="F1840" t="s">
        <v>49</v>
      </c>
      <c r="G1840" s="30">
        <v>0</v>
      </c>
    </row>
    <row r="1841" spans="1:7" x14ac:dyDescent="0.25">
      <c r="A1841" t="s">
        <v>45</v>
      </c>
      <c r="B1841" t="s">
        <v>46</v>
      </c>
      <c r="C1841" t="s">
        <v>47</v>
      </c>
      <c r="D1841">
        <v>3904979</v>
      </c>
      <c r="E1841" t="s">
        <v>48</v>
      </c>
      <c r="F1841" t="s">
        <v>49</v>
      </c>
      <c r="G1841" s="30">
        <v>0</v>
      </c>
    </row>
    <row r="1842" spans="1:7" x14ac:dyDescent="0.25">
      <c r="A1842" t="s">
        <v>45</v>
      </c>
      <c r="B1842" t="s">
        <v>46</v>
      </c>
      <c r="C1842" t="s">
        <v>47</v>
      </c>
      <c r="D1842">
        <v>3904995</v>
      </c>
      <c r="E1842" t="s">
        <v>48</v>
      </c>
      <c r="F1842" t="s">
        <v>49</v>
      </c>
      <c r="G1842" s="30">
        <v>0</v>
      </c>
    </row>
    <row r="1843" spans="1:7" x14ac:dyDescent="0.25">
      <c r="A1843" t="s">
        <v>114</v>
      </c>
      <c r="B1843" t="s">
        <v>115</v>
      </c>
      <c r="C1843" t="s">
        <v>56</v>
      </c>
      <c r="D1843">
        <v>3905264</v>
      </c>
      <c r="E1843" t="s">
        <v>48</v>
      </c>
      <c r="F1843" t="s">
        <v>49</v>
      </c>
      <c r="G1843" s="30">
        <v>0</v>
      </c>
    </row>
    <row r="1844" spans="1:7" x14ac:dyDescent="0.25">
      <c r="A1844" t="s">
        <v>59</v>
      </c>
      <c r="B1844" t="s">
        <v>60</v>
      </c>
      <c r="C1844" t="s">
        <v>56</v>
      </c>
      <c r="D1844">
        <v>3906682</v>
      </c>
      <c r="E1844" t="s">
        <v>53</v>
      </c>
      <c r="F1844" t="s">
        <v>49</v>
      </c>
      <c r="G1844" s="30">
        <v>636296.85763843602</v>
      </c>
    </row>
    <row r="1845" spans="1:7" x14ac:dyDescent="0.25">
      <c r="A1845" t="s">
        <v>45</v>
      </c>
      <c r="B1845" t="s">
        <v>46</v>
      </c>
      <c r="C1845" t="s">
        <v>47</v>
      </c>
      <c r="D1845">
        <v>3907955</v>
      </c>
      <c r="E1845" t="s">
        <v>48</v>
      </c>
      <c r="F1845" t="s">
        <v>49</v>
      </c>
      <c r="G1845" s="30">
        <v>0.3</v>
      </c>
    </row>
    <row r="1846" spans="1:7" x14ac:dyDescent="0.25">
      <c r="A1846" t="s">
        <v>45</v>
      </c>
      <c r="B1846" t="s">
        <v>46</v>
      </c>
      <c r="C1846" t="s">
        <v>47</v>
      </c>
      <c r="D1846">
        <v>3908165</v>
      </c>
      <c r="E1846" t="s">
        <v>48</v>
      </c>
      <c r="F1846" t="s">
        <v>49</v>
      </c>
      <c r="G1846" s="30">
        <v>0</v>
      </c>
    </row>
    <row r="1847" spans="1:7" x14ac:dyDescent="0.25">
      <c r="A1847" t="s">
        <v>50</v>
      </c>
      <c r="B1847" t="s">
        <v>51</v>
      </c>
      <c r="C1847" t="s">
        <v>52</v>
      </c>
      <c r="D1847">
        <v>3908958</v>
      </c>
      <c r="E1847" t="s">
        <v>53</v>
      </c>
      <c r="F1847" t="s">
        <v>49</v>
      </c>
      <c r="G1847" s="30">
        <v>64170.093792319502</v>
      </c>
    </row>
    <row r="1848" spans="1:7" x14ac:dyDescent="0.25">
      <c r="A1848" t="s">
        <v>45</v>
      </c>
      <c r="B1848" t="s">
        <v>46</v>
      </c>
      <c r="C1848" t="s">
        <v>47</v>
      </c>
      <c r="D1848">
        <v>3916240</v>
      </c>
      <c r="E1848" t="s">
        <v>53</v>
      </c>
      <c r="F1848" t="s">
        <v>49</v>
      </c>
      <c r="G1848" s="30">
        <v>8956.76</v>
      </c>
    </row>
    <row r="1849" spans="1:7" x14ac:dyDescent="0.25">
      <c r="A1849" t="s">
        <v>45</v>
      </c>
      <c r="B1849" t="s">
        <v>46</v>
      </c>
      <c r="C1849" t="s">
        <v>47</v>
      </c>
      <c r="D1849">
        <v>3916956</v>
      </c>
      <c r="E1849" t="s">
        <v>53</v>
      </c>
      <c r="F1849" t="s">
        <v>49</v>
      </c>
      <c r="G1849" s="30">
        <v>1170.27735571003</v>
      </c>
    </row>
    <row r="1850" spans="1:7" x14ac:dyDescent="0.25">
      <c r="A1850" t="s">
        <v>45</v>
      </c>
      <c r="B1850" t="s">
        <v>46</v>
      </c>
      <c r="C1850" t="s">
        <v>47</v>
      </c>
      <c r="D1850">
        <v>3917331</v>
      </c>
      <c r="E1850" t="s">
        <v>48</v>
      </c>
      <c r="F1850" t="s">
        <v>49</v>
      </c>
      <c r="G1850" s="30">
        <v>0</v>
      </c>
    </row>
    <row r="1851" spans="1:7" x14ac:dyDescent="0.25">
      <c r="A1851" t="s">
        <v>45</v>
      </c>
      <c r="B1851" t="s">
        <v>46</v>
      </c>
      <c r="C1851" t="s">
        <v>47</v>
      </c>
      <c r="D1851">
        <v>3918494</v>
      </c>
      <c r="E1851" t="s">
        <v>53</v>
      </c>
      <c r="F1851" t="s">
        <v>49</v>
      </c>
      <c r="G1851" s="30">
        <v>197347.06386866901</v>
      </c>
    </row>
    <row r="1852" spans="1:7" x14ac:dyDescent="0.25">
      <c r="A1852" t="s">
        <v>146</v>
      </c>
      <c r="B1852" t="s">
        <v>147</v>
      </c>
      <c r="C1852" t="s">
        <v>56</v>
      </c>
      <c r="D1852">
        <v>3918925</v>
      </c>
      <c r="E1852" t="s">
        <v>53</v>
      </c>
      <c r="F1852" t="s">
        <v>49</v>
      </c>
      <c r="G1852" s="30">
        <v>203240.22500000001</v>
      </c>
    </row>
    <row r="1853" spans="1:7" x14ac:dyDescent="0.25">
      <c r="A1853" t="s">
        <v>157</v>
      </c>
      <c r="B1853" t="s">
        <v>158</v>
      </c>
      <c r="C1853" t="s">
        <v>56</v>
      </c>
      <c r="D1853">
        <v>3919205</v>
      </c>
      <c r="E1853" t="s">
        <v>53</v>
      </c>
      <c r="F1853" t="s">
        <v>49</v>
      </c>
      <c r="G1853" s="30">
        <v>977030.988860621</v>
      </c>
    </row>
    <row r="1854" spans="1:7" x14ac:dyDescent="0.25">
      <c r="A1854" t="s">
        <v>45</v>
      </c>
      <c r="B1854" t="s">
        <v>46</v>
      </c>
      <c r="C1854" t="s">
        <v>47</v>
      </c>
      <c r="D1854">
        <v>3919255</v>
      </c>
      <c r="E1854" t="s">
        <v>53</v>
      </c>
      <c r="F1854" t="s">
        <v>49</v>
      </c>
      <c r="G1854" s="30">
        <v>24453.4447578123</v>
      </c>
    </row>
    <row r="1855" spans="1:7" x14ac:dyDescent="0.25">
      <c r="A1855" t="s">
        <v>45</v>
      </c>
      <c r="B1855" t="s">
        <v>46</v>
      </c>
      <c r="C1855" t="s">
        <v>47</v>
      </c>
      <c r="D1855">
        <v>3920163</v>
      </c>
      <c r="E1855" t="s">
        <v>48</v>
      </c>
      <c r="F1855" t="s">
        <v>49</v>
      </c>
      <c r="G1855" s="30">
        <v>0.89</v>
      </c>
    </row>
    <row r="1856" spans="1:7" x14ac:dyDescent="0.25">
      <c r="A1856" t="s">
        <v>76</v>
      </c>
      <c r="B1856" t="s">
        <v>77</v>
      </c>
      <c r="C1856" t="s">
        <v>78</v>
      </c>
      <c r="D1856">
        <v>3920756</v>
      </c>
      <c r="E1856" t="s">
        <v>53</v>
      </c>
      <c r="F1856" t="s">
        <v>49</v>
      </c>
      <c r="G1856" s="30">
        <v>126699.997689556</v>
      </c>
    </row>
    <row r="1857" spans="1:7" x14ac:dyDescent="0.25">
      <c r="A1857" t="s">
        <v>45</v>
      </c>
      <c r="B1857" t="s">
        <v>46</v>
      </c>
      <c r="C1857" t="s">
        <v>47</v>
      </c>
      <c r="D1857">
        <v>3920867</v>
      </c>
      <c r="E1857" t="s">
        <v>48</v>
      </c>
      <c r="F1857" t="s">
        <v>49</v>
      </c>
      <c r="G1857" s="30">
        <v>0</v>
      </c>
    </row>
    <row r="1858" spans="1:7" x14ac:dyDescent="0.25">
      <c r="A1858" t="s">
        <v>54</v>
      </c>
      <c r="B1858" t="s">
        <v>55</v>
      </c>
      <c r="C1858" t="s">
        <v>56</v>
      </c>
      <c r="D1858">
        <v>3921377</v>
      </c>
      <c r="E1858" t="s">
        <v>53</v>
      </c>
      <c r="F1858" t="s">
        <v>49</v>
      </c>
      <c r="G1858" s="30">
        <v>141752.455624083</v>
      </c>
    </row>
    <row r="1859" spans="1:7" x14ac:dyDescent="0.25">
      <c r="A1859" t="s">
        <v>76</v>
      </c>
      <c r="B1859" t="s">
        <v>77</v>
      </c>
      <c r="C1859" t="s">
        <v>78</v>
      </c>
      <c r="D1859">
        <v>3922462</v>
      </c>
      <c r="E1859" t="s">
        <v>53</v>
      </c>
      <c r="F1859" t="s">
        <v>49</v>
      </c>
      <c r="G1859" s="30">
        <v>184949.67274389701</v>
      </c>
    </row>
    <row r="1860" spans="1:7" x14ac:dyDescent="0.25">
      <c r="A1860" t="s">
        <v>45</v>
      </c>
      <c r="B1860" t="s">
        <v>46</v>
      </c>
      <c r="C1860" t="s">
        <v>47</v>
      </c>
      <c r="D1860">
        <v>3923178</v>
      </c>
      <c r="E1860" t="s">
        <v>48</v>
      </c>
      <c r="F1860" t="s">
        <v>49</v>
      </c>
      <c r="G1860" s="30">
        <v>0</v>
      </c>
    </row>
    <row r="1861" spans="1:7" x14ac:dyDescent="0.25">
      <c r="A1861" t="s">
        <v>50</v>
      </c>
      <c r="B1861" t="s">
        <v>51</v>
      </c>
      <c r="C1861" t="s">
        <v>52</v>
      </c>
      <c r="D1861">
        <v>3924429</v>
      </c>
      <c r="E1861" t="s">
        <v>53</v>
      </c>
      <c r="F1861" t="s">
        <v>49</v>
      </c>
      <c r="G1861" s="30">
        <v>245.92</v>
      </c>
    </row>
    <row r="1862" spans="1:7" x14ac:dyDescent="0.25">
      <c r="A1862" t="s">
        <v>114</v>
      </c>
      <c r="B1862" t="s">
        <v>115</v>
      </c>
      <c r="C1862" t="s">
        <v>56</v>
      </c>
      <c r="D1862">
        <v>3927362</v>
      </c>
      <c r="E1862" t="s">
        <v>53</v>
      </c>
      <c r="F1862" t="s">
        <v>49</v>
      </c>
      <c r="G1862" s="30">
        <v>327629.09999999998</v>
      </c>
    </row>
    <row r="1863" spans="1:7" x14ac:dyDescent="0.25">
      <c r="A1863" t="s">
        <v>45</v>
      </c>
      <c r="B1863" t="s">
        <v>46</v>
      </c>
      <c r="C1863" t="s">
        <v>47</v>
      </c>
      <c r="D1863">
        <v>3930969</v>
      </c>
      <c r="E1863" t="s">
        <v>48</v>
      </c>
      <c r="F1863" t="s">
        <v>49</v>
      </c>
      <c r="G1863" s="30">
        <v>0</v>
      </c>
    </row>
    <row r="1864" spans="1:7" x14ac:dyDescent="0.25">
      <c r="A1864" t="s">
        <v>45</v>
      </c>
      <c r="B1864" t="s">
        <v>46</v>
      </c>
      <c r="C1864" t="s">
        <v>47</v>
      </c>
      <c r="D1864">
        <v>3931184</v>
      </c>
      <c r="E1864" t="s">
        <v>48</v>
      </c>
      <c r="F1864" t="s">
        <v>49</v>
      </c>
      <c r="G1864" s="30">
        <v>0</v>
      </c>
    </row>
    <row r="1865" spans="1:7" x14ac:dyDescent="0.25">
      <c r="A1865" t="s">
        <v>50</v>
      </c>
      <c r="B1865" t="s">
        <v>51</v>
      </c>
      <c r="C1865" t="s">
        <v>52</v>
      </c>
      <c r="D1865">
        <v>3931997</v>
      </c>
      <c r="E1865" t="s">
        <v>53</v>
      </c>
      <c r="F1865" t="s">
        <v>49</v>
      </c>
      <c r="G1865" s="30">
        <v>73027.240000000005</v>
      </c>
    </row>
    <row r="1866" spans="1:7" x14ac:dyDescent="0.25">
      <c r="A1866" t="s">
        <v>90</v>
      </c>
      <c r="B1866" t="s">
        <v>91</v>
      </c>
      <c r="C1866" t="s">
        <v>81</v>
      </c>
      <c r="D1866">
        <v>3932202</v>
      </c>
      <c r="E1866" t="s">
        <v>48</v>
      </c>
      <c r="F1866" t="s">
        <v>49</v>
      </c>
      <c r="G1866" s="30">
        <v>0</v>
      </c>
    </row>
    <row r="1867" spans="1:7" x14ac:dyDescent="0.25">
      <c r="A1867" t="s">
        <v>45</v>
      </c>
      <c r="B1867" t="s">
        <v>46</v>
      </c>
      <c r="C1867" t="s">
        <v>47</v>
      </c>
      <c r="D1867">
        <v>3932790</v>
      </c>
      <c r="E1867" t="s">
        <v>48</v>
      </c>
      <c r="F1867" t="s">
        <v>49</v>
      </c>
      <c r="G1867" s="30">
        <v>0</v>
      </c>
    </row>
    <row r="1868" spans="1:7" x14ac:dyDescent="0.25">
      <c r="A1868" t="s">
        <v>50</v>
      </c>
      <c r="B1868" t="s">
        <v>51</v>
      </c>
      <c r="C1868" t="s">
        <v>52</v>
      </c>
      <c r="D1868">
        <v>3934497</v>
      </c>
      <c r="E1868" t="s">
        <v>53</v>
      </c>
      <c r="F1868" t="s">
        <v>49</v>
      </c>
      <c r="G1868" s="30">
        <v>71.77</v>
      </c>
    </row>
    <row r="1869" spans="1:7" x14ac:dyDescent="0.25">
      <c r="A1869" t="s">
        <v>61</v>
      </c>
      <c r="B1869" t="s">
        <v>62</v>
      </c>
      <c r="C1869" t="s">
        <v>56</v>
      </c>
      <c r="D1869">
        <v>3934973</v>
      </c>
      <c r="E1869" t="s">
        <v>48</v>
      </c>
      <c r="F1869" t="s">
        <v>49</v>
      </c>
      <c r="G1869" s="30">
        <v>0</v>
      </c>
    </row>
    <row r="1870" spans="1:7" x14ac:dyDescent="0.25">
      <c r="A1870" t="s">
        <v>45</v>
      </c>
      <c r="B1870" t="s">
        <v>46</v>
      </c>
      <c r="C1870" t="s">
        <v>47</v>
      </c>
      <c r="D1870">
        <v>3936262</v>
      </c>
      <c r="E1870" t="s">
        <v>48</v>
      </c>
      <c r="F1870" t="s">
        <v>49</v>
      </c>
      <c r="G1870" s="30">
        <v>9.82</v>
      </c>
    </row>
    <row r="1871" spans="1:7" x14ac:dyDescent="0.25">
      <c r="A1871" t="s">
        <v>45</v>
      </c>
      <c r="B1871" t="s">
        <v>46</v>
      </c>
      <c r="C1871" t="s">
        <v>47</v>
      </c>
      <c r="D1871">
        <v>3936347</v>
      </c>
      <c r="E1871" t="s">
        <v>48</v>
      </c>
      <c r="F1871" t="s">
        <v>49</v>
      </c>
      <c r="G1871" s="30">
        <v>0</v>
      </c>
    </row>
    <row r="1872" spans="1:7" x14ac:dyDescent="0.25">
      <c r="A1872" t="s">
        <v>74</v>
      </c>
      <c r="B1872" t="s">
        <v>75</v>
      </c>
      <c r="C1872" t="s">
        <v>67</v>
      </c>
      <c r="D1872">
        <v>3941598</v>
      </c>
      <c r="E1872" t="s">
        <v>48</v>
      </c>
      <c r="F1872" t="s">
        <v>49</v>
      </c>
      <c r="G1872" s="30">
        <v>0</v>
      </c>
    </row>
    <row r="1873" spans="1:7" x14ac:dyDescent="0.25">
      <c r="A1873" t="s">
        <v>72</v>
      </c>
      <c r="B1873" t="s">
        <v>73</v>
      </c>
      <c r="C1873" t="s">
        <v>67</v>
      </c>
      <c r="D1873">
        <v>3942002</v>
      </c>
      <c r="E1873" t="s">
        <v>53</v>
      </c>
      <c r="F1873" t="s">
        <v>49</v>
      </c>
      <c r="G1873" s="30">
        <v>461368.80866010702</v>
      </c>
    </row>
    <row r="1874" spans="1:7" x14ac:dyDescent="0.25">
      <c r="A1874" t="s">
        <v>114</v>
      </c>
      <c r="B1874" t="s">
        <v>115</v>
      </c>
      <c r="C1874" t="s">
        <v>56</v>
      </c>
      <c r="D1874">
        <v>3942834</v>
      </c>
      <c r="E1874" t="s">
        <v>53</v>
      </c>
      <c r="F1874" t="s">
        <v>49</v>
      </c>
      <c r="G1874" s="30">
        <v>84030.331184266106</v>
      </c>
    </row>
    <row r="1875" spans="1:7" x14ac:dyDescent="0.25">
      <c r="A1875" t="s">
        <v>102</v>
      </c>
      <c r="B1875" t="s">
        <v>103</v>
      </c>
      <c r="C1875" t="s">
        <v>47</v>
      </c>
      <c r="D1875">
        <v>3942904</v>
      </c>
      <c r="E1875" t="s">
        <v>53</v>
      </c>
      <c r="F1875" t="s">
        <v>49</v>
      </c>
      <c r="G1875" s="30">
        <v>138885.28382959601</v>
      </c>
    </row>
    <row r="1876" spans="1:7" x14ac:dyDescent="0.25">
      <c r="A1876" t="s">
        <v>50</v>
      </c>
      <c r="B1876" t="s">
        <v>51</v>
      </c>
      <c r="C1876" t="s">
        <v>52</v>
      </c>
      <c r="D1876">
        <v>3948060</v>
      </c>
      <c r="E1876" t="s">
        <v>53</v>
      </c>
      <c r="F1876" t="s">
        <v>49</v>
      </c>
      <c r="G1876" s="30">
        <v>1029.4000000000001</v>
      </c>
    </row>
    <row r="1877" spans="1:7" x14ac:dyDescent="0.25">
      <c r="A1877" t="s">
        <v>50</v>
      </c>
      <c r="B1877" t="s">
        <v>51</v>
      </c>
      <c r="C1877" t="s">
        <v>52</v>
      </c>
      <c r="D1877">
        <v>3948415</v>
      </c>
      <c r="E1877" t="s">
        <v>53</v>
      </c>
      <c r="F1877" t="s">
        <v>49</v>
      </c>
      <c r="G1877" s="30">
        <v>5373.6599277078803</v>
      </c>
    </row>
    <row r="1878" spans="1:7" x14ac:dyDescent="0.25">
      <c r="A1878" t="s">
        <v>45</v>
      </c>
      <c r="B1878" t="s">
        <v>46</v>
      </c>
      <c r="C1878" t="s">
        <v>47</v>
      </c>
      <c r="D1878">
        <v>3948549</v>
      </c>
      <c r="E1878" t="s">
        <v>48</v>
      </c>
      <c r="F1878" t="s">
        <v>49</v>
      </c>
      <c r="G1878" s="30">
        <v>0</v>
      </c>
    </row>
    <row r="1879" spans="1:7" x14ac:dyDescent="0.25">
      <c r="A1879" t="s">
        <v>61</v>
      </c>
      <c r="B1879" t="s">
        <v>62</v>
      </c>
      <c r="C1879" t="s">
        <v>56</v>
      </c>
      <c r="D1879">
        <v>3948789</v>
      </c>
      <c r="E1879" t="s">
        <v>48</v>
      </c>
      <c r="F1879" t="s">
        <v>49</v>
      </c>
      <c r="G1879" s="30">
        <v>0</v>
      </c>
    </row>
    <row r="1880" spans="1:7" x14ac:dyDescent="0.25">
      <c r="A1880" t="s">
        <v>90</v>
      </c>
      <c r="B1880" t="s">
        <v>91</v>
      </c>
      <c r="C1880" t="s">
        <v>81</v>
      </c>
      <c r="D1880">
        <v>3949067</v>
      </c>
      <c r="E1880" t="s">
        <v>53</v>
      </c>
      <c r="F1880" t="s">
        <v>49</v>
      </c>
      <c r="G1880" s="30">
        <v>109151.116381902</v>
      </c>
    </row>
    <row r="1881" spans="1:7" x14ac:dyDescent="0.25">
      <c r="A1881" t="s">
        <v>114</v>
      </c>
      <c r="B1881" t="s">
        <v>115</v>
      </c>
      <c r="C1881" t="s">
        <v>56</v>
      </c>
      <c r="D1881">
        <v>3950579</v>
      </c>
      <c r="E1881" t="s">
        <v>53</v>
      </c>
      <c r="F1881" t="s">
        <v>49</v>
      </c>
      <c r="G1881" s="30">
        <v>367765.37800843199</v>
      </c>
    </row>
    <row r="1882" spans="1:7" x14ac:dyDescent="0.25">
      <c r="A1882" t="s">
        <v>50</v>
      </c>
      <c r="B1882" t="s">
        <v>51</v>
      </c>
      <c r="C1882" t="s">
        <v>52</v>
      </c>
      <c r="D1882">
        <v>3951036</v>
      </c>
      <c r="E1882" t="s">
        <v>53</v>
      </c>
      <c r="F1882" t="s">
        <v>49</v>
      </c>
      <c r="G1882" s="30">
        <v>2500</v>
      </c>
    </row>
    <row r="1883" spans="1:7" x14ac:dyDescent="0.25">
      <c r="A1883" t="s">
        <v>70</v>
      </c>
      <c r="B1883" t="s">
        <v>71</v>
      </c>
      <c r="C1883" t="s">
        <v>47</v>
      </c>
      <c r="D1883">
        <v>3956306</v>
      </c>
      <c r="E1883" t="s">
        <v>53</v>
      </c>
      <c r="F1883" t="s">
        <v>49</v>
      </c>
      <c r="G1883" s="30">
        <v>81315.797831470001</v>
      </c>
    </row>
    <row r="1884" spans="1:7" x14ac:dyDescent="0.25">
      <c r="A1884" t="s">
        <v>45</v>
      </c>
      <c r="B1884" t="s">
        <v>46</v>
      </c>
      <c r="C1884" t="s">
        <v>47</v>
      </c>
      <c r="D1884">
        <v>3956669</v>
      </c>
      <c r="E1884" t="s">
        <v>48</v>
      </c>
      <c r="F1884" t="s">
        <v>49</v>
      </c>
      <c r="G1884" s="30">
        <v>0</v>
      </c>
    </row>
    <row r="1885" spans="1:7" x14ac:dyDescent="0.25">
      <c r="A1885" t="s">
        <v>50</v>
      </c>
      <c r="B1885" t="s">
        <v>51</v>
      </c>
      <c r="C1885" t="s">
        <v>52</v>
      </c>
      <c r="D1885">
        <v>3956809</v>
      </c>
      <c r="E1885" t="s">
        <v>53</v>
      </c>
      <c r="F1885" t="s">
        <v>49</v>
      </c>
      <c r="G1885" s="30">
        <v>2171.8997788369502</v>
      </c>
    </row>
    <row r="1886" spans="1:7" x14ac:dyDescent="0.25">
      <c r="A1886" t="s">
        <v>45</v>
      </c>
      <c r="B1886" t="s">
        <v>46</v>
      </c>
      <c r="C1886" t="s">
        <v>47</v>
      </c>
      <c r="D1886">
        <v>3957792</v>
      </c>
      <c r="E1886" t="s">
        <v>48</v>
      </c>
      <c r="F1886" t="s">
        <v>49</v>
      </c>
      <c r="G1886" s="30">
        <v>0</v>
      </c>
    </row>
    <row r="1887" spans="1:7" x14ac:dyDescent="0.25">
      <c r="A1887" t="s">
        <v>70</v>
      </c>
      <c r="B1887" t="s">
        <v>71</v>
      </c>
      <c r="C1887" t="s">
        <v>47</v>
      </c>
      <c r="D1887">
        <v>3957958</v>
      </c>
      <c r="E1887" t="s">
        <v>53</v>
      </c>
      <c r="F1887" t="s">
        <v>49</v>
      </c>
      <c r="G1887" s="30">
        <v>45182.462374106901</v>
      </c>
    </row>
    <row r="1888" spans="1:7" x14ac:dyDescent="0.25">
      <c r="A1888" t="s">
        <v>88</v>
      </c>
      <c r="B1888" t="s">
        <v>89</v>
      </c>
      <c r="C1888" t="s">
        <v>78</v>
      </c>
      <c r="D1888">
        <v>3959434</v>
      </c>
      <c r="E1888" t="s">
        <v>53</v>
      </c>
      <c r="F1888" t="s">
        <v>49</v>
      </c>
      <c r="G1888" s="30">
        <v>147195.86303109099</v>
      </c>
    </row>
    <row r="1889" spans="1:7" x14ac:dyDescent="0.25">
      <c r="A1889" t="s">
        <v>50</v>
      </c>
      <c r="B1889" t="s">
        <v>51</v>
      </c>
      <c r="C1889" t="s">
        <v>52</v>
      </c>
      <c r="D1889">
        <v>3959559</v>
      </c>
      <c r="E1889" t="s">
        <v>53</v>
      </c>
      <c r="F1889" t="s">
        <v>49</v>
      </c>
      <c r="G1889" s="30">
        <v>41497.675528553198</v>
      </c>
    </row>
    <row r="1890" spans="1:7" x14ac:dyDescent="0.25">
      <c r="A1890" t="s">
        <v>116</v>
      </c>
      <c r="B1890" t="s">
        <v>117</v>
      </c>
      <c r="C1890" t="s">
        <v>47</v>
      </c>
      <c r="D1890">
        <v>3959622</v>
      </c>
      <c r="E1890" t="s">
        <v>53</v>
      </c>
      <c r="F1890" t="s">
        <v>49</v>
      </c>
      <c r="G1890" s="30">
        <v>2631620.5643184599</v>
      </c>
    </row>
    <row r="1891" spans="1:7" x14ac:dyDescent="0.25">
      <c r="A1891" t="s">
        <v>116</v>
      </c>
      <c r="B1891" t="s">
        <v>117</v>
      </c>
      <c r="C1891" t="s">
        <v>47</v>
      </c>
      <c r="D1891">
        <v>3961305</v>
      </c>
      <c r="E1891" t="s">
        <v>53</v>
      </c>
      <c r="F1891" t="s">
        <v>49</v>
      </c>
      <c r="G1891" s="30">
        <v>247060.87861700699</v>
      </c>
    </row>
    <row r="1892" spans="1:7" x14ac:dyDescent="0.25">
      <c r="A1892" t="s">
        <v>128</v>
      </c>
      <c r="B1892" t="s">
        <v>129</v>
      </c>
      <c r="C1892" t="s">
        <v>130</v>
      </c>
      <c r="D1892">
        <v>3962402</v>
      </c>
      <c r="E1892" t="s">
        <v>53</v>
      </c>
      <c r="F1892" t="s">
        <v>49</v>
      </c>
      <c r="G1892" s="30">
        <v>2700919.5784706799</v>
      </c>
    </row>
    <row r="1893" spans="1:7" x14ac:dyDescent="0.25">
      <c r="A1893" t="s">
        <v>45</v>
      </c>
      <c r="B1893" t="s">
        <v>46</v>
      </c>
      <c r="C1893" t="s">
        <v>47</v>
      </c>
      <c r="D1893">
        <v>3964641</v>
      </c>
      <c r="E1893" t="s">
        <v>48</v>
      </c>
      <c r="F1893" t="s">
        <v>49</v>
      </c>
      <c r="G1893" s="30">
        <v>0</v>
      </c>
    </row>
    <row r="1894" spans="1:7" x14ac:dyDescent="0.25">
      <c r="A1894" t="s">
        <v>65</v>
      </c>
      <c r="B1894" t="s">
        <v>66</v>
      </c>
      <c r="C1894" t="s">
        <v>67</v>
      </c>
      <c r="D1894">
        <v>3964841</v>
      </c>
      <c r="E1894" t="s">
        <v>53</v>
      </c>
      <c r="F1894" t="s">
        <v>49</v>
      </c>
      <c r="G1894" s="30">
        <v>546682.29306539102</v>
      </c>
    </row>
    <row r="1895" spans="1:7" x14ac:dyDescent="0.25">
      <c r="A1895" t="s">
        <v>114</v>
      </c>
      <c r="B1895" t="s">
        <v>115</v>
      </c>
      <c r="C1895" t="s">
        <v>56</v>
      </c>
      <c r="D1895">
        <v>3965146</v>
      </c>
      <c r="E1895" t="s">
        <v>53</v>
      </c>
      <c r="F1895" t="s">
        <v>49</v>
      </c>
      <c r="G1895" s="30">
        <v>798489.50303944806</v>
      </c>
    </row>
    <row r="1896" spans="1:7" x14ac:dyDescent="0.25">
      <c r="A1896" t="s">
        <v>72</v>
      </c>
      <c r="B1896" t="s">
        <v>73</v>
      </c>
      <c r="C1896" t="s">
        <v>67</v>
      </c>
      <c r="D1896">
        <v>3965607</v>
      </c>
      <c r="E1896" t="s">
        <v>53</v>
      </c>
      <c r="F1896" t="s">
        <v>49</v>
      </c>
      <c r="G1896" s="30">
        <v>474118.821313033</v>
      </c>
    </row>
    <row r="1897" spans="1:7" x14ac:dyDescent="0.25">
      <c r="A1897" t="s">
        <v>104</v>
      </c>
      <c r="B1897" t="s">
        <v>105</v>
      </c>
      <c r="C1897" t="s">
        <v>78</v>
      </c>
      <c r="D1897">
        <v>3968125</v>
      </c>
      <c r="E1897" t="s">
        <v>53</v>
      </c>
      <c r="F1897" t="s">
        <v>49</v>
      </c>
      <c r="G1897" s="30">
        <v>95234.19</v>
      </c>
    </row>
    <row r="1898" spans="1:7" x14ac:dyDescent="0.25">
      <c r="A1898" t="s">
        <v>54</v>
      </c>
      <c r="B1898" t="s">
        <v>55</v>
      </c>
      <c r="C1898" t="s">
        <v>56</v>
      </c>
      <c r="D1898">
        <v>3971714</v>
      </c>
      <c r="E1898" t="s">
        <v>53</v>
      </c>
      <c r="F1898" t="s">
        <v>49</v>
      </c>
      <c r="G1898" s="30">
        <v>779911.13</v>
      </c>
    </row>
    <row r="1899" spans="1:7" x14ac:dyDescent="0.25">
      <c r="A1899" t="s">
        <v>45</v>
      </c>
      <c r="B1899" t="s">
        <v>46</v>
      </c>
      <c r="C1899" t="s">
        <v>47</v>
      </c>
      <c r="D1899">
        <v>3972493</v>
      </c>
      <c r="E1899" t="s">
        <v>48</v>
      </c>
      <c r="F1899" t="s">
        <v>49</v>
      </c>
      <c r="G1899" s="30">
        <v>0</v>
      </c>
    </row>
    <row r="1900" spans="1:7" x14ac:dyDescent="0.25">
      <c r="A1900" t="s">
        <v>50</v>
      </c>
      <c r="B1900" t="s">
        <v>51</v>
      </c>
      <c r="C1900" t="s">
        <v>52</v>
      </c>
      <c r="D1900">
        <v>3972518</v>
      </c>
      <c r="E1900" t="s">
        <v>53</v>
      </c>
      <c r="F1900" t="s">
        <v>49</v>
      </c>
      <c r="G1900" s="30">
        <v>225.05</v>
      </c>
    </row>
    <row r="1901" spans="1:7" x14ac:dyDescent="0.25">
      <c r="A1901" t="s">
        <v>96</v>
      </c>
      <c r="B1901" t="s">
        <v>97</v>
      </c>
      <c r="C1901" t="s">
        <v>81</v>
      </c>
      <c r="D1901">
        <v>3974110</v>
      </c>
      <c r="E1901" t="s">
        <v>48</v>
      </c>
      <c r="F1901" t="s">
        <v>49</v>
      </c>
      <c r="G1901" s="30">
        <v>0</v>
      </c>
    </row>
    <row r="1902" spans="1:7" x14ac:dyDescent="0.25">
      <c r="A1902" t="s">
        <v>45</v>
      </c>
      <c r="B1902" t="s">
        <v>46</v>
      </c>
      <c r="C1902" t="s">
        <v>47</v>
      </c>
      <c r="D1902">
        <v>3975451</v>
      </c>
      <c r="E1902" t="s">
        <v>53</v>
      </c>
      <c r="F1902" t="s">
        <v>49</v>
      </c>
      <c r="G1902" s="30">
        <v>743.95</v>
      </c>
    </row>
    <row r="1903" spans="1:7" x14ac:dyDescent="0.25">
      <c r="A1903" t="s">
        <v>45</v>
      </c>
      <c r="B1903" t="s">
        <v>46</v>
      </c>
      <c r="C1903" t="s">
        <v>47</v>
      </c>
      <c r="D1903">
        <v>3975495</v>
      </c>
      <c r="E1903" t="s">
        <v>48</v>
      </c>
      <c r="F1903" t="s">
        <v>49</v>
      </c>
      <c r="G1903" s="30">
        <v>0</v>
      </c>
    </row>
    <row r="1904" spans="1:7" x14ac:dyDescent="0.25">
      <c r="A1904" t="s">
        <v>57</v>
      </c>
      <c r="B1904" t="s">
        <v>58</v>
      </c>
      <c r="C1904" t="s">
        <v>56</v>
      </c>
      <c r="D1904">
        <v>3975794</v>
      </c>
      <c r="E1904" t="s">
        <v>48</v>
      </c>
      <c r="F1904" t="s">
        <v>49</v>
      </c>
      <c r="G1904" s="30">
        <v>0</v>
      </c>
    </row>
    <row r="1905" spans="1:7" x14ac:dyDescent="0.25">
      <c r="A1905" t="s">
        <v>65</v>
      </c>
      <c r="B1905" t="s">
        <v>66</v>
      </c>
      <c r="C1905" t="s">
        <v>67</v>
      </c>
      <c r="D1905">
        <v>3976106</v>
      </c>
      <c r="E1905" t="s">
        <v>53</v>
      </c>
      <c r="F1905" t="s">
        <v>49</v>
      </c>
      <c r="G1905" s="30">
        <v>490232.75651273999</v>
      </c>
    </row>
    <row r="1906" spans="1:7" x14ac:dyDescent="0.25">
      <c r="A1906" t="s">
        <v>86</v>
      </c>
      <c r="B1906" t="s">
        <v>87</v>
      </c>
      <c r="C1906" t="s">
        <v>78</v>
      </c>
      <c r="D1906">
        <v>3976365</v>
      </c>
      <c r="E1906" t="s">
        <v>53</v>
      </c>
      <c r="F1906" t="s">
        <v>49</v>
      </c>
      <c r="G1906" s="30">
        <v>134021.23130511999</v>
      </c>
    </row>
    <row r="1907" spans="1:7" x14ac:dyDescent="0.25">
      <c r="A1907" t="s">
        <v>45</v>
      </c>
      <c r="B1907" t="s">
        <v>46</v>
      </c>
      <c r="C1907" t="s">
        <v>47</v>
      </c>
      <c r="D1907">
        <v>3976511</v>
      </c>
      <c r="E1907" t="s">
        <v>48</v>
      </c>
      <c r="F1907" t="s">
        <v>49</v>
      </c>
      <c r="G1907" s="30">
        <v>22.15</v>
      </c>
    </row>
    <row r="1908" spans="1:7" x14ac:dyDescent="0.25">
      <c r="A1908" t="s">
        <v>45</v>
      </c>
      <c r="B1908" t="s">
        <v>46</v>
      </c>
      <c r="C1908" t="s">
        <v>47</v>
      </c>
      <c r="D1908">
        <v>3977321</v>
      </c>
      <c r="E1908" t="s">
        <v>48</v>
      </c>
      <c r="F1908" t="s">
        <v>49</v>
      </c>
      <c r="G1908" s="30">
        <v>0</v>
      </c>
    </row>
    <row r="1909" spans="1:7" x14ac:dyDescent="0.25">
      <c r="A1909" t="s">
        <v>72</v>
      </c>
      <c r="B1909" t="s">
        <v>73</v>
      </c>
      <c r="C1909" t="s">
        <v>67</v>
      </c>
      <c r="D1909">
        <v>3977628</v>
      </c>
      <c r="E1909" t="s">
        <v>53</v>
      </c>
      <c r="F1909" t="s">
        <v>49</v>
      </c>
      <c r="G1909" s="30">
        <v>1688210.07396664</v>
      </c>
    </row>
    <row r="1910" spans="1:7" x14ac:dyDescent="0.25">
      <c r="A1910" t="s">
        <v>100</v>
      </c>
      <c r="B1910" t="s">
        <v>101</v>
      </c>
      <c r="C1910" t="s">
        <v>52</v>
      </c>
      <c r="D1910">
        <v>3980864</v>
      </c>
      <c r="E1910" t="s">
        <v>53</v>
      </c>
      <c r="F1910" t="s">
        <v>49</v>
      </c>
      <c r="G1910" s="30">
        <v>132911.198135304</v>
      </c>
    </row>
    <row r="1911" spans="1:7" x14ac:dyDescent="0.25">
      <c r="A1911" t="s">
        <v>45</v>
      </c>
      <c r="B1911" t="s">
        <v>46</v>
      </c>
      <c r="C1911" t="s">
        <v>47</v>
      </c>
      <c r="D1911">
        <v>3981471</v>
      </c>
      <c r="E1911" t="s">
        <v>48</v>
      </c>
      <c r="F1911" t="s">
        <v>49</v>
      </c>
      <c r="G1911" s="30">
        <v>0</v>
      </c>
    </row>
    <row r="1912" spans="1:7" x14ac:dyDescent="0.25">
      <c r="A1912" t="s">
        <v>104</v>
      </c>
      <c r="B1912" t="s">
        <v>105</v>
      </c>
      <c r="C1912" t="s">
        <v>78</v>
      </c>
      <c r="D1912">
        <v>3982428</v>
      </c>
      <c r="E1912" t="s">
        <v>53</v>
      </c>
      <c r="F1912" t="s">
        <v>49</v>
      </c>
      <c r="G1912" s="30">
        <v>144509.84094112701</v>
      </c>
    </row>
    <row r="1913" spans="1:7" x14ac:dyDescent="0.25">
      <c r="A1913" t="s">
        <v>50</v>
      </c>
      <c r="B1913" t="s">
        <v>51</v>
      </c>
      <c r="C1913" t="s">
        <v>52</v>
      </c>
      <c r="D1913">
        <v>3982735</v>
      </c>
      <c r="E1913" t="s">
        <v>53</v>
      </c>
      <c r="F1913" t="s">
        <v>49</v>
      </c>
      <c r="G1913" s="30">
        <v>1497.1044414298301</v>
      </c>
    </row>
    <row r="1914" spans="1:7" x14ac:dyDescent="0.25">
      <c r="A1914" t="s">
        <v>50</v>
      </c>
      <c r="B1914" t="s">
        <v>51</v>
      </c>
      <c r="C1914" t="s">
        <v>52</v>
      </c>
      <c r="D1914">
        <v>3983520</v>
      </c>
      <c r="E1914" t="s">
        <v>53</v>
      </c>
      <c r="F1914" t="s">
        <v>49</v>
      </c>
      <c r="G1914" s="30">
        <v>1129.0814884672</v>
      </c>
    </row>
    <row r="1915" spans="1:7" x14ac:dyDescent="0.25">
      <c r="A1915" t="s">
        <v>50</v>
      </c>
      <c r="B1915" t="s">
        <v>51</v>
      </c>
      <c r="C1915" t="s">
        <v>52</v>
      </c>
      <c r="D1915">
        <v>3984270</v>
      </c>
      <c r="E1915" t="s">
        <v>53</v>
      </c>
      <c r="F1915" t="s">
        <v>49</v>
      </c>
      <c r="G1915" s="30">
        <v>30682.011066061201</v>
      </c>
    </row>
    <row r="1916" spans="1:7" x14ac:dyDescent="0.25">
      <c r="A1916" t="s">
        <v>50</v>
      </c>
      <c r="B1916" t="s">
        <v>51</v>
      </c>
      <c r="C1916" t="s">
        <v>52</v>
      </c>
      <c r="D1916">
        <v>3984608</v>
      </c>
      <c r="E1916" t="s">
        <v>53</v>
      </c>
      <c r="F1916" t="s">
        <v>49</v>
      </c>
      <c r="G1916" s="30">
        <v>218.64</v>
      </c>
    </row>
    <row r="1917" spans="1:7" x14ac:dyDescent="0.25">
      <c r="A1917" t="s">
        <v>45</v>
      </c>
      <c r="B1917" t="s">
        <v>46</v>
      </c>
      <c r="C1917" t="s">
        <v>47</v>
      </c>
      <c r="D1917">
        <v>3985467</v>
      </c>
      <c r="E1917" t="s">
        <v>48</v>
      </c>
      <c r="F1917" t="s">
        <v>49</v>
      </c>
      <c r="G1917" s="30">
        <v>0</v>
      </c>
    </row>
    <row r="1918" spans="1:7" x14ac:dyDescent="0.25">
      <c r="A1918" t="s">
        <v>50</v>
      </c>
      <c r="B1918" t="s">
        <v>51</v>
      </c>
      <c r="C1918" t="s">
        <v>52</v>
      </c>
      <c r="D1918">
        <v>3985612</v>
      </c>
      <c r="E1918" t="s">
        <v>48</v>
      </c>
      <c r="F1918" t="s">
        <v>49</v>
      </c>
      <c r="G1918" s="30">
        <v>0</v>
      </c>
    </row>
    <row r="1919" spans="1:7" x14ac:dyDescent="0.25">
      <c r="A1919" t="s">
        <v>82</v>
      </c>
      <c r="B1919" t="s">
        <v>83</v>
      </c>
      <c r="C1919" t="s">
        <v>56</v>
      </c>
      <c r="D1919">
        <v>3987510</v>
      </c>
      <c r="E1919" t="s">
        <v>48</v>
      </c>
      <c r="F1919" t="s">
        <v>49</v>
      </c>
      <c r="G1919" s="30">
        <v>0</v>
      </c>
    </row>
    <row r="1920" spans="1:7" x14ac:dyDescent="0.25">
      <c r="A1920" t="s">
        <v>50</v>
      </c>
      <c r="B1920" t="s">
        <v>51</v>
      </c>
      <c r="C1920" t="s">
        <v>52</v>
      </c>
      <c r="D1920">
        <v>3990100</v>
      </c>
      <c r="E1920" t="s">
        <v>53</v>
      </c>
      <c r="F1920" t="s">
        <v>49</v>
      </c>
      <c r="G1920" s="30">
        <v>5730.9077623225803</v>
      </c>
    </row>
    <row r="1921" spans="1:7" x14ac:dyDescent="0.25">
      <c r="A1921" t="s">
        <v>65</v>
      </c>
      <c r="B1921" t="s">
        <v>66</v>
      </c>
      <c r="C1921" t="s">
        <v>67</v>
      </c>
      <c r="D1921">
        <v>3990155</v>
      </c>
      <c r="E1921" t="s">
        <v>53</v>
      </c>
      <c r="F1921" t="s">
        <v>49</v>
      </c>
      <c r="G1921" s="30">
        <v>928933.380740099</v>
      </c>
    </row>
    <row r="1922" spans="1:7" x14ac:dyDescent="0.25">
      <c r="A1922" t="s">
        <v>120</v>
      </c>
      <c r="B1922" t="s">
        <v>121</v>
      </c>
      <c r="C1922" t="s">
        <v>67</v>
      </c>
      <c r="D1922">
        <v>3994682</v>
      </c>
      <c r="E1922" t="s">
        <v>53</v>
      </c>
      <c r="F1922" t="s">
        <v>49</v>
      </c>
      <c r="G1922" s="30">
        <v>997014.25584445603</v>
      </c>
    </row>
    <row r="1923" spans="1:7" x14ac:dyDescent="0.25">
      <c r="A1923" t="s">
        <v>45</v>
      </c>
      <c r="B1923" t="s">
        <v>46</v>
      </c>
      <c r="C1923" t="s">
        <v>47</v>
      </c>
      <c r="D1923">
        <v>3996263</v>
      </c>
      <c r="E1923" t="s">
        <v>53</v>
      </c>
      <c r="F1923" t="s">
        <v>49</v>
      </c>
      <c r="G1923" s="30">
        <v>30318.165521491701</v>
      </c>
    </row>
    <row r="1924" spans="1:7" x14ac:dyDescent="0.25">
      <c r="A1924" t="s">
        <v>118</v>
      </c>
      <c r="B1924" t="s">
        <v>119</v>
      </c>
      <c r="C1924" t="s">
        <v>56</v>
      </c>
      <c r="D1924">
        <v>3996646</v>
      </c>
      <c r="E1924" t="s">
        <v>53</v>
      </c>
      <c r="F1924" t="s">
        <v>49</v>
      </c>
      <c r="G1924" s="30">
        <v>273284.55290443898</v>
      </c>
    </row>
    <row r="1925" spans="1:7" x14ac:dyDescent="0.25">
      <c r="A1925" t="s">
        <v>72</v>
      </c>
      <c r="B1925" t="s">
        <v>73</v>
      </c>
      <c r="C1925" t="s">
        <v>67</v>
      </c>
      <c r="D1925">
        <v>3998896</v>
      </c>
      <c r="E1925" t="s">
        <v>53</v>
      </c>
      <c r="F1925" t="s">
        <v>49</v>
      </c>
      <c r="G1925" s="30">
        <v>974688.48468410398</v>
      </c>
    </row>
    <row r="1926" spans="1:7" x14ac:dyDescent="0.25">
      <c r="A1926" t="s">
        <v>45</v>
      </c>
      <c r="B1926" t="s">
        <v>46</v>
      </c>
      <c r="C1926" t="s">
        <v>47</v>
      </c>
      <c r="D1926">
        <v>3999598</v>
      </c>
      <c r="E1926" t="s">
        <v>48</v>
      </c>
      <c r="F1926" t="s">
        <v>49</v>
      </c>
      <c r="G1926" s="30">
        <v>0</v>
      </c>
    </row>
    <row r="1927" spans="1:7" x14ac:dyDescent="0.25">
      <c r="A1927" t="s">
        <v>61</v>
      </c>
      <c r="B1927" t="s">
        <v>62</v>
      </c>
      <c r="C1927" t="s">
        <v>56</v>
      </c>
      <c r="D1927">
        <v>4000388</v>
      </c>
      <c r="E1927" t="s">
        <v>48</v>
      </c>
      <c r="F1927" t="s">
        <v>49</v>
      </c>
      <c r="G1927" s="30">
        <v>0</v>
      </c>
    </row>
    <row r="1928" spans="1:7" x14ac:dyDescent="0.25">
      <c r="A1928" t="s">
        <v>124</v>
      </c>
      <c r="B1928" t="s">
        <v>125</v>
      </c>
      <c r="C1928" t="s">
        <v>78</v>
      </c>
      <c r="D1928">
        <v>4000616</v>
      </c>
      <c r="E1928" t="s">
        <v>53</v>
      </c>
      <c r="F1928" t="s">
        <v>49</v>
      </c>
      <c r="G1928" s="30">
        <v>97669.944589843799</v>
      </c>
    </row>
    <row r="1929" spans="1:7" x14ac:dyDescent="0.25">
      <c r="A1929" t="s">
        <v>45</v>
      </c>
      <c r="B1929" t="s">
        <v>46</v>
      </c>
      <c r="C1929" t="s">
        <v>47</v>
      </c>
      <c r="D1929">
        <v>4002265</v>
      </c>
      <c r="E1929" t="s">
        <v>48</v>
      </c>
      <c r="F1929" t="s">
        <v>49</v>
      </c>
      <c r="G1929" s="30">
        <v>0</v>
      </c>
    </row>
    <row r="1930" spans="1:7" x14ac:dyDescent="0.25">
      <c r="A1930" t="s">
        <v>50</v>
      </c>
      <c r="B1930" t="s">
        <v>51</v>
      </c>
      <c r="C1930" t="s">
        <v>52</v>
      </c>
      <c r="D1930">
        <v>4002887</v>
      </c>
      <c r="E1930" t="s">
        <v>53</v>
      </c>
      <c r="F1930" t="s">
        <v>49</v>
      </c>
      <c r="G1930" s="30">
        <v>188.51</v>
      </c>
    </row>
    <row r="1931" spans="1:7" x14ac:dyDescent="0.25">
      <c r="A1931" t="s">
        <v>50</v>
      </c>
      <c r="B1931" t="s">
        <v>51</v>
      </c>
      <c r="C1931" t="s">
        <v>52</v>
      </c>
      <c r="D1931">
        <v>4003382</v>
      </c>
      <c r="E1931" t="s">
        <v>53</v>
      </c>
      <c r="F1931" t="s">
        <v>49</v>
      </c>
      <c r="G1931" s="30">
        <v>2277.2512146806198</v>
      </c>
    </row>
    <row r="1932" spans="1:7" x14ac:dyDescent="0.25">
      <c r="A1932" t="s">
        <v>63</v>
      </c>
      <c r="B1932" t="s">
        <v>64</v>
      </c>
      <c r="C1932" t="s">
        <v>56</v>
      </c>
      <c r="D1932">
        <v>4004262</v>
      </c>
      <c r="E1932" t="s">
        <v>53</v>
      </c>
      <c r="F1932" t="s">
        <v>49</v>
      </c>
      <c r="G1932" s="30">
        <v>206341.32467941899</v>
      </c>
    </row>
    <row r="1933" spans="1:7" x14ac:dyDescent="0.25">
      <c r="A1933" t="s">
        <v>50</v>
      </c>
      <c r="B1933" t="s">
        <v>51</v>
      </c>
      <c r="C1933" t="s">
        <v>52</v>
      </c>
      <c r="D1933">
        <v>4004972</v>
      </c>
      <c r="E1933" t="s">
        <v>53</v>
      </c>
      <c r="F1933" t="s">
        <v>49</v>
      </c>
      <c r="G1933" s="30">
        <v>753.5</v>
      </c>
    </row>
    <row r="1934" spans="1:7" x14ac:dyDescent="0.25">
      <c r="A1934" t="s">
        <v>118</v>
      </c>
      <c r="B1934" t="s">
        <v>119</v>
      </c>
      <c r="C1934" t="s">
        <v>56</v>
      </c>
      <c r="D1934">
        <v>4005125</v>
      </c>
      <c r="E1934" t="s">
        <v>53</v>
      </c>
      <c r="F1934" t="s">
        <v>49</v>
      </c>
      <c r="G1934" s="30">
        <v>1697.25684089121</v>
      </c>
    </row>
    <row r="1935" spans="1:7" x14ac:dyDescent="0.25">
      <c r="A1935" t="s">
        <v>72</v>
      </c>
      <c r="B1935" t="s">
        <v>73</v>
      </c>
      <c r="C1935" t="s">
        <v>67</v>
      </c>
      <c r="D1935">
        <v>4005525</v>
      </c>
      <c r="E1935" t="s">
        <v>53</v>
      </c>
      <c r="F1935" t="s">
        <v>49</v>
      </c>
      <c r="G1935" s="30">
        <v>8118280.11337105</v>
      </c>
    </row>
    <row r="1936" spans="1:7" x14ac:dyDescent="0.25">
      <c r="A1936" t="s">
        <v>126</v>
      </c>
      <c r="B1936" t="s">
        <v>127</v>
      </c>
      <c r="C1936" t="s">
        <v>67</v>
      </c>
      <c r="D1936">
        <v>4007229</v>
      </c>
      <c r="E1936" t="s">
        <v>53</v>
      </c>
      <c r="F1936" t="s">
        <v>49</v>
      </c>
      <c r="G1936" s="30">
        <v>172876.905204968</v>
      </c>
    </row>
    <row r="1937" spans="1:7" x14ac:dyDescent="0.25">
      <c r="A1937" t="s">
        <v>45</v>
      </c>
      <c r="B1937" t="s">
        <v>46</v>
      </c>
      <c r="C1937" t="s">
        <v>47</v>
      </c>
      <c r="D1937">
        <v>4008271</v>
      </c>
      <c r="E1937" t="s">
        <v>53</v>
      </c>
      <c r="F1937" t="s">
        <v>49</v>
      </c>
      <c r="G1937" s="30">
        <v>141321.24338881401</v>
      </c>
    </row>
    <row r="1938" spans="1:7" x14ac:dyDescent="0.25">
      <c r="A1938" t="s">
        <v>45</v>
      </c>
      <c r="B1938" t="s">
        <v>46</v>
      </c>
      <c r="C1938" t="s">
        <v>47</v>
      </c>
      <c r="D1938">
        <v>4013347</v>
      </c>
      <c r="E1938" t="s">
        <v>48</v>
      </c>
      <c r="F1938" t="s">
        <v>49</v>
      </c>
      <c r="G1938" s="30">
        <v>0</v>
      </c>
    </row>
    <row r="1939" spans="1:7" x14ac:dyDescent="0.25">
      <c r="A1939" t="s">
        <v>45</v>
      </c>
      <c r="B1939" t="s">
        <v>46</v>
      </c>
      <c r="C1939" t="s">
        <v>47</v>
      </c>
      <c r="D1939">
        <v>4014111</v>
      </c>
      <c r="E1939" t="s">
        <v>48</v>
      </c>
      <c r="F1939" t="s">
        <v>49</v>
      </c>
      <c r="G1939" s="30">
        <v>31.53</v>
      </c>
    </row>
    <row r="1940" spans="1:7" x14ac:dyDescent="0.25">
      <c r="A1940" t="s">
        <v>45</v>
      </c>
      <c r="B1940" t="s">
        <v>46</v>
      </c>
      <c r="C1940" t="s">
        <v>47</v>
      </c>
      <c r="D1940">
        <v>4014784</v>
      </c>
      <c r="E1940" t="s">
        <v>53</v>
      </c>
      <c r="F1940" t="s">
        <v>49</v>
      </c>
      <c r="G1940" s="30">
        <v>22496.748058706598</v>
      </c>
    </row>
    <row r="1941" spans="1:7" x14ac:dyDescent="0.25">
      <c r="A1941" t="s">
        <v>45</v>
      </c>
      <c r="B1941" t="s">
        <v>46</v>
      </c>
      <c r="C1941" t="s">
        <v>47</v>
      </c>
      <c r="D1941">
        <v>4014796</v>
      </c>
      <c r="E1941" t="s">
        <v>48</v>
      </c>
      <c r="F1941" t="s">
        <v>49</v>
      </c>
      <c r="G1941" s="30">
        <v>0</v>
      </c>
    </row>
    <row r="1942" spans="1:7" x14ac:dyDescent="0.25">
      <c r="A1942" t="s">
        <v>45</v>
      </c>
      <c r="B1942" t="s">
        <v>46</v>
      </c>
      <c r="C1942" t="s">
        <v>47</v>
      </c>
      <c r="D1942">
        <v>4018083</v>
      </c>
      <c r="E1942" t="s">
        <v>48</v>
      </c>
      <c r="F1942" t="s">
        <v>49</v>
      </c>
      <c r="G1942" s="30">
        <v>0</v>
      </c>
    </row>
    <row r="1943" spans="1:7" x14ac:dyDescent="0.25">
      <c r="A1943" t="s">
        <v>54</v>
      </c>
      <c r="B1943" t="s">
        <v>55</v>
      </c>
      <c r="C1943" t="s">
        <v>56</v>
      </c>
      <c r="D1943">
        <v>4019423</v>
      </c>
      <c r="E1943" t="s">
        <v>53</v>
      </c>
      <c r="F1943" t="s">
        <v>49</v>
      </c>
      <c r="G1943" s="30">
        <v>1374798.525625</v>
      </c>
    </row>
    <row r="1944" spans="1:7" x14ac:dyDescent="0.25">
      <c r="A1944" t="s">
        <v>54</v>
      </c>
      <c r="B1944" t="s">
        <v>55</v>
      </c>
      <c r="C1944" t="s">
        <v>56</v>
      </c>
      <c r="D1944">
        <v>4020991</v>
      </c>
      <c r="E1944" t="s">
        <v>53</v>
      </c>
      <c r="F1944" t="s">
        <v>49</v>
      </c>
      <c r="G1944" s="30">
        <v>65686.460000000006</v>
      </c>
    </row>
    <row r="1945" spans="1:7" x14ac:dyDescent="0.25">
      <c r="A1945" t="s">
        <v>45</v>
      </c>
      <c r="B1945" t="s">
        <v>46</v>
      </c>
      <c r="C1945" t="s">
        <v>47</v>
      </c>
      <c r="D1945">
        <v>4022994</v>
      </c>
      <c r="E1945" t="s">
        <v>48</v>
      </c>
      <c r="F1945" t="s">
        <v>49</v>
      </c>
      <c r="G1945" s="30">
        <v>0</v>
      </c>
    </row>
    <row r="1946" spans="1:7" x14ac:dyDescent="0.25">
      <c r="A1946" t="s">
        <v>82</v>
      </c>
      <c r="B1946" t="s">
        <v>83</v>
      </c>
      <c r="C1946" t="s">
        <v>56</v>
      </c>
      <c r="D1946">
        <v>4023430</v>
      </c>
      <c r="E1946" t="s">
        <v>48</v>
      </c>
      <c r="F1946" t="s">
        <v>49</v>
      </c>
      <c r="G1946" s="30">
        <v>0</v>
      </c>
    </row>
    <row r="1947" spans="1:7" x14ac:dyDescent="0.25">
      <c r="A1947" t="s">
        <v>45</v>
      </c>
      <c r="B1947" t="s">
        <v>46</v>
      </c>
      <c r="C1947" t="s">
        <v>47</v>
      </c>
      <c r="D1947">
        <v>4023775</v>
      </c>
      <c r="E1947" t="s">
        <v>48</v>
      </c>
      <c r="F1947" t="s">
        <v>49</v>
      </c>
      <c r="G1947" s="30">
        <v>0</v>
      </c>
    </row>
    <row r="1948" spans="1:7" x14ac:dyDescent="0.25">
      <c r="A1948" t="s">
        <v>72</v>
      </c>
      <c r="B1948" t="s">
        <v>73</v>
      </c>
      <c r="C1948" t="s">
        <v>67</v>
      </c>
      <c r="D1948">
        <v>4025001</v>
      </c>
      <c r="E1948" t="s">
        <v>53</v>
      </c>
      <c r="F1948" t="s">
        <v>49</v>
      </c>
      <c r="G1948" s="30">
        <v>422149.90737655899</v>
      </c>
    </row>
    <row r="1949" spans="1:7" x14ac:dyDescent="0.25">
      <c r="A1949" t="s">
        <v>104</v>
      </c>
      <c r="B1949" t="s">
        <v>105</v>
      </c>
      <c r="C1949" t="s">
        <v>78</v>
      </c>
      <c r="D1949">
        <v>4027132</v>
      </c>
      <c r="E1949" t="s">
        <v>53</v>
      </c>
      <c r="F1949" t="s">
        <v>49</v>
      </c>
      <c r="G1949" s="30">
        <v>239667.95</v>
      </c>
    </row>
    <row r="1950" spans="1:7" x14ac:dyDescent="0.25">
      <c r="A1950" t="s">
        <v>126</v>
      </c>
      <c r="B1950" t="s">
        <v>127</v>
      </c>
      <c r="C1950" t="s">
        <v>67</v>
      </c>
      <c r="D1950">
        <v>4027673</v>
      </c>
      <c r="E1950" t="s">
        <v>53</v>
      </c>
      <c r="F1950" t="s">
        <v>49</v>
      </c>
      <c r="G1950" s="30">
        <v>67122.101588104095</v>
      </c>
    </row>
    <row r="1951" spans="1:7" x14ac:dyDescent="0.25">
      <c r="A1951" t="s">
        <v>122</v>
      </c>
      <c r="B1951" t="s">
        <v>123</v>
      </c>
      <c r="C1951" t="s">
        <v>52</v>
      </c>
      <c r="D1951">
        <v>4027700</v>
      </c>
      <c r="E1951" t="s">
        <v>53</v>
      </c>
      <c r="F1951" t="s">
        <v>49</v>
      </c>
      <c r="G1951" s="30">
        <v>899095.72</v>
      </c>
    </row>
    <row r="1952" spans="1:7" x14ac:dyDescent="0.25">
      <c r="A1952" t="s">
        <v>54</v>
      </c>
      <c r="B1952" t="s">
        <v>55</v>
      </c>
      <c r="C1952" t="s">
        <v>56</v>
      </c>
      <c r="D1952">
        <v>4028182</v>
      </c>
      <c r="E1952" t="s">
        <v>53</v>
      </c>
      <c r="F1952" t="s">
        <v>49</v>
      </c>
      <c r="G1952" s="30">
        <v>5764.5</v>
      </c>
    </row>
    <row r="1953" spans="1:7" x14ac:dyDescent="0.25">
      <c r="A1953" t="s">
        <v>45</v>
      </c>
      <c r="B1953" t="s">
        <v>46</v>
      </c>
      <c r="C1953" t="s">
        <v>47</v>
      </c>
      <c r="D1953">
        <v>4028737</v>
      </c>
      <c r="E1953" t="s">
        <v>48</v>
      </c>
      <c r="F1953" t="s">
        <v>49</v>
      </c>
      <c r="G1953" s="30">
        <v>0</v>
      </c>
    </row>
    <row r="1954" spans="1:7" x14ac:dyDescent="0.25">
      <c r="A1954" t="s">
        <v>50</v>
      </c>
      <c r="B1954" t="s">
        <v>51</v>
      </c>
      <c r="C1954" t="s">
        <v>52</v>
      </c>
      <c r="D1954">
        <v>4028837</v>
      </c>
      <c r="E1954" t="s">
        <v>53</v>
      </c>
      <c r="F1954" t="s">
        <v>49</v>
      </c>
      <c r="G1954" s="30">
        <v>25803.010864727199</v>
      </c>
    </row>
    <row r="1955" spans="1:7" x14ac:dyDescent="0.25">
      <c r="A1955" t="s">
        <v>50</v>
      </c>
      <c r="B1955" t="s">
        <v>51</v>
      </c>
      <c r="C1955" t="s">
        <v>52</v>
      </c>
      <c r="D1955">
        <v>4034414</v>
      </c>
      <c r="E1955" t="s">
        <v>53</v>
      </c>
      <c r="F1955" t="s">
        <v>49</v>
      </c>
      <c r="G1955" s="30">
        <v>95036.638412187604</v>
      </c>
    </row>
    <row r="1956" spans="1:7" x14ac:dyDescent="0.25">
      <c r="A1956" t="s">
        <v>45</v>
      </c>
      <c r="B1956" t="s">
        <v>46</v>
      </c>
      <c r="C1956" t="s">
        <v>47</v>
      </c>
      <c r="D1956">
        <v>4034444</v>
      </c>
      <c r="E1956" t="s">
        <v>48</v>
      </c>
      <c r="F1956" t="s">
        <v>49</v>
      </c>
      <c r="G1956" s="30">
        <v>0</v>
      </c>
    </row>
    <row r="1957" spans="1:7" x14ac:dyDescent="0.25">
      <c r="A1957" t="s">
        <v>114</v>
      </c>
      <c r="B1957" t="s">
        <v>115</v>
      </c>
      <c r="C1957" t="s">
        <v>56</v>
      </c>
      <c r="D1957">
        <v>4034549</v>
      </c>
      <c r="E1957" t="s">
        <v>53</v>
      </c>
      <c r="F1957" t="s">
        <v>49</v>
      </c>
      <c r="G1957" s="30">
        <v>5553.2999</v>
      </c>
    </row>
    <row r="1958" spans="1:7" x14ac:dyDescent="0.25">
      <c r="A1958" t="s">
        <v>90</v>
      </c>
      <c r="B1958" t="s">
        <v>91</v>
      </c>
      <c r="C1958" t="s">
        <v>81</v>
      </c>
      <c r="D1958">
        <v>4035859</v>
      </c>
      <c r="E1958" t="s">
        <v>53</v>
      </c>
      <c r="F1958" t="s">
        <v>49</v>
      </c>
      <c r="G1958" s="30">
        <v>2126625.5808132002</v>
      </c>
    </row>
    <row r="1959" spans="1:7" x14ac:dyDescent="0.25">
      <c r="A1959" t="s">
        <v>50</v>
      </c>
      <c r="B1959" t="s">
        <v>51</v>
      </c>
      <c r="C1959" t="s">
        <v>52</v>
      </c>
      <c r="D1959">
        <v>4036338</v>
      </c>
      <c r="E1959" t="s">
        <v>53</v>
      </c>
      <c r="F1959" t="s">
        <v>49</v>
      </c>
      <c r="G1959" s="30">
        <v>23292.596052537901</v>
      </c>
    </row>
    <row r="1960" spans="1:7" x14ac:dyDescent="0.25">
      <c r="A1960" t="s">
        <v>50</v>
      </c>
      <c r="B1960" t="s">
        <v>51</v>
      </c>
      <c r="C1960" t="s">
        <v>52</v>
      </c>
      <c r="D1960">
        <v>4044317</v>
      </c>
      <c r="E1960" t="s">
        <v>53</v>
      </c>
      <c r="F1960" t="s">
        <v>49</v>
      </c>
      <c r="G1960" s="30">
        <v>53125.405990709303</v>
      </c>
    </row>
    <row r="1961" spans="1:7" x14ac:dyDescent="0.25">
      <c r="A1961" t="s">
        <v>50</v>
      </c>
      <c r="B1961" t="s">
        <v>51</v>
      </c>
      <c r="C1961" t="s">
        <v>52</v>
      </c>
      <c r="D1961">
        <v>4044714</v>
      </c>
      <c r="E1961" t="s">
        <v>53</v>
      </c>
      <c r="F1961" t="s">
        <v>49</v>
      </c>
      <c r="G1961" s="30">
        <v>167.05</v>
      </c>
    </row>
    <row r="1962" spans="1:7" x14ac:dyDescent="0.25">
      <c r="A1962" t="s">
        <v>45</v>
      </c>
      <c r="B1962" t="s">
        <v>46</v>
      </c>
      <c r="C1962" t="s">
        <v>47</v>
      </c>
      <c r="D1962">
        <v>4045702</v>
      </c>
      <c r="E1962" t="s">
        <v>48</v>
      </c>
      <c r="F1962" t="s">
        <v>49</v>
      </c>
      <c r="G1962" s="30">
        <v>9.2799999999999994</v>
      </c>
    </row>
    <row r="1963" spans="1:7" x14ac:dyDescent="0.25">
      <c r="A1963" t="s">
        <v>50</v>
      </c>
      <c r="B1963" t="s">
        <v>51</v>
      </c>
      <c r="C1963" t="s">
        <v>52</v>
      </c>
      <c r="D1963">
        <v>4047064</v>
      </c>
      <c r="E1963" t="s">
        <v>53</v>
      </c>
      <c r="F1963" t="s">
        <v>49</v>
      </c>
      <c r="G1963" s="30">
        <v>17703</v>
      </c>
    </row>
    <row r="1964" spans="1:7" x14ac:dyDescent="0.25">
      <c r="A1964" t="s">
        <v>50</v>
      </c>
      <c r="B1964" t="s">
        <v>51</v>
      </c>
      <c r="C1964" t="s">
        <v>52</v>
      </c>
      <c r="D1964">
        <v>4047143</v>
      </c>
      <c r="E1964" t="s">
        <v>53</v>
      </c>
      <c r="F1964" t="s">
        <v>49</v>
      </c>
      <c r="G1964" s="30">
        <v>3854.99</v>
      </c>
    </row>
    <row r="1965" spans="1:7" x14ac:dyDescent="0.25">
      <c r="A1965" t="s">
        <v>61</v>
      </c>
      <c r="B1965" t="s">
        <v>62</v>
      </c>
      <c r="C1965" t="s">
        <v>56</v>
      </c>
      <c r="D1965">
        <v>4047623</v>
      </c>
      <c r="E1965" t="s">
        <v>53</v>
      </c>
      <c r="F1965" t="s">
        <v>49</v>
      </c>
      <c r="G1965" s="30">
        <v>136746.968852983</v>
      </c>
    </row>
    <row r="1966" spans="1:7" x14ac:dyDescent="0.25">
      <c r="A1966" t="s">
        <v>118</v>
      </c>
      <c r="B1966" t="s">
        <v>119</v>
      </c>
      <c r="C1966" t="s">
        <v>56</v>
      </c>
      <c r="D1966">
        <v>4057819</v>
      </c>
      <c r="E1966" t="s">
        <v>53</v>
      </c>
      <c r="F1966" t="s">
        <v>49</v>
      </c>
      <c r="G1966" s="30">
        <v>600254.38575270004</v>
      </c>
    </row>
    <row r="1967" spans="1:7" x14ac:dyDescent="0.25">
      <c r="A1967" t="s">
        <v>45</v>
      </c>
      <c r="B1967" t="s">
        <v>46</v>
      </c>
      <c r="C1967" t="s">
        <v>47</v>
      </c>
      <c r="D1967">
        <v>4061930</v>
      </c>
      <c r="E1967" t="s">
        <v>53</v>
      </c>
      <c r="F1967" t="s">
        <v>49</v>
      </c>
      <c r="G1967" s="30">
        <v>14.37</v>
      </c>
    </row>
    <row r="1968" spans="1:7" x14ac:dyDescent="0.25">
      <c r="A1968" t="s">
        <v>45</v>
      </c>
      <c r="B1968" t="s">
        <v>46</v>
      </c>
      <c r="C1968" t="s">
        <v>47</v>
      </c>
      <c r="D1968">
        <v>4062030</v>
      </c>
      <c r="E1968" t="s">
        <v>48</v>
      </c>
      <c r="F1968" t="s">
        <v>49</v>
      </c>
      <c r="G1968" s="30">
        <v>0</v>
      </c>
    </row>
    <row r="1969" spans="1:7" x14ac:dyDescent="0.25">
      <c r="A1969" t="s">
        <v>45</v>
      </c>
      <c r="B1969" t="s">
        <v>46</v>
      </c>
      <c r="C1969" t="s">
        <v>47</v>
      </c>
      <c r="D1969">
        <v>4064466</v>
      </c>
      <c r="E1969" t="s">
        <v>48</v>
      </c>
      <c r="F1969" t="s">
        <v>49</v>
      </c>
      <c r="G1969" s="30">
        <v>0</v>
      </c>
    </row>
    <row r="1970" spans="1:7" x14ac:dyDescent="0.25">
      <c r="A1970" t="s">
        <v>50</v>
      </c>
      <c r="B1970" t="s">
        <v>51</v>
      </c>
      <c r="C1970" t="s">
        <v>52</v>
      </c>
      <c r="D1970">
        <v>4064542</v>
      </c>
      <c r="E1970" t="s">
        <v>53</v>
      </c>
      <c r="F1970" t="s">
        <v>49</v>
      </c>
      <c r="G1970" s="30">
        <v>322.333125</v>
      </c>
    </row>
    <row r="1971" spans="1:7" x14ac:dyDescent="0.25">
      <c r="A1971" t="s">
        <v>45</v>
      </c>
      <c r="B1971" t="s">
        <v>46</v>
      </c>
      <c r="C1971" t="s">
        <v>47</v>
      </c>
      <c r="D1971">
        <v>4067598</v>
      </c>
      <c r="E1971" t="s">
        <v>53</v>
      </c>
      <c r="F1971" t="s">
        <v>49</v>
      </c>
      <c r="G1971" s="30">
        <v>23519.4760632533</v>
      </c>
    </row>
    <row r="1972" spans="1:7" x14ac:dyDescent="0.25">
      <c r="A1972" t="s">
        <v>50</v>
      </c>
      <c r="B1972" t="s">
        <v>51</v>
      </c>
      <c r="C1972" t="s">
        <v>52</v>
      </c>
      <c r="D1972">
        <v>4070215</v>
      </c>
      <c r="E1972" t="s">
        <v>53</v>
      </c>
      <c r="F1972" t="s">
        <v>49</v>
      </c>
      <c r="G1972" s="30">
        <v>6637.83443359375</v>
      </c>
    </row>
    <row r="1973" spans="1:7" x14ac:dyDescent="0.25">
      <c r="A1973" t="s">
        <v>45</v>
      </c>
      <c r="B1973" t="s">
        <v>46</v>
      </c>
      <c r="C1973" t="s">
        <v>47</v>
      </c>
      <c r="D1973">
        <v>4074791</v>
      </c>
      <c r="E1973" t="s">
        <v>48</v>
      </c>
      <c r="F1973" t="s">
        <v>49</v>
      </c>
      <c r="G1973" s="30">
        <v>56.54</v>
      </c>
    </row>
    <row r="1974" spans="1:7" x14ac:dyDescent="0.25">
      <c r="A1974" t="s">
        <v>50</v>
      </c>
      <c r="B1974" t="s">
        <v>51</v>
      </c>
      <c r="C1974" t="s">
        <v>52</v>
      </c>
      <c r="D1974">
        <v>4075302</v>
      </c>
      <c r="E1974" t="s">
        <v>48</v>
      </c>
      <c r="F1974" t="s">
        <v>49</v>
      </c>
      <c r="G1974" s="30">
        <v>0</v>
      </c>
    </row>
    <row r="1975" spans="1:7" x14ac:dyDescent="0.25">
      <c r="A1975" t="s">
        <v>72</v>
      </c>
      <c r="B1975" t="s">
        <v>73</v>
      </c>
      <c r="C1975" t="s">
        <v>67</v>
      </c>
      <c r="D1975">
        <v>4076965</v>
      </c>
      <c r="E1975" t="s">
        <v>53</v>
      </c>
      <c r="F1975" t="s">
        <v>49</v>
      </c>
      <c r="G1975" s="30">
        <v>255794.93281249999</v>
      </c>
    </row>
    <row r="1976" spans="1:7" x14ac:dyDescent="0.25">
      <c r="A1976" t="s">
        <v>159</v>
      </c>
      <c r="B1976" t="s">
        <v>160</v>
      </c>
      <c r="C1976" t="s">
        <v>52</v>
      </c>
      <c r="D1976">
        <v>4077840</v>
      </c>
      <c r="E1976" t="s">
        <v>53</v>
      </c>
      <c r="F1976" t="s">
        <v>49</v>
      </c>
      <c r="G1976" s="30">
        <v>9563.2522210541902</v>
      </c>
    </row>
    <row r="1977" spans="1:7" x14ac:dyDescent="0.25">
      <c r="A1977" t="s">
        <v>45</v>
      </c>
      <c r="B1977" t="s">
        <v>46</v>
      </c>
      <c r="C1977" t="s">
        <v>47</v>
      </c>
      <c r="D1977">
        <v>4078892</v>
      </c>
      <c r="E1977" t="s">
        <v>48</v>
      </c>
      <c r="F1977" t="s">
        <v>49</v>
      </c>
      <c r="G1977" s="30">
        <v>0</v>
      </c>
    </row>
    <row r="1978" spans="1:7" x14ac:dyDescent="0.25">
      <c r="A1978" t="s">
        <v>50</v>
      </c>
      <c r="B1978" t="s">
        <v>51</v>
      </c>
      <c r="C1978" t="s">
        <v>52</v>
      </c>
      <c r="D1978">
        <v>4078920</v>
      </c>
      <c r="E1978" t="s">
        <v>53</v>
      </c>
      <c r="F1978" t="s">
        <v>49</v>
      </c>
      <c r="G1978" s="30">
        <v>196.70807039406699</v>
      </c>
    </row>
    <row r="1979" spans="1:7" x14ac:dyDescent="0.25">
      <c r="A1979" t="s">
        <v>45</v>
      </c>
      <c r="B1979" t="s">
        <v>46</v>
      </c>
      <c r="C1979" t="s">
        <v>47</v>
      </c>
      <c r="D1979">
        <v>4079661</v>
      </c>
      <c r="E1979" t="s">
        <v>48</v>
      </c>
      <c r="F1979" t="s">
        <v>49</v>
      </c>
      <c r="G1979" s="30">
        <v>0</v>
      </c>
    </row>
    <row r="1980" spans="1:7" x14ac:dyDescent="0.25">
      <c r="A1980" t="s">
        <v>88</v>
      </c>
      <c r="B1980" t="s">
        <v>89</v>
      </c>
      <c r="C1980" t="s">
        <v>78</v>
      </c>
      <c r="D1980">
        <v>4085885</v>
      </c>
      <c r="E1980" t="s">
        <v>53</v>
      </c>
      <c r="F1980" t="s">
        <v>49</v>
      </c>
      <c r="G1980" s="30">
        <v>122659.249254868</v>
      </c>
    </row>
    <row r="1981" spans="1:7" x14ac:dyDescent="0.25">
      <c r="A1981" t="s">
        <v>63</v>
      </c>
      <c r="B1981" t="s">
        <v>64</v>
      </c>
      <c r="C1981" t="s">
        <v>56</v>
      </c>
      <c r="D1981">
        <v>4089870</v>
      </c>
      <c r="E1981" t="s">
        <v>53</v>
      </c>
      <c r="F1981" t="s">
        <v>49</v>
      </c>
      <c r="G1981" s="30">
        <v>853124.23701711395</v>
      </c>
    </row>
    <row r="1982" spans="1:7" x14ac:dyDescent="0.25">
      <c r="A1982" t="s">
        <v>68</v>
      </c>
      <c r="B1982" t="s">
        <v>69</v>
      </c>
      <c r="C1982" t="s">
        <v>56</v>
      </c>
      <c r="D1982">
        <v>4091914</v>
      </c>
      <c r="E1982" t="s">
        <v>53</v>
      </c>
      <c r="F1982" t="s">
        <v>49</v>
      </c>
      <c r="G1982" s="30">
        <v>671042.34849046601</v>
      </c>
    </row>
    <row r="1983" spans="1:7" x14ac:dyDescent="0.25">
      <c r="A1983" t="s">
        <v>45</v>
      </c>
      <c r="B1983" t="s">
        <v>46</v>
      </c>
      <c r="C1983" t="s">
        <v>47</v>
      </c>
      <c r="D1983">
        <v>4093872</v>
      </c>
      <c r="E1983" t="s">
        <v>48</v>
      </c>
      <c r="F1983" t="s">
        <v>49</v>
      </c>
      <c r="G1983" s="30">
        <v>0</v>
      </c>
    </row>
    <row r="1984" spans="1:7" x14ac:dyDescent="0.25">
      <c r="A1984" t="s">
        <v>45</v>
      </c>
      <c r="B1984" t="s">
        <v>46</v>
      </c>
      <c r="C1984" t="s">
        <v>47</v>
      </c>
      <c r="D1984">
        <v>4098517</v>
      </c>
      <c r="E1984" t="s">
        <v>48</v>
      </c>
      <c r="F1984" t="s">
        <v>49</v>
      </c>
      <c r="G1984" s="30">
        <v>85.73</v>
      </c>
    </row>
    <row r="1985" spans="1:7" x14ac:dyDescent="0.25">
      <c r="A1985" t="s">
        <v>45</v>
      </c>
      <c r="B1985" t="s">
        <v>46</v>
      </c>
      <c r="C1985" t="s">
        <v>47</v>
      </c>
      <c r="D1985">
        <v>4099565</v>
      </c>
      <c r="E1985" t="s">
        <v>48</v>
      </c>
      <c r="F1985" t="s">
        <v>49</v>
      </c>
      <c r="G1985" s="30">
        <v>0.05</v>
      </c>
    </row>
    <row r="1986" spans="1:7" x14ac:dyDescent="0.25">
      <c r="A1986" t="s">
        <v>50</v>
      </c>
      <c r="B1986" t="s">
        <v>51</v>
      </c>
      <c r="C1986" t="s">
        <v>52</v>
      </c>
      <c r="D1986">
        <v>4101135</v>
      </c>
      <c r="E1986" t="s">
        <v>53</v>
      </c>
      <c r="F1986" t="s">
        <v>49</v>
      </c>
      <c r="G1986" s="30">
        <v>74070.309683720407</v>
      </c>
    </row>
    <row r="1987" spans="1:7" x14ac:dyDescent="0.25">
      <c r="A1987" t="s">
        <v>131</v>
      </c>
      <c r="B1987" t="s">
        <v>132</v>
      </c>
      <c r="C1987" t="s">
        <v>67</v>
      </c>
      <c r="D1987">
        <v>4101329</v>
      </c>
      <c r="E1987" t="s">
        <v>53</v>
      </c>
      <c r="F1987" t="s">
        <v>49</v>
      </c>
      <c r="G1987" s="30">
        <v>3278.0464065946699</v>
      </c>
    </row>
    <row r="1988" spans="1:7" x14ac:dyDescent="0.25">
      <c r="A1988" t="s">
        <v>54</v>
      </c>
      <c r="B1988" t="s">
        <v>55</v>
      </c>
      <c r="C1988" t="s">
        <v>56</v>
      </c>
      <c r="D1988">
        <v>4101665</v>
      </c>
      <c r="E1988" t="s">
        <v>53</v>
      </c>
      <c r="F1988" t="s">
        <v>49</v>
      </c>
      <c r="G1988" s="30">
        <v>112644.150176119</v>
      </c>
    </row>
    <row r="1989" spans="1:7" x14ac:dyDescent="0.25">
      <c r="A1989" t="s">
        <v>54</v>
      </c>
      <c r="B1989" t="s">
        <v>55</v>
      </c>
      <c r="C1989" t="s">
        <v>56</v>
      </c>
      <c r="D1989">
        <v>4102586</v>
      </c>
      <c r="E1989" t="s">
        <v>48</v>
      </c>
      <c r="F1989" t="s">
        <v>49</v>
      </c>
      <c r="G1989" s="30">
        <v>0</v>
      </c>
    </row>
    <row r="1990" spans="1:7" x14ac:dyDescent="0.25">
      <c r="A1990" t="s">
        <v>112</v>
      </c>
      <c r="B1990" t="s">
        <v>113</v>
      </c>
      <c r="C1990" t="s">
        <v>81</v>
      </c>
      <c r="D1990">
        <v>4103147</v>
      </c>
      <c r="E1990" t="s">
        <v>53</v>
      </c>
      <c r="F1990" t="s">
        <v>49</v>
      </c>
      <c r="G1990" s="30">
        <v>202459.02707381101</v>
      </c>
    </row>
    <row r="1991" spans="1:7" x14ac:dyDescent="0.25">
      <c r="A1991" t="s">
        <v>63</v>
      </c>
      <c r="B1991" t="s">
        <v>64</v>
      </c>
      <c r="C1991" t="s">
        <v>56</v>
      </c>
      <c r="D1991">
        <v>4107950</v>
      </c>
      <c r="E1991" t="s">
        <v>53</v>
      </c>
      <c r="F1991" t="s">
        <v>49</v>
      </c>
      <c r="G1991" s="30">
        <v>78835.509999999995</v>
      </c>
    </row>
    <row r="1992" spans="1:7" x14ac:dyDescent="0.25">
      <c r="A1992" t="s">
        <v>102</v>
      </c>
      <c r="B1992" t="s">
        <v>103</v>
      </c>
      <c r="C1992" t="s">
        <v>47</v>
      </c>
      <c r="D1992">
        <v>4111680</v>
      </c>
      <c r="E1992" t="s">
        <v>53</v>
      </c>
      <c r="F1992" t="s">
        <v>49</v>
      </c>
      <c r="G1992" s="30">
        <v>106260.19099723001</v>
      </c>
    </row>
    <row r="1993" spans="1:7" x14ac:dyDescent="0.25">
      <c r="A1993" t="s">
        <v>120</v>
      </c>
      <c r="B1993" t="s">
        <v>121</v>
      </c>
      <c r="C1993" t="s">
        <v>67</v>
      </c>
      <c r="D1993">
        <v>4113079</v>
      </c>
      <c r="E1993" t="s">
        <v>53</v>
      </c>
      <c r="F1993" t="s">
        <v>49</v>
      </c>
      <c r="G1993" s="30">
        <v>81976.610084522894</v>
      </c>
    </row>
    <row r="1994" spans="1:7" x14ac:dyDescent="0.25">
      <c r="A1994" t="s">
        <v>114</v>
      </c>
      <c r="B1994" t="s">
        <v>115</v>
      </c>
      <c r="C1994" t="s">
        <v>56</v>
      </c>
      <c r="D1994">
        <v>4117285</v>
      </c>
      <c r="E1994" t="s">
        <v>53</v>
      </c>
      <c r="F1994" t="s">
        <v>49</v>
      </c>
      <c r="G1994" s="30">
        <v>5208292.2972435197</v>
      </c>
    </row>
    <row r="1995" spans="1:7" x14ac:dyDescent="0.25">
      <c r="A1995" t="s">
        <v>45</v>
      </c>
      <c r="B1995" t="s">
        <v>46</v>
      </c>
      <c r="C1995" t="s">
        <v>47</v>
      </c>
      <c r="D1995">
        <v>4117490</v>
      </c>
      <c r="E1995" t="s">
        <v>48</v>
      </c>
      <c r="F1995" t="s">
        <v>49</v>
      </c>
      <c r="G1995" s="30">
        <v>0</v>
      </c>
    </row>
    <row r="1996" spans="1:7" x14ac:dyDescent="0.25">
      <c r="A1996" t="s">
        <v>94</v>
      </c>
      <c r="B1996" t="s">
        <v>95</v>
      </c>
      <c r="C1996" t="s">
        <v>78</v>
      </c>
      <c r="D1996">
        <v>4118758</v>
      </c>
      <c r="E1996" t="s">
        <v>53</v>
      </c>
      <c r="F1996" t="s">
        <v>49</v>
      </c>
      <c r="G1996" s="30">
        <v>2555433.9743227898</v>
      </c>
    </row>
    <row r="1997" spans="1:7" x14ac:dyDescent="0.25">
      <c r="A1997" t="s">
        <v>61</v>
      </c>
      <c r="B1997" t="s">
        <v>62</v>
      </c>
      <c r="C1997" t="s">
        <v>56</v>
      </c>
      <c r="D1997">
        <v>4119810</v>
      </c>
      <c r="E1997" t="s">
        <v>48</v>
      </c>
      <c r="F1997" t="s">
        <v>49</v>
      </c>
      <c r="G1997" s="30">
        <v>0</v>
      </c>
    </row>
    <row r="1998" spans="1:7" x14ac:dyDescent="0.25">
      <c r="A1998" t="s">
        <v>65</v>
      </c>
      <c r="B1998" t="s">
        <v>66</v>
      </c>
      <c r="C1998" t="s">
        <v>67</v>
      </c>
      <c r="D1998">
        <v>4119913</v>
      </c>
      <c r="E1998" t="s">
        <v>53</v>
      </c>
      <c r="F1998" t="s">
        <v>49</v>
      </c>
      <c r="G1998" s="30">
        <v>907532.37275651796</v>
      </c>
    </row>
    <row r="1999" spans="1:7" x14ac:dyDescent="0.25">
      <c r="A1999" t="s">
        <v>45</v>
      </c>
      <c r="B1999" t="s">
        <v>46</v>
      </c>
      <c r="C1999" t="s">
        <v>47</v>
      </c>
      <c r="D1999">
        <v>4121657</v>
      </c>
      <c r="E1999" t="s">
        <v>48</v>
      </c>
      <c r="F1999" t="s">
        <v>49</v>
      </c>
      <c r="G1999" s="30">
        <v>0</v>
      </c>
    </row>
    <row r="2000" spans="1:7" x14ac:dyDescent="0.25">
      <c r="A2000" t="s">
        <v>45</v>
      </c>
      <c r="B2000" t="s">
        <v>46</v>
      </c>
      <c r="C2000" t="s">
        <v>47</v>
      </c>
      <c r="D2000">
        <v>4123222</v>
      </c>
      <c r="E2000" t="s">
        <v>48</v>
      </c>
      <c r="F2000" t="s">
        <v>49</v>
      </c>
      <c r="G2000" s="30">
        <v>0</v>
      </c>
    </row>
    <row r="2001" spans="1:7" x14ac:dyDescent="0.25">
      <c r="A2001" t="s">
        <v>65</v>
      </c>
      <c r="B2001" t="s">
        <v>66</v>
      </c>
      <c r="C2001" t="s">
        <v>67</v>
      </c>
      <c r="D2001">
        <v>4123609</v>
      </c>
      <c r="E2001" t="s">
        <v>53</v>
      </c>
      <c r="F2001" t="s">
        <v>49</v>
      </c>
      <c r="G2001" s="30">
        <v>223506.67874999999</v>
      </c>
    </row>
    <row r="2002" spans="1:7" x14ac:dyDescent="0.25">
      <c r="A2002" t="s">
        <v>94</v>
      </c>
      <c r="B2002" t="s">
        <v>95</v>
      </c>
      <c r="C2002" t="s">
        <v>78</v>
      </c>
      <c r="D2002">
        <v>4124061</v>
      </c>
      <c r="E2002" t="s">
        <v>53</v>
      </c>
      <c r="F2002" t="s">
        <v>49</v>
      </c>
      <c r="G2002" s="30">
        <v>229961.98751360201</v>
      </c>
    </row>
    <row r="2003" spans="1:7" x14ac:dyDescent="0.25">
      <c r="A2003" t="s">
        <v>45</v>
      </c>
      <c r="B2003" t="s">
        <v>46</v>
      </c>
      <c r="C2003" t="s">
        <v>47</v>
      </c>
      <c r="D2003">
        <v>4128776</v>
      </c>
      <c r="E2003" t="s">
        <v>48</v>
      </c>
      <c r="F2003" t="s">
        <v>49</v>
      </c>
      <c r="G2003" s="30">
        <v>0</v>
      </c>
    </row>
    <row r="2004" spans="1:7" x14ac:dyDescent="0.25">
      <c r="A2004" t="s">
        <v>126</v>
      </c>
      <c r="B2004" t="s">
        <v>127</v>
      </c>
      <c r="C2004" t="s">
        <v>67</v>
      </c>
      <c r="D2004">
        <v>4131036</v>
      </c>
      <c r="E2004" t="s">
        <v>53</v>
      </c>
      <c r="F2004" t="s">
        <v>49</v>
      </c>
      <c r="G2004" s="30">
        <v>14394.2276949441</v>
      </c>
    </row>
    <row r="2005" spans="1:7" x14ac:dyDescent="0.25">
      <c r="A2005" t="s">
        <v>45</v>
      </c>
      <c r="B2005" t="s">
        <v>46</v>
      </c>
      <c r="C2005" t="s">
        <v>47</v>
      </c>
      <c r="D2005">
        <v>4132624</v>
      </c>
      <c r="E2005" t="s">
        <v>48</v>
      </c>
      <c r="F2005" t="s">
        <v>49</v>
      </c>
      <c r="G2005" s="30">
        <v>1</v>
      </c>
    </row>
    <row r="2006" spans="1:7" x14ac:dyDescent="0.25">
      <c r="A2006" t="s">
        <v>50</v>
      </c>
      <c r="B2006" t="s">
        <v>51</v>
      </c>
      <c r="C2006" t="s">
        <v>52</v>
      </c>
      <c r="D2006">
        <v>4134255</v>
      </c>
      <c r="E2006" t="s">
        <v>48</v>
      </c>
      <c r="F2006" t="s">
        <v>49</v>
      </c>
      <c r="G2006" s="30">
        <v>0</v>
      </c>
    </row>
    <row r="2007" spans="1:7" x14ac:dyDescent="0.25">
      <c r="A2007" t="s">
        <v>65</v>
      </c>
      <c r="B2007" t="s">
        <v>66</v>
      </c>
      <c r="C2007" t="s">
        <v>67</v>
      </c>
      <c r="D2007">
        <v>4135562</v>
      </c>
      <c r="E2007" t="s">
        <v>53</v>
      </c>
      <c r="F2007" t="s">
        <v>49</v>
      </c>
      <c r="G2007" s="30">
        <v>9966399.1979607102</v>
      </c>
    </row>
    <row r="2008" spans="1:7" x14ac:dyDescent="0.25">
      <c r="A2008" t="s">
        <v>65</v>
      </c>
      <c r="B2008" t="s">
        <v>66</v>
      </c>
      <c r="C2008" t="s">
        <v>67</v>
      </c>
      <c r="D2008">
        <v>4136358</v>
      </c>
      <c r="E2008" t="s">
        <v>53</v>
      </c>
      <c r="F2008" t="s">
        <v>49</v>
      </c>
      <c r="G2008" s="30">
        <v>40849.743979406303</v>
      </c>
    </row>
    <row r="2009" spans="1:7" x14ac:dyDescent="0.25">
      <c r="A2009" t="s">
        <v>45</v>
      </c>
      <c r="B2009" t="s">
        <v>46</v>
      </c>
      <c r="C2009" t="s">
        <v>47</v>
      </c>
      <c r="D2009">
        <v>4136469</v>
      </c>
      <c r="E2009" t="s">
        <v>48</v>
      </c>
      <c r="F2009" t="s">
        <v>49</v>
      </c>
      <c r="G2009" s="30">
        <v>0</v>
      </c>
    </row>
    <row r="2010" spans="1:7" x14ac:dyDescent="0.25">
      <c r="A2010" t="s">
        <v>45</v>
      </c>
      <c r="B2010" t="s">
        <v>46</v>
      </c>
      <c r="C2010" t="s">
        <v>47</v>
      </c>
      <c r="D2010">
        <v>4139399</v>
      </c>
      <c r="E2010" t="s">
        <v>53</v>
      </c>
      <c r="F2010" t="s">
        <v>49</v>
      </c>
      <c r="G2010" s="30">
        <v>88084.194473728698</v>
      </c>
    </row>
    <row r="2011" spans="1:7" x14ac:dyDescent="0.25">
      <c r="A2011" t="s">
        <v>65</v>
      </c>
      <c r="B2011" t="s">
        <v>66</v>
      </c>
      <c r="C2011" t="s">
        <v>67</v>
      </c>
      <c r="D2011">
        <v>4139686</v>
      </c>
      <c r="E2011" t="s">
        <v>53</v>
      </c>
      <c r="F2011" t="s">
        <v>49</v>
      </c>
      <c r="G2011" s="30">
        <v>6683007.9586183103</v>
      </c>
    </row>
    <row r="2012" spans="1:7" x14ac:dyDescent="0.25">
      <c r="A2012" t="s">
        <v>50</v>
      </c>
      <c r="B2012" t="s">
        <v>51</v>
      </c>
      <c r="C2012" t="s">
        <v>52</v>
      </c>
      <c r="D2012">
        <v>4139812</v>
      </c>
      <c r="E2012" t="s">
        <v>53</v>
      </c>
      <c r="F2012" t="s">
        <v>49</v>
      </c>
      <c r="G2012" s="30">
        <v>624.59</v>
      </c>
    </row>
    <row r="2013" spans="1:7" x14ac:dyDescent="0.25">
      <c r="A2013" t="s">
        <v>50</v>
      </c>
      <c r="B2013" t="s">
        <v>51</v>
      </c>
      <c r="C2013" t="s">
        <v>52</v>
      </c>
      <c r="D2013">
        <v>4139922</v>
      </c>
      <c r="E2013" t="s">
        <v>53</v>
      </c>
      <c r="F2013" t="s">
        <v>49</v>
      </c>
      <c r="G2013" s="30">
        <v>23191.1535432194</v>
      </c>
    </row>
    <row r="2014" spans="1:7" x14ac:dyDescent="0.25">
      <c r="A2014" t="s">
        <v>45</v>
      </c>
      <c r="B2014" t="s">
        <v>46</v>
      </c>
      <c r="C2014" t="s">
        <v>47</v>
      </c>
      <c r="D2014">
        <v>4140743</v>
      </c>
      <c r="E2014" t="s">
        <v>48</v>
      </c>
      <c r="F2014" t="s">
        <v>49</v>
      </c>
      <c r="G2014" s="30">
        <v>0</v>
      </c>
    </row>
    <row r="2015" spans="1:7" x14ac:dyDescent="0.25">
      <c r="A2015" t="s">
        <v>50</v>
      </c>
      <c r="B2015" t="s">
        <v>51</v>
      </c>
      <c r="C2015" t="s">
        <v>52</v>
      </c>
      <c r="D2015">
        <v>4143744</v>
      </c>
      <c r="E2015" t="s">
        <v>53</v>
      </c>
      <c r="F2015" t="s">
        <v>49</v>
      </c>
      <c r="G2015" s="30">
        <v>35698.885490553803</v>
      </c>
    </row>
    <row r="2016" spans="1:7" x14ac:dyDescent="0.25">
      <c r="A2016" t="s">
        <v>50</v>
      </c>
      <c r="B2016" t="s">
        <v>51</v>
      </c>
      <c r="C2016" t="s">
        <v>52</v>
      </c>
      <c r="D2016">
        <v>4145499</v>
      </c>
      <c r="E2016" t="s">
        <v>53</v>
      </c>
      <c r="F2016" t="s">
        <v>49</v>
      </c>
      <c r="G2016" s="30">
        <v>352.43327688387001</v>
      </c>
    </row>
    <row r="2017" spans="1:7" x14ac:dyDescent="0.25">
      <c r="A2017" t="s">
        <v>124</v>
      </c>
      <c r="B2017" t="s">
        <v>125</v>
      </c>
      <c r="C2017" t="s">
        <v>78</v>
      </c>
      <c r="D2017">
        <v>4145846</v>
      </c>
      <c r="E2017" t="s">
        <v>53</v>
      </c>
      <c r="F2017" t="s">
        <v>49</v>
      </c>
      <c r="G2017" s="30">
        <v>192438.48253794201</v>
      </c>
    </row>
    <row r="2018" spans="1:7" x14ac:dyDescent="0.25">
      <c r="A2018" t="s">
        <v>45</v>
      </c>
      <c r="B2018" t="s">
        <v>46</v>
      </c>
      <c r="C2018" t="s">
        <v>47</v>
      </c>
      <c r="D2018">
        <v>4146830</v>
      </c>
      <c r="E2018" t="s">
        <v>48</v>
      </c>
      <c r="F2018" t="s">
        <v>49</v>
      </c>
      <c r="G2018" s="30">
        <v>0</v>
      </c>
    </row>
    <row r="2019" spans="1:7" x14ac:dyDescent="0.25">
      <c r="A2019" t="s">
        <v>63</v>
      </c>
      <c r="B2019" t="s">
        <v>64</v>
      </c>
      <c r="C2019" t="s">
        <v>56</v>
      </c>
      <c r="D2019">
        <v>4146978</v>
      </c>
      <c r="E2019" t="s">
        <v>53</v>
      </c>
      <c r="F2019" t="s">
        <v>49</v>
      </c>
      <c r="G2019" s="30">
        <v>999529.918952976</v>
      </c>
    </row>
    <row r="2020" spans="1:7" x14ac:dyDescent="0.25">
      <c r="A2020" t="s">
        <v>61</v>
      </c>
      <c r="B2020" t="s">
        <v>62</v>
      </c>
      <c r="C2020" t="s">
        <v>56</v>
      </c>
      <c r="D2020">
        <v>4147825</v>
      </c>
      <c r="E2020" t="s">
        <v>53</v>
      </c>
      <c r="F2020" t="s">
        <v>49</v>
      </c>
      <c r="G2020" s="30">
        <v>32663.391902957301</v>
      </c>
    </row>
    <row r="2021" spans="1:7" x14ac:dyDescent="0.25">
      <c r="A2021" t="s">
        <v>50</v>
      </c>
      <c r="B2021" t="s">
        <v>51</v>
      </c>
      <c r="C2021" t="s">
        <v>52</v>
      </c>
      <c r="D2021">
        <v>4149969</v>
      </c>
      <c r="E2021" t="s">
        <v>48</v>
      </c>
      <c r="F2021" t="s">
        <v>49</v>
      </c>
      <c r="G2021" s="30">
        <v>0</v>
      </c>
    </row>
    <row r="2022" spans="1:7" x14ac:dyDescent="0.25">
      <c r="A2022" t="s">
        <v>88</v>
      </c>
      <c r="B2022" t="s">
        <v>89</v>
      </c>
      <c r="C2022" t="s">
        <v>78</v>
      </c>
      <c r="D2022">
        <v>4151061</v>
      </c>
      <c r="E2022" t="s">
        <v>53</v>
      </c>
      <c r="F2022" t="s">
        <v>49</v>
      </c>
      <c r="G2022" s="30">
        <v>93590.650109160095</v>
      </c>
    </row>
    <row r="2023" spans="1:7" x14ac:dyDescent="0.25">
      <c r="A2023" t="s">
        <v>92</v>
      </c>
      <c r="B2023" t="s">
        <v>93</v>
      </c>
      <c r="C2023" t="s">
        <v>81</v>
      </c>
      <c r="D2023">
        <v>4156844</v>
      </c>
      <c r="E2023" t="s">
        <v>48</v>
      </c>
      <c r="F2023" t="s">
        <v>49</v>
      </c>
      <c r="G2023" s="30">
        <v>0</v>
      </c>
    </row>
    <row r="2024" spans="1:7" x14ac:dyDescent="0.25">
      <c r="A2024" t="s">
        <v>50</v>
      </c>
      <c r="B2024" t="s">
        <v>51</v>
      </c>
      <c r="C2024" t="s">
        <v>52</v>
      </c>
      <c r="D2024">
        <v>4157870</v>
      </c>
      <c r="E2024" t="s">
        <v>53</v>
      </c>
      <c r="F2024" t="s">
        <v>49</v>
      </c>
      <c r="G2024" s="30">
        <v>36045.225957031304</v>
      </c>
    </row>
    <row r="2025" spans="1:7" x14ac:dyDescent="0.25">
      <c r="A2025" t="s">
        <v>116</v>
      </c>
      <c r="B2025" t="s">
        <v>117</v>
      </c>
      <c r="C2025" t="s">
        <v>47</v>
      </c>
      <c r="D2025">
        <v>4160291</v>
      </c>
      <c r="E2025" t="s">
        <v>53</v>
      </c>
      <c r="F2025" t="s">
        <v>49</v>
      </c>
      <c r="G2025" s="30">
        <v>236991.60648593801</v>
      </c>
    </row>
    <row r="2026" spans="1:7" x14ac:dyDescent="0.25">
      <c r="A2026" t="s">
        <v>45</v>
      </c>
      <c r="B2026" t="s">
        <v>46</v>
      </c>
      <c r="C2026" t="s">
        <v>47</v>
      </c>
      <c r="D2026">
        <v>4166456</v>
      </c>
      <c r="E2026" t="s">
        <v>48</v>
      </c>
      <c r="F2026" t="s">
        <v>49</v>
      </c>
      <c r="G2026" s="30">
        <v>0</v>
      </c>
    </row>
    <row r="2027" spans="1:7" x14ac:dyDescent="0.25">
      <c r="A2027" t="s">
        <v>65</v>
      </c>
      <c r="B2027" t="s">
        <v>66</v>
      </c>
      <c r="C2027" t="s">
        <v>67</v>
      </c>
      <c r="D2027">
        <v>4167094</v>
      </c>
      <c r="E2027" t="s">
        <v>53</v>
      </c>
      <c r="F2027" t="s">
        <v>49</v>
      </c>
      <c r="G2027" s="30">
        <v>1021826.8852928299</v>
      </c>
    </row>
    <row r="2028" spans="1:7" x14ac:dyDescent="0.25">
      <c r="A2028" t="s">
        <v>45</v>
      </c>
      <c r="B2028" t="s">
        <v>46</v>
      </c>
      <c r="C2028" t="s">
        <v>47</v>
      </c>
      <c r="D2028">
        <v>4168802</v>
      </c>
      <c r="E2028" t="s">
        <v>48</v>
      </c>
      <c r="F2028" t="s">
        <v>49</v>
      </c>
      <c r="G2028" s="30">
        <v>21.48</v>
      </c>
    </row>
    <row r="2029" spans="1:7" x14ac:dyDescent="0.25">
      <c r="A2029" t="s">
        <v>65</v>
      </c>
      <c r="B2029" t="s">
        <v>66</v>
      </c>
      <c r="C2029" t="s">
        <v>67</v>
      </c>
      <c r="D2029">
        <v>4170874</v>
      </c>
      <c r="E2029" t="s">
        <v>53</v>
      </c>
      <c r="F2029" t="s">
        <v>49</v>
      </c>
      <c r="G2029" s="30">
        <v>1962383.3526105999</v>
      </c>
    </row>
    <row r="2030" spans="1:7" x14ac:dyDescent="0.25">
      <c r="A2030" t="s">
        <v>50</v>
      </c>
      <c r="B2030" t="s">
        <v>51</v>
      </c>
      <c r="C2030" t="s">
        <v>52</v>
      </c>
      <c r="D2030">
        <v>4171485</v>
      </c>
      <c r="E2030" t="s">
        <v>53</v>
      </c>
      <c r="F2030" t="s">
        <v>49</v>
      </c>
      <c r="G2030" s="30">
        <v>3277.76</v>
      </c>
    </row>
    <row r="2031" spans="1:7" x14ac:dyDescent="0.25">
      <c r="A2031" t="s">
        <v>45</v>
      </c>
      <c r="B2031" t="s">
        <v>46</v>
      </c>
      <c r="C2031" t="s">
        <v>47</v>
      </c>
      <c r="D2031">
        <v>4171521</v>
      </c>
      <c r="E2031" t="s">
        <v>48</v>
      </c>
      <c r="F2031" t="s">
        <v>49</v>
      </c>
      <c r="G2031" s="30">
        <v>0</v>
      </c>
    </row>
    <row r="2032" spans="1:7" x14ac:dyDescent="0.25">
      <c r="A2032" t="s">
        <v>45</v>
      </c>
      <c r="B2032" t="s">
        <v>46</v>
      </c>
      <c r="C2032" t="s">
        <v>47</v>
      </c>
      <c r="D2032">
        <v>4173554</v>
      </c>
      <c r="E2032" t="s">
        <v>53</v>
      </c>
      <c r="F2032" t="s">
        <v>49</v>
      </c>
      <c r="G2032" s="30">
        <v>211.96990966796901</v>
      </c>
    </row>
    <row r="2033" spans="1:7" x14ac:dyDescent="0.25">
      <c r="A2033" t="s">
        <v>61</v>
      </c>
      <c r="B2033" t="s">
        <v>62</v>
      </c>
      <c r="C2033" t="s">
        <v>56</v>
      </c>
      <c r="D2033">
        <v>4175643</v>
      </c>
      <c r="E2033" t="s">
        <v>48</v>
      </c>
      <c r="F2033" t="s">
        <v>49</v>
      </c>
      <c r="G2033" s="30">
        <v>0</v>
      </c>
    </row>
    <row r="2034" spans="1:7" x14ac:dyDescent="0.25">
      <c r="A2034" t="s">
        <v>45</v>
      </c>
      <c r="B2034" t="s">
        <v>46</v>
      </c>
      <c r="C2034" t="s">
        <v>47</v>
      </c>
      <c r="D2034">
        <v>4175848</v>
      </c>
      <c r="E2034" t="s">
        <v>48</v>
      </c>
      <c r="F2034" t="s">
        <v>49</v>
      </c>
      <c r="G2034" s="30">
        <v>34.58</v>
      </c>
    </row>
    <row r="2035" spans="1:7" x14ac:dyDescent="0.25">
      <c r="A2035" t="s">
        <v>45</v>
      </c>
      <c r="B2035" t="s">
        <v>46</v>
      </c>
      <c r="C2035" t="s">
        <v>47</v>
      </c>
      <c r="D2035">
        <v>4177788</v>
      </c>
      <c r="E2035" t="s">
        <v>48</v>
      </c>
      <c r="F2035" t="s">
        <v>49</v>
      </c>
      <c r="G2035" s="30">
        <v>0</v>
      </c>
    </row>
    <row r="2036" spans="1:7" x14ac:dyDescent="0.25">
      <c r="A2036" t="s">
        <v>45</v>
      </c>
      <c r="B2036" t="s">
        <v>46</v>
      </c>
      <c r="C2036" t="s">
        <v>47</v>
      </c>
      <c r="D2036">
        <v>4181218</v>
      </c>
      <c r="E2036" t="s">
        <v>48</v>
      </c>
      <c r="F2036" t="s">
        <v>49</v>
      </c>
      <c r="G2036" s="30">
        <v>18.89</v>
      </c>
    </row>
    <row r="2037" spans="1:7" x14ac:dyDescent="0.25">
      <c r="A2037" t="s">
        <v>50</v>
      </c>
      <c r="B2037" t="s">
        <v>51</v>
      </c>
      <c r="C2037" t="s">
        <v>52</v>
      </c>
      <c r="D2037">
        <v>4181418</v>
      </c>
      <c r="E2037" t="s">
        <v>53</v>
      </c>
      <c r="F2037" t="s">
        <v>49</v>
      </c>
      <c r="G2037" s="30">
        <v>12072.8647167212</v>
      </c>
    </row>
    <row r="2038" spans="1:7" x14ac:dyDescent="0.25">
      <c r="A2038" t="s">
        <v>104</v>
      </c>
      <c r="B2038" t="s">
        <v>105</v>
      </c>
      <c r="C2038" t="s">
        <v>78</v>
      </c>
      <c r="D2038">
        <v>4181544</v>
      </c>
      <c r="E2038" t="s">
        <v>53</v>
      </c>
      <c r="F2038" t="s">
        <v>49</v>
      </c>
      <c r="G2038" s="30">
        <v>381198.997913361</v>
      </c>
    </row>
    <row r="2039" spans="1:7" x14ac:dyDescent="0.25">
      <c r="A2039" t="s">
        <v>63</v>
      </c>
      <c r="B2039" t="s">
        <v>64</v>
      </c>
      <c r="C2039" t="s">
        <v>56</v>
      </c>
      <c r="D2039">
        <v>4183571</v>
      </c>
      <c r="E2039" t="s">
        <v>53</v>
      </c>
      <c r="F2039" t="s">
        <v>49</v>
      </c>
      <c r="G2039" s="30">
        <v>1609405.88088793</v>
      </c>
    </row>
    <row r="2040" spans="1:7" x14ac:dyDescent="0.25">
      <c r="A2040" t="s">
        <v>63</v>
      </c>
      <c r="B2040" t="s">
        <v>64</v>
      </c>
      <c r="C2040" t="s">
        <v>56</v>
      </c>
      <c r="D2040">
        <v>4183693</v>
      </c>
      <c r="E2040" t="s">
        <v>53</v>
      </c>
      <c r="F2040" t="s">
        <v>49</v>
      </c>
      <c r="G2040" s="30">
        <v>474888.86316082801</v>
      </c>
    </row>
    <row r="2041" spans="1:7" x14ac:dyDescent="0.25">
      <c r="A2041" t="s">
        <v>88</v>
      </c>
      <c r="B2041" t="s">
        <v>89</v>
      </c>
      <c r="C2041" t="s">
        <v>78</v>
      </c>
      <c r="D2041">
        <v>4184239</v>
      </c>
      <c r="E2041" t="s">
        <v>53</v>
      </c>
      <c r="F2041" t="s">
        <v>49</v>
      </c>
      <c r="G2041" s="30">
        <v>147107.55488202799</v>
      </c>
    </row>
    <row r="2042" spans="1:7" x14ac:dyDescent="0.25">
      <c r="A2042" t="s">
        <v>45</v>
      </c>
      <c r="B2042" t="s">
        <v>46</v>
      </c>
      <c r="C2042" t="s">
        <v>47</v>
      </c>
      <c r="D2042">
        <v>4186466</v>
      </c>
      <c r="E2042" t="s">
        <v>48</v>
      </c>
      <c r="F2042" t="s">
        <v>49</v>
      </c>
      <c r="G2042" s="30">
        <v>0</v>
      </c>
    </row>
    <row r="2043" spans="1:7" x14ac:dyDescent="0.25">
      <c r="A2043" t="s">
        <v>50</v>
      </c>
      <c r="B2043" t="s">
        <v>51</v>
      </c>
      <c r="C2043" t="s">
        <v>52</v>
      </c>
      <c r="D2043">
        <v>4188097</v>
      </c>
      <c r="E2043" t="s">
        <v>53</v>
      </c>
      <c r="F2043" t="s">
        <v>49</v>
      </c>
      <c r="G2043" s="30">
        <v>41531.789762820801</v>
      </c>
    </row>
    <row r="2044" spans="1:7" x14ac:dyDescent="0.25">
      <c r="A2044" t="s">
        <v>50</v>
      </c>
      <c r="B2044" t="s">
        <v>51</v>
      </c>
      <c r="C2044" t="s">
        <v>52</v>
      </c>
      <c r="D2044">
        <v>4190062</v>
      </c>
      <c r="E2044" t="s">
        <v>53</v>
      </c>
      <c r="F2044" t="s">
        <v>49</v>
      </c>
      <c r="G2044" s="30">
        <v>2371.42</v>
      </c>
    </row>
    <row r="2045" spans="1:7" x14ac:dyDescent="0.25">
      <c r="A2045" t="s">
        <v>45</v>
      </c>
      <c r="B2045" t="s">
        <v>46</v>
      </c>
      <c r="C2045" t="s">
        <v>47</v>
      </c>
      <c r="D2045">
        <v>4191642</v>
      </c>
      <c r="E2045" t="s">
        <v>48</v>
      </c>
      <c r="F2045" t="s">
        <v>49</v>
      </c>
      <c r="G2045" s="30">
        <v>0</v>
      </c>
    </row>
    <row r="2046" spans="1:7" x14ac:dyDescent="0.25">
      <c r="A2046" t="s">
        <v>45</v>
      </c>
      <c r="B2046" t="s">
        <v>46</v>
      </c>
      <c r="C2046" t="s">
        <v>47</v>
      </c>
      <c r="D2046">
        <v>4192642</v>
      </c>
      <c r="E2046" t="s">
        <v>48</v>
      </c>
      <c r="F2046" t="s">
        <v>49</v>
      </c>
      <c r="G2046" s="30">
        <v>0</v>
      </c>
    </row>
    <row r="2047" spans="1:7" x14ac:dyDescent="0.25">
      <c r="A2047" t="s">
        <v>120</v>
      </c>
      <c r="B2047" t="s">
        <v>121</v>
      </c>
      <c r="C2047" t="s">
        <v>67</v>
      </c>
      <c r="D2047">
        <v>4193488</v>
      </c>
      <c r="E2047" t="s">
        <v>53</v>
      </c>
      <c r="F2047" t="s">
        <v>49</v>
      </c>
      <c r="G2047" s="30">
        <v>60021.109036822803</v>
      </c>
    </row>
    <row r="2048" spans="1:7" x14ac:dyDescent="0.25">
      <c r="A2048" t="s">
        <v>45</v>
      </c>
      <c r="B2048" t="s">
        <v>46</v>
      </c>
      <c r="C2048" t="s">
        <v>47</v>
      </c>
      <c r="D2048">
        <v>4194978</v>
      </c>
      <c r="E2048" t="s">
        <v>48</v>
      </c>
      <c r="F2048" t="s">
        <v>49</v>
      </c>
      <c r="G2048" s="30">
        <v>0</v>
      </c>
    </row>
    <row r="2049" spans="1:7" x14ac:dyDescent="0.25">
      <c r="A2049" t="s">
        <v>45</v>
      </c>
      <c r="B2049" t="s">
        <v>46</v>
      </c>
      <c r="C2049" t="s">
        <v>47</v>
      </c>
      <c r="D2049">
        <v>4195877</v>
      </c>
      <c r="E2049" t="s">
        <v>48</v>
      </c>
      <c r="F2049" t="s">
        <v>49</v>
      </c>
      <c r="G2049" s="30">
        <v>0</v>
      </c>
    </row>
    <row r="2050" spans="1:7" x14ac:dyDescent="0.25">
      <c r="A2050" t="s">
        <v>76</v>
      </c>
      <c r="B2050" t="s">
        <v>77</v>
      </c>
      <c r="C2050" t="s">
        <v>78</v>
      </c>
      <c r="D2050">
        <v>4197063</v>
      </c>
      <c r="E2050" t="s">
        <v>53</v>
      </c>
      <c r="F2050" t="s">
        <v>49</v>
      </c>
      <c r="G2050" s="30">
        <v>229196.59058468801</v>
      </c>
    </row>
    <row r="2051" spans="1:7" x14ac:dyDescent="0.25">
      <c r="A2051" t="s">
        <v>118</v>
      </c>
      <c r="B2051" t="s">
        <v>119</v>
      </c>
      <c r="C2051" t="s">
        <v>56</v>
      </c>
      <c r="D2051">
        <v>4197944</v>
      </c>
      <c r="E2051" t="s">
        <v>53</v>
      </c>
      <c r="F2051" t="s">
        <v>49</v>
      </c>
      <c r="G2051" s="30">
        <v>413200.95594259998</v>
      </c>
    </row>
    <row r="2052" spans="1:7" x14ac:dyDescent="0.25">
      <c r="A2052" t="s">
        <v>45</v>
      </c>
      <c r="B2052" t="s">
        <v>46</v>
      </c>
      <c r="C2052" t="s">
        <v>47</v>
      </c>
      <c r="D2052">
        <v>4198138</v>
      </c>
      <c r="E2052" t="s">
        <v>48</v>
      </c>
      <c r="F2052" t="s">
        <v>49</v>
      </c>
      <c r="G2052" s="30">
        <v>0</v>
      </c>
    </row>
    <row r="2053" spans="1:7" x14ac:dyDescent="0.25">
      <c r="A2053" t="s">
        <v>50</v>
      </c>
      <c r="B2053" t="s">
        <v>51</v>
      </c>
      <c r="C2053" t="s">
        <v>52</v>
      </c>
      <c r="D2053">
        <v>4198386</v>
      </c>
      <c r="E2053" t="s">
        <v>53</v>
      </c>
      <c r="F2053" t="s">
        <v>49</v>
      </c>
      <c r="G2053" s="30">
        <v>45999.86</v>
      </c>
    </row>
    <row r="2054" spans="1:7" x14ac:dyDescent="0.25">
      <c r="A2054" t="s">
        <v>45</v>
      </c>
      <c r="B2054" t="s">
        <v>46</v>
      </c>
      <c r="C2054" t="s">
        <v>47</v>
      </c>
      <c r="D2054">
        <v>4198907</v>
      </c>
      <c r="E2054" t="s">
        <v>48</v>
      </c>
      <c r="F2054" t="s">
        <v>49</v>
      </c>
      <c r="G2054" s="30">
        <v>0</v>
      </c>
    </row>
    <row r="2055" spans="1:7" x14ac:dyDescent="0.25">
      <c r="A2055" t="s">
        <v>102</v>
      </c>
      <c r="B2055" t="s">
        <v>103</v>
      </c>
      <c r="C2055" t="s">
        <v>47</v>
      </c>
      <c r="D2055">
        <v>4203014</v>
      </c>
      <c r="E2055" t="s">
        <v>53</v>
      </c>
      <c r="F2055" t="s">
        <v>49</v>
      </c>
      <c r="G2055" s="30">
        <v>103297.29301136899</v>
      </c>
    </row>
    <row r="2056" spans="1:7" x14ac:dyDescent="0.25">
      <c r="A2056" t="s">
        <v>94</v>
      </c>
      <c r="B2056" t="s">
        <v>95</v>
      </c>
      <c r="C2056" t="s">
        <v>78</v>
      </c>
      <c r="D2056">
        <v>4203825</v>
      </c>
      <c r="E2056" t="s">
        <v>53</v>
      </c>
      <c r="F2056" t="s">
        <v>49</v>
      </c>
      <c r="G2056" s="30">
        <v>371546.287423309</v>
      </c>
    </row>
    <row r="2057" spans="1:7" x14ac:dyDescent="0.25">
      <c r="A2057" t="s">
        <v>45</v>
      </c>
      <c r="B2057" t="s">
        <v>46</v>
      </c>
      <c r="C2057" t="s">
        <v>47</v>
      </c>
      <c r="D2057">
        <v>4205350</v>
      </c>
      <c r="E2057" t="s">
        <v>53</v>
      </c>
      <c r="F2057" t="s">
        <v>49</v>
      </c>
      <c r="G2057" s="30">
        <v>0</v>
      </c>
    </row>
    <row r="2058" spans="1:7" x14ac:dyDescent="0.25">
      <c r="A2058" t="s">
        <v>88</v>
      </c>
      <c r="B2058" t="s">
        <v>89</v>
      </c>
      <c r="C2058" t="s">
        <v>78</v>
      </c>
      <c r="D2058">
        <v>4205636</v>
      </c>
      <c r="E2058" t="s">
        <v>53</v>
      </c>
      <c r="F2058" t="s">
        <v>49</v>
      </c>
      <c r="G2058" s="30">
        <v>117399.02301661301</v>
      </c>
    </row>
    <row r="2059" spans="1:7" x14ac:dyDescent="0.25">
      <c r="A2059" t="s">
        <v>50</v>
      </c>
      <c r="B2059" t="s">
        <v>51</v>
      </c>
      <c r="C2059" t="s">
        <v>52</v>
      </c>
      <c r="D2059">
        <v>4208991</v>
      </c>
      <c r="E2059" t="s">
        <v>53</v>
      </c>
      <c r="F2059" t="s">
        <v>49</v>
      </c>
      <c r="G2059" s="30">
        <v>33.119999999999997</v>
      </c>
    </row>
    <row r="2060" spans="1:7" x14ac:dyDescent="0.25">
      <c r="A2060" t="s">
        <v>45</v>
      </c>
      <c r="B2060" t="s">
        <v>46</v>
      </c>
      <c r="C2060" t="s">
        <v>47</v>
      </c>
      <c r="D2060">
        <v>4209165</v>
      </c>
      <c r="E2060" t="s">
        <v>53</v>
      </c>
      <c r="F2060" t="s">
        <v>49</v>
      </c>
      <c r="G2060" s="30">
        <v>28505.773105800799</v>
      </c>
    </row>
    <row r="2061" spans="1:7" x14ac:dyDescent="0.25">
      <c r="A2061" t="s">
        <v>112</v>
      </c>
      <c r="B2061" t="s">
        <v>113</v>
      </c>
      <c r="C2061" t="s">
        <v>81</v>
      </c>
      <c r="D2061">
        <v>4210813</v>
      </c>
      <c r="E2061" t="s">
        <v>53</v>
      </c>
      <c r="F2061" t="s">
        <v>49</v>
      </c>
      <c r="G2061" s="30">
        <v>147339.6</v>
      </c>
    </row>
    <row r="2062" spans="1:7" x14ac:dyDescent="0.25">
      <c r="A2062" t="s">
        <v>50</v>
      </c>
      <c r="B2062" t="s">
        <v>51</v>
      </c>
      <c r="C2062" t="s">
        <v>52</v>
      </c>
      <c r="D2062">
        <v>4212062</v>
      </c>
      <c r="E2062" t="s">
        <v>53</v>
      </c>
      <c r="F2062" t="s">
        <v>49</v>
      </c>
      <c r="G2062" s="30">
        <v>48445.250681401303</v>
      </c>
    </row>
    <row r="2063" spans="1:7" x14ac:dyDescent="0.25">
      <c r="A2063" t="s">
        <v>45</v>
      </c>
      <c r="B2063" t="s">
        <v>46</v>
      </c>
      <c r="C2063" t="s">
        <v>47</v>
      </c>
      <c r="D2063">
        <v>4212492</v>
      </c>
      <c r="E2063" t="s">
        <v>48</v>
      </c>
      <c r="F2063" t="s">
        <v>49</v>
      </c>
      <c r="G2063" s="30">
        <v>0</v>
      </c>
    </row>
    <row r="2064" spans="1:7" x14ac:dyDescent="0.25">
      <c r="A2064" t="s">
        <v>54</v>
      </c>
      <c r="B2064" t="s">
        <v>55</v>
      </c>
      <c r="C2064" t="s">
        <v>56</v>
      </c>
      <c r="D2064">
        <v>4213472</v>
      </c>
      <c r="E2064" t="s">
        <v>53</v>
      </c>
      <c r="F2064" t="s">
        <v>49</v>
      </c>
      <c r="G2064" s="30">
        <v>61307.968158260097</v>
      </c>
    </row>
    <row r="2065" spans="1:7" x14ac:dyDescent="0.25">
      <c r="A2065" t="s">
        <v>50</v>
      </c>
      <c r="B2065" t="s">
        <v>51</v>
      </c>
      <c r="C2065" t="s">
        <v>52</v>
      </c>
      <c r="D2065">
        <v>4213509</v>
      </c>
      <c r="E2065" t="s">
        <v>53</v>
      </c>
      <c r="F2065" t="s">
        <v>49</v>
      </c>
      <c r="G2065" s="30">
        <v>62748.819999998101</v>
      </c>
    </row>
    <row r="2066" spans="1:7" x14ac:dyDescent="0.25">
      <c r="A2066" t="s">
        <v>61</v>
      </c>
      <c r="B2066" t="s">
        <v>62</v>
      </c>
      <c r="C2066" t="s">
        <v>56</v>
      </c>
      <c r="D2066">
        <v>4214690</v>
      </c>
      <c r="E2066" t="s">
        <v>48</v>
      </c>
      <c r="F2066" t="s">
        <v>49</v>
      </c>
      <c r="G2066" s="30">
        <v>5.99</v>
      </c>
    </row>
    <row r="2067" spans="1:7" x14ac:dyDescent="0.25">
      <c r="A2067" t="s">
        <v>45</v>
      </c>
      <c r="B2067" t="s">
        <v>46</v>
      </c>
      <c r="C2067" t="s">
        <v>47</v>
      </c>
      <c r="D2067">
        <v>4214813</v>
      </c>
      <c r="E2067" t="s">
        <v>48</v>
      </c>
      <c r="F2067" t="s">
        <v>49</v>
      </c>
      <c r="G2067" s="30">
        <v>0</v>
      </c>
    </row>
    <row r="2068" spans="1:7" x14ac:dyDescent="0.25">
      <c r="A2068" t="s">
        <v>45</v>
      </c>
      <c r="B2068" t="s">
        <v>46</v>
      </c>
      <c r="C2068" t="s">
        <v>47</v>
      </c>
      <c r="D2068">
        <v>4216195</v>
      </c>
      <c r="E2068" t="s">
        <v>48</v>
      </c>
      <c r="F2068" t="s">
        <v>49</v>
      </c>
      <c r="G2068" s="30">
        <v>0</v>
      </c>
    </row>
    <row r="2069" spans="1:7" x14ac:dyDescent="0.25">
      <c r="A2069" t="s">
        <v>50</v>
      </c>
      <c r="B2069" t="s">
        <v>51</v>
      </c>
      <c r="C2069" t="s">
        <v>52</v>
      </c>
      <c r="D2069">
        <v>4216200</v>
      </c>
      <c r="E2069" t="s">
        <v>53</v>
      </c>
      <c r="F2069" t="s">
        <v>49</v>
      </c>
      <c r="G2069" s="30">
        <v>184.39</v>
      </c>
    </row>
    <row r="2070" spans="1:7" x14ac:dyDescent="0.25">
      <c r="A2070" t="s">
        <v>45</v>
      </c>
      <c r="B2070" t="s">
        <v>46</v>
      </c>
      <c r="C2070" t="s">
        <v>47</v>
      </c>
      <c r="D2070">
        <v>4216519</v>
      </c>
      <c r="E2070" t="s">
        <v>48</v>
      </c>
      <c r="F2070" t="s">
        <v>49</v>
      </c>
      <c r="G2070" s="30">
        <v>0</v>
      </c>
    </row>
    <row r="2071" spans="1:7" x14ac:dyDescent="0.25">
      <c r="A2071" t="s">
        <v>50</v>
      </c>
      <c r="B2071" t="s">
        <v>51</v>
      </c>
      <c r="C2071" t="s">
        <v>52</v>
      </c>
      <c r="D2071">
        <v>4217759</v>
      </c>
      <c r="E2071" t="s">
        <v>53</v>
      </c>
      <c r="F2071" t="s">
        <v>49</v>
      </c>
      <c r="G2071" s="30">
        <v>9250</v>
      </c>
    </row>
    <row r="2072" spans="1:7" x14ac:dyDescent="0.25">
      <c r="A2072" t="s">
        <v>112</v>
      </c>
      <c r="B2072" t="s">
        <v>113</v>
      </c>
      <c r="C2072" t="s">
        <v>81</v>
      </c>
      <c r="D2072">
        <v>4221927</v>
      </c>
      <c r="E2072" t="s">
        <v>53</v>
      </c>
      <c r="F2072" t="s">
        <v>49</v>
      </c>
      <c r="G2072" s="30">
        <v>35150.076719649704</v>
      </c>
    </row>
    <row r="2073" spans="1:7" x14ac:dyDescent="0.25">
      <c r="A2073" t="s">
        <v>86</v>
      </c>
      <c r="B2073" t="s">
        <v>87</v>
      </c>
      <c r="C2073" t="s">
        <v>78</v>
      </c>
      <c r="D2073">
        <v>4223220</v>
      </c>
      <c r="E2073" t="s">
        <v>53</v>
      </c>
      <c r="F2073" t="s">
        <v>49</v>
      </c>
      <c r="G2073" s="30">
        <v>2056301.19280789</v>
      </c>
    </row>
    <row r="2074" spans="1:7" x14ac:dyDescent="0.25">
      <c r="A2074" t="s">
        <v>50</v>
      </c>
      <c r="B2074" t="s">
        <v>51</v>
      </c>
      <c r="C2074" t="s">
        <v>52</v>
      </c>
      <c r="D2074">
        <v>4223371</v>
      </c>
      <c r="E2074" t="s">
        <v>53</v>
      </c>
      <c r="F2074" t="s">
        <v>49</v>
      </c>
      <c r="G2074" s="30">
        <v>11142.363457031201</v>
      </c>
    </row>
    <row r="2075" spans="1:7" x14ac:dyDescent="0.25">
      <c r="A2075" t="s">
        <v>50</v>
      </c>
      <c r="B2075" t="s">
        <v>51</v>
      </c>
      <c r="C2075" t="s">
        <v>52</v>
      </c>
      <c r="D2075">
        <v>4225402</v>
      </c>
      <c r="E2075" t="s">
        <v>53</v>
      </c>
      <c r="F2075" t="s">
        <v>49</v>
      </c>
      <c r="G2075" s="30">
        <v>66.059328544761897</v>
      </c>
    </row>
    <row r="2076" spans="1:7" x14ac:dyDescent="0.25">
      <c r="A2076" t="s">
        <v>45</v>
      </c>
      <c r="B2076" t="s">
        <v>46</v>
      </c>
      <c r="C2076" t="s">
        <v>47</v>
      </c>
      <c r="D2076">
        <v>4225894</v>
      </c>
      <c r="E2076" t="s">
        <v>48</v>
      </c>
      <c r="F2076" t="s">
        <v>49</v>
      </c>
      <c r="G2076" s="30">
        <v>0</v>
      </c>
    </row>
    <row r="2077" spans="1:7" x14ac:dyDescent="0.25">
      <c r="A2077" t="s">
        <v>50</v>
      </c>
      <c r="B2077" t="s">
        <v>51</v>
      </c>
      <c r="C2077" t="s">
        <v>52</v>
      </c>
      <c r="D2077">
        <v>4226635</v>
      </c>
      <c r="E2077" t="s">
        <v>53</v>
      </c>
      <c r="F2077" t="s">
        <v>49</v>
      </c>
      <c r="G2077" s="30">
        <v>22126.086796874999</v>
      </c>
    </row>
    <row r="2078" spans="1:7" x14ac:dyDescent="0.25">
      <c r="A2078" t="s">
        <v>122</v>
      </c>
      <c r="B2078" t="s">
        <v>123</v>
      </c>
      <c r="C2078" t="s">
        <v>52</v>
      </c>
      <c r="D2078">
        <v>4228564</v>
      </c>
      <c r="E2078" t="s">
        <v>53</v>
      </c>
      <c r="F2078" t="s">
        <v>49</v>
      </c>
      <c r="G2078" s="30">
        <v>261278.81164552001</v>
      </c>
    </row>
    <row r="2079" spans="1:7" x14ac:dyDescent="0.25">
      <c r="A2079" t="s">
        <v>122</v>
      </c>
      <c r="B2079" t="s">
        <v>123</v>
      </c>
      <c r="C2079" t="s">
        <v>52</v>
      </c>
      <c r="D2079">
        <v>4230891</v>
      </c>
      <c r="E2079" t="s">
        <v>53</v>
      </c>
      <c r="F2079" t="s">
        <v>49</v>
      </c>
      <c r="G2079" s="30">
        <v>1736315.0778250301</v>
      </c>
    </row>
    <row r="2080" spans="1:7" x14ac:dyDescent="0.25">
      <c r="A2080" t="s">
        <v>45</v>
      </c>
      <c r="B2080" t="s">
        <v>46</v>
      </c>
      <c r="C2080" t="s">
        <v>47</v>
      </c>
      <c r="D2080">
        <v>4231662</v>
      </c>
      <c r="E2080" t="s">
        <v>48</v>
      </c>
      <c r="F2080" t="s">
        <v>49</v>
      </c>
      <c r="G2080" s="30">
        <v>0</v>
      </c>
    </row>
    <row r="2081" spans="1:7" x14ac:dyDescent="0.25">
      <c r="A2081" t="s">
        <v>45</v>
      </c>
      <c r="B2081" t="s">
        <v>46</v>
      </c>
      <c r="C2081" t="s">
        <v>47</v>
      </c>
      <c r="D2081">
        <v>4233440</v>
      </c>
      <c r="E2081" t="s">
        <v>53</v>
      </c>
      <c r="F2081" t="s">
        <v>49</v>
      </c>
      <c r="G2081" s="30">
        <v>60771.885120461899</v>
      </c>
    </row>
    <row r="2082" spans="1:7" x14ac:dyDescent="0.25">
      <c r="A2082" t="s">
        <v>122</v>
      </c>
      <c r="B2082" t="s">
        <v>123</v>
      </c>
      <c r="C2082" t="s">
        <v>52</v>
      </c>
      <c r="D2082">
        <v>4235393</v>
      </c>
      <c r="E2082" t="s">
        <v>53</v>
      </c>
      <c r="F2082" t="s">
        <v>49</v>
      </c>
      <c r="G2082" s="30">
        <v>511188.12842587498</v>
      </c>
    </row>
    <row r="2083" spans="1:7" x14ac:dyDescent="0.25">
      <c r="A2083" t="s">
        <v>45</v>
      </c>
      <c r="B2083" t="s">
        <v>46</v>
      </c>
      <c r="C2083" t="s">
        <v>47</v>
      </c>
      <c r="D2083">
        <v>4236498</v>
      </c>
      <c r="E2083" t="s">
        <v>48</v>
      </c>
      <c r="F2083" t="s">
        <v>49</v>
      </c>
      <c r="G2083" s="30">
        <v>0</v>
      </c>
    </row>
    <row r="2084" spans="1:7" x14ac:dyDescent="0.25">
      <c r="A2084" t="s">
        <v>50</v>
      </c>
      <c r="B2084" t="s">
        <v>51</v>
      </c>
      <c r="C2084" t="s">
        <v>52</v>
      </c>
      <c r="D2084">
        <v>4236583</v>
      </c>
      <c r="E2084" t="s">
        <v>53</v>
      </c>
      <c r="F2084" t="s">
        <v>49</v>
      </c>
      <c r="G2084" s="30">
        <v>1278</v>
      </c>
    </row>
    <row r="2085" spans="1:7" x14ac:dyDescent="0.25">
      <c r="A2085" t="s">
        <v>61</v>
      </c>
      <c r="B2085" t="s">
        <v>62</v>
      </c>
      <c r="C2085" t="s">
        <v>56</v>
      </c>
      <c r="D2085">
        <v>4240065</v>
      </c>
      <c r="E2085" t="s">
        <v>53</v>
      </c>
      <c r="F2085" t="s">
        <v>49</v>
      </c>
      <c r="G2085" s="30">
        <v>216670.12237592501</v>
      </c>
    </row>
    <row r="2086" spans="1:7" x14ac:dyDescent="0.25">
      <c r="A2086" t="s">
        <v>45</v>
      </c>
      <c r="B2086" t="s">
        <v>46</v>
      </c>
      <c r="C2086" t="s">
        <v>47</v>
      </c>
      <c r="D2086">
        <v>4242093</v>
      </c>
      <c r="E2086" t="s">
        <v>48</v>
      </c>
      <c r="F2086" t="s">
        <v>49</v>
      </c>
      <c r="G2086" s="30">
        <v>0</v>
      </c>
    </row>
    <row r="2087" spans="1:7" x14ac:dyDescent="0.25">
      <c r="A2087" t="s">
        <v>122</v>
      </c>
      <c r="B2087" t="s">
        <v>123</v>
      </c>
      <c r="C2087" t="s">
        <v>52</v>
      </c>
      <c r="D2087">
        <v>4245240</v>
      </c>
      <c r="E2087" t="s">
        <v>53</v>
      </c>
      <c r="F2087" t="s">
        <v>49</v>
      </c>
      <c r="G2087" s="30">
        <v>3782657.2086614398</v>
      </c>
    </row>
    <row r="2088" spans="1:7" x14ac:dyDescent="0.25">
      <c r="A2088" t="s">
        <v>122</v>
      </c>
      <c r="B2088" t="s">
        <v>123</v>
      </c>
      <c r="C2088" t="s">
        <v>52</v>
      </c>
      <c r="D2088">
        <v>4246186</v>
      </c>
      <c r="E2088" t="s">
        <v>53</v>
      </c>
      <c r="F2088" t="s">
        <v>49</v>
      </c>
      <c r="G2088" s="30">
        <v>793394.45010539901</v>
      </c>
    </row>
    <row r="2089" spans="1:7" x14ac:dyDescent="0.25">
      <c r="A2089" t="s">
        <v>50</v>
      </c>
      <c r="B2089" t="s">
        <v>51</v>
      </c>
      <c r="C2089" t="s">
        <v>52</v>
      </c>
      <c r="D2089">
        <v>4247120</v>
      </c>
      <c r="E2089" t="s">
        <v>53</v>
      </c>
      <c r="F2089" t="s">
        <v>49</v>
      </c>
      <c r="G2089" s="30">
        <v>6808.248046875</v>
      </c>
    </row>
    <row r="2090" spans="1:7" x14ac:dyDescent="0.25">
      <c r="A2090" t="s">
        <v>54</v>
      </c>
      <c r="B2090" t="s">
        <v>55</v>
      </c>
      <c r="C2090" t="s">
        <v>56</v>
      </c>
      <c r="D2090">
        <v>4251461</v>
      </c>
      <c r="E2090" t="s">
        <v>53</v>
      </c>
      <c r="F2090" t="s">
        <v>49</v>
      </c>
      <c r="G2090" s="30">
        <v>40764.890710894302</v>
      </c>
    </row>
    <row r="2091" spans="1:7" x14ac:dyDescent="0.25">
      <c r="A2091" t="s">
        <v>45</v>
      </c>
      <c r="B2091" t="s">
        <v>46</v>
      </c>
      <c r="C2091" t="s">
        <v>47</v>
      </c>
      <c r="D2091">
        <v>4251533</v>
      </c>
      <c r="E2091" t="s">
        <v>48</v>
      </c>
      <c r="F2091" t="s">
        <v>49</v>
      </c>
      <c r="G2091" s="30">
        <v>0</v>
      </c>
    </row>
    <row r="2092" spans="1:7" x14ac:dyDescent="0.25">
      <c r="A2092" t="s">
        <v>45</v>
      </c>
      <c r="B2092" t="s">
        <v>46</v>
      </c>
      <c r="C2092" t="s">
        <v>47</v>
      </c>
      <c r="D2092">
        <v>4253858</v>
      </c>
      <c r="E2092" t="s">
        <v>48</v>
      </c>
      <c r="F2092" t="s">
        <v>49</v>
      </c>
      <c r="G2092" s="30">
        <v>0</v>
      </c>
    </row>
    <row r="2093" spans="1:7" x14ac:dyDescent="0.25">
      <c r="A2093" t="s">
        <v>50</v>
      </c>
      <c r="B2093" t="s">
        <v>51</v>
      </c>
      <c r="C2093" t="s">
        <v>52</v>
      </c>
      <c r="D2093">
        <v>4253902</v>
      </c>
      <c r="E2093" t="s">
        <v>53</v>
      </c>
      <c r="F2093" t="s">
        <v>49</v>
      </c>
      <c r="G2093" s="30">
        <v>73040.760586244607</v>
      </c>
    </row>
    <row r="2094" spans="1:7" x14ac:dyDescent="0.25">
      <c r="A2094" t="s">
        <v>50</v>
      </c>
      <c r="B2094" t="s">
        <v>51</v>
      </c>
      <c r="C2094" t="s">
        <v>52</v>
      </c>
      <c r="D2094">
        <v>4254131</v>
      </c>
      <c r="E2094" t="s">
        <v>53</v>
      </c>
      <c r="F2094" t="s">
        <v>49</v>
      </c>
      <c r="G2094" s="30">
        <v>25598.4253125</v>
      </c>
    </row>
    <row r="2095" spans="1:7" x14ac:dyDescent="0.25">
      <c r="A2095" t="s">
        <v>124</v>
      </c>
      <c r="B2095" t="s">
        <v>125</v>
      </c>
      <c r="C2095" t="s">
        <v>78</v>
      </c>
      <c r="D2095">
        <v>4254966</v>
      </c>
      <c r="E2095" t="s">
        <v>53</v>
      </c>
      <c r="F2095" t="s">
        <v>49</v>
      </c>
      <c r="G2095" s="30">
        <v>212079.784586052</v>
      </c>
    </row>
    <row r="2096" spans="1:7" x14ac:dyDescent="0.25">
      <c r="A2096" t="s">
        <v>70</v>
      </c>
      <c r="B2096" t="s">
        <v>71</v>
      </c>
      <c r="C2096" t="s">
        <v>47</v>
      </c>
      <c r="D2096">
        <v>4256419</v>
      </c>
      <c r="E2096" t="s">
        <v>53</v>
      </c>
      <c r="F2096" t="s">
        <v>49</v>
      </c>
      <c r="G2096" s="30">
        <v>205989.50720644399</v>
      </c>
    </row>
    <row r="2097" spans="1:7" x14ac:dyDescent="0.25">
      <c r="A2097" t="s">
        <v>50</v>
      </c>
      <c r="B2097" t="s">
        <v>51</v>
      </c>
      <c r="C2097" t="s">
        <v>52</v>
      </c>
      <c r="D2097">
        <v>4256598</v>
      </c>
      <c r="E2097" t="s">
        <v>53</v>
      </c>
      <c r="F2097" t="s">
        <v>49</v>
      </c>
      <c r="G2097" s="30">
        <v>16552.705438024201</v>
      </c>
    </row>
    <row r="2098" spans="1:7" x14ac:dyDescent="0.25">
      <c r="A2098" t="s">
        <v>72</v>
      </c>
      <c r="B2098" t="s">
        <v>73</v>
      </c>
      <c r="C2098" t="s">
        <v>67</v>
      </c>
      <c r="D2098">
        <v>4256625</v>
      </c>
      <c r="E2098" t="s">
        <v>53</v>
      </c>
      <c r="F2098" t="s">
        <v>49</v>
      </c>
      <c r="G2098" s="30">
        <v>94364.638826498398</v>
      </c>
    </row>
    <row r="2099" spans="1:7" x14ac:dyDescent="0.25">
      <c r="A2099" t="s">
        <v>45</v>
      </c>
      <c r="B2099" t="s">
        <v>46</v>
      </c>
      <c r="C2099" t="s">
        <v>47</v>
      </c>
      <c r="D2099">
        <v>4257447</v>
      </c>
      <c r="E2099" t="s">
        <v>48</v>
      </c>
      <c r="F2099" t="s">
        <v>49</v>
      </c>
      <c r="G2099" s="30">
        <v>0</v>
      </c>
    </row>
    <row r="2100" spans="1:7" x14ac:dyDescent="0.25">
      <c r="A2100" t="s">
        <v>45</v>
      </c>
      <c r="B2100" t="s">
        <v>46</v>
      </c>
      <c r="C2100" t="s">
        <v>47</v>
      </c>
      <c r="D2100">
        <v>4257565</v>
      </c>
      <c r="E2100" t="s">
        <v>48</v>
      </c>
      <c r="F2100" t="s">
        <v>49</v>
      </c>
      <c r="G2100" s="30">
        <v>0</v>
      </c>
    </row>
    <row r="2101" spans="1:7" x14ac:dyDescent="0.25">
      <c r="A2101" t="s">
        <v>45</v>
      </c>
      <c r="B2101" t="s">
        <v>46</v>
      </c>
      <c r="C2101" t="s">
        <v>47</v>
      </c>
      <c r="D2101">
        <v>4259925</v>
      </c>
      <c r="E2101" t="s">
        <v>48</v>
      </c>
      <c r="F2101" t="s">
        <v>49</v>
      </c>
      <c r="G2101" s="30">
        <v>0</v>
      </c>
    </row>
    <row r="2102" spans="1:7" x14ac:dyDescent="0.25">
      <c r="A2102" t="s">
        <v>45</v>
      </c>
      <c r="B2102" t="s">
        <v>46</v>
      </c>
      <c r="C2102" t="s">
        <v>47</v>
      </c>
      <c r="D2102">
        <v>4259960</v>
      </c>
      <c r="E2102" t="s">
        <v>48</v>
      </c>
      <c r="F2102" t="s">
        <v>49</v>
      </c>
      <c r="G2102" s="30">
        <v>0</v>
      </c>
    </row>
    <row r="2103" spans="1:7" x14ac:dyDescent="0.25">
      <c r="A2103" t="s">
        <v>45</v>
      </c>
      <c r="B2103" t="s">
        <v>46</v>
      </c>
      <c r="C2103" t="s">
        <v>47</v>
      </c>
      <c r="D2103">
        <v>4260846</v>
      </c>
      <c r="E2103" t="s">
        <v>48</v>
      </c>
      <c r="F2103" t="s">
        <v>49</v>
      </c>
      <c r="G2103" s="30">
        <v>0</v>
      </c>
    </row>
    <row r="2104" spans="1:7" x14ac:dyDescent="0.25">
      <c r="A2104" t="s">
        <v>128</v>
      </c>
      <c r="B2104" t="s">
        <v>129</v>
      </c>
      <c r="C2104" t="s">
        <v>130</v>
      </c>
      <c r="D2104">
        <v>4261301</v>
      </c>
      <c r="E2104" t="s">
        <v>53</v>
      </c>
      <c r="F2104" t="s">
        <v>49</v>
      </c>
      <c r="G2104" s="30">
        <v>1456500.6166910499</v>
      </c>
    </row>
    <row r="2105" spans="1:7" x14ac:dyDescent="0.25">
      <c r="A2105" t="s">
        <v>116</v>
      </c>
      <c r="B2105" t="s">
        <v>117</v>
      </c>
      <c r="C2105" t="s">
        <v>47</v>
      </c>
      <c r="D2105">
        <v>4262286</v>
      </c>
      <c r="E2105" t="s">
        <v>48</v>
      </c>
      <c r="F2105" t="s">
        <v>49</v>
      </c>
      <c r="G2105" s="30">
        <v>0</v>
      </c>
    </row>
    <row r="2106" spans="1:7" x14ac:dyDescent="0.25">
      <c r="A2106" t="s">
        <v>82</v>
      </c>
      <c r="B2106" t="s">
        <v>83</v>
      </c>
      <c r="C2106" t="s">
        <v>56</v>
      </c>
      <c r="D2106">
        <v>4263008</v>
      </c>
      <c r="E2106" t="s">
        <v>53</v>
      </c>
      <c r="F2106" t="s">
        <v>49</v>
      </c>
      <c r="G2106" s="30">
        <v>1328681.4002213499</v>
      </c>
    </row>
    <row r="2107" spans="1:7" x14ac:dyDescent="0.25">
      <c r="A2107" t="s">
        <v>94</v>
      </c>
      <c r="B2107" t="s">
        <v>95</v>
      </c>
      <c r="C2107" t="s">
        <v>78</v>
      </c>
      <c r="D2107">
        <v>4266200</v>
      </c>
      <c r="E2107" t="s">
        <v>53</v>
      </c>
      <c r="F2107" t="s">
        <v>49</v>
      </c>
      <c r="G2107" s="30">
        <v>440116.389784328</v>
      </c>
    </row>
    <row r="2108" spans="1:7" x14ac:dyDescent="0.25">
      <c r="A2108" t="s">
        <v>45</v>
      </c>
      <c r="B2108" t="s">
        <v>46</v>
      </c>
      <c r="C2108" t="s">
        <v>47</v>
      </c>
      <c r="D2108">
        <v>4266375</v>
      </c>
      <c r="E2108" t="s">
        <v>53</v>
      </c>
      <c r="F2108" t="s">
        <v>49</v>
      </c>
      <c r="G2108" s="30">
        <v>91969.575966226606</v>
      </c>
    </row>
    <row r="2109" spans="1:7" x14ac:dyDescent="0.25">
      <c r="A2109" t="s">
        <v>50</v>
      </c>
      <c r="B2109" t="s">
        <v>51</v>
      </c>
      <c r="C2109" t="s">
        <v>52</v>
      </c>
      <c r="D2109">
        <v>4270285</v>
      </c>
      <c r="E2109" t="s">
        <v>53</v>
      </c>
      <c r="F2109" t="s">
        <v>49</v>
      </c>
      <c r="G2109" s="30">
        <v>49274.3935833449</v>
      </c>
    </row>
    <row r="2110" spans="1:7" x14ac:dyDescent="0.25">
      <c r="A2110" t="s">
        <v>45</v>
      </c>
      <c r="B2110" t="s">
        <v>46</v>
      </c>
      <c r="C2110" t="s">
        <v>47</v>
      </c>
      <c r="D2110">
        <v>4272246</v>
      </c>
      <c r="E2110" t="s">
        <v>53</v>
      </c>
      <c r="F2110" t="s">
        <v>49</v>
      </c>
      <c r="G2110" s="30">
        <v>103.4</v>
      </c>
    </row>
    <row r="2111" spans="1:7" x14ac:dyDescent="0.25">
      <c r="A2111" t="s">
        <v>124</v>
      </c>
      <c r="B2111" t="s">
        <v>125</v>
      </c>
      <c r="C2111" t="s">
        <v>78</v>
      </c>
      <c r="D2111">
        <v>4272759</v>
      </c>
      <c r="E2111" t="s">
        <v>53</v>
      </c>
      <c r="F2111" t="s">
        <v>49</v>
      </c>
      <c r="G2111" s="30">
        <v>898721.81751218904</v>
      </c>
    </row>
    <row r="2112" spans="1:7" x14ac:dyDescent="0.25">
      <c r="A2112" t="s">
        <v>45</v>
      </c>
      <c r="B2112" t="s">
        <v>46</v>
      </c>
      <c r="C2112" t="s">
        <v>47</v>
      </c>
      <c r="D2112">
        <v>4274859</v>
      </c>
      <c r="E2112" t="s">
        <v>48</v>
      </c>
      <c r="F2112" t="s">
        <v>49</v>
      </c>
      <c r="G2112" s="30">
        <v>0.17</v>
      </c>
    </row>
    <row r="2113" spans="1:7" x14ac:dyDescent="0.25">
      <c r="A2113" t="s">
        <v>45</v>
      </c>
      <c r="B2113" t="s">
        <v>46</v>
      </c>
      <c r="C2113" t="s">
        <v>47</v>
      </c>
      <c r="D2113">
        <v>4275630</v>
      </c>
      <c r="E2113" t="s">
        <v>48</v>
      </c>
      <c r="F2113" t="s">
        <v>49</v>
      </c>
      <c r="G2113" s="30">
        <v>0</v>
      </c>
    </row>
    <row r="2114" spans="1:7" x14ac:dyDescent="0.25">
      <c r="A2114" t="s">
        <v>45</v>
      </c>
      <c r="B2114" t="s">
        <v>46</v>
      </c>
      <c r="C2114" t="s">
        <v>47</v>
      </c>
      <c r="D2114">
        <v>4277664</v>
      </c>
      <c r="E2114" t="s">
        <v>48</v>
      </c>
      <c r="F2114" t="s">
        <v>49</v>
      </c>
      <c r="G2114" s="30">
        <v>0</v>
      </c>
    </row>
    <row r="2115" spans="1:7" x14ac:dyDescent="0.25">
      <c r="A2115" t="s">
        <v>61</v>
      </c>
      <c r="B2115" t="s">
        <v>62</v>
      </c>
      <c r="C2115" t="s">
        <v>56</v>
      </c>
      <c r="D2115">
        <v>4280866</v>
      </c>
      <c r="E2115" t="s">
        <v>48</v>
      </c>
      <c r="F2115" t="s">
        <v>49</v>
      </c>
      <c r="G2115" s="30">
        <v>0</v>
      </c>
    </row>
    <row r="2116" spans="1:7" x14ac:dyDescent="0.25">
      <c r="A2116" t="s">
        <v>96</v>
      </c>
      <c r="B2116" t="s">
        <v>97</v>
      </c>
      <c r="C2116" t="s">
        <v>81</v>
      </c>
      <c r="D2116">
        <v>4284203</v>
      </c>
      <c r="E2116" t="s">
        <v>53</v>
      </c>
      <c r="F2116" t="s">
        <v>49</v>
      </c>
      <c r="G2116" s="30">
        <v>96602.980075373795</v>
      </c>
    </row>
    <row r="2117" spans="1:7" x14ac:dyDescent="0.25">
      <c r="A2117" t="s">
        <v>45</v>
      </c>
      <c r="B2117" t="s">
        <v>46</v>
      </c>
      <c r="C2117" t="s">
        <v>47</v>
      </c>
      <c r="D2117">
        <v>4284430</v>
      </c>
      <c r="E2117" t="s">
        <v>48</v>
      </c>
      <c r="F2117" t="s">
        <v>49</v>
      </c>
      <c r="G2117" s="30">
        <v>1.61</v>
      </c>
    </row>
    <row r="2118" spans="1:7" x14ac:dyDescent="0.25">
      <c r="A2118" t="s">
        <v>65</v>
      </c>
      <c r="B2118" t="s">
        <v>66</v>
      </c>
      <c r="C2118" t="s">
        <v>67</v>
      </c>
      <c r="D2118">
        <v>4284959</v>
      </c>
      <c r="E2118" t="s">
        <v>53</v>
      </c>
      <c r="F2118" t="s">
        <v>49</v>
      </c>
      <c r="G2118" s="30">
        <v>2240455.92877348</v>
      </c>
    </row>
    <row r="2119" spans="1:7" x14ac:dyDescent="0.25">
      <c r="A2119" t="s">
        <v>45</v>
      </c>
      <c r="B2119" t="s">
        <v>46</v>
      </c>
      <c r="C2119" t="s">
        <v>47</v>
      </c>
      <c r="D2119">
        <v>4285050</v>
      </c>
      <c r="E2119" t="s">
        <v>48</v>
      </c>
      <c r="F2119" t="s">
        <v>49</v>
      </c>
      <c r="G2119" s="30">
        <v>0</v>
      </c>
    </row>
    <row r="2120" spans="1:7" x14ac:dyDescent="0.25">
      <c r="A2120" t="s">
        <v>45</v>
      </c>
      <c r="B2120" t="s">
        <v>46</v>
      </c>
      <c r="C2120" t="s">
        <v>47</v>
      </c>
      <c r="D2120">
        <v>4287876</v>
      </c>
      <c r="E2120" t="s">
        <v>48</v>
      </c>
      <c r="F2120" t="s">
        <v>49</v>
      </c>
      <c r="G2120" s="30">
        <v>0</v>
      </c>
    </row>
    <row r="2121" spans="1:7" x14ac:dyDescent="0.25">
      <c r="A2121" t="s">
        <v>45</v>
      </c>
      <c r="B2121" t="s">
        <v>46</v>
      </c>
      <c r="C2121" t="s">
        <v>47</v>
      </c>
      <c r="D2121">
        <v>4288420</v>
      </c>
      <c r="E2121" t="s">
        <v>48</v>
      </c>
      <c r="F2121" t="s">
        <v>49</v>
      </c>
      <c r="G2121" s="30">
        <v>0</v>
      </c>
    </row>
    <row r="2122" spans="1:7" x14ac:dyDescent="0.25">
      <c r="A2122" t="s">
        <v>45</v>
      </c>
      <c r="B2122" t="s">
        <v>46</v>
      </c>
      <c r="C2122" t="s">
        <v>47</v>
      </c>
      <c r="D2122">
        <v>4289581</v>
      </c>
      <c r="E2122" t="s">
        <v>48</v>
      </c>
      <c r="F2122" t="s">
        <v>49</v>
      </c>
      <c r="G2122" s="30">
        <v>67.08</v>
      </c>
    </row>
    <row r="2123" spans="1:7" x14ac:dyDescent="0.25">
      <c r="A2123" t="s">
        <v>45</v>
      </c>
      <c r="B2123" t="s">
        <v>46</v>
      </c>
      <c r="C2123" t="s">
        <v>47</v>
      </c>
      <c r="D2123">
        <v>4289853</v>
      </c>
      <c r="E2123" t="s">
        <v>53</v>
      </c>
      <c r="F2123" t="s">
        <v>49</v>
      </c>
      <c r="G2123" s="30">
        <v>192727.84606675699</v>
      </c>
    </row>
    <row r="2124" spans="1:7" x14ac:dyDescent="0.25">
      <c r="A2124" t="s">
        <v>63</v>
      </c>
      <c r="B2124" t="s">
        <v>64</v>
      </c>
      <c r="C2124" t="s">
        <v>56</v>
      </c>
      <c r="D2124">
        <v>4290089</v>
      </c>
      <c r="E2124" t="s">
        <v>53</v>
      </c>
      <c r="F2124" t="s">
        <v>49</v>
      </c>
      <c r="G2124" s="30">
        <v>296212.25086293998</v>
      </c>
    </row>
    <row r="2125" spans="1:7" x14ac:dyDescent="0.25">
      <c r="A2125" t="s">
        <v>94</v>
      </c>
      <c r="B2125" t="s">
        <v>95</v>
      </c>
      <c r="C2125" t="s">
        <v>78</v>
      </c>
      <c r="D2125">
        <v>4291740</v>
      </c>
      <c r="E2125" t="s">
        <v>53</v>
      </c>
      <c r="F2125" t="s">
        <v>49</v>
      </c>
      <c r="G2125" s="30">
        <v>583586.80685145804</v>
      </c>
    </row>
    <row r="2126" spans="1:7" x14ac:dyDescent="0.25">
      <c r="A2126" t="s">
        <v>45</v>
      </c>
      <c r="B2126" t="s">
        <v>46</v>
      </c>
      <c r="C2126" t="s">
        <v>47</v>
      </c>
      <c r="D2126">
        <v>4291742</v>
      </c>
      <c r="E2126" t="s">
        <v>48</v>
      </c>
      <c r="F2126" t="s">
        <v>49</v>
      </c>
      <c r="G2126" s="30">
        <v>0</v>
      </c>
    </row>
    <row r="2127" spans="1:7" x14ac:dyDescent="0.25">
      <c r="A2127" t="s">
        <v>45</v>
      </c>
      <c r="B2127" t="s">
        <v>46</v>
      </c>
      <c r="C2127" t="s">
        <v>47</v>
      </c>
      <c r="D2127">
        <v>4292906</v>
      </c>
      <c r="E2127" t="s">
        <v>48</v>
      </c>
      <c r="F2127" t="s">
        <v>49</v>
      </c>
      <c r="G2127" s="30">
        <v>0</v>
      </c>
    </row>
    <row r="2128" spans="1:7" x14ac:dyDescent="0.25">
      <c r="A2128" t="s">
        <v>45</v>
      </c>
      <c r="B2128" t="s">
        <v>46</v>
      </c>
      <c r="C2128" t="s">
        <v>47</v>
      </c>
      <c r="D2128">
        <v>4295038</v>
      </c>
      <c r="E2128" t="s">
        <v>48</v>
      </c>
      <c r="F2128" t="s">
        <v>49</v>
      </c>
      <c r="G2128" s="30">
        <v>0</v>
      </c>
    </row>
    <row r="2129" spans="1:7" x14ac:dyDescent="0.25">
      <c r="A2129" t="s">
        <v>76</v>
      </c>
      <c r="B2129" t="s">
        <v>77</v>
      </c>
      <c r="C2129" t="s">
        <v>78</v>
      </c>
      <c r="D2129">
        <v>4296291</v>
      </c>
      <c r="E2129" t="s">
        <v>53</v>
      </c>
      <c r="F2129" t="s">
        <v>49</v>
      </c>
      <c r="G2129" s="30">
        <v>449201.53</v>
      </c>
    </row>
    <row r="2130" spans="1:7" x14ac:dyDescent="0.25">
      <c r="A2130" t="s">
        <v>76</v>
      </c>
      <c r="B2130" t="s">
        <v>77</v>
      </c>
      <c r="C2130" t="s">
        <v>78</v>
      </c>
      <c r="D2130">
        <v>4298425</v>
      </c>
      <c r="E2130" t="s">
        <v>53</v>
      </c>
      <c r="F2130" t="s">
        <v>49</v>
      </c>
      <c r="G2130" s="30">
        <v>855102.84461264801</v>
      </c>
    </row>
    <row r="2131" spans="1:7" x14ac:dyDescent="0.25">
      <c r="A2131" t="s">
        <v>102</v>
      </c>
      <c r="B2131" t="s">
        <v>103</v>
      </c>
      <c r="C2131" t="s">
        <v>47</v>
      </c>
      <c r="D2131">
        <v>4300344</v>
      </c>
      <c r="E2131" t="s">
        <v>53</v>
      </c>
      <c r="F2131" t="s">
        <v>49</v>
      </c>
      <c r="G2131" s="30">
        <v>520862.14250000002</v>
      </c>
    </row>
    <row r="2132" spans="1:7" x14ac:dyDescent="0.25">
      <c r="A2132" t="s">
        <v>70</v>
      </c>
      <c r="B2132" t="s">
        <v>71</v>
      </c>
      <c r="C2132" t="s">
        <v>47</v>
      </c>
      <c r="D2132">
        <v>4302142</v>
      </c>
      <c r="E2132" t="s">
        <v>53</v>
      </c>
      <c r="F2132" t="s">
        <v>49</v>
      </c>
      <c r="G2132" s="30">
        <v>466388.87296486698</v>
      </c>
    </row>
    <row r="2133" spans="1:7" x14ac:dyDescent="0.25">
      <c r="A2133" t="s">
        <v>45</v>
      </c>
      <c r="B2133" t="s">
        <v>46</v>
      </c>
      <c r="C2133" t="s">
        <v>47</v>
      </c>
      <c r="D2133">
        <v>4303573</v>
      </c>
      <c r="E2133" t="s">
        <v>48</v>
      </c>
      <c r="F2133" t="s">
        <v>49</v>
      </c>
      <c r="G2133" s="30">
        <v>0</v>
      </c>
    </row>
    <row r="2134" spans="1:7" x14ac:dyDescent="0.25">
      <c r="A2134" t="s">
        <v>114</v>
      </c>
      <c r="B2134" t="s">
        <v>115</v>
      </c>
      <c r="C2134" t="s">
        <v>56</v>
      </c>
      <c r="D2134">
        <v>4304289</v>
      </c>
      <c r="E2134" t="s">
        <v>53</v>
      </c>
      <c r="F2134" t="s">
        <v>49</v>
      </c>
      <c r="G2134" s="30">
        <v>175722.37952011899</v>
      </c>
    </row>
    <row r="2135" spans="1:7" x14ac:dyDescent="0.25">
      <c r="A2135" t="s">
        <v>50</v>
      </c>
      <c r="B2135" t="s">
        <v>51</v>
      </c>
      <c r="C2135" t="s">
        <v>52</v>
      </c>
      <c r="D2135">
        <v>4306040</v>
      </c>
      <c r="E2135" t="s">
        <v>53</v>
      </c>
      <c r="F2135" t="s">
        <v>49</v>
      </c>
      <c r="G2135" s="30">
        <v>47481.824776603702</v>
      </c>
    </row>
    <row r="2136" spans="1:7" x14ac:dyDescent="0.25">
      <c r="A2136" t="s">
        <v>45</v>
      </c>
      <c r="B2136" t="s">
        <v>46</v>
      </c>
      <c r="C2136" t="s">
        <v>47</v>
      </c>
      <c r="D2136">
        <v>4306734</v>
      </c>
      <c r="E2136" t="s">
        <v>48</v>
      </c>
      <c r="F2136" t="s">
        <v>49</v>
      </c>
      <c r="G2136" s="30">
        <v>0</v>
      </c>
    </row>
    <row r="2137" spans="1:7" x14ac:dyDescent="0.25">
      <c r="A2137" t="s">
        <v>116</v>
      </c>
      <c r="B2137" t="s">
        <v>117</v>
      </c>
      <c r="C2137" t="s">
        <v>47</v>
      </c>
      <c r="D2137">
        <v>4307378</v>
      </c>
      <c r="E2137" t="s">
        <v>53</v>
      </c>
      <c r="F2137" t="s">
        <v>49</v>
      </c>
      <c r="G2137" s="30">
        <v>148383.90625</v>
      </c>
    </row>
    <row r="2138" spans="1:7" x14ac:dyDescent="0.25">
      <c r="A2138" t="s">
        <v>45</v>
      </c>
      <c r="B2138" t="s">
        <v>46</v>
      </c>
      <c r="C2138" t="s">
        <v>47</v>
      </c>
      <c r="D2138">
        <v>4309186</v>
      </c>
      <c r="E2138" t="s">
        <v>53</v>
      </c>
      <c r="F2138" t="s">
        <v>49</v>
      </c>
      <c r="G2138" s="30">
        <v>29.12</v>
      </c>
    </row>
    <row r="2139" spans="1:7" x14ac:dyDescent="0.25">
      <c r="A2139" t="s">
        <v>88</v>
      </c>
      <c r="B2139" t="s">
        <v>89</v>
      </c>
      <c r="C2139" t="s">
        <v>78</v>
      </c>
      <c r="D2139">
        <v>4311213</v>
      </c>
      <c r="E2139" t="s">
        <v>53</v>
      </c>
      <c r="F2139" t="s">
        <v>49</v>
      </c>
      <c r="G2139" s="30">
        <v>113055.04718749999</v>
      </c>
    </row>
    <row r="2140" spans="1:7" x14ac:dyDescent="0.25">
      <c r="A2140" t="s">
        <v>65</v>
      </c>
      <c r="B2140" t="s">
        <v>66</v>
      </c>
      <c r="C2140" t="s">
        <v>67</v>
      </c>
      <c r="D2140">
        <v>4312678</v>
      </c>
      <c r="E2140" t="s">
        <v>48</v>
      </c>
      <c r="F2140" t="s">
        <v>49</v>
      </c>
      <c r="G2140" s="30">
        <v>0.81</v>
      </c>
    </row>
    <row r="2141" spans="1:7" x14ac:dyDescent="0.25">
      <c r="A2141" t="s">
        <v>50</v>
      </c>
      <c r="B2141" t="s">
        <v>51</v>
      </c>
      <c r="C2141" t="s">
        <v>52</v>
      </c>
      <c r="D2141">
        <v>4312942</v>
      </c>
      <c r="E2141" t="s">
        <v>53</v>
      </c>
      <c r="F2141" t="s">
        <v>49</v>
      </c>
      <c r="G2141" s="30">
        <v>9798.9559179687494</v>
      </c>
    </row>
    <row r="2142" spans="1:7" x14ac:dyDescent="0.25">
      <c r="A2142" t="s">
        <v>45</v>
      </c>
      <c r="B2142" t="s">
        <v>46</v>
      </c>
      <c r="C2142" t="s">
        <v>47</v>
      </c>
      <c r="D2142">
        <v>4314185</v>
      </c>
      <c r="E2142" t="s">
        <v>48</v>
      </c>
      <c r="F2142" t="s">
        <v>49</v>
      </c>
      <c r="G2142" s="30">
        <v>0</v>
      </c>
    </row>
    <row r="2143" spans="1:7" x14ac:dyDescent="0.25">
      <c r="A2143" t="s">
        <v>76</v>
      </c>
      <c r="B2143" t="s">
        <v>77</v>
      </c>
      <c r="C2143" t="s">
        <v>78</v>
      </c>
      <c r="D2143">
        <v>4317993</v>
      </c>
      <c r="E2143" t="s">
        <v>53</v>
      </c>
      <c r="F2143" t="s">
        <v>49</v>
      </c>
      <c r="G2143" s="30">
        <v>261688.70137731999</v>
      </c>
    </row>
    <row r="2144" spans="1:7" x14ac:dyDescent="0.25">
      <c r="A2144" t="s">
        <v>116</v>
      </c>
      <c r="B2144" t="s">
        <v>117</v>
      </c>
      <c r="C2144" t="s">
        <v>47</v>
      </c>
      <c r="D2144">
        <v>4318284</v>
      </c>
      <c r="E2144" t="s">
        <v>53</v>
      </c>
      <c r="F2144" t="s">
        <v>49</v>
      </c>
      <c r="G2144" s="30">
        <v>211089.28454926799</v>
      </c>
    </row>
    <row r="2145" spans="1:7" x14ac:dyDescent="0.25">
      <c r="A2145" t="s">
        <v>45</v>
      </c>
      <c r="B2145" t="s">
        <v>46</v>
      </c>
      <c r="C2145" t="s">
        <v>47</v>
      </c>
      <c r="D2145">
        <v>4319272</v>
      </c>
      <c r="E2145" t="s">
        <v>48</v>
      </c>
      <c r="F2145" t="s">
        <v>49</v>
      </c>
      <c r="G2145" s="30">
        <v>1.47</v>
      </c>
    </row>
    <row r="2146" spans="1:7" x14ac:dyDescent="0.25">
      <c r="A2146" t="s">
        <v>45</v>
      </c>
      <c r="B2146" t="s">
        <v>46</v>
      </c>
      <c r="C2146" t="s">
        <v>47</v>
      </c>
      <c r="D2146">
        <v>4319457</v>
      </c>
      <c r="E2146" t="s">
        <v>48</v>
      </c>
      <c r="F2146" t="s">
        <v>49</v>
      </c>
      <c r="G2146" s="30">
        <v>0</v>
      </c>
    </row>
    <row r="2147" spans="1:7" x14ac:dyDescent="0.25">
      <c r="A2147" t="s">
        <v>63</v>
      </c>
      <c r="B2147" t="s">
        <v>64</v>
      </c>
      <c r="C2147" t="s">
        <v>56</v>
      </c>
      <c r="D2147">
        <v>4323140</v>
      </c>
      <c r="E2147" t="s">
        <v>53</v>
      </c>
      <c r="F2147" t="s">
        <v>49</v>
      </c>
      <c r="G2147" s="30">
        <v>55373.167868177799</v>
      </c>
    </row>
    <row r="2148" spans="1:7" x14ac:dyDescent="0.25">
      <c r="A2148" t="s">
        <v>72</v>
      </c>
      <c r="B2148" t="s">
        <v>73</v>
      </c>
      <c r="C2148" t="s">
        <v>67</v>
      </c>
      <c r="D2148">
        <v>4323227</v>
      </c>
      <c r="E2148" t="s">
        <v>53</v>
      </c>
      <c r="F2148" t="s">
        <v>49</v>
      </c>
      <c r="G2148" s="30">
        <v>6795.9126255827396</v>
      </c>
    </row>
    <row r="2149" spans="1:7" x14ac:dyDescent="0.25">
      <c r="A2149" t="s">
        <v>61</v>
      </c>
      <c r="B2149" t="s">
        <v>62</v>
      </c>
      <c r="C2149" t="s">
        <v>56</v>
      </c>
      <c r="D2149">
        <v>4323558</v>
      </c>
      <c r="E2149" t="s">
        <v>48</v>
      </c>
      <c r="F2149" t="s">
        <v>49</v>
      </c>
      <c r="G2149" s="30">
        <v>0</v>
      </c>
    </row>
    <row r="2150" spans="1:7" x14ac:dyDescent="0.25">
      <c r="A2150" t="s">
        <v>45</v>
      </c>
      <c r="B2150" t="s">
        <v>46</v>
      </c>
      <c r="C2150" t="s">
        <v>47</v>
      </c>
      <c r="D2150">
        <v>4324236</v>
      </c>
      <c r="E2150" t="s">
        <v>48</v>
      </c>
      <c r="F2150" t="s">
        <v>49</v>
      </c>
      <c r="G2150" s="30">
        <v>0</v>
      </c>
    </row>
    <row r="2151" spans="1:7" x14ac:dyDescent="0.25">
      <c r="A2151" t="s">
        <v>45</v>
      </c>
      <c r="B2151" t="s">
        <v>46</v>
      </c>
      <c r="C2151" t="s">
        <v>47</v>
      </c>
      <c r="D2151">
        <v>4324839</v>
      </c>
      <c r="E2151" t="s">
        <v>48</v>
      </c>
      <c r="F2151" t="s">
        <v>49</v>
      </c>
      <c r="G2151" s="30">
        <v>0</v>
      </c>
    </row>
    <row r="2152" spans="1:7" x14ac:dyDescent="0.25">
      <c r="A2152" t="s">
        <v>45</v>
      </c>
      <c r="B2152" t="s">
        <v>46</v>
      </c>
      <c r="C2152" t="s">
        <v>47</v>
      </c>
      <c r="D2152">
        <v>4325835</v>
      </c>
      <c r="E2152" t="s">
        <v>48</v>
      </c>
      <c r="F2152" t="s">
        <v>49</v>
      </c>
      <c r="G2152" s="30">
        <v>0</v>
      </c>
    </row>
    <row r="2153" spans="1:7" x14ac:dyDescent="0.25">
      <c r="A2153" t="s">
        <v>45</v>
      </c>
      <c r="B2153" t="s">
        <v>46</v>
      </c>
      <c r="C2153" t="s">
        <v>47</v>
      </c>
      <c r="D2153">
        <v>4328028</v>
      </c>
      <c r="E2153" t="s">
        <v>48</v>
      </c>
      <c r="F2153" t="s">
        <v>49</v>
      </c>
      <c r="G2153" s="30">
        <v>0</v>
      </c>
    </row>
    <row r="2154" spans="1:7" x14ac:dyDescent="0.25">
      <c r="A2154" t="s">
        <v>45</v>
      </c>
      <c r="B2154" t="s">
        <v>46</v>
      </c>
      <c r="C2154" t="s">
        <v>47</v>
      </c>
      <c r="D2154">
        <v>4329177</v>
      </c>
      <c r="E2154" t="s">
        <v>48</v>
      </c>
      <c r="F2154" t="s">
        <v>49</v>
      </c>
      <c r="G2154" s="30">
        <v>0</v>
      </c>
    </row>
    <row r="2155" spans="1:7" x14ac:dyDescent="0.25">
      <c r="A2155" t="s">
        <v>50</v>
      </c>
      <c r="B2155" t="s">
        <v>51</v>
      </c>
      <c r="C2155" t="s">
        <v>52</v>
      </c>
      <c r="D2155">
        <v>4331215</v>
      </c>
      <c r="E2155" t="s">
        <v>53</v>
      </c>
      <c r="F2155" t="s">
        <v>49</v>
      </c>
      <c r="G2155" s="30">
        <v>136.14086168408099</v>
      </c>
    </row>
    <row r="2156" spans="1:7" x14ac:dyDescent="0.25">
      <c r="A2156" t="s">
        <v>45</v>
      </c>
      <c r="B2156" t="s">
        <v>46</v>
      </c>
      <c r="C2156" t="s">
        <v>47</v>
      </c>
      <c r="D2156">
        <v>4331641</v>
      </c>
      <c r="E2156" t="s">
        <v>48</v>
      </c>
      <c r="F2156" t="s">
        <v>49</v>
      </c>
      <c r="G2156" s="30">
        <v>0</v>
      </c>
    </row>
    <row r="2157" spans="1:7" x14ac:dyDescent="0.25">
      <c r="A2157" t="s">
        <v>102</v>
      </c>
      <c r="B2157" t="s">
        <v>103</v>
      </c>
      <c r="C2157" t="s">
        <v>47</v>
      </c>
      <c r="D2157">
        <v>4332449</v>
      </c>
      <c r="E2157" t="s">
        <v>53</v>
      </c>
      <c r="F2157" t="s">
        <v>49</v>
      </c>
      <c r="G2157" s="30">
        <v>267366.08188924298</v>
      </c>
    </row>
    <row r="2158" spans="1:7" x14ac:dyDescent="0.25">
      <c r="A2158" t="s">
        <v>128</v>
      </c>
      <c r="B2158" t="s">
        <v>129</v>
      </c>
      <c r="C2158" t="s">
        <v>130</v>
      </c>
      <c r="D2158">
        <v>4335118</v>
      </c>
      <c r="E2158" t="s">
        <v>53</v>
      </c>
      <c r="F2158" t="s">
        <v>49</v>
      </c>
      <c r="G2158" s="30">
        <v>1093954.85428229</v>
      </c>
    </row>
    <row r="2159" spans="1:7" x14ac:dyDescent="0.25">
      <c r="A2159" t="s">
        <v>45</v>
      </c>
      <c r="B2159" t="s">
        <v>46</v>
      </c>
      <c r="C2159" t="s">
        <v>47</v>
      </c>
      <c r="D2159">
        <v>4336858</v>
      </c>
      <c r="E2159" t="s">
        <v>48</v>
      </c>
      <c r="F2159" t="s">
        <v>49</v>
      </c>
      <c r="G2159" s="30">
        <v>0</v>
      </c>
    </row>
    <row r="2160" spans="1:7" x14ac:dyDescent="0.25">
      <c r="A2160" t="s">
        <v>50</v>
      </c>
      <c r="B2160" t="s">
        <v>51</v>
      </c>
      <c r="C2160" t="s">
        <v>52</v>
      </c>
      <c r="D2160">
        <v>4337669</v>
      </c>
      <c r="E2160" t="s">
        <v>53</v>
      </c>
      <c r="F2160" t="s">
        <v>49</v>
      </c>
      <c r="G2160" s="30">
        <v>60924.006865234398</v>
      </c>
    </row>
    <row r="2161" spans="1:7" x14ac:dyDescent="0.25">
      <c r="A2161" t="s">
        <v>72</v>
      </c>
      <c r="B2161" t="s">
        <v>73</v>
      </c>
      <c r="C2161" t="s">
        <v>67</v>
      </c>
      <c r="D2161">
        <v>4337716</v>
      </c>
      <c r="E2161" t="s">
        <v>53</v>
      </c>
      <c r="F2161" t="s">
        <v>49</v>
      </c>
      <c r="G2161" s="30">
        <v>234313.27628233199</v>
      </c>
    </row>
    <row r="2162" spans="1:7" x14ac:dyDescent="0.25">
      <c r="A2162" t="s">
        <v>50</v>
      </c>
      <c r="B2162" t="s">
        <v>51</v>
      </c>
      <c r="C2162" t="s">
        <v>52</v>
      </c>
      <c r="D2162">
        <v>4338648</v>
      </c>
      <c r="E2162" t="s">
        <v>53</v>
      </c>
      <c r="F2162" t="s">
        <v>49</v>
      </c>
      <c r="G2162" s="30">
        <v>3209.05</v>
      </c>
    </row>
    <row r="2163" spans="1:7" x14ac:dyDescent="0.25">
      <c r="A2163" t="s">
        <v>45</v>
      </c>
      <c r="B2163" t="s">
        <v>46</v>
      </c>
      <c r="C2163" t="s">
        <v>47</v>
      </c>
      <c r="D2163">
        <v>4339941</v>
      </c>
      <c r="E2163" t="s">
        <v>48</v>
      </c>
      <c r="F2163" t="s">
        <v>49</v>
      </c>
      <c r="G2163" s="30">
        <v>0</v>
      </c>
    </row>
    <row r="2164" spans="1:7" x14ac:dyDescent="0.25">
      <c r="A2164" t="s">
        <v>50</v>
      </c>
      <c r="B2164" t="s">
        <v>51</v>
      </c>
      <c r="C2164" t="s">
        <v>52</v>
      </c>
      <c r="D2164">
        <v>4340896</v>
      </c>
      <c r="E2164" t="s">
        <v>53</v>
      </c>
      <c r="F2164" t="s">
        <v>49</v>
      </c>
      <c r="G2164" s="30">
        <v>50747.42</v>
      </c>
    </row>
    <row r="2165" spans="1:7" x14ac:dyDescent="0.25">
      <c r="A2165" t="s">
        <v>124</v>
      </c>
      <c r="B2165" t="s">
        <v>125</v>
      </c>
      <c r="C2165" t="s">
        <v>78</v>
      </c>
      <c r="D2165">
        <v>4344820</v>
      </c>
      <c r="E2165" t="s">
        <v>53</v>
      </c>
      <c r="F2165" t="s">
        <v>49</v>
      </c>
      <c r="G2165" s="30">
        <v>489810.43683307501</v>
      </c>
    </row>
    <row r="2166" spans="1:7" x14ac:dyDescent="0.25">
      <c r="A2166" t="s">
        <v>45</v>
      </c>
      <c r="B2166" t="s">
        <v>46</v>
      </c>
      <c r="C2166" t="s">
        <v>47</v>
      </c>
      <c r="D2166">
        <v>4345537</v>
      </c>
      <c r="E2166" t="s">
        <v>48</v>
      </c>
      <c r="F2166" t="s">
        <v>49</v>
      </c>
      <c r="G2166" s="30">
        <v>0</v>
      </c>
    </row>
    <row r="2167" spans="1:7" x14ac:dyDescent="0.25">
      <c r="A2167" t="s">
        <v>45</v>
      </c>
      <c r="B2167" t="s">
        <v>46</v>
      </c>
      <c r="C2167" t="s">
        <v>47</v>
      </c>
      <c r="D2167">
        <v>4346198</v>
      </c>
      <c r="E2167" t="s">
        <v>48</v>
      </c>
      <c r="F2167" t="s">
        <v>49</v>
      </c>
      <c r="G2167" s="30">
        <v>0</v>
      </c>
    </row>
    <row r="2168" spans="1:7" x14ac:dyDescent="0.25">
      <c r="A2168" t="s">
        <v>112</v>
      </c>
      <c r="B2168" t="s">
        <v>113</v>
      </c>
      <c r="C2168" t="s">
        <v>81</v>
      </c>
      <c r="D2168">
        <v>4348720</v>
      </c>
      <c r="E2168" t="s">
        <v>53</v>
      </c>
      <c r="F2168" t="s">
        <v>49</v>
      </c>
      <c r="G2168" s="30">
        <v>74839.135245542406</v>
      </c>
    </row>
    <row r="2169" spans="1:7" x14ac:dyDescent="0.25">
      <c r="A2169" t="s">
        <v>122</v>
      </c>
      <c r="B2169" t="s">
        <v>123</v>
      </c>
      <c r="C2169" t="s">
        <v>52</v>
      </c>
      <c r="D2169">
        <v>4353230</v>
      </c>
      <c r="E2169" t="s">
        <v>53</v>
      </c>
      <c r="F2169" t="s">
        <v>49</v>
      </c>
      <c r="G2169" s="30">
        <v>2146385.7990809302</v>
      </c>
    </row>
    <row r="2170" spans="1:7" x14ac:dyDescent="0.25">
      <c r="A2170" t="s">
        <v>50</v>
      </c>
      <c r="B2170" t="s">
        <v>51</v>
      </c>
      <c r="C2170" t="s">
        <v>52</v>
      </c>
      <c r="D2170">
        <v>4355376</v>
      </c>
      <c r="E2170" t="s">
        <v>53</v>
      </c>
      <c r="F2170" t="s">
        <v>49</v>
      </c>
      <c r="G2170" s="30">
        <v>4055.7118679825498</v>
      </c>
    </row>
    <row r="2171" spans="1:7" x14ac:dyDescent="0.25">
      <c r="A2171" t="s">
        <v>50</v>
      </c>
      <c r="B2171" t="s">
        <v>51</v>
      </c>
      <c r="C2171" t="s">
        <v>52</v>
      </c>
      <c r="D2171">
        <v>4355393</v>
      </c>
      <c r="E2171" t="s">
        <v>48</v>
      </c>
      <c r="F2171" t="s">
        <v>49</v>
      </c>
      <c r="G2171" s="30">
        <v>0</v>
      </c>
    </row>
    <row r="2172" spans="1:7" x14ac:dyDescent="0.25">
      <c r="A2172" t="s">
        <v>70</v>
      </c>
      <c r="B2172" t="s">
        <v>71</v>
      </c>
      <c r="C2172" t="s">
        <v>47</v>
      </c>
      <c r="D2172">
        <v>4357689</v>
      </c>
      <c r="E2172" t="s">
        <v>53</v>
      </c>
      <c r="F2172" t="s">
        <v>49</v>
      </c>
      <c r="G2172" s="30">
        <v>223546.32597817399</v>
      </c>
    </row>
    <row r="2173" spans="1:7" x14ac:dyDescent="0.25">
      <c r="A2173" t="s">
        <v>45</v>
      </c>
      <c r="B2173" t="s">
        <v>46</v>
      </c>
      <c r="C2173" t="s">
        <v>47</v>
      </c>
      <c r="D2173">
        <v>4357937</v>
      </c>
      <c r="E2173" t="s">
        <v>48</v>
      </c>
      <c r="F2173" t="s">
        <v>49</v>
      </c>
      <c r="G2173" s="30">
        <v>0</v>
      </c>
    </row>
    <row r="2174" spans="1:7" x14ac:dyDescent="0.25">
      <c r="A2174" t="s">
        <v>128</v>
      </c>
      <c r="B2174" t="s">
        <v>129</v>
      </c>
      <c r="C2174" t="s">
        <v>130</v>
      </c>
      <c r="D2174">
        <v>4358028</v>
      </c>
      <c r="E2174" t="s">
        <v>53</v>
      </c>
      <c r="F2174" t="s">
        <v>49</v>
      </c>
      <c r="G2174" s="30">
        <v>317424.41322414199</v>
      </c>
    </row>
    <row r="2175" spans="1:7" x14ac:dyDescent="0.25">
      <c r="A2175" t="s">
        <v>90</v>
      </c>
      <c r="B2175" t="s">
        <v>91</v>
      </c>
      <c r="C2175" t="s">
        <v>81</v>
      </c>
      <c r="D2175">
        <v>4360184</v>
      </c>
      <c r="E2175" t="s">
        <v>53</v>
      </c>
      <c r="F2175" t="s">
        <v>49</v>
      </c>
      <c r="G2175" s="30">
        <v>1086.64013671875</v>
      </c>
    </row>
    <row r="2176" spans="1:7" x14ac:dyDescent="0.25">
      <c r="A2176" t="s">
        <v>122</v>
      </c>
      <c r="B2176" t="s">
        <v>123</v>
      </c>
      <c r="C2176" t="s">
        <v>52</v>
      </c>
      <c r="D2176">
        <v>4360618</v>
      </c>
      <c r="E2176" t="s">
        <v>53</v>
      </c>
      <c r="F2176" t="s">
        <v>49</v>
      </c>
      <c r="G2176" s="30">
        <v>26592225.960200801</v>
      </c>
    </row>
    <row r="2177" spans="1:7" x14ac:dyDescent="0.25">
      <c r="A2177" t="s">
        <v>94</v>
      </c>
      <c r="B2177" t="s">
        <v>95</v>
      </c>
      <c r="C2177" t="s">
        <v>78</v>
      </c>
      <c r="D2177">
        <v>4362682</v>
      </c>
      <c r="E2177" t="s">
        <v>53</v>
      </c>
      <c r="F2177" t="s">
        <v>49</v>
      </c>
      <c r="G2177" s="30">
        <v>293549.896729514</v>
      </c>
    </row>
    <row r="2178" spans="1:7" x14ac:dyDescent="0.25">
      <c r="A2178" t="s">
        <v>45</v>
      </c>
      <c r="B2178" t="s">
        <v>46</v>
      </c>
      <c r="C2178" t="s">
        <v>47</v>
      </c>
      <c r="D2178">
        <v>4363706</v>
      </c>
      <c r="E2178" t="s">
        <v>48</v>
      </c>
      <c r="F2178" t="s">
        <v>49</v>
      </c>
      <c r="G2178" s="30">
        <v>0</v>
      </c>
    </row>
    <row r="2179" spans="1:7" x14ac:dyDescent="0.25">
      <c r="A2179" t="s">
        <v>122</v>
      </c>
      <c r="B2179" t="s">
        <v>123</v>
      </c>
      <c r="C2179" t="s">
        <v>52</v>
      </c>
      <c r="D2179">
        <v>4365534</v>
      </c>
      <c r="E2179" t="s">
        <v>53</v>
      </c>
      <c r="F2179" t="s">
        <v>49</v>
      </c>
      <c r="G2179" s="30">
        <v>13926767.2197292</v>
      </c>
    </row>
    <row r="2180" spans="1:7" x14ac:dyDescent="0.25">
      <c r="A2180" t="s">
        <v>45</v>
      </c>
      <c r="B2180" t="s">
        <v>46</v>
      </c>
      <c r="C2180" t="s">
        <v>47</v>
      </c>
      <c r="D2180">
        <v>4367180</v>
      </c>
      <c r="E2180" t="s">
        <v>48</v>
      </c>
      <c r="F2180" t="s">
        <v>49</v>
      </c>
      <c r="G2180" s="30">
        <v>0</v>
      </c>
    </row>
    <row r="2181" spans="1:7" x14ac:dyDescent="0.25">
      <c r="A2181" t="s">
        <v>122</v>
      </c>
      <c r="B2181" t="s">
        <v>123</v>
      </c>
      <c r="C2181" t="s">
        <v>52</v>
      </c>
      <c r="D2181">
        <v>4367693</v>
      </c>
      <c r="E2181" t="s">
        <v>53</v>
      </c>
      <c r="F2181" t="s">
        <v>49</v>
      </c>
      <c r="G2181" s="30">
        <v>8641207.9941514395</v>
      </c>
    </row>
    <row r="2182" spans="1:7" x14ac:dyDescent="0.25">
      <c r="A2182" t="s">
        <v>114</v>
      </c>
      <c r="B2182" t="s">
        <v>115</v>
      </c>
      <c r="C2182" t="s">
        <v>56</v>
      </c>
      <c r="D2182">
        <v>4367809</v>
      </c>
      <c r="E2182" t="s">
        <v>53</v>
      </c>
      <c r="F2182" t="s">
        <v>49</v>
      </c>
      <c r="G2182" s="30">
        <v>13815.2135457942</v>
      </c>
    </row>
    <row r="2183" spans="1:7" x14ac:dyDescent="0.25">
      <c r="A2183" t="s">
        <v>94</v>
      </c>
      <c r="B2183" t="s">
        <v>95</v>
      </c>
      <c r="C2183" t="s">
        <v>78</v>
      </c>
      <c r="D2183">
        <v>4374949</v>
      </c>
      <c r="E2183" t="s">
        <v>53</v>
      </c>
      <c r="F2183" t="s">
        <v>49</v>
      </c>
      <c r="G2183" s="30">
        <v>590735.74363121099</v>
      </c>
    </row>
    <row r="2184" spans="1:7" x14ac:dyDescent="0.25">
      <c r="A2184" t="s">
        <v>122</v>
      </c>
      <c r="B2184" t="s">
        <v>123</v>
      </c>
      <c r="C2184" t="s">
        <v>52</v>
      </c>
      <c r="D2184">
        <v>4376266</v>
      </c>
      <c r="E2184" t="s">
        <v>53</v>
      </c>
      <c r="F2184" t="s">
        <v>49</v>
      </c>
      <c r="G2184" s="30">
        <v>10025004.093576699</v>
      </c>
    </row>
    <row r="2185" spans="1:7" x14ac:dyDescent="0.25">
      <c r="A2185" t="s">
        <v>45</v>
      </c>
      <c r="B2185" t="s">
        <v>46</v>
      </c>
      <c r="C2185" t="s">
        <v>47</v>
      </c>
      <c r="D2185">
        <v>4376897</v>
      </c>
      <c r="E2185" t="s">
        <v>48</v>
      </c>
      <c r="F2185" t="s">
        <v>49</v>
      </c>
      <c r="G2185" s="30">
        <v>0</v>
      </c>
    </row>
    <row r="2186" spans="1:7" x14ac:dyDescent="0.25">
      <c r="A2186" t="s">
        <v>50</v>
      </c>
      <c r="B2186" t="s">
        <v>51</v>
      </c>
      <c r="C2186" t="s">
        <v>52</v>
      </c>
      <c r="D2186">
        <v>4379188</v>
      </c>
      <c r="E2186" t="s">
        <v>53</v>
      </c>
      <c r="F2186" t="s">
        <v>49</v>
      </c>
      <c r="G2186" s="30">
        <v>61759.89</v>
      </c>
    </row>
    <row r="2187" spans="1:7" x14ac:dyDescent="0.25">
      <c r="A2187" t="s">
        <v>65</v>
      </c>
      <c r="B2187" t="s">
        <v>66</v>
      </c>
      <c r="C2187" t="s">
        <v>67</v>
      </c>
      <c r="D2187">
        <v>4379295</v>
      </c>
      <c r="E2187" t="s">
        <v>53</v>
      </c>
      <c r="F2187" t="s">
        <v>49</v>
      </c>
      <c r="G2187" s="30">
        <v>6132806.6042816304</v>
      </c>
    </row>
    <row r="2188" spans="1:7" x14ac:dyDescent="0.25">
      <c r="A2188" t="s">
        <v>50</v>
      </c>
      <c r="B2188" t="s">
        <v>51</v>
      </c>
      <c r="C2188" t="s">
        <v>52</v>
      </c>
      <c r="D2188">
        <v>4382415</v>
      </c>
      <c r="E2188" t="s">
        <v>53</v>
      </c>
      <c r="F2188" t="s">
        <v>49</v>
      </c>
      <c r="G2188" s="30">
        <v>1600.3191260521601</v>
      </c>
    </row>
    <row r="2189" spans="1:7" x14ac:dyDescent="0.25">
      <c r="A2189" t="s">
        <v>92</v>
      </c>
      <c r="B2189" t="s">
        <v>93</v>
      </c>
      <c r="C2189" t="s">
        <v>81</v>
      </c>
      <c r="D2189">
        <v>4382706</v>
      </c>
      <c r="E2189" t="s">
        <v>48</v>
      </c>
      <c r="F2189" t="s">
        <v>49</v>
      </c>
      <c r="G2189" s="30">
        <v>76.52</v>
      </c>
    </row>
    <row r="2190" spans="1:7" x14ac:dyDescent="0.25">
      <c r="A2190" t="s">
        <v>63</v>
      </c>
      <c r="B2190" t="s">
        <v>64</v>
      </c>
      <c r="C2190" t="s">
        <v>56</v>
      </c>
      <c r="D2190">
        <v>4383315</v>
      </c>
      <c r="E2190" t="s">
        <v>53</v>
      </c>
      <c r="F2190" t="s">
        <v>49</v>
      </c>
      <c r="G2190" s="30">
        <v>468974.78</v>
      </c>
    </row>
    <row r="2191" spans="1:7" x14ac:dyDescent="0.25">
      <c r="A2191" t="s">
        <v>126</v>
      </c>
      <c r="B2191" t="s">
        <v>127</v>
      </c>
      <c r="C2191" t="s">
        <v>67</v>
      </c>
      <c r="D2191">
        <v>4383416</v>
      </c>
      <c r="E2191" t="s">
        <v>53</v>
      </c>
      <c r="F2191" t="s">
        <v>49</v>
      </c>
      <c r="G2191" s="30">
        <v>33676.599893910003</v>
      </c>
    </row>
    <row r="2192" spans="1:7" x14ac:dyDescent="0.25">
      <c r="A2192" t="s">
        <v>92</v>
      </c>
      <c r="B2192" t="s">
        <v>93</v>
      </c>
      <c r="C2192" t="s">
        <v>81</v>
      </c>
      <c r="D2192">
        <v>4384001</v>
      </c>
      <c r="E2192" t="s">
        <v>48</v>
      </c>
      <c r="F2192" t="s">
        <v>49</v>
      </c>
      <c r="G2192" s="30">
        <v>0</v>
      </c>
    </row>
    <row r="2193" spans="1:7" x14ac:dyDescent="0.25">
      <c r="A2193" t="s">
        <v>122</v>
      </c>
      <c r="B2193" t="s">
        <v>123</v>
      </c>
      <c r="C2193" t="s">
        <v>52</v>
      </c>
      <c r="D2193">
        <v>4384379</v>
      </c>
      <c r="E2193" t="s">
        <v>53</v>
      </c>
      <c r="F2193" t="s">
        <v>49</v>
      </c>
      <c r="G2193" s="30">
        <v>3171699.31982353</v>
      </c>
    </row>
    <row r="2194" spans="1:7" x14ac:dyDescent="0.25">
      <c r="A2194" t="s">
        <v>50</v>
      </c>
      <c r="B2194" t="s">
        <v>51</v>
      </c>
      <c r="C2194" t="s">
        <v>52</v>
      </c>
      <c r="D2194">
        <v>4384468</v>
      </c>
      <c r="E2194" t="s">
        <v>53</v>
      </c>
      <c r="F2194" t="s">
        <v>49</v>
      </c>
      <c r="G2194" s="30">
        <v>31472.450566034899</v>
      </c>
    </row>
    <row r="2195" spans="1:7" x14ac:dyDescent="0.25">
      <c r="A2195" t="s">
        <v>50</v>
      </c>
      <c r="B2195" t="s">
        <v>51</v>
      </c>
      <c r="C2195" t="s">
        <v>52</v>
      </c>
      <c r="D2195">
        <v>4385727</v>
      </c>
      <c r="E2195" t="s">
        <v>48</v>
      </c>
      <c r="F2195" t="s">
        <v>49</v>
      </c>
      <c r="G2195" s="30">
        <v>0</v>
      </c>
    </row>
    <row r="2196" spans="1:7" x14ac:dyDescent="0.25">
      <c r="A2196" t="s">
        <v>50</v>
      </c>
      <c r="B2196" t="s">
        <v>51</v>
      </c>
      <c r="C2196" t="s">
        <v>52</v>
      </c>
      <c r="D2196">
        <v>4386639</v>
      </c>
      <c r="E2196" t="s">
        <v>53</v>
      </c>
      <c r="F2196" t="s">
        <v>49</v>
      </c>
      <c r="G2196" s="30">
        <v>46110.019142833902</v>
      </c>
    </row>
    <row r="2197" spans="1:7" x14ac:dyDescent="0.25">
      <c r="A2197" t="s">
        <v>63</v>
      </c>
      <c r="B2197" t="s">
        <v>64</v>
      </c>
      <c r="C2197" t="s">
        <v>56</v>
      </c>
      <c r="D2197">
        <v>4388205</v>
      </c>
      <c r="E2197" t="s">
        <v>53</v>
      </c>
      <c r="F2197" t="s">
        <v>49</v>
      </c>
      <c r="G2197" s="30">
        <v>235873.25998738399</v>
      </c>
    </row>
    <row r="2198" spans="1:7" x14ac:dyDescent="0.25">
      <c r="A2198" t="s">
        <v>106</v>
      </c>
      <c r="B2198" t="s">
        <v>107</v>
      </c>
      <c r="C2198" t="s">
        <v>56</v>
      </c>
      <c r="D2198">
        <v>4389648</v>
      </c>
      <c r="E2198" t="s">
        <v>53</v>
      </c>
      <c r="F2198" t="s">
        <v>49</v>
      </c>
      <c r="G2198" s="30">
        <v>567127.55062455998</v>
      </c>
    </row>
    <row r="2199" spans="1:7" x14ac:dyDescent="0.25">
      <c r="A2199" t="s">
        <v>50</v>
      </c>
      <c r="B2199" t="s">
        <v>51</v>
      </c>
      <c r="C2199" t="s">
        <v>52</v>
      </c>
      <c r="D2199">
        <v>4391169</v>
      </c>
      <c r="E2199" t="s">
        <v>53</v>
      </c>
      <c r="F2199" t="s">
        <v>49</v>
      </c>
      <c r="G2199" s="30">
        <v>36590.234785156303</v>
      </c>
    </row>
    <row r="2200" spans="1:7" x14ac:dyDescent="0.25">
      <c r="A2200" t="s">
        <v>50</v>
      </c>
      <c r="B2200" t="s">
        <v>51</v>
      </c>
      <c r="C2200" t="s">
        <v>52</v>
      </c>
      <c r="D2200">
        <v>4392742</v>
      </c>
      <c r="E2200" t="s">
        <v>53</v>
      </c>
      <c r="F2200" t="s">
        <v>49</v>
      </c>
      <c r="G2200" s="30">
        <v>6290.6109179687501</v>
      </c>
    </row>
    <row r="2201" spans="1:7" x14ac:dyDescent="0.25">
      <c r="A2201" t="s">
        <v>120</v>
      </c>
      <c r="B2201" t="s">
        <v>121</v>
      </c>
      <c r="C2201" t="s">
        <v>67</v>
      </c>
      <c r="D2201">
        <v>4393013</v>
      </c>
      <c r="E2201" t="s">
        <v>53</v>
      </c>
      <c r="F2201" t="s">
        <v>49</v>
      </c>
      <c r="G2201" s="30">
        <v>147120.111171875</v>
      </c>
    </row>
    <row r="2202" spans="1:7" x14ac:dyDescent="0.25">
      <c r="A2202" t="s">
        <v>45</v>
      </c>
      <c r="B2202" t="s">
        <v>46</v>
      </c>
      <c r="C2202" t="s">
        <v>47</v>
      </c>
      <c r="D2202">
        <v>4393443</v>
      </c>
      <c r="E2202" t="s">
        <v>48</v>
      </c>
      <c r="F2202" t="s">
        <v>49</v>
      </c>
      <c r="G2202" s="30">
        <v>0</v>
      </c>
    </row>
    <row r="2203" spans="1:7" x14ac:dyDescent="0.25">
      <c r="A2203" t="s">
        <v>45</v>
      </c>
      <c r="B2203" t="s">
        <v>46</v>
      </c>
      <c r="C2203" t="s">
        <v>47</v>
      </c>
      <c r="D2203">
        <v>4393933</v>
      </c>
      <c r="E2203" t="s">
        <v>48</v>
      </c>
      <c r="F2203" t="s">
        <v>49</v>
      </c>
      <c r="G2203" s="30">
        <v>0</v>
      </c>
    </row>
    <row r="2204" spans="1:7" x14ac:dyDescent="0.25">
      <c r="A2204" t="s">
        <v>65</v>
      </c>
      <c r="B2204" t="s">
        <v>66</v>
      </c>
      <c r="C2204" t="s">
        <v>67</v>
      </c>
      <c r="D2204">
        <v>4394586</v>
      </c>
      <c r="E2204" t="s">
        <v>53</v>
      </c>
      <c r="F2204" t="s">
        <v>49</v>
      </c>
      <c r="G2204" s="30">
        <v>10444083.586314499</v>
      </c>
    </row>
    <row r="2205" spans="1:7" x14ac:dyDescent="0.25">
      <c r="A2205" t="s">
        <v>45</v>
      </c>
      <c r="B2205" t="s">
        <v>46</v>
      </c>
      <c r="C2205" t="s">
        <v>47</v>
      </c>
      <c r="D2205">
        <v>4394906</v>
      </c>
      <c r="E2205" t="s">
        <v>53</v>
      </c>
      <c r="F2205" t="s">
        <v>49</v>
      </c>
      <c r="G2205" s="30">
        <v>20113.707663613201</v>
      </c>
    </row>
    <row r="2206" spans="1:7" x14ac:dyDescent="0.25">
      <c r="A2206" t="s">
        <v>45</v>
      </c>
      <c r="B2206" t="s">
        <v>46</v>
      </c>
      <c r="C2206" t="s">
        <v>47</v>
      </c>
      <c r="D2206">
        <v>4395145</v>
      </c>
      <c r="E2206" t="s">
        <v>48</v>
      </c>
      <c r="F2206" t="s">
        <v>49</v>
      </c>
      <c r="G2206" s="30">
        <v>0</v>
      </c>
    </row>
    <row r="2207" spans="1:7" x14ac:dyDescent="0.25">
      <c r="A2207" t="s">
        <v>45</v>
      </c>
      <c r="B2207" t="s">
        <v>46</v>
      </c>
      <c r="C2207" t="s">
        <v>47</v>
      </c>
      <c r="D2207">
        <v>4397627</v>
      </c>
      <c r="E2207" t="s">
        <v>48</v>
      </c>
      <c r="F2207" t="s">
        <v>49</v>
      </c>
      <c r="G2207" s="30">
        <v>0</v>
      </c>
    </row>
    <row r="2208" spans="1:7" x14ac:dyDescent="0.25">
      <c r="A2208" t="s">
        <v>126</v>
      </c>
      <c r="B2208" t="s">
        <v>127</v>
      </c>
      <c r="C2208" t="s">
        <v>67</v>
      </c>
      <c r="D2208">
        <v>4397889</v>
      </c>
      <c r="E2208" t="s">
        <v>53</v>
      </c>
      <c r="F2208" t="s">
        <v>49</v>
      </c>
      <c r="G2208" s="30">
        <v>200152.07684754001</v>
      </c>
    </row>
    <row r="2209" spans="1:7" x14ac:dyDescent="0.25">
      <c r="A2209" t="s">
        <v>86</v>
      </c>
      <c r="B2209" t="s">
        <v>87</v>
      </c>
      <c r="C2209" t="s">
        <v>78</v>
      </c>
      <c r="D2209">
        <v>4398048</v>
      </c>
      <c r="E2209" t="s">
        <v>53</v>
      </c>
      <c r="F2209" t="s">
        <v>49</v>
      </c>
      <c r="G2209" s="30">
        <v>7605875.5246831002</v>
      </c>
    </row>
    <row r="2210" spans="1:7" x14ac:dyDescent="0.25">
      <c r="A2210" t="s">
        <v>54</v>
      </c>
      <c r="B2210" t="s">
        <v>55</v>
      </c>
      <c r="C2210" t="s">
        <v>56</v>
      </c>
      <c r="D2210">
        <v>4398134</v>
      </c>
      <c r="E2210" t="s">
        <v>48</v>
      </c>
      <c r="F2210" t="s">
        <v>49</v>
      </c>
      <c r="G2210" s="30">
        <v>0</v>
      </c>
    </row>
    <row r="2211" spans="1:7" x14ac:dyDescent="0.25">
      <c r="A2211" t="s">
        <v>54</v>
      </c>
      <c r="B2211" t="s">
        <v>55</v>
      </c>
      <c r="C2211" t="s">
        <v>56</v>
      </c>
      <c r="D2211">
        <v>4398351</v>
      </c>
      <c r="E2211" t="s">
        <v>53</v>
      </c>
      <c r="F2211" t="s">
        <v>49</v>
      </c>
      <c r="G2211" s="30">
        <v>534789.56860948296</v>
      </c>
    </row>
    <row r="2212" spans="1:7" x14ac:dyDescent="0.25">
      <c r="A2212" t="s">
        <v>63</v>
      </c>
      <c r="B2212" t="s">
        <v>64</v>
      </c>
      <c r="C2212" t="s">
        <v>56</v>
      </c>
      <c r="D2212">
        <v>4398516</v>
      </c>
      <c r="E2212" t="s">
        <v>53</v>
      </c>
      <c r="F2212" t="s">
        <v>49</v>
      </c>
      <c r="G2212" s="30">
        <v>2557044.3964923602</v>
      </c>
    </row>
    <row r="2213" spans="1:7" x14ac:dyDescent="0.25">
      <c r="A2213" t="s">
        <v>50</v>
      </c>
      <c r="B2213" t="s">
        <v>51</v>
      </c>
      <c r="C2213" t="s">
        <v>52</v>
      </c>
      <c r="D2213">
        <v>4400317</v>
      </c>
      <c r="E2213" t="s">
        <v>53</v>
      </c>
      <c r="F2213" t="s">
        <v>49</v>
      </c>
      <c r="G2213" s="30">
        <v>2522.7208886718699</v>
      </c>
    </row>
    <row r="2214" spans="1:7" x14ac:dyDescent="0.25">
      <c r="A2214" t="s">
        <v>96</v>
      </c>
      <c r="B2214" t="s">
        <v>97</v>
      </c>
      <c r="C2214" t="s">
        <v>81</v>
      </c>
      <c r="D2214">
        <v>4400325</v>
      </c>
      <c r="E2214" t="s">
        <v>53</v>
      </c>
      <c r="F2214" t="s">
        <v>49</v>
      </c>
      <c r="G2214" s="30">
        <v>363070.55629882799</v>
      </c>
    </row>
    <row r="2215" spans="1:7" x14ac:dyDescent="0.25">
      <c r="A2215" t="s">
        <v>50</v>
      </c>
      <c r="B2215" t="s">
        <v>51</v>
      </c>
      <c r="C2215" t="s">
        <v>52</v>
      </c>
      <c r="D2215">
        <v>4401099</v>
      </c>
      <c r="E2215" t="s">
        <v>53</v>
      </c>
      <c r="F2215" t="s">
        <v>49</v>
      </c>
      <c r="G2215" s="30">
        <v>65408.602538714003</v>
      </c>
    </row>
    <row r="2216" spans="1:7" x14ac:dyDescent="0.25">
      <c r="A2216" t="s">
        <v>50</v>
      </c>
      <c r="B2216" t="s">
        <v>51</v>
      </c>
      <c r="C2216" t="s">
        <v>52</v>
      </c>
      <c r="D2216">
        <v>4401627</v>
      </c>
      <c r="E2216" t="s">
        <v>53</v>
      </c>
      <c r="F2216" t="s">
        <v>49</v>
      </c>
      <c r="G2216" s="30">
        <v>17233.700169237702</v>
      </c>
    </row>
    <row r="2217" spans="1:7" x14ac:dyDescent="0.25">
      <c r="A2217" t="s">
        <v>74</v>
      </c>
      <c r="B2217" t="s">
        <v>75</v>
      </c>
      <c r="C2217" t="s">
        <v>67</v>
      </c>
      <c r="D2217">
        <v>4402592</v>
      </c>
      <c r="E2217" t="s">
        <v>48</v>
      </c>
      <c r="F2217" t="s">
        <v>49</v>
      </c>
      <c r="G2217" s="30">
        <v>0</v>
      </c>
    </row>
    <row r="2218" spans="1:7" x14ac:dyDescent="0.25">
      <c r="A2218" t="s">
        <v>88</v>
      </c>
      <c r="B2218" t="s">
        <v>89</v>
      </c>
      <c r="C2218" t="s">
        <v>78</v>
      </c>
      <c r="D2218">
        <v>4403312</v>
      </c>
      <c r="E2218" t="s">
        <v>53</v>
      </c>
      <c r="F2218" t="s">
        <v>49</v>
      </c>
      <c r="G2218" s="30">
        <v>71652.674805096205</v>
      </c>
    </row>
    <row r="2219" spans="1:7" x14ac:dyDescent="0.25">
      <c r="A2219" t="s">
        <v>45</v>
      </c>
      <c r="B2219" t="s">
        <v>46</v>
      </c>
      <c r="C2219" t="s">
        <v>47</v>
      </c>
      <c r="D2219">
        <v>4404612</v>
      </c>
      <c r="E2219" t="s">
        <v>48</v>
      </c>
      <c r="F2219" t="s">
        <v>49</v>
      </c>
      <c r="G2219" s="30">
        <v>0</v>
      </c>
    </row>
    <row r="2220" spans="1:7" x14ac:dyDescent="0.25">
      <c r="A2220" t="s">
        <v>54</v>
      </c>
      <c r="B2220" t="s">
        <v>55</v>
      </c>
      <c r="C2220" t="s">
        <v>56</v>
      </c>
      <c r="D2220">
        <v>4405212</v>
      </c>
      <c r="E2220" t="s">
        <v>53</v>
      </c>
      <c r="F2220" t="s">
        <v>49</v>
      </c>
      <c r="G2220" s="30">
        <v>77804.96875</v>
      </c>
    </row>
    <row r="2221" spans="1:7" x14ac:dyDescent="0.25">
      <c r="A2221" t="s">
        <v>45</v>
      </c>
      <c r="B2221" t="s">
        <v>46</v>
      </c>
      <c r="C2221" t="s">
        <v>47</v>
      </c>
      <c r="D2221">
        <v>4406206</v>
      </c>
      <c r="E2221" t="s">
        <v>48</v>
      </c>
      <c r="F2221" t="s">
        <v>49</v>
      </c>
      <c r="G2221" s="30">
        <v>0</v>
      </c>
    </row>
    <row r="2222" spans="1:7" x14ac:dyDescent="0.25">
      <c r="A2222" t="s">
        <v>45</v>
      </c>
      <c r="B2222" t="s">
        <v>46</v>
      </c>
      <c r="C2222" t="s">
        <v>47</v>
      </c>
      <c r="D2222">
        <v>4407658</v>
      </c>
      <c r="E2222" t="s">
        <v>48</v>
      </c>
      <c r="F2222" t="s">
        <v>49</v>
      </c>
      <c r="G2222" s="30">
        <v>0</v>
      </c>
    </row>
    <row r="2223" spans="1:7" x14ac:dyDescent="0.25">
      <c r="A2223" t="s">
        <v>45</v>
      </c>
      <c r="B2223" t="s">
        <v>46</v>
      </c>
      <c r="C2223" t="s">
        <v>47</v>
      </c>
      <c r="D2223">
        <v>4410938</v>
      </c>
      <c r="E2223" t="s">
        <v>48</v>
      </c>
      <c r="F2223" t="s">
        <v>49</v>
      </c>
      <c r="G2223" s="30">
        <v>0</v>
      </c>
    </row>
    <row r="2224" spans="1:7" x14ac:dyDescent="0.25">
      <c r="A2224" t="s">
        <v>61</v>
      </c>
      <c r="B2224" t="s">
        <v>62</v>
      </c>
      <c r="C2224" t="s">
        <v>56</v>
      </c>
      <c r="D2224">
        <v>4412419</v>
      </c>
      <c r="E2224" t="s">
        <v>48</v>
      </c>
      <c r="F2224" t="s">
        <v>49</v>
      </c>
      <c r="G2224" s="30">
        <v>0.24</v>
      </c>
    </row>
    <row r="2225" spans="1:7" x14ac:dyDescent="0.25">
      <c r="A2225" t="s">
        <v>102</v>
      </c>
      <c r="B2225" t="s">
        <v>103</v>
      </c>
      <c r="C2225" t="s">
        <v>47</v>
      </c>
      <c r="D2225">
        <v>4413487</v>
      </c>
      <c r="E2225" t="s">
        <v>53</v>
      </c>
      <c r="F2225" t="s">
        <v>49</v>
      </c>
      <c r="G2225" s="30">
        <v>31701.08</v>
      </c>
    </row>
    <row r="2226" spans="1:7" x14ac:dyDescent="0.25">
      <c r="A2226" t="s">
        <v>133</v>
      </c>
      <c r="B2226" t="s">
        <v>134</v>
      </c>
      <c r="C2226" t="s">
        <v>47</v>
      </c>
      <c r="D2226">
        <v>4416157</v>
      </c>
      <c r="E2226" t="s">
        <v>48</v>
      </c>
      <c r="F2226" t="s">
        <v>49</v>
      </c>
      <c r="G2226" s="30">
        <v>0</v>
      </c>
    </row>
    <row r="2227" spans="1:7" x14ac:dyDescent="0.25">
      <c r="A2227" t="s">
        <v>45</v>
      </c>
      <c r="B2227" t="s">
        <v>46</v>
      </c>
      <c r="C2227" t="s">
        <v>47</v>
      </c>
      <c r="D2227">
        <v>4417013</v>
      </c>
      <c r="E2227" t="s">
        <v>48</v>
      </c>
      <c r="F2227" t="s">
        <v>49</v>
      </c>
      <c r="G2227" s="30">
        <v>0</v>
      </c>
    </row>
    <row r="2228" spans="1:7" x14ac:dyDescent="0.25">
      <c r="A2228" t="s">
        <v>45</v>
      </c>
      <c r="B2228" t="s">
        <v>46</v>
      </c>
      <c r="C2228" t="s">
        <v>47</v>
      </c>
      <c r="D2228">
        <v>4417254</v>
      </c>
      <c r="E2228" t="s">
        <v>53</v>
      </c>
      <c r="F2228" t="s">
        <v>49</v>
      </c>
      <c r="G2228" s="30">
        <v>24632.0566175153</v>
      </c>
    </row>
    <row r="2229" spans="1:7" x14ac:dyDescent="0.25">
      <c r="A2229" t="s">
        <v>45</v>
      </c>
      <c r="B2229" t="s">
        <v>46</v>
      </c>
      <c r="C2229" t="s">
        <v>47</v>
      </c>
      <c r="D2229">
        <v>4418693</v>
      </c>
      <c r="E2229" t="s">
        <v>48</v>
      </c>
      <c r="F2229" t="s">
        <v>49</v>
      </c>
      <c r="G2229" s="30">
        <v>0</v>
      </c>
    </row>
    <row r="2230" spans="1:7" x14ac:dyDescent="0.25">
      <c r="A2230" t="s">
        <v>65</v>
      </c>
      <c r="B2230" t="s">
        <v>66</v>
      </c>
      <c r="C2230" t="s">
        <v>67</v>
      </c>
      <c r="D2230">
        <v>4419546</v>
      </c>
      <c r="E2230" t="s">
        <v>53</v>
      </c>
      <c r="F2230" t="s">
        <v>49</v>
      </c>
      <c r="G2230" s="30">
        <v>693954.25186482002</v>
      </c>
    </row>
    <row r="2231" spans="1:7" x14ac:dyDescent="0.25">
      <c r="A2231" t="s">
        <v>86</v>
      </c>
      <c r="B2231" t="s">
        <v>87</v>
      </c>
      <c r="C2231" t="s">
        <v>78</v>
      </c>
      <c r="D2231">
        <v>4420406</v>
      </c>
      <c r="E2231" t="s">
        <v>53</v>
      </c>
      <c r="F2231" t="s">
        <v>49</v>
      </c>
      <c r="G2231" s="30">
        <v>168422.30983905599</v>
      </c>
    </row>
    <row r="2232" spans="1:7" x14ac:dyDescent="0.25">
      <c r="A2232" t="s">
        <v>79</v>
      </c>
      <c r="B2232" t="s">
        <v>80</v>
      </c>
      <c r="C2232" t="s">
        <v>81</v>
      </c>
      <c r="D2232">
        <v>4420522</v>
      </c>
      <c r="E2232" t="s">
        <v>53</v>
      </c>
      <c r="F2232" t="s">
        <v>49</v>
      </c>
      <c r="G2232" s="30">
        <v>295302.48318668298</v>
      </c>
    </row>
    <row r="2233" spans="1:7" x14ac:dyDescent="0.25">
      <c r="A2233" t="s">
        <v>112</v>
      </c>
      <c r="B2233" t="s">
        <v>113</v>
      </c>
      <c r="C2233" t="s">
        <v>81</v>
      </c>
      <c r="D2233">
        <v>4421438</v>
      </c>
      <c r="E2233" t="s">
        <v>53</v>
      </c>
      <c r="F2233" t="s">
        <v>49</v>
      </c>
      <c r="G2233" s="30">
        <v>237615.90306830601</v>
      </c>
    </row>
    <row r="2234" spans="1:7" x14ac:dyDescent="0.25">
      <c r="A2234" t="s">
        <v>45</v>
      </c>
      <c r="B2234" t="s">
        <v>46</v>
      </c>
      <c r="C2234" t="s">
        <v>47</v>
      </c>
      <c r="D2234">
        <v>4423632</v>
      </c>
      <c r="E2234" t="s">
        <v>48</v>
      </c>
      <c r="F2234" t="s">
        <v>49</v>
      </c>
      <c r="G2234" s="30">
        <v>0</v>
      </c>
    </row>
    <row r="2235" spans="1:7" x14ac:dyDescent="0.25">
      <c r="A2235" t="s">
        <v>45</v>
      </c>
      <c r="B2235" t="s">
        <v>46</v>
      </c>
      <c r="C2235" t="s">
        <v>47</v>
      </c>
      <c r="D2235">
        <v>4425039</v>
      </c>
      <c r="E2235" t="s">
        <v>48</v>
      </c>
      <c r="F2235" t="s">
        <v>49</v>
      </c>
      <c r="G2235" s="30">
        <v>0</v>
      </c>
    </row>
    <row r="2236" spans="1:7" x14ac:dyDescent="0.25">
      <c r="A2236" t="s">
        <v>45</v>
      </c>
      <c r="B2236" t="s">
        <v>46</v>
      </c>
      <c r="C2236" t="s">
        <v>47</v>
      </c>
      <c r="D2236">
        <v>4425132</v>
      </c>
      <c r="E2236" t="s">
        <v>48</v>
      </c>
      <c r="F2236" t="s">
        <v>49</v>
      </c>
      <c r="G2236" s="30">
        <v>0</v>
      </c>
    </row>
    <row r="2237" spans="1:7" x14ac:dyDescent="0.25">
      <c r="A2237" t="s">
        <v>88</v>
      </c>
      <c r="B2237" t="s">
        <v>89</v>
      </c>
      <c r="C2237" t="s">
        <v>78</v>
      </c>
      <c r="D2237">
        <v>4425184</v>
      </c>
      <c r="E2237" t="s">
        <v>53</v>
      </c>
      <c r="F2237" t="s">
        <v>49</v>
      </c>
      <c r="G2237" s="30">
        <v>245442.35953136499</v>
      </c>
    </row>
    <row r="2238" spans="1:7" x14ac:dyDescent="0.25">
      <c r="A2238" t="s">
        <v>45</v>
      </c>
      <c r="B2238" t="s">
        <v>46</v>
      </c>
      <c r="C2238" t="s">
        <v>47</v>
      </c>
      <c r="D2238">
        <v>4425415</v>
      </c>
      <c r="E2238" t="s">
        <v>48</v>
      </c>
      <c r="F2238" t="s">
        <v>49</v>
      </c>
      <c r="G2238" s="30">
        <v>15.54</v>
      </c>
    </row>
    <row r="2239" spans="1:7" x14ac:dyDescent="0.25">
      <c r="A2239" t="s">
        <v>45</v>
      </c>
      <c r="B2239" t="s">
        <v>46</v>
      </c>
      <c r="C2239" t="s">
        <v>47</v>
      </c>
      <c r="D2239">
        <v>4426112</v>
      </c>
      <c r="E2239" t="s">
        <v>48</v>
      </c>
      <c r="F2239" t="s">
        <v>49</v>
      </c>
      <c r="G2239" s="30">
        <v>0</v>
      </c>
    </row>
    <row r="2240" spans="1:7" x14ac:dyDescent="0.25">
      <c r="A2240" t="s">
        <v>135</v>
      </c>
      <c r="B2240" t="s">
        <v>136</v>
      </c>
      <c r="C2240" t="s">
        <v>56</v>
      </c>
      <c r="D2240">
        <v>4429110</v>
      </c>
      <c r="E2240" t="s">
        <v>48</v>
      </c>
      <c r="F2240" t="s">
        <v>49</v>
      </c>
      <c r="G2240" s="30">
        <v>0</v>
      </c>
    </row>
    <row r="2241" spans="1:7" x14ac:dyDescent="0.25">
      <c r="A2241" t="s">
        <v>45</v>
      </c>
      <c r="B2241" t="s">
        <v>46</v>
      </c>
      <c r="C2241" t="s">
        <v>47</v>
      </c>
      <c r="D2241">
        <v>4433177</v>
      </c>
      <c r="E2241" t="s">
        <v>53</v>
      </c>
      <c r="F2241" t="s">
        <v>49</v>
      </c>
      <c r="G2241" s="30">
        <v>47268.305595243197</v>
      </c>
    </row>
    <row r="2242" spans="1:7" x14ac:dyDescent="0.25">
      <c r="A2242" t="s">
        <v>68</v>
      </c>
      <c r="B2242" t="s">
        <v>69</v>
      </c>
      <c r="C2242" t="s">
        <v>56</v>
      </c>
      <c r="D2242">
        <v>4436587</v>
      </c>
      <c r="E2242" t="s">
        <v>53</v>
      </c>
      <c r="F2242" t="s">
        <v>49</v>
      </c>
      <c r="G2242" s="30">
        <v>632002.89000219305</v>
      </c>
    </row>
    <row r="2243" spans="1:7" x14ac:dyDescent="0.25">
      <c r="A2243" t="s">
        <v>45</v>
      </c>
      <c r="B2243" t="s">
        <v>46</v>
      </c>
      <c r="C2243" t="s">
        <v>47</v>
      </c>
      <c r="D2243">
        <v>4436763</v>
      </c>
      <c r="E2243" t="s">
        <v>48</v>
      </c>
      <c r="F2243" t="s">
        <v>49</v>
      </c>
      <c r="G2243" s="30">
        <v>0</v>
      </c>
    </row>
    <row r="2244" spans="1:7" x14ac:dyDescent="0.25">
      <c r="A2244" t="s">
        <v>59</v>
      </c>
      <c r="B2244" t="s">
        <v>60</v>
      </c>
      <c r="C2244" t="s">
        <v>56</v>
      </c>
      <c r="D2244">
        <v>4440682</v>
      </c>
      <c r="E2244" t="s">
        <v>53</v>
      </c>
      <c r="F2244" t="s">
        <v>49</v>
      </c>
      <c r="G2244" s="30">
        <v>58161.464630787399</v>
      </c>
    </row>
    <row r="2245" spans="1:7" x14ac:dyDescent="0.25">
      <c r="A2245" t="s">
        <v>45</v>
      </c>
      <c r="B2245" t="s">
        <v>46</v>
      </c>
      <c r="C2245" t="s">
        <v>47</v>
      </c>
      <c r="D2245">
        <v>4441319</v>
      </c>
      <c r="E2245" t="s">
        <v>48</v>
      </c>
      <c r="F2245" t="s">
        <v>49</v>
      </c>
      <c r="G2245" s="30">
        <v>0</v>
      </c>
    </row>
    <row r="2246" spans="1:7" x14ac:dyDescent="0.25">
      <c r="A2246" t="s">
        <v>45</v>
      </c>
      <c r="B2246" t="s">
        <v>46</v>
      </c>
      <c r="C2246" t="s">
        <v>47</v>
      </c>
      <c r="D2246">
        <v>4443035</v>
      </c>
      <c r="E2246" t="s">
        <v>53</v>
      </c>
      <c r="F2246" t="s">
        <v>49</v>
      </c>
      <c r="G2246" s="30">
        <v>54646.799587648202</v>
      </c>
    </row>
    <row r="2247" spans="1:7" x14ac:dyDescent="0.25">
      <c r="A2247" t="s">
        <v>72</v>
      </c>
      <c r="B2247" t="s">
        <v>73</v>
      </c>
      <c r="C2247" t="s">
        <v>67</v>
      </c>
      <c r="D2247">
        <v>4444503</v>
      </c>
      <c r="E2247" t="s">
        <v>53</v>
      </c>
      <c r="F2247" t="s">
        <v>49</v>
      </c>
      <c r="G2247" s="30">
        <v>1730157.5</v>
      </c>
    </row>
    <row r="2248" spans="1:7" x14ac:dyDescent="0.25">
      <c r="A2248" t="s">
        <v>45</v>
      </c>
      <c r="B2248" t="s">
        <v>46</v>
      </c>
      <c r="C2248" t="s">
        <v>47</v>
      </c>
      <c r="D2248">
        <v>4445705</v>
      </c>
      <c r="E2248" t="s">
        <v>53</v>
      </c>
      <c r="F2248" t="s">
        <v>49</v>
      </c>
      <c r="G2248" s="30">
        <v>47782.535991512603</v>
      </c>
    </row>
    <row r="2249" spans="1:7" x14ac:dyDescent="0.25">
      <c r="A2249" t="s">
        <v>106</v>
      </c>
      <c r="B2249" t="s">
        <v>107</v>
      </c>
      <c r="C2249" t="s">
        <v>56</v>
      </c>
      <c r="D2249">
        <v>4446933</v>
      </c>
      <c r="E2249" t="s">
        <v>53</v>
      </c>
      <c r="F2249" t="s">
        <v>49</v>
      </c>
      <c r="G2249" s="30">
        <v>170881.24</v>
      </c>
    </row>
    <row r="2250" spans="1:7" x14ac:dyDescent="0.25">
      <c r="A2250" t="s">
        <v>54</v>
      </c>
      <c r="B2250" t="s">
        <v>55</v>
      </c>
      <c r="C2250" t="s">
        <v>56</v>
      </c>
      <c r="D2250">
        <v>4446984</v>
      </c>
      <c r="E2250" t="s">
        <v>53</v>
      </c>
      <c r="F2250" t="s">
        <v>49</v>
      </c>
      <c r="G2250" s="30">
        <v>726373.511134987</v>
      </c>
    </row>
    <row r="2251" spans="1:7" x14ac:dyDescent="0.25">
      <c r="A2251" t="s">
        <v>74</v>
      </c>
      <c r="B2251" t="s">
        <v>75</v>
      </c>
      <c r="C2251" t="s">
        <v>67</v>
      </c>
      <c r="D2251">
        <v>4447151</v>
      </c>
      <c r="E2251" t="s">
        <v>48</v>
      </c>
      <c r="F2251" t="s">
        <v>49</v>
      </c>
      <c r="G2251" s="30">
        <v>0</v>
      </c>
    </row>
    <row r="2252" spans="1:7" x14ac:dyDescent="0.25">
      <c r="A2252" t="s">
        <v>45</v>
      </c>
      <c r="B2252" t="s">
        <v>46</v>
      </c>
      <c r="C2252" t="s">
        <v>47</v>
      </c>
      <c r="D2252">
        <v>4449122</v>
      </c>
      <c r="E2252" t="s">
        <v>48</v>
      </c>
      <c r="F2252" t="s">
        <v>49</v>
      </c>
      <c r="G2252" s="30">
        <v>0</v>
      </c>
    </row>
    <row r="2253" spans="1:7" x14ac:dyDescent="0.25">
      <c r="A2253" t="s">
        <v>135</v>
      </c>
      <c r="B2253" t="s">
        <v>136</v>
      </c>
      <c r="C2253" t="s">
        <v>56</v>
      </c>
      <c r="D2253">
        <v>4452269</v>
      </c>
      <c r="E2253" t="s">
        <v>48</v>
      </c>
      <c r="F2253" t="s">
        <v>49</v>
      </c>
      <c r="G2253" s="30">
        <v>0</v>
      </c>
    </row>
    <row r="2254" spans="1:7" x14ac:dyDescent="0.25">
      <c r="A2254" t="s">
        <v>74</v>
      </c>
      <c r="B2254" t="s">
        <v>75</v>
      </c>
      <c r="C2254" t="s">
        <v>67</v>
      </c>
      <c r="D2254">
        <v>4454418</v>
      </c>
      <c r="E2254" t="s">
        <v>53</v>
      </c>
      <c r="F2254" t="s">
        <v>49</v>
      </c>
      <c r="G2254" s="30">
        <v>396762.65248402499</v>
      </c>
    </row>
    <row r="2255" spans="1:7" x14ac:dyDescent="0.25">
      <c r="A2255" t="s">
        <v>50</v>
      </c>
      <c r="B2255" t="s">
        <v>51</v>
      </c>
      <c r="C2255" t="s">
        <v>52</v>
      </c>
      <c r="D2255">
        <v>4454830</v>
      </c>
      <c r="E2255" t="s">
        <v>48</v>
      </c>
      <c r="F2255" t="s">
        <v>49</v>
      </c>
      <c r="G2255" s="30">
        <v>0</v>
      </c>
    </row>
    <row r="2256" spans="1:7" x14ac:dyDescent="0.25">
      <c r="A2256" t="s">
        <v>50</v>
      </c>
      <c r="B2256" t="s">
        <v>51</v>
      </c>
      <c r="C2256" t="s">
        <v>52</v>
      </c>
      <c r="D2256">
        <v>4456067</v>
      </c>
      <c r="E2256" t="s">
        <v>53</v>
      </c>
      <c r="F2256" t="s">
        <v>49</v>
      </c>
      <c r="G2256" s="30">
        <v>10276.832711348001</v>
      </c>
    </row>
    <row r="2257" spans="1:7" x14ac:dyDescent="0.25">
      <c r="A2257" t="s">
        <v>45</v>
      </c>
      <c r="B2257" t="s">
        <v>46</v>
      </c>
      <c r="C2257" t="s">
        <v>47</v>
      </c>
      <c r="D2257">
        <v>4457989</v>
      </c>
      <c r="E2257" t="s">
        <v>48</v>
      </c>
      <c r="F2257" t="s">
        <v>49</v>
      </c>
      <c r="G2257" s="30">
        <v>0</v>
      </c>
    </row>
    <row r="2258" spans="1:7" x14ac:dyDescent="0.25">
      <c r="A2258" t="s">
        <v>50</v>
      </c>
      <c r="B2258" t="s">
        <v>51</v>
      </c>
      <c r="C2258" t="s">
        <v>52</v>
      </c>
      <c r="D2258">
        <v>4458239</v>
      </c>
      <c r="E2258" t="s">
        <v>53</v>
      </c>
      <c r="F2258" t="s">
        <v>49</v>
      </c>
      <c r="G2258" s="30">
        <v>106.88</v>
      </c>
    </row>
    <row r="2259" spans="1:7" x14ac:dyDescent="0.25">
      <c r="A2259" t="s">
        <v>50</v>
      </c>
      <c r="B2259" t="s">
        <v>51</v>
      </c>
      <c r="C2259" t="s">
        <v>52</v>
      </c>
      <c r="D2259">
        <v>4459755</v>
      </c>
      <c r="E2259" t="s">
        <v>53</v>
      </c>
      <c r="F2259" t="s">
        <v>49</v>
      </c>
      <c r="G2259" s="30">
        <v>56253.914697499997</v>
      </c>
    </row>
    <row r="2260" spans="1:7" x14ac:dyDescent="0.25">
      <c r="A2260" t="s">
        <v>50</v>
      </c>
      <c r="B2260" t="s">
        <v>51</v>
      </c>
      <c r="C2260" t="s">
        <v>52</v>
      </c>
      <c r="D2260">
        <v>4463587</v>
      </c>
      <c r="E2260" t="s">
        <v>53</v>
      </c>
      <c r="F2260" t="s">
        <v>49</v>
      </c>
      <c r="G2260" s="30">
        <v>45962.164109429701</v>
      </c>
    </row>
    <row r="2261" spans="1:7" x14ac:dyDescent="0.25">
      <c r="A2261" t="s">
        <v>45</v>
      </c>
      <c r="B2261" t="s">
        <v>46</v>
      </c>
      <c r="C2261" t="s">
        <v>47</v>
      </c>
      <c r="D2261">
        <v>4465642</v>
      </c>
      <c r="E2261" t="s">
        <v>48</v>
      </c>
      <c r="F2261" t="s">
        <v>49</v>
      </c>
      <c r="G2261" s="30">
        <v>0</v>
      </c>
    </row>
    <row r="2262" spans="1:7" x14ac:dyDescent="0.25">
      <c r="A2262" t="s">
        <v>45</v>
      </c>
      <c r="B2262" t="s">
        <v>46</v>
      </c>
      <c r="C2262" t="s">
        <v>47</v>
      </c>
      <c r="D2262">
        <v>4465807</v>
      </c>
      <c r="E2262" t="s">
        <v>53</v>
      </c>
      <c r="F2262" t="s">
        <v>49</v>
      </c>
      <c r="G2262" s="30">
        <v>30582.935161184701</v>
      </c>
    </row>
    <row r="2263" spans="1:7" x14ac:dyDescent="0.25">
      <c r="A2263" t="s">
        <v>102</v>
      </c>
      <c r="B2263" t="s">
        <v>103</v>
      </c>
      <c r="C2263" t="s">
        <v>47</v>
      </c>
      <c r="D2263">
        <v>4466535</v>
      </c>
      <c r="E2263" t="s">
        <v>53</v>
      </c>
      <c r="F2263" t="s">
        <v>49</v>
      </c>
      <c r="G2263" s="30">
        <v>669198.08044557297</v>
      </c>
    </row>
    <row r="2264" spans="1:7" x14ac:dyDescent="0.25">
      <c r="A2264" t="s">
        <v>45</v>
      </c>
      <c r="B2264" t="s">
        <v>46</v>
      </c>
      <c r="C2264" t="s">
        <v>47</v>
      </c>
      <c r="D2264">
        <v>4467702</v>
      </c>
      <c r="E2264" t="s">
        <v>48</v>
      </c>
      <c r="F2264" t="s">
        <v>49</v>
      </c>
      <c r="G2264" s="30">
        <v>0</v>
      </c>
    </row>
    <row r="2265" spans="1:7" x14ac:dyDescent="0.25">
      <c r="A2265" t="s">
        <v>128</v>
      </c>
      <c r="B2265" t="s">
        <v>129</v>
      </c>
      <c r="C2265" t="s">
        <v>130</v>
      </c>
      <c r="D2265">
        <v>4467846</v>
      </c>
      <c r="E2265" t="s">
        <v>53</v>
      </c>
      <c r="F2265" t="s">
        <v>49</v>
      </c>
      <c r="G2265" s="30">
        <v>499183.66359073599</v>
      </c>
    </row>
    <row r="2266" spans="1:7" x14ac:dyDescent="0.25">
      <c r="A2266" t="s">
        <v>45</v>
      </c>
      <c r="B2266" t="s">
        <v>46</v>
      </c>
      <c r="C2266" t="s">
        <v>47</v>
      </c>
      <c r="D2266">
        <v>4469344</v>
      </c>
      <c r="E2266" t="s">
        <v>48</v>
      </c>
      <c r="F2266" t="s">
        <v>49</v>
      </c>
      <c r="G2266" s="30">
        <v>0</v>
      </c>
    </row>
    <row r="2267" spans="1:7" x14ac:dyDescent="0.25">
      <c r="A2267" t="s">
        <v>45</v>
      </c>
      <c r="B2267" t="s">
        <v>46</v>
      </c>
      <c r="C2267" t="s">
        <v>47</v>
      </c>
      <c r="D2267">
        <v>4471488</v>
      </c>
      <c r="E2267" t="s">
        <v>48</v>
      </c>
      <c r="F2267" t="s">
        <v>49</v>
      </c>
      <c r="G2267" s="30">
        <v>0</v>
      </c>
    </row>
    <row r="2268" spans="1:7" x14ac:dyDescent="0.25">
      <c r="A2268" t="s">
        <v>124</v>
      </c>
      <c r="B2268" t="s">
        <v>125</v>
      </c>
      <c r="C2268" t="s">
        <v>78</v>
      </c>
      <c r="D2268">
        <v>4472415</v>
      </c>
      <c r="E2268" t="s">
        <v>53</v>
      </c>
      <c r="F2268" t="s">
        <v>49</v>
      </c>
      <c r="G2268" s="30">
        <v>259545.028439963</v>
      </c>
    </row>
    <row r="2269" spans="1:7" x14ac:dyDescent="0.25">
      <c r="A2269" t="s">
        <v>50</v>
      </c>
      <c r="B2269" t="s">
        <v>51</v>
      </c>
      <c r="C2269" t="s">
        <v>52</v>
      </c>
      <c r="D2269">
        <v>4473702</v>
      </c>
      <c r="E2269" t="s">
        <v>53</v>
      </c>
      <c r="F2269" t="s">
        <v>49</v>
      </c>
      <c r="G2269" s="30">
        <v>82025.391972640806</v>
      </c>
    </row>
    <row r="2270" spans="1:7" x14ac:dyDescent="0.25">
      <c r="A2270" t="s">
        <v>45</v>
      </c>
      <c r="B2270" t="s">
        <v>46</v>
      </c>
      <c r="C2270" t="s">
        <v>47</v>
      </c>
      <c r="D2270">
        <v>4474346</v>
      </c>
      <c r="E2270" t="s">
        <v>48</v>
      </c>
      <c r="F2270" t="s">
        <v>49</v>
      </c>
      <c r="G2270" s="30">
        <v>0</v>
      </c>
    </row>
    <row r="2271" spans="1:7" x14ac:dyDescent="0.25">
      <c r="A2271" t="s">
        <v>45</v>
      </c>
      <c r="B2271" t="s">
        <v>46</v>
      </c>
      <c r="C2271" t="s">
        <v>47</v>
      </c>
      <c r="D2271">
        <v>4474800</v>
      </c>
      <c r="E2271" t="s">
        <v>53</v>
      </c>
      <c r="F2271" t="s">
        <v>49</v>
      </c>
      <c r="G2271" s="30">
        <v>7352.88</v>
      </c>
    </row>
    <row r="2272" spans="1:7" x14ac:dyDescent="0.25">
      <c r="A2272" t="s">
        <v>45</v>
      </c>
      <c r="B2272" t="s">
        <v>46</v>
      </c>
      <c r="C2272" t="s">
        <v>47</v>
      </c>
      <c r="D2272">
        <v>4474918</v>
      </c>
      <c r="E2272" t="s">
        <v>48</v>
      </c>
      <c r="F2272" t="s">
        <v>49</v>
      </c>
      <c r="G2272" s="30">
        <v>0</v>
      </c>
    </row>
    <row r="2273" spans="1:7" x14ac:dyDescent="0.25">
      <c r="A2273" t="s">
        <v>45</v>
      </c>
      <c r="B2273" t="s">
        <v>46</v>
      </c>
      <c r="C2273" t="s">
        <v>47</v>
      </c>
      <c r="D2273">
        <v>4475252</v>
      </c>
      <c r="E2273" t="s">
        <v>48</v>
      </c>
      <c r="F2273" t="s">
        <v>49</v>
      </c>
      <c r="G2273" s="30">
        <v>0</v>
      </c>
    </row>
    <row r="2274" spans="1:7" x14ac:dyDescent="0.25">
      <c r="A2274" t="s">
        <v>50</v>
      </c>
      <c r="B2274" t="s">
        <v>51</v>
      </c>
      <c r="C2274" t="s">
        <v>52</v>
      </c>
      <c r="D2274">
        <v>4476590</v>
      </c>
      <c r="E2274" t="s">
        <v>53</v>
      </c>
      <c r="F2274" t="s">
        <v>49</v>
      </c>
      <c r="G2274" s="30">
        <v>279.67</v>
      </c>
    </row>
    <row r="2275" spans="1:7" x14ac:dyDescent="0.25">
      <c r="A2275" t="s">
        <v>50</v>
      </c>
      <c r="B2275" t="s">
        <v>51</v>
      </c>
      <c r="C2275" t="s">
        <v>52</v>
      </c>
      <c r="D2275">
        <v>4476717</v>
      </c>
      <c r="E2275" t="s">
        <v>53</v>
      </c>
      <c r="F2275" t="s">
        <v>49</v>
      </c>
      <c r="G2275" s="30">
        <v>1718.34</v>
      </c>
    </row>
    <row r="2276" spans="1:7" x14ac:dyDescent="0.25">
      <c r="A2276" t="s">
        <v>45</v>
      </c>
      <c r="B2276" t="s">
        <v>46</v>
      </c>
      <c r="C2276" t="s">
        <v>47</v>
      </c>
      <c r="D2276">
        <v>4477071</v>
      </c>
      <c r="E2276" t="s">
        <v>48</v>
      </c>
      <c r="F2276" t="s">
        <v>49</v>
      </c>
      <c r="G2276" s="30">
        <v>0</v>
      </c>
    </row>
    <row r="2277" spans="1:7" x14ac:dyDescent="0.25">
      <c r="A2277" t="s">
        <v>45</v>
      </c>
      <c r="B2277" t="s">
        <v>46</v>
      </c>
      <c r="C2277" t="s">
        <v>47</v>
      </c>
      <c r="D2277">
        <v>4477419</v>
      </c>
      <c r="E2277" t="s">
        <v>48</v>
      </c>
      <c r="F2277" t="s">
        <v>49</v>
      </c>
      <c r="G2277" s="30">
        <v>0</v>
      </c>
    </row>
    <row r="2278" spans="1:7" x14ac:dyDescent="0.25">
      <c r="A2278" t="s">
        <v>106</v>
      </c>
      <c r="B2278" t="s">
        <v>107</v>
      </c>
      <c r="C2278" t="s">
        <v>56</v>
      </c>
      <c r="D2278">
        <v>4477796</v>
      </c>
      <c r="E2278" t="s">
        <v>53</v>
      </c>
      <c r="F2278" t="s">
        <v>49</v>
      </c>
      <c r="G2278" s="30">
        <v>3970.3762309039998</v>
      </c>
    </row>
    <row r="2279" spans="1:7" x14ac:dyDescent="0.25">
      <c r="A2279" t="s">
        <v>45</v>
      </c>
      <c r="B2279" t="s">
        <v>46</v>
      </c>
      <c r="C2279" t="s">
        <v>47</v>
      </c>
      <c r="D2279">
        <v>4478373</v>
      </c>
      <c r="E2279" t="s">
        <v>48</v>
      </c>
      <c r="F2279" t="s">
        <v>49</v>
      </c>
      <c r="G2279" s="30">
        <v>0</v>
      </c>
    </row>
    <row r="2280" spans="1:7" x14ac:dyDescent="0.25">
      <c r="A2280" t="s">
        <v>45</v>
      </c>
      <c r="B2280" t="s">
        <v>46</v>
      </c>
      <c r="C2280" t="s">
        <v>47</v>
      </c>
      <c r="D2280">
        <v>4481653</v>
      </c>
      <c r="E2280" t="s">
        <v>48</v>
      </c>
      <c r="F2280" t="s">
        <v>49</v>
      </c>
      <c r="G2280" s="30">
        <v>0</v>
      </c>
    </row>
    <row r="2281" spans="1:7" x14ac:dyDescent="0.25">
      <c r="A2281" t="s">
        <v>124</v>
      </c>
      <c r="B2281" t="s">
        <v>125</v>
      </c>
      <c r="C2281" t="s">
        <v>78</v>
      </c>
      <c r="D2281">
        <v>4484032</v>
      </c>
      <c r="E2281" t="s">
        <v>53</v>
      </c>
      <c r="F2281" t="s">
        <v>49</v>
      </c>
      <c r="G2281" s="30">
        <v>797439.409323295</v>
      </c>
    </row>
    <row r="2282" spans="1:7" x14ac:dyDescent="0.25">
      <c r="A2282" t="s">
        <v>63</v>
      </c>
      <c r="B2282" t="s">
        <v>64</v>
      </c>
      <c r="C2282" t="s">
        <v>56</v>
      </c>
      <c r="D2282">
        <v>4484332</v>
      </c>
      <c r="E2282" t="s">
        <v>53</v>
      </c>
      <c r="F2282" t="s">
        <v>49</v>
      </c>
      <c r="G2282" s="30">
        <v>39146.893285055099</v>
      </c>
    </row>
    <row r="2283" spans="1:7" x14ac:dyDescent="0.25">
      <c r="A2283" t="s">
        <v>161</v>
      </c>
      <c r="B2283" t="s">
        <v>162</v>
      </c>
      <c r="C2283" t="s">
        <v>56</v>
      </c>
      <c r="D2283">
        <v>4484475</v>
      </c>
      <c r="E2283" t="s">
        <v>48</v>
      </c>
      <c r="F2283" t="s">
        <v>49</v>
      </c>
      <c r="G2283" s="30">
        <v>0</v>
      </c>
    </row>
    <row r="2284" spans="1:7" x14ac:dyDescent="0.25">
      <c r="A2284" t="s">
        <v>45</v>
      </c>
      <c r="B2284" t="s">
        <v>46</v>
      </c>
      <c r="C2284" t="s">
        <v>47</v>
      </c>
      <c r="D2284">
        <v>4484549</v>
      </c>
      <c r="E2284" t="s">
        <v>48</v>
      </c>
      <c r="F2284" t="s">
        <v>49</v>
      </c>
      <c r="G2284" s="30">
        <v>0</v>
      </c>
    </row>
    <row r="2285" spans="1:7" x14ac:dyDescent="0.25">
      <c r="A2285" t="s">
        <v>124</v>
      </c>
      <c r="B2285" t="s">
        <v>125</v>
      </c>
      <c r="C2285" t="s">
        <v>78</v>
      </c>
      <c r="D2285">
        <v>4485208</v>
      </c>
      <c r="E2285" t="s">
        <v>53</v>
      </c>
      <c r="F2285" t="s">
        <v>49</v>
      </c>
      <c r="G2285" s="30">
        <v>1045728.65914783</v>
      </c>
    </row>
    <row r="2286" spans="1:7" x14ac:dyDescent="0.25">
      <c r="A2286" t="s">
        <v>45</v>
      </c>
      <c r="B2286" t="s">
        <v>46</v>
      </c>
      <c r="C2286" t="s">
        <v>47</v>
      </c>
      <c r="D2286">
        <v>4486374</v>
      </c>
      <c r="E2286" t="s">
        <v>48</v>
      </c>
      <c r="F2286" t="s">
        <v>49</v>
      </c>
      <c r="G2286" s="30">
        <v>0</v>
      </c>
    </row>
    <row r="2287" spans="1:7" x14ac:dyDescent="0.25">
      <c r="A2287" t="s">
        <v>45</v>
      </c>
      <c r="B2287" t="s">
        <v>46</v>
      </c>
      <c r="C2287" t="s">
        <v>47</v>
      </c>
      <c r="D2287">
        <v>4486506</v>
      </c>
      <c r="E2287" t="s">
        <v>53</v>
      </c>
      <c r="F2287" t="s">
        <v>49</v>
      </c>
      <c r="G2287" s="30">
        <v>2415.8450423076501</v>
      </c>
    </row>
    <row r="2288" spans="1:7" x14ac:dyDescent="0.25">
      <c r="A2288" t="s">
        <v>50</v>
      </c>
      <c r="B2288" t="s">
        <v>51</v>
      </c>
      <c r="C2288" t="s">
        <v>52</v>
      </c>
      <c r="D2288">
        <v>4486538</v>
      </c>
      <c r="E2288" t="s">
        <v>53</v>
      </c>
      <c r="F2288" t="s">
        <v>49</v>
      </c>
      <c r="G2288" s="30">
        <v>1343.18069818343</v>
      </c>
    </row>
    <row r="2289" spans="1:7" x14ac:dyDescent="0.25">
      <c r="A2289" t="s">
        <v>124</v>
      </c>
      <c r="B2289" t="s">
        <v>125</v>
      </c>
      <c r="C2289" t="s">
        <v>78</v>
      </c>
      <c r="D2289">
        <v>4486688</v>
      </c>
      <c r="E2289" t="s">
        <v>53</v>
      </c>
      <c r="F2289" t="s">
        <v>49</v>
      </c>
      <c r="G2289" s="30">
        <v>1297504.8</v>
      </c>
    </row>
    <row r="2290" spans="1:7" x14ac:dyDescent="0.25">
      <c r="A2290" t="s">
        <v>45</v>
      </c>
      <c r="B2290" t="s">
        <v>46</v>
      </c>
      <c r="C2290" t="s">
        <v>47</v>
      </c>
      <c r="D2290">
        <v>4487769</v>
      </c>
      <c r="E2290" t="s">
        <v>48</v>
      </c>
      <c r="F2290" t="s">
        <v>49</v>
      </c>
      <c r="G2290" s="30">
        <v>0</v>
      </c>
    </row>
    <row r="2291" spans="1:7" x14ac:dyDescent="0.25">
      <c r="A2291" t="s">
        <v>45</v>
      </c>
      <c r="B2291" t="s">
        <v>46</v>
      </c>
      <c r="C2291" t="s">
        <v>47</v>
      </c>
      <c r="D2291">
        <v>4488385</v>
      </c>
      <c r="E2291" t="s">
        <v>48</v>
      </c>
      <c r="F2291" t="s">
        <v>49</v>
      </c>
      <c r="G2291" s="30">
        <v>0</v>
      </c>
    </row>
    <row r="2292" spans="1:7" x14ac:dyDescent="0.25">
      <c r="A2292" t="s">
        <v>45</v>
      </c>
      <c r="B2292" t="s">
        <v>46</v>
      </c>
      <c r="C2292" t="s">
        <v>47</v>
      </c>
      <c r="D2292">
        <v>4488754</v>
      </c>
      <c r="E2292" t="s">
        <v>48</v>
      </c>
      <c r="F2292" t="s">
        <v>49</v>
      </c>
      <c r="G2292" s="30">
        <v>0</v>
      </c>
    </row>
    <row r="2293" spans="1:7" x14ac:dyDescent="0.25">
      <c r="A2293" t="s">
        <v>63</v>
      </c>
      <c r="B2293" t="s">
        <v>64</v>
      </c>
      <c r="C2293" t="s">
        <v>56</v>
      </c>
      <c r="D2293">
        <v>4488956</v>
      </c>
      <c r="E2293" t="s">
        <v>53</v>
      </c>
      <c r="F2293" t="s">
        <v>49</v>
      </c>
      <c r="G2293" s="30">
        <v>179574.29780621201</v>
      </c>
    </row>
    <row r="2294" spans="1:7" x14ac:dyDescent="0.25">
      <c r="A2294" t="s">
        <v>50</v>
      </c>
      <c r="B2294" t="s">
        <v>51</v>
      </c>
      <c r="C2294" t="s">
        <v>52</v>
      </c>
      <c r="D2294">
        <v>4490521</v>
      </c>
      <c r="E2294" t="s">
        <v>53</v>
      </c>
      <c r="F2294" t="s">
        <v>49</v>
      </c>
      <c r="G2294" s="30">
        <v>1310.80317412504</v>
      </c>
    </row>
    <row r="2295" spans="1:7" x14ac:dyDescent="0.25">
      <c r="A2295" t="s">
        <v>45</v>
      </c>
      <c r="B2295" t="s">
        <v>46</v>
      </c>
      <c r="C2295" t="s">
        <v>47</v>
      </c>
      <c r="D2295">
        <v>4491475</v>
      </c>
      <c r="E2295" t="s">
        <v>48</v>
      </c>
      <c r="F2295" t="s">
        <v>49</v>
      </c>
      <c r="G2295" s="30">
        <v>0</v>
      </c>
    </row>
    <row r="2296" spans="1:7" x14ac:dyDescent="0.25">
      <c r="A2296" t="s">
        <v>45</v>
      </c>
      <c r="B2296" t="s">
        <v>46</v>
      </c>
      <c r="C2296" t="s">
        <v>47</v>
      </c>
      <c r="D2296">
        <v>4494989</v>
      </c>
      <c r="E2296" t="s">
        <v>53</v>
      </c>
      <c r="F2296" t="s">
        <v>49</v>
      </c>
      <c r="G2296" s="30">
        <v>74211.070753047199</v>
      </c>
    </row>
    <row r="2297" spans="1:7" x14ac:dyDescent="0.25">
      <c r="A2297" t="s">
        <v>116</v>
      </c>
      <c r="B2297" t="s">
        <v>117</v>
      </c>
      <c r="C2297" t="s">
        <v>47</v>
      </c>
      <c r="D2297">
        <v>4495394</v>
      </c>
      <c r="E2297" t="s">
        <v>53</v>
      </c>
      <c r="F2297" t="s">
        <v>49</v>
      </c>
      <c r="G2297" s="30">
        <v>19946.8782774705</v>
      </c>
    </row>
    <row r="2298" spans="1:7" x14ac:dyDescent="0.25">
      <c r="A2298" t="s">
        <v>45</v>
      </c>
      <c r="B2298" t="s">
        <v>46</v>
      </c>
      <c r="C2298" t="s">
        <v>47</v>
      </c>
      <c r="D2298">
        <v>4498773</v>
      </c>
      <c r="E2298" t="s">
        <v>48</v>
      </c>
      <c r="F2298" t="s">
        <v>49</v>
      </c>
      <c r="G2298" s="30">
        <v>0</v>
      </c>
    </row>
    <row r="2299" spans="1:7" x14ac:dyDescent="0.25">
      <c r="A2299" t="s">
        <v>45</v>
      </c>
      <c r="B2299" t="s">
        <v>46</v>
      </c>
      <c r="C2299" t="s">
        <v>47</v>
      </c>
      <c r="D2299">
        <v>4499244</v>
      </c>
      <c r="E2299" t="s">
        <v>48</v>
      </c>
      <c r="F2299" t="s">
        <v>49</v>
      </c>
      <c r="G2299" s="30">
        <v>0</v>
      </c>
    </row>
    <row r="2300" spans="1:7" x14ac:dyDescent="0.25">
      <c r="A2300" t="s">
        <v>45</v>
      </c>
      <c r="B2300" t="s">
        <v>46</v>
      </c>
      <c r="C2300" t="s">
        <v>47</v>
      </c>
      <c r="D2300">
        <v>4502523</v>
      </c>
      <c r="E2300" t="s">
        <v>48</v>
      </c>
      <c r="F2300" t="s">
        <v>49</v>
      </c>
      <c r="G2300" s="30">
        <v>0</v>
      </c>
    </row>
    <row r="2301" spans="1:7" x14ac:dyDescent="0.25">
      <c r="A2301" t="s">
        <v>45</v>
      </c>
      <c r="B2301" t="s">
        <v>46</v>
      </c>
      <c r="C2301" t="s">
        <v>47</v>
      </c>
      <c r="D2301">
        <v>4508088</v>
      </c>
      <c r="E2301" t="s">
        <v>48</v>
      </c>
      <c r="F2301" t="s">
        <v>49</v>
      </c>
      <c r="G2301" s="30">
        <v>68.11</v>
      </c>
    </row>
    <row r="2302" spans="1:7" x14ac:dyDescent="0.25">
      <c r="A2302" t="s">
        <v>45</v>
      </c>
      <c r="B2302" t="s">
        <v>46</v>
      </c>
      <c r="C2302" t="s">
        <v>47</v>
      </c>
      <c r="D2302">
        <v>4509620</v>
      </c>
      <c r="E2302" t="s">
        <v>53</v>
      </c>
      <c r="F2302" t="s">
        <v>49</v>
      </c>
      <c r="G2302" s="30">
        <v>76357.571225046893</v>
      </c>
    </row>
    <row r="2303" spans="1:7" x14ac:dyDescent="0.25">
      <c r="A2303" t="s">
        <v>45</v>
      </c>
      <c r="B2303" t="s">
        <v>46</v>
      </c>
      <c r="C2303" t="s">
        <v>47</v>
      </c>
      <c r="D2303">
        <v>4511429</v>
      </c>
      <c r="E2303" t="s">
        <v>48</v>
      </c>
      <c r="F2303" t="s">
        <v>49</v>
      </c>
      <c r="G2303" s="30">
        <v>4.5</v>
      </c>
    </row>
    <row r="2304" spans="1:7" x14ac:dyDescent="0.25">
      <c r="A2304" t="s">
        <v>45</v>
      </c>
      <c r="B2304" t="s">
        <v>46</v>
      </c>
      <c r="C2304" t="s">
        <v>47</v>
      </c>
      <c r="D2304">
        <v>4511580</v>
      </c>
      <c r="E2304" t="s">
        <v>48</v>
      </c>
      <c r="F2304" t="s">
        <v>49</v>
      </c>
      <c r="G2304" s="30">
        <v>0</v>
      </c>
    </row>
    <row r="2305" spans="1:7" x14ac:dyDescent="0.25">
      <c r="A2305" t="s">
        <v>45</v>
      </c>
      <c r="B2305" t="s">
        <v>46</v>
      </c>
      <c r="C2305" t="s">
        <v>47</v>
      </c>
      <c r="D2305">
        <v>4513281</v>
      </c>
      <c r="E2305" t="s">
        <v>48</v>
      </c>
      <c r="F2305" t="s">
        <v>49</v>
      </c>
      <c r="G2305" s="30">
        <v>0</v>
      </c>
    </row>
    <row r="2306" spans="1:7" x14ac:dyDescent="0.25">
      <c r="A2306" t="s">
        <v>114</v>
      </c>
      <c r="B2306" t="s">
        <v>115</v>
      </c>
      <c r="C2306" t="s">
        <v>56</v>
      </c>
      <c r="D2306">
        <v>4515380</v>
      </c>
      <c r="E2306" t="s">
        <v>53</v>
      </c>
      <c r="F2306" t="s">
        <v>49</v>
      </c>
      <c r="G2306" s="30">
        <v>1227517.39733788</v>
      </c>
    </row>
    <row r="2307" spans="1:7" x14ac:dyDescent="0.25">
      <c r="A2307" t="s">
        <v>50</v>
      </c>
      <c r="B2307" t="s">
        <v>51</v>
      </c>
      <c r="C2307" t="s">
        <v>52</v>
      </c>
      <c r="D2307">
        <v>4515834</v>
      </c>
      <c r="E2307" t="s">
        <v>53</v>
      </c>
      <c r="F2307" t="s">
        <v>49</v>
      </c>
      <c r="G2307" s="30">
        <v>21000</v>
      </c>
    </row>
    <row r="2308" spans="1:7" x14ac:dyDescent="0.25">
      <c r="A2308" t="s">
        <v>63</v>
      </c>
      <c r="B2308" t="s">
        <v>64</v>
      </c>
      <c r="C2308" t="s">
        <v>56</v>
      </c>
      <c r="D2308">
        <v>4517690</v>
      </c>
      <c r="E2308" t="s">
        <v>53</v>
      </c>
      <c r="F2308" t="s">
        <v>49</v>
      </c>
      <c r="G2308" s="30">
        <v>577482.04068640003</v>
      </c>
    </row>
    <row r="2309" spans="1:7" x14ac:dyDescent="0.25">
      <c r="A2309" t="s">
        <v>126</v>
      </c>
      <c r="B2309" t="s">
        <v>127</v>
      </c>
      <c r="C2309" t="s">
        <v>67</v>
      </c>
      <c r="D2309">
        <v>4517826</v>
      </c>
      <c r="E2309" t="s">
        <v>53</v>
      </c>
      <c r="F2309" t="s">
        <v>49</v>
      </c>
      <c r="G2309" s="30">
        <v>21062.927966342999</v>
      </c>
    </row>
    <row r="2310" spans="1:7" x14ac:dyDescent="0.25">
      <c r="A2310" t="s">
        <v>45</v>
      </c>
      <c r="B2310" t="s">
        <v>46</v>
      </c>
      <c r="C2310" t="s">
        <v>47</v>
      </c>
      <c r="D2310">
        <v>4519845</v>
      </c>
      <c r="E2310" t="s">
        <v>48</v>
      </c>
      <c r="F2310" t="s">
        <v>49</v>
      </c>
      <c r="G2310" s="30">
        <v>0</v>
      </c>
    </row>
    <row r="2311" spans="1:7" x14ac:dyDescent="0.25">
      <c r="A2311" t="s">
        <v>65</v>
      </c>
      <c r="B2311" t="s">
        <v>66</v>
      </c>
      <c r="C2311" t="s">
        <v>67</v>
      </c>
      <c r="D2311">
        <v>4520070</v>
      </c>
      <c r="E2311" t="s">
        <v>53</v>
      </c>
      <c r="F2311" t="s">
        <v>49</v>
      </c>
      <c r="G2311" s="30">
        <v>2821.29</v>
      </c>
    </row>
    <row r="2312" spans="1:7" x14ac:dyDescent="0.25">
      <c r="A2312" t="s">
        <v>63</v>
      </c>
      <c r="B2312" t="s">
        <v>64</v>
      </c>
      <c r="C2312" t="s">
        <v>56</v>
      </c>
      <c r="D2312">
        <v>4520094</v>
      </c>
      <c r="E2312" t="s">
        <v>53</v>
      </c>
      <c r="F2312" t="s">
        <v>49</v>
      </c>
      <c r="G2312" s="30">
        <v>215050.03115352301</v>
      </c>
    </row>
    <row r="2313" spans="1:7" x14ac:dyDescent="0.25">
      <c r="A2313" t="s">
        <v>126</v>
      </c>
      <c r="B2313" t="s">
        <v>127</v>
      </c>
      <c r="C2313" t="s">
        <v>67</v>
      </c>
      <c r="D2313">
        <v>4520117</v>
      </c>
      <c r="E2313" t="s">
        <v>53</v>
      </c>
      <c r="F2313" t="s">
        <v>49</v>
      </c>
      <c r="G2313" s="30">
        <v>45243.147594638198</v>
      </c>
    </row>
    <row r="2314" spans="1:7" x14ac:dyDescent="0.25">
      <c r="A2314" t="s">
        <v>45</v>
      </c>
      <c r="B2314" t="s">
        <v>46</v>
      </c>
      <c r="C2314" t="s">
        <v>47</v>
      </c>
      <c r="D2314">
        <v>4520904</v>
      </c>
      <c r="E2314" t="s">
        <v>48</v>
      </c>
      <c r="F2314" t="s">
        <v>49</v>
      </c>
      <c r="G2314" s="30">
        <v>2.98</v>
      </c>
    </row>
    <row r="2315" spans="1:7" x14ac:dyDescent="0.25">
      <c r="A2315" t="s">
        <v>124</v>
      </c>
      <c r="B2315" t="s">
        <v>125</v>
      </c>
      <c r="C2315" t="s">
        <v>78</v>
      </c>
      <c r="D2315">
        <v>4521735</v>
      </c>
      <c r="E2315" t="s">
        <v>53</v>
      </c>
      <c r="F2315" t="s">
        <v>49</v>
      </c>
      <c r="G2315" s="30">
        <v>700257.01002507797</v>
      </c>
    </row>
    <row r="2316" spans="1:7" x14ac:dyDescent="0.25">
      <c r="A2316" t="s">
        <v>94</v>
      </c>
      <c r="B2316" t="s">
        <v>95</v>
      </c>
      <c r="C2316" t="s">
        <v>78</v>
      </c>
      <c r="D2316">
        <v>4523616</v>
      </c>
      <c r="E2316" t="s">
        <v>53</v>
      </c>
      <c r="F2316" t="s">
        <v>49</v>
      </c>
      <c r="G2316" s="30">
        <v>629397.51691309805</v>
      </c>
    </row>
    <row r="2317" spans="1:7" x14ac:dyDescent="0.25">
      <c r="A2317" t="s">
        <v>50</v>
      </c>
      <c r="B2317" t="s">
        <v>51</v>
      </c>
      <c r="C2317" t="s">
        <v>52</v>
      </c>
      <c r="D2317">
        <v>4525224</v>
      </c>
      <c r="E2317" t="s">
        <v>48</v>
      </c>
      <c r="F2317" t="s">
        <v>49</v>
      </c>
      <c r="G2317" s="30">
        <v>0</v>
      </c>
    </row>
    <row r="2318" spans="1:7" x14ac:dyDescent="0.25">
      <c r="A2318" t="s">
        <v>61</v>
      </c>
      <c r="B2318" t="s">
        <v>62</v>
      </c>
      <c r="C2318" t="s">
        <v>56</v>
      </c>
      <c r="D2318">
        <v>4529429</v>
      </c>
      <c r="E2318" t="s">
        <v>48</v>
      </c>
      <c r="F2318" t="s">
        <v>49</v>
      </c>
      <c r="G2318" s="30">
        <v>0</v>
      </c>
    </row>
    <row r="2319" spans="1:7" x14ac:dyDescent="0.25">
      <c r="A2319" t="s">
        <v>45</v>
      </c>
      <c r="B2319" t="s">
        <v>46</v>
      </c>
      <c r="C2319" t="s">
        <v>47</v>
      </c>
      <c r="D2319">
        <v>4531274</v>
      </c>
      <c r="E2319" t="s">
        <v>48</v>
      </c>
      <c r="F2319" t="s">
        <v>49</v>
      </c>
      <c r="G2319" s="30">
        <v>0</v>
      </c>
    </row>
    <row r="2320" spans="1:7" x14ac:dyDescent="0.25">
      <c r="A2320" t="s">
        <v>45</v>
      </c>
      <c r="B2320" t="s">
        <v>46</v>
      </c>
      <c r="C2320" t="s">
        <v>47</v>
      </c>
      <c r="D2320">
        <v>4535415</v>
      </c>
      <c r="E2320" t="s">
        <v>48</v>
      </c>
      <c r="F2320" t="s">
        <v>49</v>
      </c>
      <c r="G2320" s="30">
        <v>10.67</v>
      </c>
    </row>
    <row r="2321" spans="1:7" x14ac:dyDescent="0.25">
      <c r="A2321" t="s">
        <v>124</v>
      </c>
      <c r="B2321" t="s">
        <v>125</v>
      </c>
      <c r="C2321" t="s">
        <v>78</v>
      </c>
      <c r="D2321">
        <v>4535789</v>
      </c>
      <c r="E2321" t="s">
        <v>53</v>
      </c>
      <c r="F2321" t="s">
        <v>49</v>
      </c>
      <c r="G2321" s="30">
        <v>268502.18554245302</v>
      </c>
    </row>
    <row r="2322" spans="1:7" x14ac:dyDescent="0.25">
      <c r="A2322" t="s">
        <v>45</v>
      </c>
      <c r="B2322" t="s">
        <v>46</v>
      </c>
      <c r="C2322" t="s">
        <v>47</v>
      </c>
      <c r="D2322">
        <v>4535995</v>
      </c>
      <c r="E2322" t="s">
        <v>53</v>
      </c>
      <c r="F2322" t="s">
        <v>49</v>
      </c>
      <c r="G2322" s="30">
        <v>76223.541454477905</v>
      </c>
    </row>
    <row r="2323" spans="1:7" x14ac:dyDescent="0.25">
      <c r="A2323" t="s">
        <v>45</v>
      </c>
      <c r="B2323" t="s">
        <v>46</v>
      </c>
      <c r="C2323" t="s">
        <v>47</v>
      </c>
      <c r="D2323">
        <v>4536003</v>
      </c>
      <c r="E2323" t="s">
        <v>48</v>
      </c>
      <c r="F2323" t="s">
        <v>49</v>
      </c>
      <c r="G2323" s="30">
        <v>0</v>
      </c>
    </row>
    <row r="2324" spans="1:7" x14ac:dyDescent="0.25">
      <c r="A2324" t="s">
        <v>45</v>
      </c>
      <c r="B2324" t="s">
        <v>46</v>
      </c>
      <c r="C2324" t="s">
        <v>47</v>
      </c>
      <c r="D2324">
        <v>4541612</v>
      </c>
      <c r="E2324" t="s">
        <v>48</v>
      </c>
      <c r="F2324" t="s">
        <v>49</v>
      </c>
      <c r="G2324" s="30">
        <v>0</v>
      </c>
    </row>
    <row r="2325" spans="1:7" x14ac:dyDescent="0.25">
      <c r="A2325" t="s">
        <v>124</v>
      </c>
      <c r="B2325" t="s">
        <v>125</v>
      </c>
      <c r="C2325" t="s">
        <v>78</v>
      </c>
      <c r="D2325">
        <v>4542192</v>
      </c>
      <c r="E2325" t="s">
        <v>53</v>
      </c>
      <c r="F2325" t="s">
        <v>49</v>
      </c>
      <c r="G2325" s="30">
        <v>1071518.4245998701</v>
      </c>
    </row>
    <row r="2326" spans="1:7" x14ac:dyDescent="0.25">
      <c r="A2326" t="s">
        <v>45</v>
      </c>
      <c r="B2326" t="s">
        <v>46</v>
      </c>
      <c r="C2326" t="s">
        <v>47</v>
      </c>
      <c r="D2326">
        <v>4543487</v>
      </c>
      <c r="E2326" t="s">
        <v>48</v>
      </c>
      <c r="F2326" t="s">
        <v>49</v>
      </c>
      <c r="G2326" s="30">
        <v>0</v>
      </c>
    </row>
    <row r="2327" spans="1:7" x14ac:dyDescent="0.25">
      <c r="A2327" t="s">
        <v>45</v>
      </c>
      <c r="B2327" t="s">
        <v>46</v>
      </c>
      <c r="C2327" t="s">
        <v>47</v>
      </c>
      <c r="D2327">
        <v>4545415</v>
      </c>
      <c r="E2327" t="s">
        <v>48</v>
      </c>
      <c r="F2327" t="s">
        <v>49</v>
      </c>
      <c r="G2327" s="30">
        <v>0</v>
      </c>
    </row>
    <row r="2328" spans="1:7" x14ac:dyDescent="0.25">
      <c r="A2328" t="s">
        <v>118</v>
      </c>
      <c r="B2328" t="s">
        <v>119</v>
      </c>
      <c r="C2328" t="s">
        <v>56</v>
      </c>
      <c r="D2328">
        <v>4548349</v>
      </c>
      <c r="E2328" t="s">
        <v>53</v>
      </c>
      <c r="F2328" t="s">
        <v>49</v>
      </c>
      <c r="G2328" s="30">
        <v>628538.54554368195</v>
      </c>
    </row>
    <row r="2329" spans="1:7" x14ac:dyDescent="0.25">
      <c r="A2329" t="s">
        <v>45</v>
      </c>
      <c r="B2329" t="s">
        <v>46</v>
      </c>
      <c r="C2329" t="s">
        <v>47</v>
      </c>
      <c r="D2329">
        <v>4548775</v>
      </c>
      <c r="E2329" t="s">
        <v>53</v>
      </c>
      <c r="F2329" t="s">
        <v>49</v>
      </c>
      <c r="G2329" s="30">
        <v>4073645.89796875</v>
      </c>
    </row>
    <row r="2330" spans="1:7" x14ac:dyDescent="0.25">
      <c r="A2330" t="s">
        <v>45</v>
      </c>
      <c r="B2330" t="s">
        <v>46</v>
      </c>
      <c r="C2330" t="s">
        <v>47</v>
      </c>
      <c r="D2330">
        <v>4549026</v>
      </c>
      <c r="E2330" t="s">
        <v>48</v>
      </c>
      <c r="F2330" t="s">
        <v>49</v>
      </c>
      <c r="G2330" s="30">
        <v>0</v>
      </c>
    </row>
    <row r="2331" spans="1:7" x14ac:dyDescent="0.25">
      <c r="A2331" t="s">
        <v>63</v>
      </c>
      <c r="B2331" t="s">
        <v>64</v>
      </c>
      <c r="C2331" t="s">
        <v>56</v>
      </c>
      <c r="D2331">
        <v>4550455</v>
      </c>
      <c r="E2331" t="s">
        <v>53</v>
      </c>
      <c r="F2331" t="s">
        <v>49</v>
      </c>
      <c r="G2331" s="30">
        <v>421207.39802042203</v>
      </c>
    </row>
    <row r="2332" spans="1:7" x14ac:dyDescent="0.25">
      <c r="A2332" t="s">
        <v>45</v>
      </c>
      <c r="B2332" t="s">
        <v>46</v>
      </c>
      <c r="C2332" t="s">
        <v>47</v>
      </c>
      <c r="D2332">
        <v>4551622</v>
      </c>
      <c r="E2332" t="s">
        <v>48</v>
      </c>
      <c r="F2332" t="s">
        <v>49</v>
      </c>
      <c r="G2332" s="30">
        <v>0</v>
      </c>
    </row>
    <row r="2333" spans="1:7" x14ac:dyDescent="0.25">
      <c r="A2333" t="s">
        <v>50</v>
      </c>
      <c r="B2333" t="s">
        <v>51</v>
      </c>
      <c r="C2333" t="s">
        <v>52</v>
      </c>
      <c r="D2333">
        <v>4552670</v>
      </c>
      <c r="E2333" t="s">
        <v>53</v>
      </c>
      <c r="F2333" t="s">
        <v>49</v>
      </c>
      <c r="G2333" s="30">
        <v>28724.2</v>
      </c>
    </row>
    <row r="2334" spans="1:7" x14ac:dyDescent="0.25">
      <c r="A2334" t="s">
        <v>45</v>
      </c>
      <c r="B2334" t="s">
        <v>46</v>
      </c>
      <c r="C2334" t="s">
        <v>47</v>
      </c>
      <c r="D2334">
        <v>4554785</v>
      </c>
      <c r="E2334" t="s">
        <v>48</v>
      </c>
      <c r="F2334" t="s">
        <v>49</v>
      </c>
      <c r="G2334" s="30">
        <v>0</v>
      </c>
    </row>
    <row r="2335" spans="1:7" x14ac:dyDescent="0.25">
      <c r="A2335" t="s">
        <v>106</v>
      </c>
      <c r="B2335" t="s">
        <v>107</v>
      </c>
      <c r="C2335" t="s">
        <v>56</v>
      </c>
      <c r="D2335">
        <v>4555577</v>
      </c>
      <c r="E2335" t="s">
        <v>48</v>
      </c>
      <c r="F2335" t="s">
        <v>49</v>
      </c>
      <c r="G2335" s="30">
        <v>0</v>
      </c>
    </row>
    <row r="2336" spans="1:7" x14ac:dyDescent="0.25">
      <c r="A2336" t="s">
        <v>50</v>
      </c>
      <c r="B2336" t="s">
        <v>51</v>
      </c>
      <c r="C2336" t="s">
        <v>52</v>
      </c>
      <c r="D2336">
        <v>4560217</v>
      </c>
      <c r="E2336" t="s">
        <v>53</v>
      </c>
      <c r="F2336" t="s">
        <v>49</v>
      </c>
      <c r="G2336" s="30">
        <v>3063.61</v>
      </c>
    </row>
    <row r="2337" spans="1:7" x14ac:dyDescent="0.25">
      <c r="A2337" t="s">
        <v>50</v>
      </c>
      <c r="B2337" t="s">
        <v>51</v>
      </c>
      <c r="C2337" t="s">
        <v>52</v>
      </c>
      <c r="D2337">
        <v>4560693</v>
      </c>
      <c r="E2337" t="s">
        <v>53</v>
      </c>
      <c r="F2337" t="s">
        <v>49</v>
      </c>
      <c r="G2337" s="30">
        <v>18572.4280311689</v>
      </c>
    </row>
    <row r="2338" spans="1:7" x14ac:dyDescent="0.25">
      <c r="A2338" t="s">
        <v>45</v>
      </c>
      <c r="B2338" t="s">
        <v>46</v>
      </c>
      <c r="C2338" t="s">
        <v>47</v>
      </c>
      <c r="D2338">
        <v>4564524</v>
      </c>
      <c r="E2338" t="s">
        <v>48</v>
      </c>
      <c r="F2338" t="s">
        <v>49</v>
      </c>
      <c r="G2338" s="30">
        <v>0</v>
      </c>
    </row>
    <row r="2339" spans="1:7" x14ac:dyDescent="0.25">
      <c r="A2339" t="s">
        <v>86</v>
      </c>
      <c r="B2339" t="s">
        <v>87</v>
      </c>
      <c r="C2339" t="s">
        <v>78</v>
      </c>
      <c r="D2339">
        <v>4565322</v>
      </c>
      <c r="E2339" t="s">
        <v>53</v>
      </c>
      <c r="F2339" t="s">
        <v>49</v>
      </c>
      <c r="G2339" s="30">
        <v>951533.71757645998</v>
      </c>
    </row>
    <row r="2340" spans="1:7" x14ac:dyDescent="0.25">
      <c r="A2340" t="s">
        <v>45</v>
      </c>
      <c r="B2340" t="s">
        <v>46</v>
      </c>
      <c r="C2340" t="s">
        <v>47</v>
      </c>
      <c r="D2340">
        <v>4565354</v>
      </c>
      <c r="E2340" t="s">
        <v>48</v>
      </c>
      <c r="F2340" t="s">
        <v>49</v>
      </c>
      <c r="G2340" s="30">
        <v>0</v>
      </c>
    </row>
    <row r="2341" spans="1:7" x14ac:dyDescent="0.25">
      <c r="A2341" t="s">
        <v>45</v>
      </c>
      <c r="B2341" t="s">
        <v>46</v>
      </c>
      <c r="C2341" t="s">
        <v>47</v>
      </c>
      <c r="D2341">
        <v>4565977</v>
      </c>
      <c r="E2341" t="s">
        <v>48</v>
      </c>
      <c r="F2341" t="s">
        <v>49</v>
      </c>
      <c r="G2341" s="30">
        <v>0</v>
      </c>
    </row>
    <row r="2342" spans="1:7" x14ac:dyDescent="0.25">
      <c r="A2342" t="s">
        <v>45</v>
      </c>
      <c r="B2342" t="s">
        <v>46</v>
      </c>
      <c r="C2342" t="s">
        <v>47</v>
      </c>
      <c r="D2342">
        <v>4566449</v>
      </c>
      <c r="E2342" t="s">
        <v>48</v>
      </c>
      <c r="F2342" t="s">
        <v>49</v>
      </c>
      <c r="G2342" s="30">
        <v>13.4</v>
      </c>
    </row>
    <row r="2343" spans="1:7" x14ac:dyDescent="0.25">
      <c r="A2343" t="s">
        <v>50</v>
      </c>
      <c r="B2343" t="s">
        <v>51</v>
      </c>
      <c r="C2343" t="s">
        <v>52</v>
      </c>
      <c r="D2343">
        <v>4566840</v>
      </c>
      <c r="E2343" t="s">
        <v>53</v>
      </c>
      <c r="F2343" t="s">
        <v>49</v>
      </c>
      <c r="G2343" s="30">
        <v>24795.21</v>
      </c>
    </row>
    <row r="2344" spans="1:7" x14ac:dyDescent="0.25">
      <c r="A2344" t="s">
        <v>61</v>
      </c>
      <c r="B2344" t="s">
        <v>62</v>
      </c>
      <c r="C2344" t="s">
        <v>56</v>
      </c>
      <c r="D2344">
        <v>4567105</v>
      </c>
      <c r="E2344" t="s">
        <v>48</v>
      </c>
      <c r="F2344" t="s">
        <v>49</v>
      </c>
      <c r="G2344" s="30">
        <v>0</v>
      </c>
    </row>
    <row r="2345" spans="1:7" x14ac:dyDescent="0.25">
      <c r="A2345" t="s">
        <v>72</v>
      </c>
      <c r="B2345" t="s">
        <v>73</v>
      </c>
      <c r="C2345" t="s">
        <v>67</v>
      </c>
      <c r="D2345">
        <v>4567576</v>
      </c>
      <c r="E2345" t="s">
        <v>53</v>
      </c>
      <c r="F2345" t="s">
        <v>49</v>
      </c>
      <c r="G2345" s="30">
        <v>1169363.6442025199</v>
      </c>
    </row>
    <row r="2346" spans="1:7" x14ac:dyDescent="0.25">
      <c r="A2346" t="s">
        <v>45</v>
      </c>
      <c r="B2346" t="s">
        <v>46</v>
      </c>
      <c r="C2346" t="s">
        <v>47</v>
      </c>
      <c r="D2346">
        <v>4568940</v>
      </c>
      <c r="E2346" t="s">
        <v>48</v>
      </c>
      <c r="F2346" t="s">
        <v>49</v>
      </c>
      <c r="G2346" s="30">
        <v>0</v>
      </c>
    </row>
    <row r="2347" spans="1:7" x14ac:dyDescent="0.25">
      <c r="A2347" t="s">
        <v>50</v>
      </c>
      <c r="B2347" t="s">
        <v>51</v>
      </c>
      <c r="C2347" t="s">
        <v>52</v>
      </c>
      <c r="D2347">
        <v>4569076</v>
      </c>
      <c r="E2347" t="s">
        <v>53</v>
      </c>
      <c r="F2347" t="s">
        <v>49</v>
      </c>
      <c r="G2347" s="30">
        <v>62.328717459519602</v>
      </c>
    </row>
    <row r="2348" spans="1:7" x14ac:dyDescent="0.25">
      <c r="A2348" t="s">
        <v>45</v>
      </c>
      <c r="B2348" t="s">
        <v>46</v>
      </c>
      <c r="C2348" t="s">
        <v>47</v>
      </c>
      <c r="D2348">
        <v>4569177</v>
      </c>
      <c r="E2348" t="s">
        <v>48</v>
      </c>
      <c r="F2348" t="s">
        <v>49</v>
      </c>
      <c r="G2348" s="30">
        <v>0</v>
      </c>
    </row>
    <row r="2349" spans="1:7" x14ac:dyDescent="0.25">
      <c r="A2349" t="s">
        <v>57</v>
      </c>
      <c r="B2349" t="s">
        <v>58</v>
      </c>
      <c r="C2349" t="s">
        <v>56</v>
      </c>
      <c r="D2349">
        <v>4570345</v>
      </c>
      <c r="E2349" t="s">
        <v>53</v>
      </c>
      <c r="F2349" t="s">
        <v>49</v>
      </c>
      <c r="G2349" s="30">
        <v>559949.60976074205</v>
      </c>
    </row>
    <row r="2350" spans="1:7" x14ac:dyDescent="0.25">
      <c r="A2350" t="s">
        <v>50</v>
      </c>
      <c r="B2350" t="s">
        <v>51</v>
      </c>
      <c r="C2350" t="s">
        <v>52</v>
      </c>
      <c r="D2350">
        <v>4572290</v>
      </c>
      <c r="E2350" t="s">
        <v>53</v>
      </c>
      <c r="F2350" t="s">
        <v>49</v>
      </c>
      <c r="G2350" s="30">
        <v>56395.957555515</v>
      </c>
    </row>
    <row r="2351" spans="1:7" x14ac:dyDescent="0.25">
      <c r="A2351" t="s">
        <v>122</v>
      </c>
      <c r="B2351" t="s">
        <v>123</v>
      </c>
      <c r="C2351" t="s">
        <v>52</v>
      </c>
      <c r="D2351">
        <v>4573287</v>
      </c>
      <c r="E2351" t="s">
        <v>53</v>
      </c>
      <c r="F2351" t="s">
        <v>49</v>
      </c>
      <c r="G2351" s="30">
        <v>5847850.8719743099</v>
      </c>
    </row>
    <row r="2352" spans="1:7" x14ac:dyDescent="0.25">
      <c r="A2352" t="s">
        <v>68</v>
      </c>
      <c r="B2352" t="s">
        <v>69</v>
      </c>
      <c r="C2352" t="s">
        <v>56</v>
      </c>
      <c r="D2352">
        <v>4575132</v>
      </c>
      <c r="E2352" t="s">
        <v>53</v>
      </c>
      <c r="F2352" t="s">
        <v>49</v>
      </c>
      <c r="G2352" s="30">
        <v>223571.29671875</v>
      </c>
    </row>
    <row r="2353" spans="1:7" x14ac:dyDescent="0.25">
      <c r="A2353" t="s">
        <v>61</v>
      </c>
      <c r="B2353" t="s">
        <v>62</v>
      </c>
      <c r="C2353" t="s">
        <v>56</v>
      </c>
      <c r="D2353">
        <v>4575422</v>
      </c>
      <c r="E2353" t="s">
        <v>48</v>
      </c>
      <c r="F2353" t="s">
        <v>49</v>
      </c>
      <c r="G2353" s="30">
        <v>-24.93</v>
      </c>
    </row>
    <row r="2354" spans="1:7" x14ac:dyDescent="0.25">
      <c r="A2354" t="s">
        <v>45</v>
      </c>
      <c r="B2354" t="s">
        <v>46</v>
      </c>
      <c r="C2354" t="s">
        <v>47</v>
      </c>
      <c r="D2354">
        <v>4575459</v>
      </c>
      <c r="E2354" t="s">
        <v>48</v>
      </c>
      <c r="F2354" t="s">
        <v>49</v>
      </c>
      <c r="G2354" s="30">
        <v>0</v>
      </c>
    </row>
    <row r="2355" spans="1:7" x14ac:dyDescent="0.25">
      <c r="A2355" t="s">
        <v>68</v>
      </c>
      <c r="B2355" t="s">
        <v>69</v>
      </c>
      <c r="C2355" t="s">
        <v>56</v>
      </c>
      <c r="D2355">
        <v>4581525</v>
      </c>
      <c r="E2355" t="s">
        <v>48</v>
      </c>
      <c r="F2355" t="s">
        <v>49</v>
      </c>
      <c r="G2355" s="30">
        <v>0</v>
      </c>
    </row>
    <row r="2356" spans="1:7" x14ac:dyDescent="0.25">
      <c r="A2356" t="s">
        <v>122</v>
      </c>
      <c r="B2356" t="s">
        <v>123</v>
      </c>
      <c r="C2356" t="s">
        <v>52</v>
      </c>
      <c r="D2356">
        <v>4582207</v>
      </c>
      <c r="E2356" t="s">
        <v>53</v>
      </c>
      <c r="F2356" t="s">
        <v>49</v>
      </c>
      <c r="G2356" s="30">
        <v>1342799.5596521001</v>
      </c>
    </row>
    <row r="2357" spans="1:7" x14ac:dyDescent="0.25">
      <c r="A2357" t="s">
        <v>72</v>
      </c>
      <c r="B2357" t="s">
        <v>73</v>
      </c>
      <c r="C2357" t="s">
        <v>67</v>
      </c>
      <c r="D2357">
        <v>4582719</v>
      </c>
      <c r="E2357" t="s">
        <v>53</v>
      </c>
      <c r="F2357" t="s">
        <v>49</v>
      </c>
      <c r="G2357" s="30">
        <v>680108.75867943605</v>
      </c>
    </row>
    <row r="2358" spans="1:7" x14ac:dyDescent="0.25">
      <c r="A2358" t="s">
        <v>45</v>
      </c>
      <c r="B2358" t="s">
        <v>46</v>
      </c>
      <c r="C2358" t="s">
        <v>47</v>
      </c>
      <c r="D2358">
        <v>4582756</v>
      </c>
      <c r="E2358" t="s">
        <v>48</v>
      </c>
      <c r="F2358" t="s">
        <v>49</v>
      </c>
      <c r="G2358" s="30">
        <v>0</v>
      </c>
    </row>
    <row r="2359" spans="1:7" x14ac:dyDescent="0.25">
      <c r="A2359" t="s">
        <v>86</v>
      </c>
      <c r="B2359" t="s">
        <v>87</v>
      </c>
      <c r="C2359" t="s">
        <v>78</v>
      </c>
      <c r="D2359">
        <v>4582921</v>
      </c>
      <c r="E2359" t="s">
        <v>53</v>
      </c>
      <c r="F2359" t="s">
        <v>49</v>
      </c>
      <c r="G2359" s="30">
        <v>1645.81336425781</v>
      </c>
    </row>
    <row r="2360" spans="1:7" x14ac:dyDescent="0.25">
      <c r="A2360" t="s">
        <v>68</v>
      </c>
      <c r="B2360" t="s">
        <v>69</v>
      </c>
      <c r="C2360" t="s">
        <v>56</v>
      </c>
      <c r="D2360">
        <v>4584095</v>
      </c>
      <c r="E2360" t="s">
        <v>53</v>
      </c>
      <c r="F2360" t="s">
        <v>49</v>
      </c>
      <c r="G2360" s="30">
        <v>2177474.2728426899</v>
      </c>
    </row>
    <row r="2361" spans="1:7" x14ac:dyDescent="0.25">
      <c r="A2361" t="s">
        <v>45</v>
      </c>
      <c r="B2361" t="s">
        <v>46</v>
      </c>
      <c r="C2361" t="s">
        <v>47</v>
      </c>
      <c r="D2361">
        <v>4584957</v>
      </c>
      <c r="E2361" t="s">
        <v>48</v>
      </c>
      <c r="F2361" t="s">
        <v>49</v>
      </c>
      <c r="G2361" s="30">
        <v>0</v>
      </c>
    </row>
    <row r="2362" spans="1:7" x14ac:dyDescent="0.25">
      <c r="A2362" t="s">
        <v>50</v>
      </c>
      <c r="B2362" t="s">
        <v>51</v>
      </c>
      <c r="C2362" t="s">
        <v>52</v>
      </c>
      <c r="D2362">
        <v>4585932</v>
      </c>
      <c r="E2362" t="s">
        <v>53</v>
      </c>
      <c r="F2362" t="s">
        <v>49</v>
      </c>
      <c r="G2362" s="30">
        <v>102.71</v>
      </c>
    </row>
    <row r="2363" spans="1:7" x14ac:dyDescent="0.25">
      <c r="A2363" t="s">
        <v>45</v>
      </c>
      <c r="B2363" t="s">
        <v>46</v>
      </c>
      <c r="C2363" t="s">
        <v>47</v>
      </c>
      <c r="D2363">
        <v>4586777</v>
      </c>
      <c r="E2363" t="s">
        <v>48</v>
      </c>
      <c r="F2363" t="s">
        <v>49</v>
      </c>
      <c r="G2363" s="30">
        <v>0</v>
      </c>
    </row>
    <row r="2364" spans="1:7" x14ac:dyDescent="0.25">
      <c r="A2364" t="s">
        <v>82</v>
      </c>
      <c r="B2364" t="s">
        <v>83</v>
      </c>
      <c r="C2364" t="s">
        <v>56</v>
      </c>
      <c r="D2364">
        <v>4586916</v>
      </c>
      <c r="E2364" t="s">
        <v>53</v>
      </c>
      <c r="F2364" t="s">
        <v>49</v>
      </c>
      <c r="G2364" s="30">
        <v>161128.95296231401</v>
      </c>
    </row>
    <row r="2365" spans="1:7" x14ac:dyDescent="0.25">
      <c r="A2365" t="s">
        <v>45</v>
      </c>
      <c r="B2365" t="s">
        <v>46</v>
      </c>
      <c r="C2365" t="s">
        <v>47</v>
      </c>
      <c r="D2365">
        <v>4587615</v>
      </c>
      <c r="E2365" t="s">
        <v>53</v>
      </c>
      <c r="F2365" t="s">
        <v>49</v>
      </c>
      <c r="G2365" s="30">
        <v>52319.25</v>
      </c>
    </row>
    <row r="2366" spans="1:7" x14ac:dyDescent="0.25">
      <c r="A2366" t="s">
        <v>50</v>
      </c>
      <c r="B2366" t="s">
        <v>51</v>
      </c>
      <c r="C2366" t="s">
        <v>52</v>
      </c>
      <c r="D2366">
        <v>4589084</v>
      </c>
      <c r="E2366" t="s">
        <v>53</v>
      </c>
      <c r="F2366" t="s">
        <v>49</v>
      </c>
      <c r="G2366" s="30">
        <v>30102.109584014801</v>
      </c>
    </row>
    <row r="2367" spans="1:7" x14ac:dyDescent="0.25">
      <c r="A2367" t="s">
        <v>45</v>
      </c>
      <c r="B2367" t="s">
        <v>46</v>
      </c>
      <c r="C2367" t="s">
        <v>47</v>
      </c>
      <c r="D2367">
        <v>4590067</v>
      </c>
      <c r="E2367" t="s">
        <v>48</v>
      </c>
      <c r="F2367" t="s">
        <v>49</v>
      </c>
      <c r="G2367" s="30">
        <v>0</v>
      </c>
    </row>
    <row r="2368" spans="1:7" x14ac:dyDescent="0.25">
      <c r="A2368" t="s">
        <v>131</v>
      </c>
      <c r="B2368" t="s">
        <v>132</v>
      </c>
      <c r="C2368" t="s">
        <v>67</v>
      </c>
      <c r="D2368">
        <v>4592233</v>
      </c>
      <c r="E2368" t="s">
        <v>48</v>
      </c>
      <c r="F2368" t="s">
        <v>49</v>
      </c>
      <c r="G2368" s="30">
        <v>0</v>
      </c>
    </row>
    <row r="2369" spans="1:7" x14ac:dyDescent="0.25">
      <c r="A2369" t="s">
        <v>45</v>
      </c>
      <c r="B2369" t="s">
        <v>46</v>
      </c>
      <c r="C2369" t="s">
        <v>47</v>
      </c>
      <c r="D2369">
        <v>4595732</v>
      </c>
      <c r="E2369" t="s">
        <v>48</v>
      </c>
      <c r="F2369" t="s">
        <v>49</v>
      </c>
      <c r="G2369" s="30">
        <v>0</v>
      </c>
    </row>
    <row r="2370" spans="1:7" x14ac:dyDescent="0.25">
      <c r="A2370" t="s">
        <v>116</v>
      </c>
      <c r="B2370" t="s">
        <v>117</v>
      </c>
      <c r="C2370" t="s">
        <v>47</v>
      </c>
      <c r="D2370">
        <v>4595933</v>
      </c>
      <c r="E2370" t="s">
        <v>53</v>
      </c>
      <c r="F2370" t="s">
        <v>49</v>
      </c>
      <c r="G2370" s="30">
        <v>141104.44092386001</v>
      </c>
    </row>
    <row r="2371" spans="1:7" x14ac:dyDescent="0.25">
      <c r="A2371" t="s">
        <v>88</v>
      </c>
      <c r="B2371" t="s">
        <v>89</v>
      </c>
      <c r="C2371" t="s">
        <v>78</v>
      </c>
      <c r="D2371">
        <v>4597213</v>
      </c>
      <c r="E2371" t="s">
        <v>53</v>
      </c>
      <c r="F2371" t="s">
        <v>49</v>
      </c>
      <c r="G2371" s="30">
        <v>87563.788744687801</v>
      </c>
    </row>
    <row r="2372" spans="1:7" x14ac:dyDescent="0.25">
      <c r="A2372" t="s">
        <v>50</v>
      </c>
      <c r="B2372" t="s">
        <v>51</v>
      </c>
      <c r="C2372" t="s">
        <v>52</v>
      </c>
      <c r="D2372">
        <v>4597637</v>
      </c>
      <c r="E2372" t="s">
        <v>53</v>
      </c>
      <c r="F2372" t="s">
        <v>49</v>
      </c>
      <c r="G2372" s="30">
        <v>4236.15978942734</v>
      </c>
    </row>
    <row r="2373" spans="1:7" x14ac:dyDescent="0.25">
      <c r="A2373" t="s">
        <v>45</v>
      </c>
      <c r="B2373" t="s">
        <v>46</v>
      </c>
      <c r="C2373" t="s">
        <v>47</v>
      </c>
      <c r="D2373">
        <v>4598278</v>
      </c>
      <c r="E2373" t="s">
        <v>48</v>
      </c>
      <c r="F2373" t="s">
        <v>49</v>
      </c>
      <c r="G2373" s="30">
        <v>0</v>
      </c>
    </row>
    <row r="2374" spans="1:7" x14ac:dyDescent="0.25">
      <c r="A2374" t="s">
        <v>45</v>
      </c>
      <c r="B2374" t="s">
        <v>46</v>
      </c>
      <c r="C2374" t="s">
        <v>47</v>
      </c>
      <c r="D2374">
        <v>4603478</v>
      </c>
      <c r="E2374" t="s">
        <v>48</v>
      </c>
      <c r="F2374" t="s">
        <v>49</v>
      </c>
      <c r="G2374" s="30">
        <v>0</v>
      </c>
    </row>
    <row r="2375" spans="1:7" x14ac:dyDescent="0.25">
      <c r="A2375" t="s">
        <v>45</v>
      </c>
      <c r="B2375" t="s">
        <v>46</v>
      </c>
      <c r="C2375" t="s">
        <v>47</v>
      </c>
      <c r="D2375">
        <v>4604416</v>
      </c>
      <c r="E2375" t="s">
        <v>48</v>
      </c>
      <c r="F2375" t="s">
        <v>49</v>
      </c>
      <c r="G2375" s="30">
        <v>0</v>
      </c>
    </row>
    <row r="2376" spans="1:7" x14ac:dyDescent="0.25">
      <c r="A2376" t="s">
        <v>50</v>
      </c>
      <c r="B2376" t="s">
        <v>51</v>
      </c>
      <c r="C2376" t="s">
        <v>52</v>
      </c>
      <c r="D2376">
        <v>4605453</v>
      </c>
      <c r="E2376" t="s">
        <v>53</v>
      </c>
      <c r="F2376" t="s">
        <v>49</v>
      </c>
      <c r="G2376" s="30">
        <v>18939.894081738599</v>
      </c>
    </row>
    <row r="2377" spans="1:7" x14ac:dyDescent="0.25">
      <c r="A2377" t="s">
        <v>54</v>
      </c>
      <c r="B2377" t="s">
        <v>55</v>
      </c>
      <c r="C2377" t="s">
        <v>56</v>
      </c>
      <c r="D2377">
        <v>4605492</v>
      </c>
      <c r="E2377" t="s">
        <v>53</v>
      </c>
      <c r="F2377" t="s">
        <v>49</v>
      </c>
      <c r="G2377" s="30">
        <v>40726.559999999998</v>
      </c>
    </row>
    <row r="2378" spans="1:7" x14ac:dyDescent="0.25">
      <c r="A2378" t="s">
        <v>45</v>
      </c>
      <c r="B2378" t="s">
        <v>46</v>
      </c>
      <c r="C2378" t="s">
        <v>47</v>
      </c>
      <c r="D2378">
        <v>4606287</v>
      </c>
      <c r="E2378" t="s">
        <v>53</v>
      </c>
      <c r="F2378" t="s">
        <v>49</v>
      </c>
      <c r="G2378" s="30">
        <v>23799.0773017512</v>
      </c>
    </row>
    <row r="2379" spans="1:7" x14ac:dyDescent="0.25">
      <c r="A2379" t="s">
        <v>50</v>
      </c>
      <c r="B2379" t="s">
        <v>51</v>
      </c>
      <c r="C2379" t="s">
        <v>52</v>
      </c>
      <c r="D2379">
        <v>4609735</v>
      </c>
      <c r="E2379" t="s">
        <v>53</v>
      </c>
      <c r="F2379" t="s">
        <v>49</v>
      </c>
      <c r="G2379" s="30">
        <v>28487.0279425566</v>
      </c>
    </row>
    <row r="2380" spans="1:7" x14ac:dyDescent="0.25">
      <c r="A2380" t="s">
        <v>63</v>
      </c>
      <c r="B2380" t="s">
        <v>64</v>
      </c>
      <c r="C2380" t="s">
        <v>56</v>
      </c>
      <c r="D2380">
        <v>4609748</v>
      </c>
      <c r="E2380" t="s">
        <v>53</v>
      </c>
      <c r="F2380" t="s">
        <v>49</v>
      </c>
      <c r="G2380" s="30">
        <v>584692.92130120005</v>
      </c>
    </row>
    <row r="2381" spans="1:7" x14ac:dyDescent="0.25">
      <c r="A2381" t="s">
        <v>45</v>
      </c>
      <c r="B2381" t="s">
        <v>46</v>
      </c>
      <c r="C2381" t="s">
        <v>47</v>
      </c>
      <c r="D2381">
        <v>4610227</v>
      </c>
      <c r="E2381" t="s">
        <v>48</v>
      </c>
      <c r="F2381" t="s">
        <v>49</v>
      </c>
      <c r="G2381" s="30">
        <v>0</v>
      </c>
    </row>
    <row r="2382" spans="1:7" x14ac:dyDescent="0.25">
      <c r="A2382" t="s">
        <v>120</v>
      </c>
      <c r="B2382" t="s">
        <v>121</v>
      </c>
      <c r="C2382" t="s">
        <v>67</v>
      </c>
      <c r="D2382">
        <v>4610231</v>
      </c>
      <c r="E2382" t="s">
        <v>53</v>
      </c>
      <c r="F2382" t="s">
        <v>49</v>
      </c>
      <c r="G2382" s="30">
        <v>36409.564524941801</v>
      </c>
    </row>
    <row r="2383" spans="1:7" x14ac:dyDescent="0.25">
      <c r="A2383" t="s">
        <v>96</v>
      </c>
      <c r="B2383" t="s">
        <v>97</v>
      </c>
      <c r="C2383" t="s">
        <v>81</v>
      </c>
      <c r="D2383">
        <v>4612925</v>
      </c>
      <c r="E2383" t="s">
        <v>53</v>
      </c>
      <c r="F2383" t="s">
        <v>49</v>
      </c>
      <c r="G2383" s="30">
        <v>5606047.9100922402</v>
      </c>
    </row>
    <row r="2384" spans="1:7" x14ac:dyDescent="0.25">
      <c r="A2384" t="s">
        <v>45</v>
      </c>
      <c r="B2384" t="s">
        <v>46</v>
      </c>
      <c r="C2384" t="s">
        <v>47</v>
      </c>
      <c r="D2384">
        <v>4613034</v>
      </c>
      <c r="E2384" t="s">
        <v>48</v>
      </c>
      <c r="F2384" t="s">
        <v>49</v>
      </c>
      <c r="G2384" s="30">
        <v>0</v>
      </c>
    </row>
    <row r="2385" spans="1:7" x14ac:dyDescent="0.25">
      <c r="A2385" t="s">
        <v>50</v>
      </c>
      <c r="B2385" t="s">
        <v>51</v>
      </c>
      <c r="C2385" t="s">
        <v>52</v>
      </c>
      <c r="D2385">
        <v>4614943</v>
      </c>
      <c r="E2385" t="s">
        <v>53</v>
      </c>
      <c r="F2385" t="s">
        <v>49</v>
      </c>
      <c r="G2385" s="30">
        <v>57359.112984011997</v>
      </c>
    </row>
    <row r="2386" spans="1:7" x14ac:dyDescent="0.25">
      <c r="A2386" t="s">
        <v>94</v>
      </c>
      <c r="B2386" t="s">
        <v>95</v>
      </c>
      <c r="C2386" t="s">
        <v>78</v>
      </c>
      <c r="D2386">
        <v>4615140</v>
      </c>
      <c r="E2386" t="s">
        <v>53</v>
      </c>
      <c r="F2386" t="s">
        <v>49</v>
      </c>
      <c r="G2386" s="30">
        <v>241325.370451442</v>
      </c>
    </row>
    <row r="2387" spans="1:7" x14ac:dyDescent="0.25">
      <c r="A2387" t="s">
        <v>65</v>
      </c>
      <c r="B2387" t="s">
        <v>66</v>
      </c>
      <c r="C2387" t="s">
        <v>67</v>
      </c>
      <c r="D2387">
        <v>4615723</v>
      </c>
      <c r="E2387" t="s">
        <v>53</v>
      </c>
      <c r="F2387" t="s">
        <v>49</v>
      </c>
      <c r="G2387" s="30">
        <v>46036.1956945321</v>
      </c>
    </row>
    <row r="2388" spans="1:7" x14ac:dyDescent="0.25">
      <c r="A2388" t="s">
        <v>45</v>
      </c>
      <c r="B2388" t="s">
        <v>46</v>
      </c>
      <c r="C2388" t="s">
        <v>47</v>
      </c>
      <c r="D2388">
        <v>4615979</v>
      </c>
      <c r="E2388" t="s">
        <v>48</v>
      </c>
      <c r="F2388" t="s">
        <v>49</v>
      </c>
      <c r="G2388" s="30">
        <v>0</v>
      </c>
    </row>
    <row r="2389" spans="1:7" x14ac:dyDescent="0.25">
      <c r="A2389" t="s">
        <v>45</v>
      </c>
      <c r="B2389" t="s">
        <v>46</v>
      </c>
      <c r="C2389" t="s">
        <v>47</v>
      </c>
      <c r="D2389">
        <v>4617838</v>
      </c>
      <c r="E2389" t="s">
        <v>53</v>
      </c>
      <c r="F2389" t="s">
        <v>49</v>
      </c>
      <c r="G2389" s="30">
        <v>34165.559618253603</v>
      </c>
    </row>
    <row r="2390" spans="1:7" x14ac:dyDescent="0.25">
      <c r="A2390" t="s">
        <v>112</v>
      </c>
      <c r="B2390" t="s">
        <v>113</v>
      </c>
      <c r="C2390" t="s">
        <v>81</v>
      </c>
      <c r="D2390">
        <v>4620423</v>
      </c>
      <c r="E2390" t="s">
        <v>53</v>
      </c>
      <c r="F2390" t="s">
        <v>49</v>
      </c>
      <c r="G2390" s="30">
        <v>672821.34593148797</v>
      </c>
    </row>
    <row r="2391" spans="1:7" x14ac:dyDescent="0.25">
      <c r="A2391" t="s">
        <v>122</v>
      </c>
      <c r="B2391" t="s">
        <v>123</v>
      </c>
      <c r="C2391" t="s">
        <v>52</v>
      </c>
      <c r="D2391">
        <v>4621671</v>
      </c>
      <c r="E2391" t="s">
        <v>53</v>
      </c>
      <c r="F2391" t="s">
        <v>49</v>
      </c>
      <c r="G2391" s="30">
        <v>1407357.06</v>
      </c>
    </row>
    <row r="2392" spans="1:7" x14ac:dyDescent="0.25">
      <c r="A2392" t="s">
        <v>68</v>
      </c>
      <c r="B2392" t="s">
        <v>69</v>
      </c>
      <c r="C2392" t="s">
        <v>56</v>
      </c>
      <c r="D2392">
        <v>4622487</v>
      </c>
      <c r="E2392" t="s">
        <v>53</v>
      </c>
      <c r="F2392" t="s">
        <v>49</v>
      </c>
      <c r="G2392" s="30">
        <v>26740.9921875</v>
      </c>
    </row>
    <row r="2393" spans="1:7" x14ac:dyDescent="0.25">
      <c r="A2393" t="s">
        <v>50</v>
      </c>
      <c r="B2393" t="s">
        <v>51</v>
      </c>
      <c r="C2393" t="s">
        <v>52</v>
      </c>
      <c r="D2393">
        <v>4622761</v>
      </c>
      <c r="E2393" t="s">
        <v>53</v>
      </c>
      <c r="F2393" t="s">
        <v>49</v>
      </c>
      <c r="G2393" s="30">
        <v>28411.844983048501</v>
      </c>
    </row>
    <row r="2394" spans="1:7" x14ac:dyDescent="0.25">
      <c r="A2394" t="s">
        <v>45</v>
      </c>
      <c r="B2394" t="s">
        <v>46</v>
      </c>
      <c r="C2394" t="s">
        <v>47</v>
      </c>
      <c r="D2394">
        <v>4625139</v>
      </c>
      <c r="E2394" t="s">
        <v>48</v>
      </c>
      <c r="F2394" t="s">
        <v>49</v>
      </c>
      <c r="G2394" s="30">
        <v>0</v>
      </c>
    </row>
    <row r="2395" spans="1:7" x14ac:dyDescent="0.25">
      <c r="A2395" t="s">
        <v>61</v>
      </c>
      <c r="B2395" t="s">
        <v>62</v>
      </c>
      <c r="C2395" t="s">
        <v>56</v>
      </c>
      <c r="D2395">
        <v>4631984</v>
      </c>
      <c r="E2395" t="s">
        <v>48</v>
      </c>
      <c r="F2395" t="s">
        <v>49</v>
      </c>
      <c r="G2395" s="30">
        <v>0</v>
      </c>
    </row>
    <row r="2396" spans="1:7" x14ac:dyDescent="0.25">
      <c r="A2396" t="s">
        <v>45</v>
      </c>
      <c r="B2396" t="s">
        <v>46</v>
      </c>
      <c r="C2396" t="s">
        <v>47</v>
      </c>
      <c r="D2396">
        <v>4634465</v>
      </c>
      <c r="E2396" t="s">
        <v>48</v>
      </c>
      <c r="F2396" t="s">
        <v>49</v>
      </c>
      <c r="G2396" s="30">
        <v>0</v>
      </c>
    </row>
    <row r="2397" spans="1:7" x14ac:dyDescent="0.25">
      <c r="A2397" t="s">
        <v>45</v>
      </c>
      <c r="B2397" t="s">
        <v>46</v>
      </c>
      <c r="C2397" t="s">
        <v>47</v>
      </c>
      <c r="D2397">
        <v>4634808</v>
      </c>
      <c r="E2397" t="s">
        <v>48</v>
      </c>
      <c r="F2397" t="s">
        <v>49</v>
      </c>
      <c r="G2397" s="30">
        <v>0</v>
      </c>
    </row>
    <row r="2398" spans="1:7" x14ac:dyDescent="0.25">
      <c r="A2398" t="s">
        <v>45</v>
      </c>
      <c r="B2398" t="s">
        <v>46</v>
      </c>
      <c r="C2398" t="s">
        <v>47</v>
      </c>
      <c r="D2398">
        <v>4636842</v>
      </c>
      <c r="E2398" t="s">
        <v>48</v>
      </c>
      <c r="F2398" t="s">
        <v>49</v>
      </c>
      <c r="G2398" s="30">
        <v>0</v>
      </c>
    </row>
    <row r="2399" spans="1:7" x14ac:dyDescent="0.25">
      <c r="A2399" t="s">
        <v>120</v>
      </c>
      <c r="B2399" t="s">
        <v>121</v>
      </c>
      <c r="C2399" t="s">
        <v>67</v>
      </c>
      <c r="D2399">
        <v>4637212</v>
      </c>
      <c r="E2399" t="s">
        <v>48</v>
      </c>
      <c r="F2399" t="s">
        <v>49</v>
      </c>
      <c r="G2399" s="30">
        <v>0</v>
      </c>
    </row>
    <row r="2400" spans="1:7" x14ac:dyDescent="0.25">
      <c r="A2400" t="s">
        <v>65</v>
      </c>
      <c r="B2400" t="s">
        <v>66</v>
      </c>
      <c r="C2400" t="s">
        <v>67</v>
      </c>
      <c r="D2400">
        <v>4638735</v>
      </c>
      <c r="E2400" t="s">
        <v>48</v>
      </c>
      <c r="F2400" t="s">
        <v>49</v>
      </c>
      <c r="G2400" s="30">
        <v>0</v>
      </c>
    </row>
    <row r="2401" spans="1:7" x14ac:dyDescent="0.25">
      <c r="A2401" t="s">
        <v>45</v>
      </c>
      <c r="B2401" t="s">
        <v>46</v>
      </c>
      <c r="C2401" t="s">
        <v>47</v>
      </c>
      <c r="D2401">
        <v>4639371</v>
      </c>
      <c r="E2401" t="s">
        <v>48</v>
      </c>
      <c r="F2401" t="s">
        <v>49</v>
      </c>
      <c r="G2401" s="30">
        <v>0</v>
      </c>
    </row>
    <row r="2402" spans="1:7" x14ac:dyDescent="0.25">
      <c r="A2402" t="s">
        <v>45</v>
      </c>
      <c r="B2402" t="s">
        <v>46</v>
      </c>
      <c r="C2402" t="s">
        <v>47</v>
      </c>
      <c r="D2402">
        <v>4641436</v>
      </c>
      <c r="E2402" t="s">
        <v>53</v>
      </c>
      <c r="F2402" t="s">
        <v>49</v>
      </c>
      <c r="G2402" s="30">
        <v>62704.640826638999</v>
      </c>
    </row>
    <row r="2403" spans="1:7" x14ac:dyDescent="0.25">
      <c r="A2403" t="s">
        <v>112</v>
      </c>
      <c r="B2403" t="s">
        <v>113</v>
      </c>
      <c r="C2403" t="s">
        <v>81</v>
      </c>
      <c r="D2403">
        <v>4643064</v>
      </c>
      <c r="E2403" t="s">
        <v>48</v>
      </c>
      <c r="F2403" t="s">
        <v>49</v>
      </c>
      <c r="G2403" s="30">
        <v>0</v>
      </c>
    </row>
    <row r="2404" spans="1:7" x14ac:dyDescent="0.25">
      <c r="A2404" t="s">
        <v>50</v>
      </c>
      <c r="B2404" t="s">
        <v>51</v>
      </c>
      <c r="C2404" t="s">
        <v>52</v>
      </c>
      <c r="D2404">
        <v>4644835</v>
      </c>
      <c r="E2404" t="s">
        <v>53</v>
      </c>
      <c r="F2404" t="s">
        <v>49</v>
      </c>
      <c r="G2404" s="30">
        <v>7866.3295720140804</v>
      </c>
    </row>
    <row r="2405" spans="1:7" x14ac:dyDescent="0.25">
      <c r="A2405" t="s">
        <v>45</v>
      </c>
      <c r="B2405" t="s">
        <v>46</v>
      </c>
      <c r="C2405" t="s">
        <v>47</v>
      </c>
      <c r="D2405">
        <v>4647772</v>
      </c>
      <c r="E2405" t="s">
        <v>48</v>
      </c>
      <c r="F2405" t="s">
        <v>49</v>
      </c>
      <c r="G2405" s="30">
        <v>0</v>
      </c>
    </row>
    <row r="2406" spans="1:7" x14ac:dyDescent="0.25">
      <c r="A2406" t="s">
        <v>45</v>
      </c>
      <c r="B2406" t="s">
        <v>46</v>
      </c>
      <c r="C2406" t="s">
        <v>47</v>
      </c>
      <c r="D2406">
        <v>4648123</v>
      </c>
      <c r="E2406" t="s">
        <v>53</v>
      </c>
      <c r="F2406" t="s">
        <v>49</v>
      </c>
      <c r="G2406" s="30">
        <v>33734.407293022799</v>
      </c>
    </row>
    <row r="2407" spans="1:7" x14ac:dyDescent="0.25">
      <c r="A2407" t="s">
        <v>63</v>
      </c>
      <c r="B2407" t="s">
        <v>64</v>
      </c>
      <c r="C2407" t="s">
        <v>56</v>
      </c>
      <c r="D2407">
        <v>4648227</v>
      </c>
      <c r="E2407" t="s">
        <v>53</v>
      </c>
      <c r="F2407" t="s">
        <v>49</v>
      </c>
      <c r="G2407" s="30">
        <v>613959.16836652497</v>
      </c>
    </row>
    <row r="2408" spans="1:7" x14ac:dyDescent="0.25">
      <c r="A2408" t="s">
        <v>50</v>
      </c>
      <c r="B2408" t="s">
        <v>51</v>
      </c>
      <c r="C2408" t="s">
        <v>52</v>
      </c>
      <c r="D2408">
        <v>4649756</v>
      </c>
      <c r="E2408" t="s">
        <v>53</v>
      </c>
      <c r="F2408" t="s">
        <v>49</v>
      </c>
      <c r="G2408" s="30">
        <v>39104.729590071402</v>
      </c>
    </row>
    <row r="2409" spans="1:7" x14ac:dyDescent="0.25">
      <c r="A2409" t="s">
        <v>45</v>
      </c>
      <c r="B2409" t="s">
        <v>46</v>
      </c>
      <c r="C2409" t="s">
        <v>47</v>
      </c>
      <c r="D2409">
        <v>4649897</v>
      </c>
      <c r="E2409" t="s">
        <v>48</v>
      </c>
      <c r="F2409" t="s">
        <v>49</v>
      </c>
      <c r="G2409" s="30">
        <v>0</v>
      </c>
    </row>
    <row r="2410" spans="1:7" x14ac:dyDescent="0.25">
      <c r="A2410" t="s">
        <v>45</v>
      </c>
      <c r="B2410" t="s">
        <v>46</v>
      </c>
      <c r="C2410" t="s">
        <v>47</v>
      </c>
      <c r="D2410">
        <v>4650268</v>
      </c>
      <c r="E2410" t="s">
        <v>48</v>
      </c>
      <c r="F2410" t="s">
        <v>49</v>
      </c>
      <c r="G2410" s="30">
        <v>0</v>
      </c>
    </row>
    <row r="2411" spans="1:7" x14ac:dyDescent="0.25">
      <c r="A2411" t="s">
        <v>45</v>
      </c>
      <c r="B2411" t="s">
        <v>46</v>
      </c>
      <c r="C2411" t="s">
        <v>47</v>
      </c>
      <c r="D2411">
        <v>4650743</v>
      </c>
      <c r="E2411" t="s">
        <v>48</v>
      </c>
      <c r="F2411" t="s">
        <v>49</v>
      </c>
      <c r="G2411" s="30">
        <v>0</v>
      </c>
    </row>
    <row r="2412" spans="1:7" x14ac:dyDescent="0.25">
      <c r="A2412" t="s">
        <v>61</v>
      </c>
      <c r="B2412" t="s">
        <v>62</v>
      </c>
      <c r="C2412" t="s">
        <v>56</v>
      </c>
      <c r="D2412">
        <v>4651393</v>
      </c>
      <c r="E2412" t="s">
        <v>53</v>
      </c>
      <c r="F2412" t="s">
        <v>49</v>
      </c>
      <c r="G2412" s="30">
        <v>10166.1388230311</v>
      </c>
    </row>
    <row r="2413" spans="1:7" x14ac:dyDescent="0.25">
      <c r="A2413" t="s">
        <v>50</v>
      </c>
      <c r="B2413" t="s">
        <v>51</v>
      </c>
      <c r="C2413" t="s">
        <v>52</v>
      </c>
      <c r="D2413">
        <v>4651424</v>
      </c>
      <c r="E2413" t="s">
        <v>53</v>
      </c>
      <c r="F2413" t="s">
        <v>49</v>
      </c>
      <c r="G2413" s="30">
        <v>60125.328567548102</v>
      </c>
    </row>
    <row r="2414" spans="1:7" x14ac:dyDescent="0.25">
      <c r="A2414" t="s">
        <v>45</v>
      </c>
      <c r="B2414" t="s">
        <v>46</v>
      </c>
      <c r="C2414" t="s">
        <v>47</v>
      </c>
      <c r="D2414">
        <v>4651543</v>
      </c>
      <c r="E2414" t="s">
        <v>48</v>
      </c>
      <c r="F2414" t="s">
        <v>49</v>
      </c>
      <c r="G2414" s="30">
        <v>0</v>
      </c>
    </row>
    <row r="2415" spans="1:7" x14ac:dyDescent="0.25">
      <c r="A2415" t="s">
        <v>82</v>
      </c>
      <c r="B2415" t="s">
        <v>83</v>
      </c>
      <c r="C2415" t="s">
        <v>56</v>
      </c>
      <c r="D2415">
        <v>4652460</v>
      </c>
      <c r="E2415" t="s">
        <v>53</v>
      </c>
      <c r="F2415" t="s">
        <v>49</v>
      </c>
      <c r="G2415" s="30">
        <v>14447.842426311599</v>
      </c>
    </row>
    <row r="2416" spans="1:7" x14ac:dyDescent="0.25">
      <c r="A2416" t="s">
        <v>50</v>
      </c>
      <c r="B2416" t="s">
        <v>51</v>
      </c>
      <c r="C2416" t="s">
        <v>52</v>
      </c>
      <c r="D2416">
        <v>4652483</v>
      </c>
      <c r="E2416" t="s">
        <v>53</v>
      </c>
      <c r="F2416" t="s">
        <v>49</v>
      </c>
      <c r="G2416" s="30">
        <v>3933.49</v>
      </c>
    </row>
    <row r="2417" spans="1:7" x14ac:dyDescent="0.25">
      <c r="A2417" t="s">
        <v>68</v>
      </c>
      <c r="B2417" t="s">
        <v>69</v>
      </c>
      <c r="C2417" t="s">
        <v>56</v>
      </c>
      <c r="D2417">
        <v>4653246</v>
      </c>
      <c r="E2417" t="s">
        <v>53</v>
      </c>
      <c r="F2417" t="s">
        <v>49</v>
      </c>
      <c r="G2417" s="30">
        <v>108763.744770313</v>
      </c>
    </row>
    <row r="2418" spans="1:7" x14ac:dyDescent="0.25">
      <c r="A2418" t="s">
        <v>82</v>
      </c>
      <c r="B2418" t="s">
        <v>83</v>
      </c>
      <c r="C2418" t="s">
        <v>56</v>
      </c>
      <c r="D2418">
        <v>4656496</v>
      </c>
      <c r="E2418" t="s">
        <v>53</v>
      </c>
      <c r="F2418" t="s">
        <v>49</v>
      </c>
      <c r="G2418" s="30">
        <v>160467.21197736799</v>
      </c>
    </row>
    <row r="2419" spans="1:7" x14ac:dyDescent="0.25">
      <c r="A2419" t="s">
        <v>45</v>
      </c>
      <c r="B2419" t="s">
        <v>46</v>
      </c>
      <c r="C2419" t="s">
        <v>47</v>
      </c>
      <c r="D2419">
        <v>4656868</v>
      </c>
      <c r="E2419" t="s">
        <v>48</v>
      </c>
      <c r="F2419" t="s">
        <v>49</v>
      </c>
      <c r="G2419" s="30">
        <v>0.36</v>
      </c>
    </row>
    <row r="2420" spans="1:7" x14ac:dyDescent="0.25">
      <c r="A2420" t="s">
        <v>88</v>
      </c>
      <c r="B2420" t="s">
        <v>89</v>
      </c>
      <c r="C2420" t="s">
        <v>78</v>
      </c>
      <c r="D2420">
        <v>4661784</v>
      </c>
      <c r="E2420" t="s">
        <v>48</v>
      </c>
      <c r="F2420" t="s">
        <v>49</v>
      </c>
      <c r="G2420" s="30">
        <v>0</v>
      </c>
    </row>
    <row r="2421" spans="1:7" x14ac:dyDescent="0.25">
      <c r="A2421" t="s">
        <v>63</v>
      </c>
      <c r="B2421" t="s">
        <v>64</v>
      </c>
      <c r="C2421" t="s">
        <v>56</v>
      </c>
      <c r="D2421">
        <v>4661892</v>
      </c>
      <c r="E2421" t="s">
        <v>53</v>
      </c>
      <c r="F2421" t="s">
        <v>49</v>
      </c>
      <c r="G2421" s="30">
        <v>289908.60870239401</v>
      </c>
    </row>
    <row r="2422" spans="1:7" x14ac:dyDescent="0.25">
      <c r="A2422" t="s">
        <v>45</v>
      </c>
      <c r="B2422" t="s">
        <v>46</v>
      </c>
      <c r="C2422" t="s">
        <v>47</v>
      </c>
      <c r="D2422">
        <v>4663121</v>
      </c>
      <c r="E2422" t="s">
        <v>48</v>
      </c>
      <c r="F2422" t="s">
        <v>49</v>
      </c>
      <c r="G2422" s="30">
        <v>0</v>
      </c>
    </row>
    <row r="2423" spans="1:7" x14ac:dyDescent="0.25">
      <c r="A2423" t="s">
        <v>133</v>
      </c>
      <c r="B2423" t="s">
        <v>134</v>
      </c>
      <c r="C2423" t="s">
        <v>47</v>
      </c>
      <c r="D2423">
        <v>4663577</v>
      </c>
      <c r="E2423" t="s">
        <v>53</v>
      </c>
      <c r="F2423" t="s">
        <v>49</v>
      </c>
      <c r="G2423" s="30">
        <v>215287.35883563801</v>
      </c>
    </row>
    <row r="2424" spans="1:7" x14ac:dyDescent="0.25">
      <c r="A2424" t="s">
        <v>45</v>
      </c>
      <c r="B2424" t="s">
        <v>46</v>
      </c>
      <c r="C2424" t="s">
        <v>47</v>
      </c>
      <c r="D2424">
        <v>4664469</v>
      </c>
      <c r="E2424" t="s">
        <v>53</v>
      </c>
      <c r="F2424" t="s">
        <v>49</v>
      </c>
      <c r="G2424" s="30">
        <v>153879.719552358</v>
      </c>
    </row>
    <row r="2425" spans="1:7" x14ac:dyDescent="0.25">
      <c r="A2425" t="s">
        <v>72</v>
      </c>
      <c r="B2425" t="s">
        <v>73</v>
      </c>
      <c r="C2425" t="s">
        <v>67</v>
      </c>
      <c r="D2425">
        <v>4665156</v>
      </c>
      <c r="E2425" t="s">
        <v>53</v>
      </c>
      <c r="F2425" t="s">
        <v>49</v>
      </c>
      <c r="G2425" s="30">
        <v>48280.618241206597</v>
      </c>
    </row>
    <row r="2426" spans="1:7" x14ac:dyDescent="0.25">
      <c r="A2426" t="s">
        <v>45</v>
      </c>
      <c r="B2426" t="s">
        <v>46</v>
      </c>
      <c r="C2426" t="s">
        <v>47</v>
      </c>
      <c r="D2426">
        <v>4666011</v>
      </c>
      <c r="E2426" t="s">
        <v>48</v>
      </c>
      <c r="F2426" t="s">
        <v>49</v>
      </c>
      <c r="G2426" s="30">
        <v>0</v>
      </c>
    </row>
    <row r="2427" spans="1:7" x14ac:dyDescent="0.25">
      <c r="A2427" t="s">
        <v>45</v>
      </c>
      <c r="B2427" t="s">
        <v>46</v>
      </c>
      <c r="C2427" t="s">
        <v>47</v>
      </c>
      <c r="D2427">
        <v>4667645</v>
      </c>
      <c r="E2427" t="s">
        <v>53</v>
      </c>
      <c r="F2427" t="s">
        <v>49</v>
      </c>
      <c r="G2427" s="30">
        <v>881.621127482622</v>
      </c>
    </row>
    <row r="2428" spans="1:7" x14ac:dyDescent="0.25">
      <c r="A2428" t="s">
        <v>45</v>
      </c>
      <c r="B2428" t="s">
        <v>46</v>
      </c>
      <c r="C2428" t="s">
        <v>47</v>
      </c>
      <c r="D2428">
        <v>4668752</v>
      </c>
      <c r="E2428" t="s">
        <v>48</v>
      </c>
      <c r="F2428" t="s">
        <v>49</v>
      </c>
      <c r="G2428" s="30">
        <v>0</v>
      </c>
    </row>
    <row r="2429" spans="1:7" x14ac:dyDescent="0.25">
      <c r="A2429" t="s">
        <v>45</v>
      </c>
      <c r="B2429" t="s">
        <v>46</v>
      </c>
      <c r="C2429" t="s">
        <v>47</v>
      </c>
      <c r="D2429">
        <v>4670014</v>
      </c>
      <c r="E2429" t="s">
        <v>48</v>
      </c>
      <c r="F2429" t="s">
        <v>49</v>
      </c>
      <c r="G2429" s="30">
        <v>0</v>
      </c>
    </row>
    <row r="2430" spans="1:7" x14ac:dyDescent="0.25">
      <c r="A2430" t="s">
        <v>45</v>
      </c>
      <c r="B2430" t="s">
        <v>46</v>
      </c>
      <c r="C2430" t="s">
        <v>47</v>
      </c>
      <c r="D2430">
        <v>4670315</v>
      </c>
      <c r="E2430" t="s">
        <v>48</v>
      </c>
      <c r="F2430" t="s">
        <v>49</v>
      </c>
      <c r="G2430" s="30">
        <v>0</v>
      </c>
    </row>
    <row r="2431" spans="1:7" x14ac:dyDescent="0.25">
      <c r="A2431" t="s">
        <v>45</v>
      </c>
      <c r="B2431" t="s">
        <v>46</v>
      </c>
      <c r="C2431" t="s">
        <v>47</v>
      </c>
      <c r="D2431">
        <v>4670506</v>
      </c>
      <c r="E2431" t="s">
        <v>53</v>
      </c>
      <c r="F2431" t="s">
        <v>49</v>
      </c>
      <c r="G2431" s="30">
        <v>105.03</v>
      </c>
    </row>
    <row r="2432" spans="1:7" x14ac:dyDescent="0.25">
      <c r="A2432" t="s">
        <v>65</v>
      </c>
      <c r="B2432" t="s">
        <v>66</v>
      </c>
      <c r="C2432" t="s">
        <v>67</v>
      </c>
      <c r="D2432">
        <v>4670510</v>
      </c>
      <c r="E2432" t="s">
        <v>53</v>
      </c>
      <c r="F2432" t="s">
        <v>49</v>
      </c>
      <c r="G2432" s="30">
        <v>1560690.2260699</v>
      </c>
    </row>
    <row r="2433" spans="1:7" x14ac:dyDescent="0.25">
      <c r="A2433" t="s">
        <v>72</v>
      </c>
      <c r="B2433" t="s">
        <v>73</v>
      </c>
      <c r="C2433" t="s">
        <v>67</v>
      </c>
      <c r="D2433">
        <v>4671781</v>
      </c>
      <c r="E2433" t="s">
        <v>53</v>
      </c>
      <c r="F2433" t="s">
        <v>49</v>
      </c>
      <c r="G2433" s="30">
        <v>66256.1386835757</v>
      </c>
    </row>
    <row r="2434" spans="1:7" x14ac:dyDescent="0.25">
      <c r="A2434" t="s">
        <v>74</v>
      </c>
      <c r="B2434" t="s">
        <v>75</v>
      </c>
      <c r="C2434" t="s">
        <v>67</v>
      </c>
      <c r="D2434">
        <v>4677216</v>
      </c>
      <c r="E2434" t="s">
        <v>48</v>
      </c>
      <c r="F2434" t="s">
        <v>49</v>
      </c>
      <c r="G2434" s="30">
        <v>0</v>
      </c>
    </row>
    <row r="2435" spans="1:7" x14ac:dyDescent="0.25">
      <c r="A2435" t="s">
        <v>45</v>
      </c>
      <c r="B2435" t="s">
        <v>46</v>
      </c>
      <c r="C2435" t="s">
        <v>47</v>
      </c>
      <c r="D2435">
        <v>4679003</v>
      </c>
      <c r="E2435" t="s">
        <v>53</v>
      </c>
      <c r="F2435" t="s">
        <v>49</v>
      </c>
      <c r="G2435" s="30">
        <v>10025.626616629799</v>
      </c>
    </row>
    <row r="2436" spans="1:7" x14ac:dyDescent="0.25">
      <c r="A2436" t="s">
        <v>50</v>
      </c>
      <c r="B2436" t="s">
        <v>51</v>
      </c>
      <c r="C2436" t="s">
        <v>52</v>
      </c>
      <c r="D2436">
        <v>4681996</v>
      </c>
      <c r="E2436" t="s">
        <v>53</v>
      </c>
      <c r="F2436" t="s">
        <v>49</v>
      </c>
      <c r="G2436" s="30">
        <v>11519.3279726526</v>
      </c>
    </row>
    <row r="2437" spans="1:7" x14ac:dyDescent="0.25">
      <c r="A2437" t="s">
        <v>45</v>
      </c>
      <c r="B2437" t="s">
        <v>46</v>
      </c>
      <c r="C2437" t="s">
        <v>47</v>
      </c>
      <c r="D2437">
        <v>4682163</v>
      </c>
      <c r="E2437" t="s">
        <v>53</v>
      </c>
      <c r="F2437" t="s">
        <v>49</v>
      </c>
      <c r="G2437" s="30">
        <v>53249.022255340999</v>
      </c>
    </row>
    <row r="2438" spans="1:7" x14ac:dyDescent="0.25">
      <c r="A2438" t="s">
        <v>45</v>
      </c>
      <c r="B2438" t="s">
        <v>46</v>
      </c>
      <c r="C2438" t="s">
        <v>47</v>
      </c>
      <c r="D2438">
        <v>4682327</v>
      </c>
      <c r="E2438" t="s">
        <v>48</v>
      </c>
      <c r="F2438" t="s">
        <v>49</v>
      </c>
      <c r="G2438" s="30">
        <v>0</v>
      </c>
    </row>
    <row r="2439" spans="1:7" x14ac:dyDescent="0.25">
      <c r="A2439" t="s">
        <v>50</v>
      </c>
      <c r="B2439" t="s">
        <v>51</v>
      </c>
      <c r="C2439" t="s">
        <v>52</v>
      </c>
      <c r="D2439">
        <v>4682942</v>
      </c>
      <c r="E2439" t="s">
        <v>53</v>
      </c>
      <c r="F2439" t="s">
        <v>49</v>
      </c>
      <c r="G2439" s="30">
        <v>23347.308891716701</v>
      </c>
    </row>
    <row r="2440" spans="1:7" x14ac:dyDescent="0.25">
      <c r="A2440" t="s">
        <v>68</v>
      </c>
      <c r="B2440" t="s">
        <v>69</v>
      </c>
      <c r="C2440" t="s">
        <v>56</v>
      </c>
      <c r="D2440">
        <v>4684414</v>
      </c>
      <c r="E2440" t="s">
        <v>53</v>
      </c>
      <c r="F2440" t="s">
        <v>49</v>
      </c>
      <c r="G2440" s="30">
        <v>302671.89407240599</v>
      </c>
    </row>
    <row r="2441" spans="1:7" x14ac:dyDescent="0.25">
      <c r="A2441" t="s">
        <v>74</v>
      </c>
      <c r="B2441" t="s">
        <v>75</v>
      </c>
      <c r="C2441" t="s">
        <v>67</v>
      </c>
      <c r="D2441">
        <v>4684460</v>
      </c>
      <c r="E2441" t="s">
        <v>53</v>
      </c>
      <c r="F2441" t="s">
        <v>49</v>
      </c>
      <c r="G2441" s="30">
        <v>2304396.1976406998</v>
      </c>
    </row>
    <row r="2442" spans="1:7" x14ac:dyDescent="0.25">
      <c r="A2442" t="s">
        <v>45</v>
      </c>
      <c r="B2442" t="s">
        <v>46</v>
      </c>
      <c r="C2442" t="s">
        <v>47</v>
      </c>
      <c r="D2442">
        <v>4688116</v>
      </c>
      <c r="E2442" t="s">
        <v>48</v>
      </c>
      <c r="F2442" t="s">
        <v>49</v>
      </c>
      <c r="G2442" s="30">
        <v>23.92</v>
      </c>
    </row>
    <row r="2443" spans="1:7" x14ac:dyDescent="0.25">
      <c r="A2443" t="s">
        <v>94</v>
      </c>
      <c r="B2443" t="s">
        <v>95</v>
      </c>
      <c r="C2443" t="s">
        <v>78</v>
      </c>
      <c r="D2443">
        <v>4691536</v>
      </c>
      <c r="E2443" t="s">
        <v>53</v>
      </c>
      <c r="F2443" t="s">
        <v>49</v>
      </c>
      <c r="G2443" s="30">
        <v>267883.74778334098</v>
      </c>
    </row>
    <row r="2444" spans="1:7" x14ac:dyDescent="0.25">
      <c r="A2444" t="s">
        <v>98</v>
      </c>
      <c r="B2444" t="s">
        <v>99</v>
      </c>
      <c r="C2444" t="s">
        <v>81</v>
      </c>
      <c r="D2444">
        <v>4695947</v>
      </c>
      <c r="E2444" t="s">
        <v>53</v>
      </c>
      <c r="F2444" t="s">
        <v>49</v>
      </c>
      <c r="G2444" s="30">
        <v>120159.917616939</v>
      </c>
    </row>
    <row r="2445" spans="1:7" x14ac:dyDescent="0.25">
      <c r="A2445" t="s">
        <v>61</v>
      </c>
      <c r="B2445" t="s">
        <v>62</v>
      </c>
      <c r="C2445" t="s">
        <v>56</v>
      </c>
      <c r="D2445">
        <v>4697726</v>
      </c>
      <c r="E2445" t="s">
        <v>53</v>
      </c>
      <c r="F2445" t="s">
        <v>49</v>
      </c>
      <c r="G2445" s="30">
        <v>18951.489520252901</v>
      </c>
    </row>
    <row r="2446" spans="1:7" x14ac:dyDescent="0.25">
      <c r="A2446" t="s">
        <v>106</v>
      </c>
      <c r="B2446" t="s">
        <v>107</v>
      </c>
      <c r="C2446" t="s">
        <v>56</v>
      </c>
      <c r="D2446">
        <v>4697902</v>
      </c>
      <c r="E2446" t="s">
        <v>53</v>
      </c>
      <c r="F2446" t="s">
        <v>49</v>
      </c>
      <c r="G2446" s="30">
        <v>158217.65831881599</v>
      </c>
    </row>
    <row r="2447" spans="1:7" x14ac:dyDescent="0.25">
      <c r="A2447" t="s">
        <v>50</v>
      </c>
      <c r="B2447" t="s">
        <v>51</v>
      </c>
      <c r="C2447" t="s">
        <v>52</v>
      </c>
      <c r="D2447">
        <v>4698387</v>
      </c>
      <c r="E2447" t="s">
        <v>53</v>
      </c>
      <c r="F2447" t="s">
        <v>49</v>
      </c>
      <c r="G2447" s="30">
        <v>31715.2822665327</v>
      </c>
    </row>
    <row r="2448" spans="1:7" x14ac:dyDescent="0.25">
      <c r="A2448" t="s">
        <v>45</v>
      </c>
      <c r="B2448" t="s">
        <v>46</v>
      </c>
      <c r="C2448" t="s">
        <v>47</v>
      </c>
      <c r="D2448">
        <v>4703158</v>
      </c>
      <c r="E2448" t="s">
        <v>48</v>
      </c>
      <c r="F2448" t="s">
        <v>49</v>
      </c>
      <c r="G2448" s="30">
        <v>0</v>
      </c>
    </row>
    <row r="2449" spans="1:7" x14ac:dyDescent="0.25">
      <c r="A2449" t="s">
        <v>45</v>
      </c>
      <c r="B2449" t="s">
        <v>46</v>
      </c>
      <c r="C2449" t="s">
        <v>47</v>
      </c>
      <c r="D2449">
        <v>4703432</v>
      </c>
      <c r="E2449" t="s">
        <v>48</v>
      </c>
      <c r="F2449" t="s">
        <v>49</v>
      </c>
      <c r="G2449" s="30">
        <v>0</v>
      </c>
    </row>
    <row r="2450" spans="1:7" x14ac:dyDescent="0.25">
      <c r="A2450" t="s">
        <v>98</v>
      </c>
      <c r="B2450" t="s">
        <v>99</v>
      </c>
      <c r="C2450" t="s">
        <v>81</v>
      </c>
      <c r="D2450">
        <v>4706791</v>
      </c>
      <c r="E2450" t="s">
        <v>48</v>
      </c>
      <c r="F2450" t="s">
        <v>49</v>
      </c>
      <c r="G2450" s="30">
        <v>0</v>
      </c>
    </row>
    <row r="2451" spans="1:7" x14ac:dyDescent="0.25">
      <c r="A2451" t="s">
        <v>45</v>
      </c>
      <c r="B2451" t="s">
        <v>46</v>
      </c>
      <c r="C2451" t="s">
        <v>47</v>
      </c>
      <c r="D2451">
        <v>4709057</v>
      </c>
      <c r="E2451" t="s">
        <v>48</v>
      </c>
      <c r="F2451" t="s">
        <v>49</v>
      </c>
      <c r="G2451" s="30">
        <v>0</v>
      </c>
    </row>
    <row r="2452" spans="1:7" x14ac:dyDescent="0.25">
      <c r="A2452" t="s">
        <v>45</v>
      </c>
      <c r="B2452" t="s">
        <v>46</v>
      </c>
      <c r="C2452" t="s">
        <v>47</v>
      </c>
      <c r="D2452">
        <v>4711860</v>
      </c>
      <c r="E2452" t="s">
        <v>48</v>
      </c>
      <c r="F2452" t="s">
        <v>49</v>
      </c>
      <c r="G2452" s="30">
        <v>0</v>
      </c>
    </row>
    <row r="2453" spans="1:7" x14ac:dyDescent="0.25">
      <c r="A2453" t="s">
        <v>65</v>
      </c>
      <c r="B2453" t="s">
        <v>66</v>
      </c>
      <c r="C2453" t="s">
        <v>67</v>
      </c>
      <c r="D2453">
        <v>4712936</v>
      </c>
      <c r="E2453" t="s">
        <v>53</v>
      </c>
      <c r="F2453" t="s">
        <v>49</v>
      </c>
      <c r="G2453" s="30">
        <v>58279.153053333801</v>
      </c>
    </row>
    <row r="2454" spans="1:7" x14ac:dyDescent="0.25">
      <c r="A2454" t="s">
        <v>45</v>
      </c>
      <c r="B2454" t="s">
        <v>46</v>
      </c>
      <c r="C2454" t="s">
        <v>47</v>
      </c>
      <c r="D2454">
        <v>4718170</v>
      </c>
      <c r="E2454" t="s">
        <v>53</v>
      </c>
      <c r="F2454" t="s">
        <v>49</v>
      </c>
      <c r="G2454" s="30">
        <v>31670.3</v>
      </c>
    </row>
    <row r="2455" spans="1:7" x14ac:dyDescent="0.25">
      <c r="A2455" t="s">
        <v>57</v>
      </c>
      <c r="B2455" t="s">
        <v>58</v>
      </c>
      <c r="C2455" t="s">
        <v>56</v>
      </c>
      <c r="D2455">
        <v>4730704</v>
      </c>
      <c r="E2455" t="s">
        <v>48</v>
      </c>
      <c r="F2455" t="s">
        <v>49</v>
      </c>
      <c r="G2455" s="30">
        <v>0</v>
      </c>
    </row>
    <row r="2456" spans="1:7" x14ac:dyDescent="0.25">
      <c r="A2456" t="s">
        <v>45</v>
      </c>
      <c r="B2456" t="s">
        <v>46</v>
      </c>
      <c r="C2456" t="s">
        <v>47</v>
      </c>
      <c r="D2456">
        <v>4730926</v>
      </c>
      <c r="E2456" t="s">
        <v>48</v>
      </c>
      <c r="F2456" t="s">
        <v>49</v>
      </c>
      <c r="G2456" s="30">
        <v>0</v>
      </c>
    </row>
    <row r="2457" spans="1:7" x14ac:dyDescent="0.25">
      <c r="A2457" t="s">
        <v>61</v>
      </c>
      <c r="B2457" t="s">
        <v>62</v>
      </c>
      <c r="C2457" t="s">
        <v>56</v>
      </c>
      <c r="D2457">
        <v>4735654</v>
      </c>
      <c r="E2457" t="s">
        <v>48</v>
      </c>
      <c r="F2457" t="s">
        <v>49</v>
      </c>
      <c r="G2457" s="30">
        <v>0</v>
      </c>
    </row>
    <row r="2458" spans="1:7" x14ac:dyDescent="0.25">
      <c r="A2458" t="s">
        <v>45</v>
      </c>
      <c r="B2458" t="s">
        <v>46</v>
      </c>
      <c r="C2458" t="s">
        <v>47</v>
      </c>
      <c r="D2458">
        <v>4738737</v>
      </c>
      <c r="E2458" t="s">
        <v>48</v>
      </c>
      <c r="F2458" t="s">
        <v>49</v>
      </c>
      <c r="G2458" s="30">
        <v>0</v>
      </c>
    </row>
    <row r="2459" spans="1:7" x14ac:dyDescent="0.25">
      <c r="A2459" t="s">
        <v>45</v>
      </c>
      <c r="B2459" t="s">
        <v>46</v>
      </c>
      <c r="C2459" t="s">
        <v>47</v>
      </c>
      <c r="D2459">
        <v>4739776</v>
      </c>
      <c r="E2459" t="s">
        <v>48</v>
      </c>
      <c r="F2459" t="s">
        <v>49</v>
      </c>
      <c r="G2459" s="30">
        <v>67.73</v>
      </c>
    </row>
    <row r="2460" spans="1:7" x14ac:dyDescent="0.25">
      <c r="A2460" t="s">
        <v>45</v>
      </c>
      <c r="B2460" t="s">
        <v>46</v>
      </c>
      <c r="C2460" t="s">
        <v>47</v>
      </c>
      <c r="D2460">
        <v>4740659</v>
      </c>
      <c r="E2460" t="s">
        <v>53</v>
      </c>
      <c r="F2460" t="s">
        <v>49</v>
      </c>
      <c r="G2460" s="30">
        <v>47386.851233118898</v>
      </c>
    </row>
    <row r="2461" spans="1:7" x14ac:dyDescent="0.25">
      <c r="A2461" t="s">
        <v>45</v>
      </c>
      <c r="B2461" t="s">
        <v>46</v>
      </c>
      <c r="C2461" t="s">
        <v>47</v>
      </c>
      <c r="D2461">
        <v>4740965</v>
      </c>
      <c r="E2461" t="s">
        <v>53</v>
      </c>
      <c r="F2461" t="s">
        <v>49</v>
      </c>
      <c r="G2461" s="30">
        <v>16184.39</v>
      </c>
    </row>
    <row r="2462" spans="1:7" x14ac:dyDescent="0.25">
      <c r="A2462" t="s">
        <v>50</v>
      </c>
      <c r="B2462" t="s">
        <v>51</v>
      </c>
      <c r="C2462" t="s">
        <v>52</v>
      </c>
      <c r="D2462">
        <v>4742786</v>
      </c>
      <c r="E2462" t="s">
        <v>53</v>
      </c>
      <c r="F2462" t="s">
        <v>49</v>
      </c>
      <c r="G2462" s="30">
        <v>387.42</v>
      </c>
    </row>
    <row r="2463" spans="1:7" x14ac:dyDescent="0.25">
      <c r="A2463" t="s">
        <v>50</v>
      </c>
      <c r="B2463" t="s">
        <v>51</v>
      </c>
      <c r="C2463" t="s">
        <v>52</v>
      </c>
      <c r="D2463">
        <v>4743493</v>
      </c>
      <c r="E2463" t="s">
        <v>53</v>
      </c>
      <c r="F2463" t="s">
        <v>49</v>
      </c>
      <c r="G2463" s="30">
        <v>170.37</v>
      </c>
    </row>
    <row r="2464" spans="1:7" x14ac:dyDescent="0.25">
      <c r="A2464" t="s">
        <v>45</v>
      </c>
      <c r="B2464" t="s">
        <v>46</v>
      </c>
      <c r="C2464" t="s">
        <v>47</v>
      </c>
      <c r="D2464">
        <v>4743907</v>
      </c>
      <c r="E2464" t="s">
        <v>48</v>
      </c>
      <c r="F2464" t="s">
        <v>49</v>
      </c>
      <c r="G2464" s="30">
        <v>0</v>
      </c>
    </row>
    <row r="2465" spans="1:7" x14ac:dyDescent="0.25">
      <c r="A2465" t="s">
        <v>50</v>
      </c>
      <c r="B2465" t="s">
        <v>51</v>
      </c>
      <c r="C2465" t="s">
        <v>52</v>
      </c>
      <c r="D2465">
        <v>4747943</v>
      </c>
      <c r="E2465" t="s">
        <v>53</v>
      </c>
      <c r="F2465" t="s">
        <v>49</v>
      </c>
      <c r="G2465" s="30">
        <v>53309.63</v>
      </c>
    </row>
    <row r="2466" spans="1:7" x14ac:dyDescent="0.25">
      <c r="A2466" t="s">
        <v>50</v>
      </c>
      <c r="B2466" t="s">
        <v>51</v>
      </c>
      <c r="C2466" t="s">
        <v>52</v>
      </c>
      <c r="D2466">
        <v>4748500</v>
      </c>
      <c r="E2466" t="s">
        <v>48</v>
      </c>
      <c r="F2466" t="s">
        <v>49</v>
      </c>
      <c r="G2466" s="30">
        <v>0</v>
      </c>
    </row>
    <row r="2467" spans="1:7" x14ac:dyDescent="0.25">
      <c r="A2467" t="s">
        <v>98</v>
      </c>
      <c r="B2467" t="s">
        <v>99</v>
      </c>
      <c r="C2467" t="s">
        <v>81</v>
      </c>
      <c r="D2467">
        <v>4748517</v>
      </c>
      <c r="E2467" t="s">
        <v>53</v>
      </c>
      <c r="F2467" t="s">
        <v>49</v>
      </c>
      <c r="G2467" s="30">
        <v>37090.959999999999</v>
      </c>
    </row>
    <row r="2468" spans="1:7" x14ac:dyDescent="0.25">
      <c r="A2468" t="s">
        <v>50</v>
      </c>
      <c r="B2468" t="s">
        <v>51</v>
      </c>
      <c r="C2468" t="s">
        <v>52</v>
      </c>
      <c r="D2468">
        <v>4749449</v>
      </c>
      <c r="E2468" t="s">
        <v>53</v>
      </c>
      <c r="F2468" t="s">
        <v>49</v>
      </c>
      <c r="G2468" s="30">
        <v>15107.2</v>
      </c>
    </row>
    <row r="2469" spans="1:7" x14ac:dyDescent="0.25">
      <c r="A2469" t="s">
        <v>90</v>
      </c>
      <c r="B2469" t="s">
        <v>91</v>
      </c>
      <c r="C2469" t="s">
        <v>81</v>
      </c>
      <c r="D2469">
        <v>4749697</v>
      </c>
      <c r="E2469" t="s">
        <v>53</v>
      </c>
      <c r="F2469" t="s">
        <v>49</v>
      </c>
      <c r="G2469" s="30">
        <v>166759.97627450601</v>
      </c>
    </row>
    <row r="2470" spans="1:7" x14ac:dyDescent="0.25">
      <c r="A2470" t="s">
        <v>65</v>
      </c>
      <c r="B2470" t="s">
        <v>66</v>
      </c>
      <c r="C2470" t="s">
        <v>67</v>
      </c>
      <c r="D2470">
        <v>4749981</v>
      </c>
      <c r="E2470" t="s">
        <v>53</v>
      </c>
      <c r="F2470" t="s">
        <v>49</v>
      </c>
      <c r="G2470" s="30">
        <v>172786.016895201</v>
      </c>
    </row>
    <row r="2471" spans="1:7" x14ac:dyDescent="0.25">
      <c r="A2471" t="s">
        <v>45</v>
      </c>
      <c r="B2471" t="s">
        <v>46</v>
      </c>
      <c r="C2471" t="s">
        <v>47</v>
      </c>
      <c r="D2471">
        <v>4751740</v>
      </c>
      <c r="E2471" t="s">
        <v>48</v>
      </c>
      <c r="F2471" t="s">
        <v>49</v>
      </c>
      <c r="G2471" s="30">
        <v>0</v>
      </c>
    </row>
    <row r="2472" spans="1:7" x14ac:dyDescent="0.25">
      <c r="A2472" t="s">
        <v>50</v>
      </c>
      <c r="B2472" t="s">
        <v>51</v>
      </c>
      <c r="C2472" t="s">
        <v>52</v>
      </c>
      <c r="D2472">
        <v>4752535</v>
      </c>
      <c r="E2472" t="s">
        <v>53</v>
      </c>
      <c r="F2472" t="s">
        <v>49</v>
      </c>
      <c r="G2472" s="30">
        <v>28510.997617187499</v>
      </c>
    </row>
    <row r="2473" spans="1:7" x14ac:dyDescent="0.25">
      <c r="A2473" t="s">
        <v>116</v>
      </c>
      <c r="B2473" t="s">
        <v>117</v>
      </c>
      <c r="C2473" t="s">
        <v>47</v>
      </c>
      <c r="D2473">
        <v>4756018</v>
      </c>
      <c r="E2473" t="s">
        <v>53</v>
      </c>
      <c r="F2473" t="s">
        <v>49</v>
      </c>
      <c r="G2473" s="30">
        <v>387737.30625912402</v>
      </c>
    </row>
    <row r="2474" spans="1:7" x14ac:dyDescent="0.25">
      <c r="A2474" t="s">
        <v>45</v>
      </c>
      <c r="B2474" t="s">
        <v>46</v>
      </c>
      <c r="C2474" t="s">
        <v>47</v>
      </c>
      <c r="D2474">
        <v>4758361</v>
      </c>
      <c r="E2474" t="s">
        <v>48</v>
      </c>
      <c r="F2474" t="s">
        <v>49</v>
      </c>
      <c r="G2474" s="30">
        <v>63.7</v>
      </c>
    </row>
    <row r="2475" spans="1:7" x14ac:dyDescent="0.25">
      <c r="A2475" t="s">
        <v>50</v>
      </c>
      <c r="B2475" t="s">
        <v>51</v>
      </c>
      <c r="C2475" t="s">
        <v>52</v>
      </c>
      <c r="D2475">
        <v>4759610</v>
      </c>
      <c r="E2475" t="s">
        <v>53</v>
      </c>
      <c r="F2475" t="s">
        <v>49</v>
      </c>
      <c r="G2475" s="30">
        <v>257.44</v>
      </c>
    </row>
    <row r="2476" spans="1:7" x14ac:dyDescent="0.25">
      <c r="A2476" t="s">
        <v>45</v>
      </c>
      <c r="B2476" t="s">
        <v>46</v>
      </c>
      <c r="C2476" t="s">
        <v>47</v>
      </c>
      <c r="D2476">
        <v>4761275</v>
      </c>
      <c r="E2476" t="s">
        <v>48</v>
      </c>
      <c r="F2476" t="s">
        <v>49</v>
      </c>
      <c r="G2476" s="30">
        <v>0</v>
      </c>
    </row>
    <row r="2477" spans="1:7" x14ac:dyDescent="0.25">
      <c r="A2477" t="s">
        <v>65</v>
      </c>
      <c r="B2477" t="s">
        <v>66</v>
      </c>
      <c r="C2477" t="s">
        <v>67</v>
      </c>
      <c r="D2477">
        <v>4761412</v>
      </c>
      <c r="E2477" t="s">
        <v>53</v>
      </c>
      <c r="F2477" t="s">
        <v>49</v>
      </c>
      <c r="G2477" s="30">
        <v>684166.79182938498</v>
      </c>
    </row>
    <row r="2478" spans="1:7" x14ac:dyDescent="0.25">
      <c r="A2478" t="s">
        <v>45</v>
      </c>
      <c r="B2478" t="s">
        <v>46</v>
      </c>
      <c r="C2478" t="s">
        <v>47</v>
      </c>
      <c r="D2478">
        <v>4761515</v>
      </c>
      <c r="E2478" t="s">
        <v>48</v>
      </c>
      <c r="F2478" t="s">
        <v>49</v>
      </c>
      <c r="G2478" s="30">
        <v>0</v>
      </c>
    </row>
    <row r="2479" spans="1:7" x14ac:dyDescent="0.25">
      <c r="A2479" t="s">
        <v>45</v>
      </c>
      <c r="B2479" t="s">
        <v>46</v>
      </c>
      <c r="C2479" t="s">
        <v>47</v>
      </c>
      <c r="D2479">
        <v>4762252</v>
      </c>
      <c r="E2479" t="s">
        <v>48</v>
      </c>
      <c r="F2479" t="s">
        <v>49</v>
      </c>
      <c r="G2479" s="30">
        <v>0</v>
      </c>
    </row>
    <row r="2480" spans="1:7" x14ac:dyDescent="0.25">
      <c r="A2480" t="s">
        <v>50</v>
      </c>
      <c r="B2480" t="s">
        <v>51</v>
      </c>
      <c r="C2480" t="s">
        <v>52</v>
      </c>
      <c r="D2480">
        <v>4762708</v>
      </c>
      <c r="E2480" t="s">
        <v>48</v>
      </c>
      <c r="F2480" t="s">
        <v>49</v>
      </c>
      <c r="G2480" s="30">
        <v>0</v>
      </c>
    </row>
    <row r="2481" spans="1:7" x14ac:dyDescent="0.25">
      <c r="A2481" t="s">
        <v>50</v>
      </c>
      <c r="B2481" t="s">
        <v>51</v>
      </c>
      <c r="C2481" t="s">
        <v>52</v>
      </c>
      <c r="D2481">
        <v>4764001</v>
      </c>
      <c r="E2481" t="s">
        <v>53</v>
      </c>
      <c r="F2481" t="s">
        <v>49</v>
      </c>
      <c r="G2481" s="30">
        <v>6988.2487395599901</v>
      </c>
    </row>
    <row r="2482" spans="1:7" x14ac:dyDescent="0.25">
      <c r="A2482" t="s">
        <v>88</v>
      </c>
      <c r="B2482" t="s">
        <v>89</v>
      </c>
      <c r="C2482" t="s">
        <v>78</v>
      </c>
      <c r="D2482">
        <v>4764248</v>
      </c>
      <c r="E2482" t="s">
        <v>53</v>
      </c>
      <c r="F2482" t="s">
        <v>49</v>
      </c>
      <c r="G2482" s="30">
        <v>54928.249082625298</v>
      </c>
    </row>
    <row r="2483" spans="1:7" x14ac:dyDescent="0.25">
      <c r="A2483" t="s">
        <v>45</v>
      </c>
      <c r="B2483" t="s">
        <v>46</v>
      </c>
      <c r="C2483" t="s">
        <v>47</v>
      </c>
      <c r="D2483">
        <v>4764381</v>
      </c>
      <c r="E2483" t="s">
        <v>48</v>
      </c>
      <c r="F2483" t="s">
        <v>49</v>
      </c>
      <c r="G2483" s="30">
        <v>0</v>
      </c>
    </row>
    <row r="2484" spans="1:7" x14ac:dyDescent="0.25">
      <c r="A2484" t="s">
        <v>45</v>
      </c>
      <c r="B2484" t="s">
        <v>46</v>
      </c>
      <c r="C2484" t="s">
        <v>47</v>
      </c>
      <c r="D2484">
        <v>4764734</v>
      </c>
      <c r="E2484" t="s">
        <v>48</v>
      </c>
      <c r="F2484" t="s">
        <v>49</v>
      </c>
      <c r="G2484" s="30">
        <v>0</v>
      </c>
    </row>
    <row r="2485" spans="1:7" x14ac:dyDescent="0.25">
      <c r="A2485" t="s">
        <v>82</v>
      </c>
      <c r="B2485" t="s">
        <v>83</v>
      </c>
      <c r="C2485" t="s">
        <v>56</v>
      </c>
      <c r="D2485">
        <v>4766199</v>
      </c>
      <c r="E2485" t="s">
        <v>53</v>
      </c>
      <c r="F2485" t="s">
        <v>49</v>
      </c>
      <c r="G2485" s="30">
        <v>589212.97963747196</v>
      </c>
    </row>
    <row r="2486" spans="1:7" x14ac:dyDescent="0.25">
      <c r="A2486" t="s">
        <v>45</v>
      </c>
      <c r="B2486" t="s">
        <v>46</v>
      </c>
      <c r="C2486" t="s">
        <v>47</v>
      </c>
      <c r="D2486">
        <v>4768232</v>
      </c>
      <c r="E2486" t="s">
        <v>48</v>
      </c>
      <c r="F2486" t="s">
        <v>49</v>
      </c>
      <c r="G2486" s="30">
        <v>0</v>
      </c>
    </row>
    <row r="2487" spans="1:7" x14ac:dyDescent="0.25">
      <c r="A2487" t="s">
        <v>70</v>
      </c>
      <c r="B2487" t="s">
        <v>71</v>
      </c>
      <c r="C2487" t="s">
        <v>47</v>
      </c>
      <c r="D2487">
        <v>4769167</v>
      </c>
      <c r="E2487" t="s">
        <v>53</v>
      </c>
      <c r="F2487" t="s">
        <v>49</v>
      </c>
      <c r="G2487" s="30">
        <v>7684.7703242912003</v>
      </c>
    </row>
    <row r="2488" spans="1:7" x14ac:dyDescent="0.25">
      <c r="A2488" t="s">
        <v>63</v>
      </c>
      <c r="B2488" t="s">
        <v>64</v>
      </c>
      <c r="C2488" t="s">
        <v>56</v>
      </c>
      <c r="D2488">
        <v>4770525</v>
      </c>
      <c r="E2488" t="s">
        <v>53</v>
      </c>
      <c r="F2488" t="s">
        <v>49</v>
      </c>
      <c r="G2488" s="30">
        <v>193852.59270098401</v>
      </c>
    </row>
    <row r="2489" spans="1:7" x14ac:dyDescent="0.25">
      <c r="A2489" t="s">
        <v>45</v>
      </c>
      <c r="B2489" t="s">
        <v>46</v>
      </c>
      <c r="C2489" t="s">
        <v>47</v>
      </c>
      <c r="D2489">
        <v>4772201</v>
      </c>
      <c r="E2489" t="s">
        <v>48</v>
      </c>
      <c r="F2489" t="s">
        <v>49</v>
      </c>
      <c r="G2489" s="30">
        <v>0</v>
      </c>
    </row>
    <row r="2490" spans="1:7" x14ac:dyDescent="0.25">
      <c r="A2490" t="s">
        <v>45</v>
      </c>
      <c r="B2490" t="s">
        <v>46</v>
      </c>
      <c r="C2490" t="s">
        <v>47</v>
      </c>
      <c r="D2490">
        <v>4773547</v>
      </c>
      <c r="E2490" t="s">
        <v>53</v>
      </c>
      <c r="F2490" t="s">
        <v>49</v>
      </c>
      <c r="G2490" s="30">
        <v>87632.487460640899</v>
      </c>
    </row>
    <row r="2491" spans="1:7" x14ac:dyDescent="0.25">
      <c r="A2491" t="s">
        <v>88</v>
      </c>
      <c r="B2491" t="s">
        <v>89</v>
      </c>
      <c r="C2491" t="s">
        <v>78</v>
      </c>
      <c r="D2491">
        <v>4773704</v>
      </c>
      <c r="E2491" t="s">
        <v>53</v>
      </c>
      <c r="F2491" t="s">
        <v>49</v>
      </c>
      <c r="G2491" s="30">
        <v>140566.61479192399</v>
      </c>
    </row>
    <row r="2492" spans="1:7" x14ac:dyDescent="0.25">
      <c r="A2492" t="s">
        <v>63</v>
      </c>
      <c r="B2492" t="s">
        <v>64</v>
      </c>
      <c r="C2492" t="s">
        <v>56</v>
      </c>
      <c r="D2492">
        <v>4774219</v>
      </c>
      <c r="E2492" t="s">
        <v>53</v>
      </c>
      <c r="F2492" t="s">
        <v>49</v>
      </c>
      <c r="G2492" s="30">
        <v>21920.637228507301</v>
      </c>
    </row>
    <row r="2493" spans="1:7" x14ac:dyDescent="0.25">
      <c r="A2493" t="s">
        <v>45</v>
      </c>
      <c r="B2493" t="s">
        <v>46</v>
      </c>
      <c r="C2493" t="s">
        <v>47</v>
      </c>
      <c r="D2493">
        <v>4774388</v>
      </c>
      <c r="E2493" t="s">
        <v>48</v>
      </c>
      <c r="F2493" t="s">
        <v>49</v>
      </c>
      <c r="G2493" s="30">
        <v>0</v>
      </c>
    </row>
    <row r="2494" spans="1:7" x14ac:dyDescent="0.25">
      <c r="A2494" t="s">
        <v>70</v>
      </c>
      <c r="B2494" t="s">
        <v>71</v>
      </c>
      <c r="C2494" t="s">
        <v>47</v>
      </c>
      <c r="D2494">
        <v>4777228</v>
      </c>
      <c r="E2494" t="s">
        <v>53</v>
      </c>
      <c r="F2494" t="s">
        <v>49</v>
      </c>
      <c r="G2494" s="30">
        <v>129064.390133126</v>
      </c>
    </row>
    <row r="2495" spans="1:7" x14ac:dyDescent="0.25">
      <c r="A2495" t="s">
        <v>82</v>
      </c>
      <c r="B2495" t="s">
        <v>83</v>
      </c>
      <c r="C2495" t="s">
        <v>56</v>
      </c>
      <c r="D2495">
        <v>4777341</v>
      </c>
      <c r="E2495" t="s">
        <v>53</v>
      </c>
      <c r="F2495" t="s">
        <v>49</v>
      </c>
      <c r="G2495" s="30">
        <v>292528.12168266199</v>
      </c>
    </row>
    <row r="2496" spans="1:7" x14ac:dyDescent="0.25">
      <c r="A2496" t="s">
        <v>45</v>
      </c>
      <c r="B2496" t="s">
        <v>46</v>
      </c>
      <c r="C2496" t="s">
        <v>47</v>
      </c>
      <c r="D2496">
        <v>4779817</v>
      </c>
      <c r="E2496" t="s">
        <v>53</v>
      </c>
      <c r="F2496" t="s">
        <v>49</v>
      </c>
      <c r="G2496" s="30">
        <v>28954.380610148601</v>
      </c>
    </row>
    <row r="2497" spans="1:7" x14ac:dyDescent="0.25">
      <c r="A2497" t="s">
        <v>50</v>
      </c>
      <c r="B2497" t="s">
        <v>51</v>
      </c>
      <c r="C2497" t="s">
        <v>52</v>
      </c>
      <c r="D2497">
        <v>4780573</v>
      </c>
      <c r="E2497" t="s">
        <v>53</v>
      </c>
      <c r="F2497" t="s">
        <v>49</v>
      </c>
      <c r="G2497" s="30">
        <v>27880.43</v>
      </c>
    </row>
    <row r="2498" spans="1:7" x14ac:dyDescent="0.25">
      <c r="A2498" t="s">
        <v>114</v>
      </c>
      <c r="B2498" t="s">
        <v>115</v>
      </c>
      <c r="C2498" t="s">
        <v>56</v>
      </c>
      <c r="D2498">
        <v>4785289</v>
      </c>
      <c r="E2498" t="s">
        <v>53</v>
      </c>
      <c r="F2498" t="s">
        <v>49</v>
      </c>
      <c r="G2498" s="30">
        <v>317142.25</v>
      </c>
    </row>
    <row r="2499" spans="1:7" x14ac:dyDescent="0.25">
      <c r="A2499" t="s">
        <v>114</v>
      </c>
      <c r="B2499" t="s">
        <v>115</v>
      </c>
      <c r="C2499" t="s">
        <v>56</v>
      </c>
      <c r="D2499">
        <v>4785307</v>
      </c>
      <c r="E2499" t="s">
        <v>48</v>
      </c>
      <c r="F2499" t="s">
        <v>49</v>
      </c>
      <c r="G2499" s="30">
        <v>37.56</v>
      </c>
    </row>
    <row r="2500" spans="1:7" x14ac:dyDescent="0.25">
      <c r="A2500" t="s">
        <v>45</v>
      </c>
      <c r="B2500" t="s">
        <v>46</v>
      </c>
      <c r="C2500" t="s">
        <v>47</v>
      </c>
      <c r="D2500">
        <v>4786459</v>
      </c>
      <c r="E2500" t="s">
        <v>48</v>
      </c>
      <c r="F2500" t="s">
        <v>49</v>
      </c>
      <c r="G2500" s="30">
        <v>0</v>
      </c>
    </row>
    <row r="2501" spans="1:7" x14ac:dyDescent="0.25">
      <c r="A2501" t="s">
        <v>45</v>
      </c>
      <c r="B2501" t="s">
        <v>46</v>
      </c>
      <c r="C2501" t="s">
        <v>47</v>
      </c>
      <c r="D2501">
        <v>4787057</v>
      </c>
      <c r="E2501" t="s">
        <v>53</v>
      </c>
      <c r="F2501" t="s">
        <v>49</v>
      </c>
      <c r="G2501" s="30">
        <v>2027.16</v>
      </c>
    </row>
    <row r="2502" spans="1:7" x14ac:dyDescent="0.25">
      <c r="A2502" t="s">
        <v>50</v>
      </c>
      <c r="B2502" t="s">
        <v>51</v>
      </c>
      <c r="C2502" t="s">
        <v>52</v>
      </c>
      <c r="D2502">
        <v>4787526</v>
      </c>
      <c r="E2502" t="s">
        <v>53</v>
      </c>
      <c r="F2502" t="s">
        <v>49</v>
      </c>
      <c r="G2502" s="30">
        <v>203.58600907435999</v>
      </c>
    </row>
    <row r="2503" spans="1:7" x14ac:dyDescent="0.25">
      <c r="A2503" t="s">
        <v>118</v>
      </c>
      <c r="B2503" t="s">
        <v>119</v>
      </c>
      <c r="C2503" t="s">
        <v>56</v>
      </c>
      <c r="D2503">
        <v>4787713</v>
      </c>
      <c r="E2503" t="s">
        <v>53</v>
      </c>
      <c r="F2503" t="s">
        <v>49</v>
      </c>
      <c r="G2503" s="30">
        <v>690966.41568638</v>
      </c>
    </row>
    <row r="2504" spans="1:7" x14ac:dyDescent="0.25">
      <c r="A2504" t="s">
        <v>82</v>
      </c>
      <c r="B2504" t="s">
        <v>83</v>
      </c>
      <c r="C2504" t="s">
        <v>56</v>
      </c>
      <c r="D2504">
        <v>4789161</v>
      </c>
      <c r="E2504" t="s">
        <v>53</v>
      </c>
      <c r="F2504" t="s">
        <v>49</v>
      </c>
      <c r="G2504" s="30">
        <v>742816.74435964297</v>
      </c>
    </row>
    <row r="2505" spans="1:7" x14ac:dyDescent="0.25">
      <c r="A2505" t="s">
        <v>45</v>
      </c>
      <c r="B2505" t="s">
        <v>46</v>
      </c>
      <c r="C2505" t="s">
        <v>47</v>
      </c>
      <c r="D2505">
        <v>4789732</v>
      </c>
      <c r="E2505" t="s">
        <v>48</v>
      </c>
      <c r="F2505" t="s">
        <v>49</v>
      </c>
      <c r="G2505" s="30">
        <v>0</v>
      </c>
    </row>
    <row r="2506" spans="1:7" x14ac:dyDescent="0.25">
      <c r="A2506" t="s">
        <v>50</v>
      </c>
      <c r="B2506" t="s">
        <v>51</v>
      </c>
      <c r="C2506" t="s">
        <v>52</v>
      </c>
      <c r="D2506">
        <v>4790745</v>
      </c>
      <c r="E2506" t="s">
        <v>53</v>
      </c>
      <c r="F2506" t="s">
        <v>49</v>
      </c>
      <c r="G2506" s="30">
        <v>77664.527153923496</v>
      </c>
    </row>
    <row r="2507" spans="1:7" x14ac:dyDescent="0.25">
      <c r="A2507" t="s">
        <v>45</v>
      </c>
      <c r="B2507" t="s">
        <v>46</v>
      </c>
      <c r="C2507" t="s">
        <v>47</v>
      </c>
      <c r="D2507">
        <v>4792030</v>
      </c>
      <c r="E2507" t="s">
        <v>48</v>
      </c>
      <c r="F2507" t="s">
        <v>49</v>
      </c>
      <c r="G2507" s="30">
        <v>0</v>
      </c>
    </row>
    <row r="2508" spans="1:7" x14ac:dyDescent="0.25">
      <c r="A2508" t="s">
        <v>45</v>
      </c>
      <c r="B2508" t="s">
        <v>46</v>
      </c>
      <c r="C2508" t="s">
        <v>47</v>
      </c>
      <c r="D2508">
        <v>4792224</v>
      </c>
      <c r="E2508" t="s">
        <v>48</v>
      </c>
      <c r="F2508" t="s">
        <v>49</v>
      </c>
      <c r="G2508" s="30">
        <v>0</v>
      </c>
    </row>
    <row r="2509" spans="1:7" x14ac:dyDescent="0.25">
      <c r="A2509" t="s">
        <v>59</v>
      </c>
      <c r="B2509" t="s">
        <v>60</v>
      </c>
      <c r="C2509" t="s">
        <v>56</v>
      </c>
      <c r="D2509">
        <v>4793111</v>
      </c>
      <c r="E2509" t="s">
        <v>53</v>
      </c>
      <c r="F2509" t="s">
        <v>49</v>
      </c>
      <c r="G2509" s="30">
        <v>362027.53340533801</v>
      </c>
    </row>
    <row r="2510" spans="1:7" x14ac:dyDescent="0.25">
      <c r="A2510" t="s">
        <v>45</v>
      </c>
      <c r="B2510" t="s">
        <v>46</v>
      </c>
      <c r="C2510" t="s">
        <v>47</v>
      </c>
      <c r="D2510">
        <v>4794660</v>
      </c>
      <c r="E2510" t="s">
        <v>48</v>
      </c>
      <c r="F2510" t="s">
        <v>49</v>
      </c>
      <c r="G2510" s="30">
        <v>0</v>
      </c>
    </row>
    <row r="2511" spans="1:7" x14ac:dyDescent="0.25">
      <c r="A2511" t="s">
        <v>88</v>
      </c>
      <c r="B2511" t="s">
        <v>89</v>
      </c>
      <c r="C2511" t="s">
        <v>78</v>
      </c>
      <c r="D2511">
        <v>4795012</v>
      </c>
      <c r="E2511" t="s">
        <v>53</v>
      </c>
      <c r="F2511" t="s">
        <v>49</v>
      </c>
      <c r="G2511" s="30">
        <v>305580.35854376998</v>
      </c>
    </row>
    <row r="2512" spans="1:7" x14ac:dyDescent="0.25">
      <c r="A2512" t="s">
        <v>61</v>
      </c>
      <c r="B2512" t="s">
        <v>62</v>
      </c>
      <c r="C2512" t="s">
        <v>56</v>
      </c>
      <c r="D2512">
        <v>4795785</v>
      </c>
      <c r="E2512" t="s">
        <v>53</v>
      </c>
      <c r="F2512" t="s">
        <v>49</v>
      </c>
      <c r="G2512" s="30">
        <v>74581.37</v>
      </c>
    </row>
    <row r="2513" spans="1:7" x14ac:dyDescent="0.25">
      <c r="A2513" t="s">
        <v>90</v>
      </c>
      <c r="B2513" t="s">
        <v>91</v>
      </c>
      <c r="C2513" t="s">
        <v>81</v>
      </c>
      <c r="D2513">
        <v>4797958</v>
      </c>
      <c r="E2513" t="s">
        <v>53</v>
      </c>
      <c r="F2513" t="s">
        <v>49</v>
      </c>
      <c r="G2513" s="30">
        <v>495345.55163391802</v>
      </c>
    </row>
    <row r="2514" spans="1:7" x14ac:dyDescent="0.25">
      <c r="A2514" t="s">
        <v>45</v>
      </c>
      <c r="B2514" t="s">
        <v>46</v>
      </c>
      <c r="C2514" t="s">
        <v>47</v>
      </c>
      <c r="D2514">
        <v>4798596</v>
      </c>
      <c r="E2514" t="s">
        <v>48</v>
      </c>
      <c r="F2514" t="s">
        <v>49</v>
      </c>
      <c r="G2514" s="30">
        <v>82</v>
      </c>
    </row>
    <row r="2515" spans="1:7" x14ac:dyDescent="0.25">
      <c r="A2515" t="s">
        <v>128</v>
      </c>
      <c r="B2515" t="s">
        <v>129</v>
      </c>
      <c r="C2515" t="s">
        <v>130</v>
      </c>
      <c r="D2515">
        <v>4800586</v>
      </c>
      <c r="E2515" t="s">
        <v>48</v>
      </c>
      <c r="F2515" t="s">
        <v>49</v>
      </c>
      <c r="G2515" s="30">
        <v>0</v>
      </c>
    </row>
    <row r="2516" spans="1:7" x14ac:dyDescent="0.25">
      <c r="A2516" t="s">
        <v>45</v>
      </c>
      <c r="B2516" t="s">
        <v>46</v>
      </c>
      <c r="C2516" t="s">
        <v>47</v>
      </c>
      <c r="D2516">
        <v>4802772</v>
      </c>
      <c r="E2516" t="s">
        <v>48</v>
      </c>
      <c r="F2516" t="s">
        <v>49</v>
      </c>
      <c r="G2516" s="30">
        <v>0</v>
      </c>
    </row>
    <row r="2517" spans="1:7" x14ac:dyDescent="0.25">
      <c r="A2517" t="s">
        <v>45</v>
      </c>
      <c r="B2517" t="s">
        <v>46</v>
      </c>
      <c r="C2517" t="s">
        <v>47</v>
      </c>
      <c r="D2517">
        <v>4802991</v>
      </c>
      <c r="E2517" t="s">
        <v>48</v>
      </c>
      <c r="F2517" t="s">
        <v>49</v>
      </c>
      <c r="G2517" s="30">
        <v>2.76</v>
      </c>
    </row>
    <row r="2518" spans="1:7" x14ac:dyDescent="0.25">
      <c r="A2518" t="s">
        <v>59</v>
      </c>
      <c r="B2518" t="s">
        <v>60</v>
      </c>
      <c r="C2518" t="s">
        <v>56</v>
      </c>
      <c r="D2518">
        <v>4805582</v>
      </c>
      <c r="E2518" t="s">
        <v>53</v>
      </c>
      <c r="F2518" t="s">
        <v>49</v>
      </c>
      <c r="G2518" s="30">
        <v>165748.65458287601</v>
      </c>
    </row>
    <row r="2519" spans="1:7" x14ac:dyDescent="0.25">
      <c r="A2519" t="s">
        <v>50</v>
      </c>
      <c r="B2519" t="s">
        <v>51</v>
      </c>
      <c r="C2519" t="s">
        <v>52</v>
      </c>
      <c r="D2519">
        <v>4807032</v>
      </c>
      <c r="E2519" t="s">
        <v>53</v>
      </c>
      <c r="F2519" t="s">
        <v>49</v>
      </c>
      <c r="G2519" s="30">
        <v>101702.75625237099</v>
      </c>
    </row>
    <row r="2520" spans="1:7" x14ac:dyDescent="0.25">
      <c r="A2520" t="s">
        <v>50</v>
      </c>
      <c r="B2520" t="s">
        <v>51</v>
      </c>
      <c r="C2520" t="s">
        <v>52</v>
      </c>
      <c r="D2520">
        <v>4807184</v>
      </c>
      <c r="E2520" t="s">
        <v>53</v>
      </c>
      <c r="F2520" t="s">
        <v>49</v>
      </c>
      <c r="G2520" s="30">
        <v>43476.240888937202</v>
      </c>
    </row>
    <row r="2521" spans="1:7" x14ac:dyDescent="0.25">
      <c r="A2521" t="s">
        <v>50</v>
      </c>
      <c r="B2521" t="s">
        <v>51</v>
      </c>
      <c r="C2521" t="s">
        <v>52</v>
      </c>
      <c r="D2521">
        <v>4807684</v>
      </c>
      <c r="E2521" t="s">
        <v>53</v>
      </c>
      <c r="F2521" t="s">
        <v>49</v>
      </c>
      <c r="G2521" s="30">
        <v>88802.0819473101</v>
      </c>
    </row>
    <row r="2522" spans="1:7" x14ac:dyDescent="0.25">
      <c r="A2522" t="s">
        <v>61</v>
      </c>
      <c r="B2522" t="s">
        <v>62</v>
      </c>
      <c r="C2522" t="s">
        <v>56</v>
      </c>
      <c r="D2522">
        <v>4807717</v>
      </c>
      <c r="E2522" t="s">
        <v>48</v>
      </c>
      <c r="F2522" t="s">
        <v>49</v>
      </c>
      <c r="G2522" s="30">
        <v>78.06</v>
      </c>
    </row>
    <row r="2523" spans="1:7" x14ac:dyDescent="0.25">
      <c r="A2523" t="s">
        <v>82</v>
      </c>
      <c r="B2523" t="s">
        <v>83</v>
      </c>
      <c r="C2523" t="s">
        <v>56</v>
      </c>
      <c r="D2523">
        <v>4809257</v>
      </c>
      <c r="E2523" t="s">
        <v>53</v>
      </c>
      <c r="F2523" t="s">
        <v>49</v>
      </c>
      <c r="G2523" s="30">
        <v>305230.123046875</v>
      </c>
    </row>
    <row r="2524" spans="1:7" x14ac:dyDescent="0.25">
      <c r="A2524" t="s">
        <v>45</v>
      </c>
      <c r="B2524" t="s">
        <v>46</v>
      </c>
      <c r="C2524" t="s">
        <v>47</v>
      </c>
      <c r="D2524">
        <v>4810697</v>
      </c>
      <c r="E2524" t="s">
        <v>48</v>
      </c>
      <c r="F2524" t="s">
        <v>49</v>
      </c>
      <c r="G2524" s="30">
        <v>0</v>
      </c>
    </row>
    <row r="2525" spans="1:7" x14ac:dyDescent="0.25">
      <c r="A2525" t="s">
        <v>82</v>
      </c>
      <c r="B2525" t="s">
        <v>83</v>
      </c>
      <c r="C2525" t="s">
        <v>56</v>
      </c>
      <c r="D2525">
        <v>4810936</v>
      </c>
      <c r="E2525" t="s">
        <v>53</v>
      </c>
      <c r="F2525" t="s">
        <v>49</v>
      </c>
      <c r="G2525" s="30">
        <v>127234.58965923901</v>
      </c>
    </row>
    <row r="2526" spans="1:7" x14ac:dyDescent="0.25">
      <c r="A2526" t="s">
        <v>90</v>
      </c>
      <c r="B2526" t="s">
        <v>91</v>
      </c>
      <c r="C2526" t="s">
        <v>81</v>
      </c>
      <c r="D2526">
        <v>4814346</v>
      </c>
      <c r="E2526" t="s">
        <v>53</v>
      </c>
      <c r="F2526" t="s">
        <v>49</v>
      </c>
      <c r="G2526" s="30">
        <v>819779.46881546103</v>
      </c>
    </row>
    <row r="2527" spans="1:7" x14ac:dyDescent="0.25">
      <c r="A2527" t="s">
        <v>45</v>
      </c>
      <c r="B2527" t="s">
        <v>46</v>
      </c>
      <c r="C2527" t="s">
        <v>47</v>
      </c>
      <c r="D2527">
        <v>4814442</v>
      </c>
      <c r="E2527" t="s">
        <v>48</v>
      </c>
      <c r="F2527" t="s">
        <v>49</v>
      </c>
      <c r="G2527" s="30">
        <v>53.63</v>
      </c>
    </row>
    <row r="2528" spans="1:7" x14ac:dyDescent="0.25">
      <c r="A2528" t="s">
        <v>68</v>
      </c>
      <c r="B2528" t="s">
        <v>69</v>
      </c>
      <c r="C2528" t="s">
        <v>56</v>
      </c>
      <c r="D2528">
        <v>4814985</v>
      </c>
      <c r="E2528" t="s">
        <v>53</v>
      </c>
      <c r="F2528" t="s">
        <v>49</v>
      </c>
      <c r="G2528" s="30">
        <v>1988899.9</v>
      </c>
    </row>
    <row r="2529" spans="1:7" x14ac:dyDescent="0.25">
      <c r="A2529" t="s">
        <v>45</v>
      </c>
      <c r="B2529" t="s">
        <v>46</v>
      </c>
      <c r="C2529" t="s">
        <v>47</v>
      </c>
      <c r="D2529">
        <v>4815483</v>
      </c>
      <c r="E2529" t="s">
        <v>48</v>
      </c>
      <c r="F2529" t="s">
        <v>49</v>
      </c>
      <c r="G2529" s="30">
        <v>0</v>
      </c>
    </row>
    <row r="2530" spans="1:7" x14ac:dyDescent="0.25">
      <c r="A2530" t="s">
        <v>45</v>
      </c>
      <c r="B2530" t="s">
        <v>46</v>
      </c>
      <c r="C2530" t="s">
        <v>47</v>
      </c>
      <c r="D2530">
        <v>4815893</v>
      </c>
      <c r="E2530" t="s">
        <v>53</v>
      </c>
      <c r="F2530" t="s">
        <v>49</v>
      </c>
      <c r="G2530" s="30">
        <v>18221.849999999999</v>
      </c>
    </row>
    <row r="2531" spans="1:7" x14ac:dyDescent="0.25">
      <c r="A2531" t="s">
        <v>50</v>
      </c>
      <c r="B2531" t="s">
        <v>51</v>
      </c>
      <c r="C2531" t="s">
        <v>52</v>
      </c>
      <c r="D2531">
        <v>4816373</v>
      </c>
      <c r="E2531" t="s">
        <v>48</v>
      </c>
      <c r="F2531" t="s">
        <v>49</v>
      </c>
      <c r="G2531" s="30">
        <v>0</v>
      </c>
    </row>
    <row r="2532" spans="1:7" x14ac:dyDescent="0.25">
      <c r="A2532" t="s">
        <v>50</v>
      </c>
      <c r="B2532" t="s">
        <v>51</v>
      </c>
      <c r="C2532" t="s">
        <v>52</v>
      </c>
      <c r="D2532">
        <v>4817618</v>
      </c>
      <c r="E2532" t="s">
        <v>53</v>
      </c>
      <c r="F2532" t="s">
        <v>49</v>
      </c>
      <c r="G2532" s="30">
        <v>739.06</v>
      </c>
    </row>
    <row r="2533" spans="1:7" x14ac:dyDescent="0.25">
      <c r="A2533" t="s">
        <v>124</v>
      </c>
      <c r="B2533" t="s">
        <v>125</v>
      </c>
      <c r="C2533" t="s">
        <v>78</v>
      </c>
      <c r="D2533">
        <v>4818200</v>
      </c>
      <c r="E2533" t="s">
        <v>53</v>
      </c>
      <c r="F2533" t="s">
        <v>49</v>
      </c>
      <c r="G2533" s="30">
        <v>147386.12268673099</v>
      </c>
    </row>
    <row r="2534" spans="1:7" x14ac:dyDescent="0.25">
      <c r="A2534" t="s">
        <v>120</v>
      </c>
      <c r="B2534" t="s">
        <v>121</v>
      </c>
      <c r="C2534" t="s">
        <v>67</v>
      </c>
      <c r="D2534">
        <v>4819868</v>
      </c>
      <c r="E2534" t="s">
        <v>53</v>
      </c>
      <c r="F2534" t="s">
        <v>49</v>
      </c>
      <c r="G2534" s="30">
        <v>88919.806635093904</v>
      </c>
    </row>
    <row r="2535" spans="1:7" x14ac:dyDescent="0.25">
      <c r="A2535" t="s">
        <v>45</v>
      </c>
      <c r="B2535" t="s">
        <v>46</v>
      </c>
      <c r="C2535" t="s">
        <v>47</v>
      </c>
      <c r="D2535">
        <v>4821394</v>
      </c>
      <c r="E2535" t="s">
        <v>48</v>
      </c>
      <c r="F2535" t="s">
        <v>49</v>
      </c>
      <c r="G2535" s="30">
        <v>2.17</v>
      </c>
    </row>
    <row r="2536" spans="1:7" x14ac:dyDescent="0.25">
      <c r="A2536" t="s">
        <v>45</v>
      </c>
      <c r="B2536" t="s">
        <v>46</v>
      </c>
      <c r="C2536" t="s">
        <v>47</v>
      </c>
      <c r="D2536">
        <v>4821415</v>
      </c>
      <c r="E2536" t="s">
        <v>48</v>
      </c>
      <c r="F2536" t="s">
        <v>49</v>
      </c>
      <c r="G2536" s="30">
        <v>0</v>
      </c>
    </row>
    <row r="2537" spans="1:7" x14ac:dyDescent="0.25">
      <c r="A2537" t="s">
        <v>102</v>
      </c>
      <c r="B2537" t="s">
        <v>103</v>
      </c>
      <c r="C2537" t="s">
        <v>47</v>
      </c>
      <c r="D2537">
        <v>4821740</v>
      </c>
      <c r="E2537" t="s">
        <v>53</v>
      </c>
      <c r="F2537" t="s">
        <v>49</v>
      </c>
      <c r="G2537" s="30">
        <v>152282.34346267901</v>
      </c>
    </row>
    <row r="2538" spans="1:7" x14ac:dyDescent="0.25">
      <c r="A2538" t="s">
        <v>88</v>
      </c>
      <c r="B2538" t="s">
        <v>89</v>
      </c>
      <c r="C2538" t="s">
        <v>78</v>
      </c>
      <c r="D2538">
        <v>4821852</v>
      </c>
      <c r="E2538" t="s">
        <v>53</v>
      </c>
      <c r="F2538" t="s">
        <v>49</v>
      </c>
      <c r="G2538" s="30">
        <v>927911.31353163498</v>
      </c>
    </row>
    <row r="2539" spans="1:7" x14ac:dyDescent="0.25">
      <c r="A2539" t="s">
        <v>45</v>
      </c>
      <c r="B2539" t="s">
        <v>46</v>
      </c>
      <c r="C2539" t="s">
        <v>47</v>
      </c>
      <c r="D2539">
        <v>4823206</v>
      </c>
      <c r="E2539" t="s">
        <v>48</v>
      </c>
      <c r="F2539" t="s">
        <v>49</v>
      </c>
      <c r="G2539" s="30">
        <v>0</v>
      </c>
    </row>
    <row r="2540" spans="1:7" x14ac:dyDescent="0.25">
      <c r="A2540" t="s">
        <v>45</v>
      </c>
      <c r="B2540" t="s">
        <v>46</v>
      </c>
      <c r="C2540" t="s">
        <v>47</v>
      </c>
      <c r="D2540">
        <v>4823311</v>
      </c>
      <c r="E2540" t="s">
        <v>48</v>
      </c>
      <c r="F2540" t="s">
        <v>49</v>
      </c>
      <c r="G2540" s="30">
        <v>0</v>
      </c>
    </row>
    <row r="2541" spans="1:7" x14ac:dyDescent="0.25">
      <c r="A2541" t="s">
        <v>50</v>
      </c>
      <c r="B2541" t="s">
        <v>51</v>
      </c>
      <c r="C2541" t="s">
        <v>52</v>
      </c>
      <c r="D2541">
        <v>4825055</v>
      </c>
      <c r="E2541" t="s">
        <v>48</v>
      </c>
      <c r="F2541" t="s">
        <v>49</v>
      </c>
      <c r="G2541" s="30">
        <v>0</v>
      </c>
    </row>
    <row r="2542" spans="1:7" x14ac:dyDescent="0.25">
      <c r="A2542" t="s">
        <v>45</v>
      </c>
      <c r="B2542" t="s">
        <v>46</v>
      </c>
      <c r="C2542" t="s">
        <v>47</v>
      </c>
      <c r="D2542">
        <v>4825581</v>
      </c>
      <c r="E2542" t="s">
        <v>48</v>
      </c>
      <c r="F2542" t="s">
        <v>49</v>
      </c>
      <c r="G2542" s="30">
        <v>0</v>
      </c>
    </row>
    <row r="2543" spans="1:7" x14ac:dyDescent="0.25">
      <c r="A2543" t="s">
        <v>50</v>
      </c>
      <c r="B2543" t="s">
        <v>51</v>
      </c>
      <c r="C2543" t="s">
        <v>52</v>
      </c>
      <c r="D2543">
        <v>4826178</v>
      </c>
      <c r="E2543" t="s">
        <v>53</v>
      </c>
      <c r="F2543" t="s">
        <v>49</v>
      </c>
      <c r="G2543" s="30">
        <v>1030.8599999999999</v>
      </c>
    </row>
    <row r="2544" spans="1:7" x14ac:dyDescent="0.25">
      <c r="A2544" t="s">
        <v>45</v>
      </c>
      <c r="B2544" t="s">
        <v>46</v>
      </c>
      <c r="C2544" t="s">
        <v>47</v>
      </c>
      <c r="D2544">
        <v>4826529</v>
      </c>
      <c r="E2544" t="s">
        <v>48</v>
      </c>
      <c r="F2544" t="s">
        <v>49</v>
      </c>
      <c r="G2544" s="30">
        <v>0</v>
      </c>
    </row>
    <row r="2545" spans="1:7" x14ac:dyDescent="0.25">
      <c r="A2545" t="s">
        <v>50</v>
      </c>
      <c r="B2545" t="s">
        <v>51</v>
      </c>
      <c r="C2545" t="s">
        <v>52</v>
      </c>
      <c r="D2545">
        <v>4831899</v>
      </c>
      <c r="E2545" t="s">
        <v>53</v>
      </c>
      <c r="F2545" t="s">
        <v>49</v>
      </c>
      <c r="G2545" s="30">
        <v>6285.5596056054501</v>
      </c>
    </row>
    <row r="2546" spans="1:7" x14ac:dyDescent="0.25">
      <c r="A2546" t="s">
        <v>50</v>
      </c>
      <c r="B2546" t="s">
        <v>51</v>
      </c>
      <c r="C2546" t="s">
        <v>52</v>
      </c>
      <c r="D2546">
        <v>4833180</v>
      </c>
      <c r="E2546" t="s">
        <v>53</v>
      </c>
      <c r="F2546" t="s">
        <v>49</v>
      </c>
      <c r="G2546" s="30">
        <v>12517.46</v>
      </c>
    </row>
    <row r="2547" spans="1:7" x14ac:dyDescent="0.25">
      <c r="A2547" t="s">
        <v>45</v>
      </c>
      <c r="B2547" t="s">
        <v>46</v>
      </c>
      <c r="C2547" t="s">
        <v>47</v>
      </c>
      <c r="D2547">
        <v>4834123</v>
      </c>
      <c r="E2547" t="s">
        <v>48</v>
      </c>
      <c r="F2547" t="s">
        <v>49</v>
      </c>
      <c r="G2547" s="30">
        <v>0</v>
      </c>
    </row>
    <row r="2548" spans="1:7" x14ac:dyDescent="0.25">
      <c r="A2548" t="s">
        <v>45</v>
      </c>
      <c r="B2548" t="s">
        <v>46</v>
      </c>
      <c r="C2548" t="s">
        <v>47</v>
      </c>
      <c r="D2548">
        <v>4836865</v>
      </c>
      <c r="E2548" t="s">
        <v>48</v>
      </c>
      <c r="F2548" t="s">
        <v>49</v>
      </c>
      <c r="G2548" s="30">
        <v>0</v>
      </c>
    </row>
    <row r="2549" spans="1:7" x14ac:dyDescent="0.25">
      <c r="A2549" t="s">
        <v>45</v>
      </c>
      <c r="B2549" t="s">
        <v>46</v>
      </c>
      <c r="C2549" t="s">
        <v>47</v>
      </c>
      <c r="D2549">
        <v>4837088</v>
      </c>
      <c r="E2549" t="s">
        <v>48</v>
      </c>
      <c r="F2549" t="s">
        <v>49</v>
      </c>
      <c r="G2549" s="30">
        <v>0</v>
      </c>
    </row>
    <row r="2550" spans="1:7" x14ac:dyDescent="0.25">
      <c r="A2550" t="s">
        <v>45</v>
      </c>
      <c r="B2550" t="s">
        <v>46</v>
      </c>
      <c r="C2550" t="s">
        <v>47</v>
      </c>
      <c r="D2550">
        <v>4837089</v>
      </c>
      <c r="E2550" t="s">
        <v>48</v>
      </c>
      <c r="F2550" t="s">
        <v>49</v>
      </c>
      <c r="G2550" s="30">
        <v>0</v>
      </c>
    </row>
    <row r="2551" spans="1:7" x14ac:dyDescent="0.25">
      <c r="A2551" t="s">
        <v>82</v>
      </c>
      <c r="B2551" t="s">
        <v>83</v>
      </c>
      <c r="C2551" t="s">
        <v>56</v>
      </c>
      <c r="D2551">
        <v>4838333</v>
      </c>
      <c r="E2551" t="s">
        <v>53</v>
      </c>
      <c r="F2551" t="s">
        <v>49</v>
      </c>
      <c r="G2551" s="30">
        <v>15594.757844292701</v>
      </c>
    </row>
    <row r="2552" spans="1:7" x14ac:dyDescent="0.25">
      <c r="A2552" t="s">
        <v>45</v>
      </c>
      <c r="B2552" t="s">
        <v>46</v>
      </c>
      <c r="C2552" t="s">
        <v>47</v>
      </c>
      <c r="D2552">
        <v>4839930</v>
      </c>
      <c r="E2552" t="s">
        <v>48</v>
      </c>
      <c r="F2552" t="s">
        <v>49</v>
      </c>
      <c r="G2552" s="30">
        <v>0</v>
      </c>
    </row>
    <row r="2553" spans="1:7" x14ac:dyDescent="0.25">
      <c r="A2553" t="s">
        <v>45</v>
      </c>
      <c r="B2553" t="s">
        <v>46</v>
      </c>
      <c r="C2553" t="s">
        <v>47</v>
      </c>
      <c r="D2553">
        <v>4841977</v>
      </c>
      <c r="E2553" t="s">
        <v>48</v>
      </c>
      <c r="F2553" t="s">
        <v>49</v>
      </c>
      <c r="G2553" s="30">
        <v>0</v>
      </c>
    </row>
    <row r="2554" spans="1:7" x14ac:dyDescent="0.25">
      <c r="A2554" t="s">
        <v>106</v>
      </c>
      <c r="B2554" t="s">
        <v>107</v>
      </c>
      <c r="C2554" t="s">
        <v>56</v>
      </c>
      <c r="D2554">
        <v>4842334</v>
      </c>
      <c r="E2554" t="s">
        <v>53</v>
      </c>
      <c r="F2554" t="s">
        <v>49</v>
      </c>
      <c r="G2554" s="30">
        <v>403572.57510639197</v>
      </c>
    </row>
    <row r="2555" spans="1:7" x14ac:dyDescent="0.25">
      <c r="A2555" t="s">
        <v>45</v>
      </c>
      <c r="B2555" t="s">
        <v>46</v>
      </c>
      <c r="C2555" t="s">
        <v>47</v>
      </c>
      <c r="D2555">
        <v>4842450</v>
      </c>
      <c r="E2555" t="s">
        <v>48</v>
      </c>
      <c r="F2555" t="s">
        <v>49</v>
      </c>
      <c r="G2555" s="30">
        <v>0</v>
      </c>
    </row>
    <row r="2556" spans="1:7" x14ac:dyDescent="0.25">
      <c r="A2556" t="s">
        <v>45</v>
      </c>
      <c r="B2556" t="s">
        <v>46</v>
      </c>
      <c r="C2556" t="s">
        <v>47</v>
      </c>
      <c r="D2556">
        <v>4842799</v>
      </c>
      <c r="E2556" t="s">
        <v>48</v>
      </c>
      <c r="F2556" t="s">
        <v>49</v>
      </c>
      <c r="G2556" s="30">
        <v>57.91</v>
      </c>
    </row>
    <row r="2557" spans="1:7" x14ac:dyDescent="0.25">
      <c r="A2557" t="s">
        <v>45</v>
      </c>
      <c r="B2557" t="s">
        <v>46</v>
      </c>
      <c r="C2557" t="s">
        <v>47</v>
      </c>
      <c r="D2557">
        <v>4843287</v>
      </c>
      <c r="E2557" t="s">
        <v>48</v>
      </c>
      <c r="F2557" t="s">
        <v>49</v>
      </c>
      <c r="G2557" s="30">
        <v>0</v>
      </c>
    </row>
    <row r="2558" spans="1:7" x14ac:dyDescent="0.25">
      <c r="A2558" t="s">
        <v>61</v>
      </c>
      <c r="B2558" t="s">
        <v>62</v>
      </c>
      <c r="C2558" t="s">
        <v>56</v>
      </c>
      <c r="D2558">
        <v>4844216</v>
      </c>
      <c r="E2558" t="s">
        <v>48</v>
      </c>
      <c r="F2558" t="s">
        <v>49</v>
      </c>
      <c r="G2558" s="30">
        <v>0</v>
      </c>
    </row>
    <row r="2559" spans="1:7" x14ac:dyDescent="0.25">
      <c r="A2559" t="s">
        <v>45</v>
      </c>
      <c r="B2559" t="s">
        <v>46</v>
      </c>
      <c r="C2559" t="s">
        <v>47</v>
      </c>
      <c r="D2559">
        <v>4844235</v>
      </c>
      <c r="E2559" t="s">
        <v>48</v>
      </c>
      <c r="F2559" t="s">
        <v>49</v>
      </c>
      <c r="G2559" s="30">
        <v>0</v>
      </c>
    </row>
    <row r="2560" spans="1:7" x14ac:dyDescent="0.25">
      <c r="A2560" t="s">
        <v>45</v>
      </c>
      <c r="B2560" t="s">
        <v>46</v>
      </c>
      <c r="C2560" t="s">
        <v>47</v>
      </c>
      <c r="D2560">
        <v>4845031</v>
      </c>
      <c r="E2560" t="s">
        <v>48</v>
      </c>
      <c r="F2560" t="s">
        <v>49</v>
      </c>
      <c r="G2560" s="30">
        <v>0</v>
      </c>
    </row>
    <row r="2561" spans="1:7" x14ac:dyDescent="0.25">
      <c r="A2561" t="s">
        <v>94</v>
      </c>
      <c r="B2561" t="s">
        <v>95</v>
      </c>
      <c r="C2561" t="s">
        <v>78</v>
      </c>
      <c r="D2561">
        <v>4845825</v>
      </c>
      <c r="E2561" t="s">
        <v>53</v>
      </c>
      <c r="F2561" t="s">
        <v>49</v>
      </c>
      <c r="G2561" s="30">
        <v>438173.48328125</v>
      </c>
    </row>
    <row r="2562" spans="1:7" x14ac:dyDescent="0.25">
      <c r="A2562" t="s">
        <v>45</v>
      </c>
      <c r="B2562" t="s">
        <v>46</v>
      </c>
      <c r="C2562" t="s">
        <v>47</v>
      </c>
      <c r="D2562">
        <v>4847582</v>
      </c>
      <c r="E2562" t="s">
        <v>48</v>
      </c>
      <c r="F2562" t="s">
        <v>49</v>
      </c>
      <c r="G2562" s="30">
        <v>0.26</v>
      </c>
    </row>
    <row r="2563" spans="1:7" x14ac:dyDescent="0.25">
      <c r="A2563" t="s">
        <v>45</v>
      </c>
      <c r="B2563" t="s">
        <v>46</v>
      </c>
      <c r="C2563" t="s">
        <v>47</v>
      </c>
      <c r="D2563">
        <v>4847880</v>
      </c>
      <c r="E2563" t="s">
        <v>48</v>
      </c>
      <c r="F2563" t="s">
        <v>49</v>
      </c>
      <c r="G2563" s="30">
        <v>0</v>
      </c>
    </row>
    <row r="2564" spans="1:7" x14ac:dyDescent="0.25">
      <c r="A2564" t="s">
        <v>50</v>
      </c>
      <c r="B2564" t="s">
        <v>51</v>
      </c>
      <c r="C2564" t="s">
        <v>52</v>
      </c>
      <c r="D2564">
        <v>4851215</v>
      </c>
      <c r="E2564" t="s">
        <v>53</v>
      </c>
      <c r="F2564" t="s">
        <v>49</v>
      </c>
      <c r="G2564" s="30">
        <v>665.64</v>
      </c>
    </row>
    <row r="2565" spans="1:7" x14ac:dyDescent="0.25">
      <c r="A2565" t="s">
        <v>79</v>
      </c>
      <c r="B2565" t="s">
        <v>80</v>
      </c>
      <c r="C2565" t="s">
        <v>81</v>
      </c>
      <c r="D2565">
        <v>4851817</v>
      </c>
      <c r="E2565" t="s">
        <v>48</v>
      </c>
      <c r="F2565" t="s">
        <v>49</v>
      </c>
      <c r="G2565" s="30">
        <v>0</v>
      </c>
    </row>
    <row r="2566" spans="1:7" x14ac:dyDescent="0.25">
      <c r="A2566" t="s">
        <v>79</v>
      </c>
      <c r="B2566" t="s">
        <v>80</v>
      </c>
      <c r="C2566" t="s">
        <v>81</v>
      </c>
      <c r="D2566">
        <v>4852023</v>
      </c>
      <c r="E2566" t="s">
        <v>53</v>
      </c>
      <c r="F2566" t="s">
        <v>49</v>
      </c>
      <c r="G2566" s="30">
        <v>230844.403919264</v>
      </c>
    </row>
    <row r="2567" spans="1:7" x14ac:dyDescent="0.25">
      <c r="A2567" t="s">
        <v>45</v>
      </c>
      <c r="B2567" t="s">
        <v>46</v>
      </c>
      <c r="C2567" t="s">
        <v>47</v>
      </c>
      <c r="D2567">
        <v>4852665</v>
      </c>
      <c r="E2567" t="s">
        <v>48</v>
      </c>
      <c r="F2567" t="s">
        <v>49</v>
      </c>
      <c r="G2567" s="30">
        <v>0</v>
      </c>
    </row>
    <row r="2568" spans="1:7" x14ac:dyDescent="0.25">
      <c r="A2568" t="s">
        <v>50</v>
      </c>
      <c r="B2568" t="s">
        <v>51</v>
      </c>
      <c r="C2568" t="s">
        <v>52</v>
      </c>
      <c r="D2568">
        <v>4855030</v>
      </c>
      <c r="E2568" t="s">
        <v>53</v>
      </c>
      <c r="F2568" t="s">
        <v>49</v>
      </c>
      <c r="G2568" s="30">
        <v>13377.0544686066</v>
      </c>
    </row>
    <row r="2569" spans="1:7" x14ac:dyDescent="0.25">
      <c r="A2569" t="s">
        <v>61</v>
      </c>
      <c r="B2569" t="s">
        <v>62</v>
      </c>
      <c r="C2569" t="s">
        <v>56</v>
      </c>
      <c r="D2569">
        <v>4855313</v>
      </c>
      <c r="E2569" t="s">
        <v>48</v>
      </c>
      <c r="F2569" t="s">
        <v>49</v>
      </c>
      <c r="G2569" s="30">
        <v>0</v>
      </c>
    </row>
    <row r="2570" spans="1:7" x14ac:dyDescent="0.25">
      <c r="A2570" t="s">
        <v>79</v>
      </c>
      <c r="B2570" t="s">
        <v>80</v>
      </c>
      <c r="C2570" t="s">
        <v>81</v>
      </c>
      <c r="D2570">
        <v>4855970</v>
      </c>
      <c r="E2570" t="s">
        <v>53</v>
      </c>
      <c r="F2570" t="s">
        <v>49</v>
      </c>
      <c r="G2570" s="30">
        <v>230882.38443405501</v>
      </c>
    </row>
    <row r="2571" spans="1:7" x14ac:dyDescent="0.25">
      <c r="A2571" t="s">
        <v>45</v>
      </c>
      <c r="B2571" t="s">
        <v>46</v>
      </c>
      <c r="C2571" t="s">
        <v>47</v>
      </c>
      <c r="D2571">
        <v>4858576</v>
      </c>
      <c r="E2571" t="s">
        <v>48</v>
      </c>
      <c r="F2571" t="s">
        <v>49</v>
      </c>
      <c r="G2571" s="30">
        <v>0</v>
      </c>
    </row>
    <row r="2572" spans="1:7" x14ac:dyDescent="0.25">
      <c r="A2572" t="s">
        <v>72</v>
      </c>
      <c r="B2572" t="s">
        <v>73</v>
      </c>
      <c r="C2572" t="s">
        <v>67</v>
      </c>
      <c r="D2572">
        <v>4860765</v>
      </c>
      <c r="E2572" t="s">
        <v>53</v>
      </c>
      <c r="F2572" t="s">
        <v>49</v>
      </c>
      <c r="G2572" s="30">
        <v>1742957.2786700299</v>
      </c>
    </row>
    <row r="2573" spans="1:7" x14ac:dyDescent="0.25">
      <c r="A2573" t="s">
        <v>82</v>
      </c>
      <c r="B2573" t="s">
        <v>83</v>
      </c>
      <c r="C2573" t="s">
        <v>56</v>
      </c>
      <c r="D2573">
        <v>4862640</v>
      </c>
      <c r="E2573" t="s">
        <v>53</v>
      </c>
      <c r="F2573" t="s">
        <v>49</v>
      </c>
      <c r="G2573" s="30">
        <v>1001</v>
      </c>
    </row>
    <row r="2574" spans="1:7" x14ac:dyDescent="0.25">
      <c r="A2574" t="s">
        <v>45</v>
      </c>
      <c r="B2574" t="s">
        <v>46</v>
      </c>
      <c r="C2574" t="s">
        <v>47</v>
      </c>
      <c r="D2574">
        <v>4863860</v>
      </c>
      <c r="E2574" t="s">
        <v>48</v>
      </c>
      <c r="F2574" t="s">
        <v>49</v>
      </c>
      <c r="G2574" s="30">
        <v>0</v>
      </c>
    </row>
    <row r="2575" spans="1:7" x14ac:dyDescent="0.25">
      <c r="A2575" t="s">
        <v>45</v>
      </c>
      <c r="B2575" t="s">
        <v>46</v>
      </c>
      <c r="C2575" t="s">
        <v>47</v>
      </c>
      <c r="D2575">
        <v>4864544</v>
      </c>
      <c r="E2575" t="s">
        <v>48</v>
      </c>
      <c r="F2575" t="s">
        <v>49</v>
      </c>
      <c r="G2575" s="30">
        <v>0</v>
      </c>
    </row>
    <row r="2576" spans="1:7" x14ac:dyDescent="0.25">
      <c r="A2576" t="s">
        <v>45</v>
      </c>
      <c r="B2576" t="s">
        <v>46</v>
      </c>
      <c r="C2576" t="s">
        <v>47</v>
      </c>
      <c r="D2576">
        <v>4866162</v>
      </c>
      <c r="E2576" t="s">
        <v>48</v>
      </c>
      <c r="F2576" t="s">
        <v>49</v>
      </c>
      <c r="G2576" s="30">
        <v>0</v>
      </c>
    </row>
    <row r="2577" spans="1:7" x14ac:dyDescent="0.25">
      <c r="A2577" t="s">
        <v>45</v>
      </c>
      <c r="B2577" t="s">
        <v>46</v>
      </c>
      <c r="C2577" t="s">
        <v>47</v>
      </c>
      <c r="D2577">
        <v>4866832</v>
      </c>
      <c r="E2577" t="s">
        <v>53</v>
      </c>
      <c r="F2577" t="s">
        <v>49</v>
      </c>
      <c r="G2577" s="30">
        <v>82.584185459229502</v>
      </c>
    </row>
    <row r="2578" spans="1:7" x14ac:dyDescent="0.25">
      <c r="A2578" t="s">
        <v>45</v>
      </c>
      <c r="B2578" t="s">
        <v>46</v>
      </c>
      <c r="C2578" t="s">
        <v>47</v>
      </c>
      <c r="D2578">
        <v>4866990</v>
      </c>
      <c r="E2578" t="s">
        <v>48</v>
      </c>
      <c r="F2578" t="s">
        <v>49</v>
      </c>
      <c r="G2578" s="30">
        <v>0</v>
      </c>
    </row>
    <row r="2579" spans="1:7" x14ac:dyDescent="0.25">
      <c r="A2579" t="s">
        <v>72</v>
      </c>
      <c r="B2579" t="s">
        <v>73</v>
      </c>
      <c r="C2579" t="s">
        <v>67</v>
      </c>
      <c r="D2579">
        <v>4867615</v>
      </c>
      <c r="E2579" t="s">
        <v>48</v>
      </c>
      <c r="F2579" t="s">
        <v>49</v>
      </c>
      <c r="G2579" s="30">
        <v>0</v>
      </c>
    </row>
    <row r="2580" spans="1:7" x14ac:dyDescent="0.25">
      <c r="A2580" t="s">
        <v>45</v>
      </c>
      <c r="B2580" t="s">
        <v>46</v>
      </c>
      <c r="C2580" t="s">
        <v>47</v>
      </c>
      <c r="D2580">
        <v>4867618</v>
      </c>
      <c r="E2580" t="s">
        <v>48</v>
      </c>
      <c r="F2580" t="s">
        <v>49</v>
      </c>
      <c r="G2580" s="30">
        <v>0</v>
      </c>
    </row>
    <row r="2581" spans="1:7" x14ac:dyDescent="0.25">
      <c r="A2581" t="s">
        <v>68</v>
      </c>
      <c r="B2581" t="s">
        <v>69</v>
      </c>
      <c r="C2581" t="s">
        <v>56</v>
      </c>
      <c r="D2581">
        <v>4867670</v>
      </c>
      <c r="E2581" t="s">
        <v>53</v>
      </c>
      <c r="F2581" t="s">
        <v>49</v>
      </c>
      <c r="G2581" s="30">
        <v>186007.359783269</v>
      </c>
    </row>
    <row r="2582" spans="1:7" x14ac:dyDescent="0.25">
      <c r="A2582" t="s">
        <v>45</v>
      </c>
      <c r="B2582" t="s">
        <v>46</v>
      </c>
      <c r="C2582" t="s">
        <v>47</v>
      </c>
      <c r="D2582">
        <v>4868264</v>
      </c>
      <c r="E2582" t="s">
        <v>48</v>
      </c>
      <c r="F2582" t="s">
        <v>49</v>
      </c>
      <c r="G2582" s="30">
        <v>0</v>
      </c>
    </row>
    <row r="2583" spans="1:7" x14ac:dyDescent="0.25">
      <c r="A2583" t="s">
        <v>94</v>
      </c>
      <c r="B2583" t="s">
        <v>95</v>
      </c>
      <c r="C2583" t="s">
        <v>78</v>
      </c>
      <c r="D2583">
        <v>4868658</v>
      </c>
      <c r="E2583" t="s">
        <v>53</v>
      </c>
      <c r="F2583" t="s">
        <v>49</v>
      </c>
      <c r="G2583" s="30">
        <v>2081132.85037788</v>
      </c>
    </row>
    <row r="2584" spans="1:7" x14ac:dyDescent="0.25">
      <c r="A2584" t="s">
        <v>45</v>
      </c>
      <c r="B2584" t="s">
        <v>46</v>
      </c>
      <c r="C2584" t="s">
        <v>47</v>
      </c>
      <c r="D2584">
        <v>4871366</v>
      </c>
      <c r="E2584" t="s">
        <v>48</v>
      </c>
      <c r="F2584" t="s">
        <v>49</v>
      </c>
      <c r="G2584" s="30">
        <v>0.04</v>
      </c>
    </row>
    <row r="2585" spans="1:7" x14ac:dyDescent="0.25">
      <c r="A2585" t="s">
        <v>92</v>
      </c>
      <c r="B2585" t="s">
        <v>93</v>
      </c>
      <c r="C2585" t="s">
        <v>81</v>
      </c>
      <c r="D2585">
        <v>4875197</v>
      </c>
      <c r="E2585" t="s">
        <v>48</v>
      </c>
      <c r="F2585" t="s">
        <v>49</v>
      </c>
      <c r="G2585" s="30">
        <v>0</v>
      </c>
    </row>
    <row r="2586" spans="1:7" x14ac:dyDescent="0.25">
      <c r="A2586" t="s">
        <v>86</v>
      </c>
      <c r="B2586" t="s">
        <v>87</v>
      </c>
      <c r="C2586" t="s">
        <v>78</v>
      </c>
      <c r="D2586">
        <v>4876294</v>
      </c>
      <c r="E2586" t="s">
        <v>53</v>
      </c>
      <c r="F2586" t="s">
        <v>49</v>
      </c>
      <c r="G2586" s="30">
        <v>243804.08247493501</v>
      </c>
    </row>
    <row r="2587" spans="1:7" x14ac:dyDescent="0.25">
      <c r="A2587" t="s">
        <v>72</v>
      </c>
      <c r="B2587" t="s">
        <v>73</v>
      </c>
      <c r="C2587" t="s">
        <v>67</v>
      </c>
      <c r="D2587">
        <v>4879039</v>
      </c>
      <c r="E2587" t="s">
        <v>53</v>
      </c>
      <c r="F2587" t="s">
        <v>49</v>
      </c>
      <c r="G2587" s="30">
        <v>2413076.5743749999</v>
      </c>
    </row>
    <row r="2588" spans="1:7" x14ac:dyDescent="0.25">
      <c r="A2588" t="s">
        <v>45</v>
      </c>
      <c r="B2588" t="s">
        <v>46</v>
      </c>
      <c r="C2588" t="s">
        <v>47</v>
      </c>
      <c r="D2588">
        <v>4880104</v>
      </c>
      <c r="E2588" t="s">
        <v>48</v>
      </c>
      <c r="F2588" t="s">
        <v>49</v>
      </c>
      <c r="G2588" s="30">
        <v>0</v>
      </c>
    </row>
    <row r="2589" spans="1:7" x14ac:dyDescent="0.25">
      <c r="A2589" t="s">
        <v>45</v>
      </c>
      <c r="B2589" t="s">
        <v>46</v>
      </c>
      <c r="C2589" t="s">
        <v>47</v>
      </c>
      <c r="D2589">
        <v>4880930</v>
      </c>
      <c r="E2589" t="s">
        <v>48</v>
      </c>
      <c r="F2589" t="s">
        <v>49</v>
      </c>
      <c r="G2589" s="30">
        <v>0</v>
      </c>
    </row>
    <row r="2590" spans="1:7" x14ac:dyDescent="0.25">
      <c r="A2590" t="s">
        <v>45</v>
      </c>
      <c r="B2590" t="s">
        <v>46</v>
      </c>
      <c r="C2590" t="s">
        <v>47</v>
      </c>
      <c r="D2590">
        <v>4882731</v>
      </c>
      <c r="E2590" t="s">
        <v>48</v>
      </c>
      <c r="F2590" t="s">
        <v>49</v>
      </c>
      <c r="G2590" s="30">
        <v>0</v>
      </c>
    </row>
    <row r="2591" spans="1:7" x14ac:dyDescent="0.25">
      <c r="A2591" t="s">
        <v>45</v>
      </c>
      <c r="B2591" t="s">
        <v>46</v>
      </c>
      <c r="C2591" t="s">
        <v>47</v>
      </c>
      <c r="D2591">
        <v>4882869</v>
      </c>
      <c r="E2591" t="s">
        <v>48</v>
      </c>
      <c r="F2591" t="s">
        <v>49</v>
      </c>
      <c r="G2591" s="30">
        <v>0</v>
      </c>
    </row>
    <row r="2592" spans="1:7" x14ac:dyDescent="0.25">
      <c r="A2592" t="s">
        <v>88</v>
      </c>
      <c r="B2592" t="s">
        <v>89</v>
      </c>
      <c r="C2592" t="s">
        <v>78</v>
      </c>
      <c r="D2592">
        <v>4884071</v>
      </c>
      <c r="E2592" t="s">
        <v>53</v>
      </c>
      <c r="F2592" t="s">
        <v>49</v>
      </c>
      <c r="G2592" s="30">
        <v>138706.66307649401</v>
      </c>
    </row>
    <row r="2593" spans="1:7" x14ac:dyDescent="0.25">
      <c r="A2593" t="s">
        <v>45</v>
      </c>
      <c r="B2593" t="s">
        <v>46</v>
      </c>
      <c r="C2593" t="s">
        <v>47</v>
      </c>
      <c r="D2593">
        <v>4884530</v>
      </c>
      <c r="E2593" t="s">
        <v>48</v>
      </c>
      <c r="F2593" t="s">
        <v>49</v>
      </c>
      <c r="G2593" s="30">
        <v>0</v>
      </c>
    </row>
    <row r="2594" spans="1:7" x14ac:dyDescent="0.25">
      <c r="A2594" t="s">
        <v>116</v>
      </c>
      <c r="B2594" t="s">
        <v>117</v>
      </c>
      <c r="C2594" t="s">
        <v>47</v>
      </c>
      <c r="D2594">
        <v>4885368</v>
      </c>
      <c r="E2594" t="s">
        <v>53</v>
      </c>
      <c r="F2594" t="s">
        <v>49</v>
      </c>
      <c r="G2594" s="30">
        <v>1640414.78153273</v>
      </c>
    </row>
    <row r="2595" spans="1:7" x14ac:dyDescent="0.25">
      <c r="A2595" t="s">
        <v>114</v>
      </c>
      <c r="B2595" t="s">
        <v>115</v>
      </c>
      <c r="C2595" t="s">
        <v>56</v>
      </c>
      <c r="D2595">
        <v>4886216</v>
      </c>
      <c r="E2595" t="s">
        <v>53</v>
      </c>
      <c r="F2595" t="s">
        <v>49</v>
      </c>
      <c r="G2595" s="30">
        <v>88594.172483143993</v>
      </c>
    </row>
    <row r="2596" spans="1:7" x14ac:dyDescent="0.25">
      <c r="A2596" t="s">
        <v>72</v>
      </c>
      <c r="B2596" t="s">
        <v>73</v>
      </c>
      <c r="C2596" t="s">
        <v>67</v>
      </c>
      <c r="D2596">
        <v>4888168</v>
      </c>
      <c r="E2596" t="s">
        <v>53</v>
      </c>
      <c r="F2596" t="s">
        <v>49</v>
      </c>
      <c r="G2596" s="30">
        <v>11952730.689854899</v>
      </c>
    </row>
    <row r="2597" spans="1:7" x14ac:dyDescent="0.25">
      <c r="A2597" t="s">
        <v>45</v>
      </c>
      <c r="B2597" t="s">
        <v>46</v>
      </c>
      <c r="C2597" t="s">
        <v>47</v>
      </c>
      <c r="D2597">
        <v>4889181</v>
      </c>
      <c r="E2597" t="s">
        <v>48</v>
      </c>
      <c r="F2597" t="s">
        <v>49</v>
      </c>
      <c r="G2597" s="30">
        <v>0</v>
      </c>
    </row>
    <row r="2598" spans="1:7" x14ac:dyDescent="0.25">
      <c r="A2598" t="s">
        <v>61</v>
      </c>
      <c r="B2598" t="s">
        <v>62</v>
      </c>
      <c r="C2598" t="s">
        <v>56</v>
      </c>
      <c r="D2598">
        <v>4892482</v>
      </c>
      <c r="E2598" t="s">
        <v>48</v>
      </c>
      <c r="F2598" t="s">
        <v>49</v>
      </c>
      <c r="G2598" s="30">
        <v>0</v>
      </c>
    </row>
    <row r="2599" spans="1:7" x14ac:dyDescent="0.25">
      <c r="A2599" t="s">
        <v>68</v>
      </c>
      <c r="B2599" t="s">
        <v>69</v>
      </c>
      <c r="C2599" t="s">
        <v>56</v>
      </c>
      <c r="D2599">
        <v>4892556</v>
      </c>
      <c r="E2599" t="s">
        <v>48</v>
      </c>
      <c r="F2599" t="s">
        <v>49</v>
      </c>
      <c r="G2599" s="30">
        <v>0</v>
      </c>
    </row>
    <row r="2600" spans="1:7" x14ac:dyDescent="0.25">
      <c r="A2600" t="s">
        <v>45</v>
      </c>
      <c r="B2600" t="s">
        <v>46</v>
      </c>
      <c r="C2600" t="s">
        <v>47</v>
      </c>
      <c r="D2600">
        <v>4894499</v>
      </c>
      <c r="E2600" t="s">
        <v>48</v>
      </c>
      <c r="F2600" t="s">
        <v>49</v>
      </c>
      <c r="G2600" s="30">
        <v>0</v>
      </c>
    </row>
    <row r="2601" spans="1:7" x14ac:dyDescent="0.25">
      <c r="A2601" t="s">
        <v>59</v>
      </c>
      <c r="B2601" t="s">
        <v>60</v>
      </c>
      <c r="C2601" t="s">
        <v>56</v>
      </c>
      <c r="D2601">
        <v>4896554</v>
      </c>
      <c r="E2601" t="s">
        <v>53</v>
      </c>
      <c r="F2601" t="s">
        <v>49</v>
      </c>
      <c r="G2601" s="30">
        <v>154432.43742511599</v>
      </c>
    </row>
    <row r="2602" spans="1:7" x14ac:dyDescent="0.25">
      <c r="A2602" t="s">
        <v>45</v>
      </c>
      <c r="B2602" t="s">
        <v>46</v>
      </c>
      <c r="C2602" t="s">
        <v>47</v>
      </c>
      <c r="D2602">
        <v>4898941</v>
      </c>
      <c r="E2602" t="s">
        <v>48</v>
      </c>
      <c r="F2602" t="s">
        <v>49</v>
      </c>
      <c r="G2602" s="30">
        <v>0</v>
      </c>
    </row>
    <row r="2603" spans="1:7" x14ac:dyDescent="0.25">
      <c r="A2603" t="s">
        <v>45</v>
      </c>
      <c r="B2603" t="s">
        <v>46</v>
      </c>
      <c r="C2603" t="s">
        <v>47</v>
      </c>
      <c r="D2603">
        <v>4899425</v>
      </c>
      <c r="E2603" t="s">
        <v>48</v>
      </c>
      <c r="F2603" t="s">
        <v>49</v>
      </c>
      <c r="G2603" s="30">
        <v>0</v>
      </c>
    </row>
    <row r="2604" spans="1:7" x14ac:dyDescent="0.25">
      <c r="A2604" t="s">
        <v>45</v>
      </c>
      <c r="B2604" t="s">
        <v>46</v>
      </c>
      <c r="C2604" t="s">
        <v>47</v>
      </c>
      <c r="D2604">
        <v>4902242</v>
      </c>
      <c r="E2604" t="s">
        <v>48</v>
      </c>
      <c r="F2604" t="s">
        <v>49</v>
      </c>
      <c r="G2604" s="30">
        <v>0</v>
      </c>
    </row>
    <row r="2605" spans="1:7" x14ac:dyDescent="0.25">
      <c r="A2605" t="s">
        <v>45</v>
      </c>
      <c r="B2605" t="s">
        <v>46</v>
      </c>
      <c r="C2605" t="s">
        <v>47</v>
      </c>
      <c r="D2605">
        <v>4904427</v>
      </c>
      <c r="E2605" t="s">
        <v>48</v>
      </c>
      <c r="F2605" t="s">
        <v>49</v>
      </c>
      <c r="G2605" s="30">
        <v>0</v>
      </c>
    </row>
    <row r="2606" spans="1:7" x14ac:dyDescent="0.25">
      <c r="A2606" t="s">
        <v>45</v>
      </c>
      <c r="B2606" t="s">
        <v>46</v>
      </c>
      <c r="C2606" t="s">
        <v>47</v>
      </c>
      <c r="D2606">
        <v>4904468</v>
      </c>
      <c r="E2606" t="s">
        <v>48</v>
      </c>
      <c r="F2606" t="s">
        <v>49</v>
      </c>
      <c r="G2606" s="30">
        <v>0</v>
      </c>
    </row>
    <row r="2607" spans="1:7" x14ac:dyDescent="0.25">
      <c r="A2607" t="s">
        <v>45</v>
      </c>
      <c r="B2607" t="s">
        <v>46</v>
      </c>
      <c r="C2607" t="s">
        <v>47</v>
      </c>
      <c r="D2607">
        <v>4904756</v>
      </c>
      <c r="E2607" t="s">
        <v>48</v>
      </c>
      <c r="F2607" t="s">
        <v>49</v>
      </c>
      <c r="G2607" s="30">
        <v>0</v>
      </c>
    </row>
    <row r="2608" spans="1:7" x14ac:dyDescent="0.25">
      <c r="A2608" t="s">
        <v>45</v>
      </c>
      <c r="B2608" t="s">
        <v>46</v>
      </c>
      <c r="C2608" t="s">
        <v>47</v>
      </c>
      <c r="D2608">
        <v>4906540</v>
      </c>
      <c r="E2608" t="s">
        <v>48</v>
      </c>
      <c r="F2608" t="s">
        <v>49</v>
      </c>
      <c r="G2608" s="30">
        <v>0</v>
      </c>
    </row>
    <row r="2609" spans="1:7" x14ac:dyDescent="0.25">
      <c r="A2609" t="s">
        <v>94</v>
      </c>
      <c r="B2609" t="s">
        <v>95</v>
      </c>
      <c r="C2609" t="s">
        <v>78</v>
      </c>
      <c r="D2609">
        <v>4907584</v>
      </c>
      <c r="E2609" t="s">
        <v>53</v>
      </c>
      <c r="F2609" t="s">
        <v>49</v>
      </c>
      <c r="G2609" s="30">
        <v>573651.12544468802</v>
      </c>
    </row>
    <row r="2610" spans="1:7" x14ac:dyDescent="0.25">
      <c r="A2610" t="s">
        <v>45</v>
      </c>
      <c r="B2610" t="s">
        <v>46</v>
      </c>
      <c r="C2610" t="s">
        <v>47</v>
      </c>
      <c r="D2610">
        <v>4908434</v>
      </c>
      <c r="E2610" t="s">
        <v>48</v>
      </c>
      <c r="F2610" t="s">
        <v>49</v>
      </c>
      <c r="G2610" s="30">
        <v>0</v>
      </c>
    </row>
    <row r="2611" spans="1:7" x14ac:dyDescent="0.25">
      <c r="A2611" t="s">
        <v>45</v>
      </c>
      <c r="B2611" t="s">
        <v>46</v>
      </c>
      <c r="C2611" t="s">
        <v>47</v>
      </c>
      <c r="D2611">
        <v>4908966</v>
      </c>
      <c r="E2611" t="s">
        <v>48</v>
      </c>
      <c r="F2611" t="s">
        <v>49</v>
      </c>
      <c r="G2611" s="30">
        <v>0</v>
      </c>
    </row>
    <row r="2612" spans="1:7" x14ac:dyDescent="0.25">
      <c r="A2612" t="s">
        <v>82</v>
      </c>
      <c r="B2612" t="s">
        <v>83</v>
      </c>
      <c r="C2612" t="s">
        <v>56</v>
      </c>
      <c r="D2612">
        <v>4909256</v>
      </c>
      <c r="E2612" t="s">
        <v>53</v>
      </c>
      <c r="F2612" t="s">
        <v>49</v>
      </c>
      <c r="G2612" s="30">
        <v>853850.42407428601</v>
      </c>
    </row>
    <row r="2613" spans="1:7" x14ac:dyDescent="0.25">
      <c r="A2613" t="s">
        <v>45</v>
      </c>
      <c r="B2613" t="s">
        <v>46</v>
      </c>
      <c r="C2613" t="s">
        <v>47</v>
      </c>
      <c r="D2613">
        <v>4909918</v>
      </c>
      <c r="E2613" t="s">
        <v>48</v>
      </c>
      <c r="F2613" t="s">
        <v>49</v>
      </c>
      <c r="G2613" s="30">
        <v>0</v>
      </c>
    </row>
    <row r="2614" spans="1:7" x14ac:dyDescent="0.25">
      <c r="A2614" t="s">
        <v>90</v>
      </c>
      <c r="B2614" t="s">
        <v>91</v>
      </c>
      <c r="C2614" t="s">
        <v>81</v>
      </c>
      <c r="D2614">
        <v>4910615</v>
      </c>
      <c r="E2614" t="s">
        <v>53</v>
      </c>
      <c r="F2614" t="s">
        <v>49</v>
      </c>
      <c r="G2614" s="30">
        <v>554112.67678771704</v>
      </c>
    </row>
    <row r="2615" spans="1:7" x14ac:dyDescent="0.25">
      <c r="A2615" t="s">
        <v>50</v>
      </c>
      <c r="B2615" t="s">
        <v>51</v>
      </c>
      <c r="C2615" t="s">
        <v>52</v>
      </c>
      <c r="D2615">
        <v>4910941</v>
      </c>
      <c r="E2615" t="s">
        <v>48</v>
      </c>
      <c r="F2615" t="s">
        <v>49</v>
      </c>
      <c r="G2615" s="30">
        <v>58.15</v>
      </c>
    </row>
    <row r="2616" spans="1:7" x14ac:dyDescent="0.25">
      <c r="A2616" t="s">
        <v>124</v>
      </c>
      <c r="B2616" t="s">
        <v>125</v>
      </c>
      <c r="C2616" t="s">
        <v>78</v>
      </c>
      <c r="D2616">
        <v>4912999</v>
      </c>
      <c r="E2616" t="s">
        <v>53</v>
      </c>
      <c r="F2616" t="s">
        <v>49</v>
      </c>
      <c r="G2616" s="30">
        <v>203508.24659582999</v>
      </c>
    </row>
    <row r="2617" spans="1:7" x14ac:dyDescent="0.25">
      <c r="A2617" t="s">
        <v>72</v>
      </c>
      <c r="B2617" t="s">
        <v>73</v>
      </c>
      <c r="C2617" t="s">
        <v>67</v>
      </c>
      <c r="D2617">
        <v>4914693</v>
      </c>
      <c r="E2617" t="s">
        <v>53</v>
      </c>
      <c r="F2617" t="s">
        <v>49</v>
      </c>
      <c r="G2617" s="30">
        <v>369247.69</v>
      </c>
    </row>
    <row r="2618" spans="1:7" x14ac:dyDescent="0.25">
      <c r="A2618" t="s">
        <v>45</v>
      </c>
      <c r="B2618" t="s">
        <v>46</v>
      </c>
      <c r="C2618" t="s">
        <v>47</v>
      </c>
      <c r="D2618">
        <v>4915514</v>
      </c>
      <c r="E2618" t="s">
        <v>48</v>
      </c>
      <c r="F2618" t="s">
        <v>49</v>
      </c>
      <c r="G2618" s="30">
        <v>0</v>
      </c>
    </row>
    <row r="2619" spans="1:7" x14ac:dyDescent="0.25">
      <c r="A2619" t="s">
        <v>50</v>
      </c>
      <c r="B2619" t="s">
        <v>51</v>
      </c>
      <c r="C2619" t="s">
        <v>52</v>
      </c>
      <c r="D2619">
        <v>4915807</v>
      </c>
      <c r="E2619" t="s">
        <v>53</v>
      </c>
      <c r="F2619" t="s">
        <v>49</v>
      </c>
      <c r="G2619" s="30">
        <v>4115.8263989257803</v>
      </c>
    </row>
    <row r="2620" spans="1:7" x14ac:dyDescent="0.25">
      <c r="A2620" t="s">
        <v>96</v>
      </c>
      <c r="B2620" t="s">
        <v>97</v>
      </c>
      <c r="C2620" t="s">
        <v>81</v>
      </c>
      <c r="D2620">
        <v>4917153</v>
      </c>
      <c r="E2620" t="s">
        <v>53</v>
      </c>
      <c r="F2620" t="s">
        <v>49</v>
      </c>
      <c r="G2620" s="30">
        <v>601318.08060239302</v>
      </c>
    </row>
    <row r="2621" spans="1:7" x14ac:dyDescent="0.25">
      <c r="A2621" t="s">
        <v>45</v>
      </c>
      <c r="B2621" t="s">
        <v>46</v>
      </c>
      <c r="C2621" t="s">
        <v>47</v>
      </c>
      <c r="D2621">
        <v>4917288</v>
      </c>
      <c r="E2621" t="s">
        <v>48</v>
      </c>
      <c r="F2621" t="s">
        <v>49</v>
      </c>
      <c r="G2621" s="30">
        <v>0</v>
      </c>
    </row>
    <row r="2622" spans="1:7" x14ac:dyDescent="0.25">
      <c r="A2622" t="s">
        <v>45</v>
      </c>
      <c r="B2622" t="s">
        <v>46</v>
      </c>
      <c r="C2622" t="s">
        <v>47</v>
      </c>
      <c r="D2622">
        <v>4917311</v>
      </c>
      <c r="E2622" t="s">
        <v>48</v>
      </c>
      <c r="F2622" t="s">
        <v>49</v>
      </c>
      <c r="G2622" s="30">
        <v>0</v>
      </c>
    </row>
    <row r="2623" spans="1:7" x14ac:dyDescent="0.25">
      <c r="A2623" t="s">
        <v>45</v>
      </c>
      <c r="B2623" t="s">
        <v>46</v>
      </c>
      <c r="C2623" t="s">
        <v>47</v>
      </c>
      <c r="D2623">
        <v>4918803</v>
      </c>
      <c r="E2623" t="s">
        <v>48</v>
      </c>
      <c r="F2623" t="s">
        <v>49</v>
      </c>
      <c r="G2623" s="30">
        <v>0</v>
      </c>
    </row>
    <row r="2624" spans="1:7" x14ac:dyDescent="0.25">
      <c r="A2624" t="s">
        <v>45</v>
      </c>
      <c r="B2624" t="s">
        <v>46</v>
      </c>
      <c r="C2624" t="s">
        <v>47</v>
      </c>
      <c r="D2624">
        <v>4919172</v>
      </c>
      <c r="E2624" t="s">
        <v>48</v>
      </c>
      <c r="F2624" t="s">
        <v>49</v>
      </c>
      <c r="G2624" s="30">
        <v>0.2</v>
      </c>
    </row>
    <row r="2625" spans="1:7" x14ac:dyDescent="0.25">
      <c r="A2625" t="s">
        <v>45</v>
      </c>
      <c r="B2625" t="s">
        <v>46</v>
      </c>
      <c r="C2625" t="s">
        <v>47</v>
      </c>
      <c r="D2625">
        <v>4924650</v>
      </c>
      <c r="E2625" t="s">
        <v>48</v>
      </c>
      <c r="F2625" t="s">
        <v>49</v>
      </c>
      <c r="G2625" s="30">
        <v>0.03</v>
      </c>
    </row>
    <row r="2626" spans="1:7" x14ac:dyDescent="0.25">
      <c r="A2626" t="s">
        <v>72</v>
      </c>
      <c r="B2626" t="s">
        <v>73</v>
      </c>
      <c r="C2626" t="s">
        <v>67</v>
      </c>
      <c r="D2626">
        <v>4925826</v>
      </c>
      <c r="E2626" t="s">
        <v>53</v>
      </c>
      <c r="F2626" t="s">
        <v>49</v>
      </c>
      <c r="G2626" s="30">
        <v>1178472.3787549001</v>
      </c>
    </row>
    <row r="2627" spans="1:7" x14ac:dyDescent="0.25">
      <c r="A2627" t="s">
        <v>45</v>
      </c>
      <c r="B2627" t="s">
        <v>46</v>
      </c>
      <c r="C2627" t="s">
        <v>47</v>
      </c>
      <c r="D2627">
        <v>4926853</v>
      </c>
      <c r="E2627" t="s">
        <v>48</v>
      </c>
      <c r="F2627" t="s">
        <v>49</v>
      </c>
      <c r="G2627" s="30">
        <v>0</v>
      </c>
    </row>
    <row r="2628" spans="1:7" x14ac:dyDescent="0.25">
      <c r="A2628" t="s">
        <v>50</v>
      </c>
      <c r="B2628" t="s">
        <v>51</v>
      </c>
      <c r="C2628" t="s">
        <v>52</v>
      </c>
      <c r="D2628">
        <v>4929119</v>
      </c>
      <c r="E2628" t="s">
        <v>53</v>
      </c>
      <c r="F2628" t="s">
        <v>49</v>
      </c>
      <c r="G2628" s="30">
        <v>7279.466796875</v>
      </c>
    </row>
    <row r="2629" spans="1:7" x14ac:dyDescent="0.25">
      <c r="A2629" t="s">
        <v>50</v>
      </c>
      <c r="B2629" t="s">
        <v>51</v>
      </c>
      <c r="C2629" t="s">
        <v>52</v>
      </c>
      <c r="D2629">
        <v>4929280</v>
      </c>
      <c r="E2629" t="s">
        <v>53</v>
      </c>
      <c r="F2629" t="s">
        <v>49</v>
      </c>
      <c r="G2629" s="30">
        <v>30163.791898723601</v>
      </c>
    </row>
    <row r="2630" spans="1:7" x14ac:dyDescent="0.25">
      <c r="A2630" t="s">
        <v>50</v>
      </c>
      <c r="B2630" t="s">
        <v>51</v>
      </c>
      <c r="C2630" t="s">
        <v>52</v>
      </c>
      <c r="D2630">
        <v>4929439</v>
      </c>
      <c r="E2630" t="s">
        <v>53</v>
      </c>
      <c r="F2630" t="s">
        <v>49</v>
      </c>
      <c r="G2630" s="30">
        <v>79005.888179929098</v>
      </c>
    </row>
    <row r="2631" spans="1:7" x14ac:dyDescent="0.25">
      <c r="A2631" t="s">
        <v>45</v>
      </c>
      <c r="B2631" t="s">
        <v>46</v>
      </c>
      <c r="C2631" t="s">
        <v>47</v>
      </c>
      <c r="D2631">
        <v>4930675</v>
      </c>
      <c r="E2631" t="s">
        <v>48</v>
      </c>
      <c r="F2631" t="s">
        <v>49</v>
      </c>
      <c r="G2631" s="30">
        <v>0</v>
      </c>
    </row>
    <row r="2632" spans="1:7" x14ac:dyDescent="0.25">
      <c r="A2632" t="s">
        <v>50</v>
      </c>
      <c r="B2632" t="s">
        <v>51</v>
      </c>
      <c r="C2632" t="s">
        <v>52</v>
      </c>
      <c r="D2632">
        <v>4931252</v>
      </c>
      <c r="E2632" t="s">
        <v>53</v>
      </c>
      <c r="F2632" t="s">
        <v>49</v>
      </c>
      <c r="G2632" s="30">
        <v>84906.287613542707</v>
      </c>
    </row>
    <row r="2633" spans="1:7" x14ac:dyDescent="0.25">
      <c r="A2633" t="s">
        <v>133</v>
      </c>
      <c r="B2633" t="s">
        <v>134</v>
      </c>
      <c r="C2633" t="s">
        <v>47</v>
      </c>
      <c r="D2633">
        <v>4931360</v>
      </c>
      <c r="E2633" t="s">
        <v>53</v>
      </c>
      <c r="F2633" t="s">
        <v>49</v>
      </c>
      <c r="G2633" s="30">
        <v>183817.104911856</v>
      </c>
    </row>
    <row r="2634" spans="1:7" x14ac:dyDescent="0.25">
      <c r="A2634" t="s">
        <v>45</v>
      </c>
      <c r="B2634" t="s">
        <v>46</v>
      </c>
      <c r="C2634" t="s">
        <v>47</v>
      </c>
      <c r="D2634">
        <v>4932687</v>
      </c>
      <c r="E2634" t="s">
        <v>48</v>
      </c>
      <c r="F2634" t="s">
        <v>49</v>
      </c>
      <c r="G2634" s="30">
        <v>0</v>
      </c>
    </row>
    <row r="2635" spans="1:7" x14ac:dyDescent="0.25">
      <c r="A2635" t="s">
        <v>104</v>
      </c>
      <c r="B2635" t="s">
        <v>105</v>
      </c>
      <c r="C2635" t="s">
        <v>78</v>
      </c>
      <c r="D2635">
        <v>4933146</v>
      </c>
      <c r="E2635" t="s">
        <v>53</v>
      </c>
      <c r="F2635" t="s">
        <v>49</v>
      </c>
      <c r="G2635" s="30">
        <v>153366.43853587299</v>
      </c>
    </row>
    <row r="2636" spans="1:7" x14ac:dyDescent="0.25">
      <c r="A2636" t="s">
        <v>45</v>
      </c>
      <c r="B2636" t="s">
        <v>46</v>
      </c>
      <c r="C2636" t="s">
        <v>47</v>
      </c>
      <c r="D2636">
        <v>4934676</v>
      </c>
      <c r="E2636" t="s">
        <v>48</v>
      </c>
      <c r="F2636" t="s">
        <v>49</v>
      </c>
      <c r="G2636" s="30">
        <v>0</v>
      </c>
    </row>
    <row r="2637" spans="1:7" x14ac:dyDescent="0.25">
      <c r="A2637" t="s">
        <v>45</v>
      </c>
      <c r="B2637" t="s">
        <v>46</v>
      </c>
      <c r="C2637" t="s">
        <v>47</v>
      </c>
      <c r="D2637">
        <v>4935416</v>
      </c>
      <c r="E2637" t="s">
        <v>48</v>
      </c>
      <c r="F2637" t="s">
        <v>49</v>
      </c>
      <c r="G2637" s="30">
        <v>0</v>
      </c>
    </row>
    <row r="2638" spans="1:7" x14ac:dyDescent="0.25">
      <c r="A2638" t="s">
        <v>45</v>
      </c>
      <c r="B2638" t="s">
        <v>46</v>
      </c>
      <c r="C2638" t="s">
        <v>47</v>
      </c>
      <c r="D2638">
        <v>4935656</v>
      </c>
      <c r="E2638" t="s">
        <v>48</v>
      </c>
      <c r="F2638" t="s">
        <v>49</v>
      </c>
      <c r="G2638" s="30">
        <v>0</v>
      </c>
    </row>
    <row r="2639" spans="1:7" x14ac:dyDescent="0.25">
      <c r="A2639" t="s">
        <v>84</v>
      </c>
      <c r="B2639" t="s">
        <v>85</v>
      </c>
      <c r="C2639" t="s">
        <v>67</v>
      </c>
      <c r="D2639">
        <v>4935733</v>
      </c>
      <c r="E2639" t="s">
        <v>53</v>
      </c>
      <c r="F2639" t="s">
        <v>49</v>
      </c>
      <c r="G2639" s="30">
        <v>3640184.7860763702</v>
      </c>
    </row>
    <row r="2640" spans="1:7" x14ac:dyDescent="0.25">
      <c r="A2640" t="s">
        <v>63</v>
      </c>
      <c r="B2640" t="s">
        <v>64</v>
      </c>
      <c r="C2640" t="s">
        <v>56</v>
      </c>
      <c r="D2640">
        <v>4936514</v>
      </c>
      <c r="E2640" t="s">
        <v>53</v>
      </c>
      <c r="F2640" t="s">
        <v>49</v>
      </c>
      <c r="G2640" s="30">
        <v>947917.74990385596</v>
      </c>
    </row>
    <row r="2641" spans="1:7" x14ac:dyDescent="0.25">
      <c r="A2641" t="s">
        <v>45</v>
      </c>
      <c r="B2641" t="s">
        <v>46</v>
      </c>
      <c r="C2641" t="s">
        <v>47</v>
      </c>
      <c r="D2641">
        <v>4937312</v>
      </c>
      <c r="E2641" t="s">
        <v>48</v>
      </c>
      <c r="F2641" t="s">
        <v>49</v>
      </c>
      <c r="G2641" s="30">
        <v>0</v>
      </c>
    </row>
    <row r="2642" spans="1:7" x14ac:dyDescent="0.25">
      <c r="A2642" t="s">
        <v>68</v>
      </c>
      <c r="B2642" t="s">
        <v>69</v>
      </c>
      <c r="C2642" t="s">
        <v>56</v>
      </c>
      <c r="D2642">
        <v>4937387</v>
      </c>
      <c r="E2642" t="s">
        <v>48</v>
      </c>
      <c r="F2642" t="s">
        <v>49</v>
      </c>
      <c r="G2642" s="30">
        <v>0</v>
      </c>
    </row>
    <row r="2643" spans="1:7" x14ac:dyDescent="0.25">
      <c r="A2643" t="s">
        <v>50</v>
      </c>
      <c r="B2643" t="s">
        <v>51</v>
      </c>
      <c r="C2643" t="s">
        <v>52</v>
      </c>
      <c r="D2643">
        <v>4937884</v>
      </c>
      <c r="E2643" t="s">
        <v>53</v>
      </c>
      <c r="F2643" t="s">
        <v>49</v>
      </c>
      <c r="G2643" s="30">
        <v>96.12</v>
      </c>
    </row>
    <row r="2644" spans="1:7" x14ac:dyDescent="0.25">
      <c r="A2644" t="s">
        <v>70</v>
      </c>
      <c r="B2644" t="s">
        <v>71</v>
      </c>
      <c r="C2644" t="s">
        <v>47</v>
      </c>
      <c r="D2644">
        <v>4939530</v>
      </c>
      <c r="E2644" t="s">
        <v>53</v>
      </c>
      <c r="F2644" t="s">
        <v>49</v>
      </c>
      <c r="G2644" s="30">
        <v>88207.814243164103</v>
      </c>
    </row>
    <row r="2645" spans="1:7" x14ac:dyDescent="0.25">
      <c r="A2645" t="s">
        <v>45</v>
      </c>
      <c r="B2645" t="s">
        <v>46</v>
      </c>
      <c r="C2645" t="s">
        <v>47</v>
      </c>
      <c r="D2645">
        <v>4940136</v>
      </c>
      <c r="E2645" t="s">
        <v>48</v>
      </c>
      <c r="F2645" t="s">
        <v>49</v>
      </c>
      <c r="G2645" s="30">
        <v>0</v>
      </c>
    </row>
    <row r="2646" spans="1:7" x14ac:dyDescent="0.25">
      <c r="A2646" t="s">
        <v>65</v>
      </c>
      <c r="B2646" t="s">
        <v>66</v>
      </c>
      <c r="C2646" t="s">
        <v>67</v>
      </c>
      <c r="D2646">
        <v>4941047</v>
      </c>
      <c r="E2646" t="s">
        <v>48</v>
      </c>
      <c r="F2646" t="s">
        <v>49</v>
      </c>
      <c r="G2646" s="30">
        <v>0</v>
      </c>
    </row>
    <row r="2647" spans="1:7" x14ac:dyDescent="0.25">
      <c r="A2647" t="s">
        <v>116</v>
      </c>
      <c r="B2647" t="s">
        <v>117</v>
      </c>
      <c r="C2647" t="s">
        <v>47</v>
      </c>
      <c r="D2647">
        <v>4941647</v>
      </c>
      <c r="E2647" t="s">
        <v>53</v>
      </c>
      <c r="F2647" t="s">
        <v>49</v>
      </c>
      <c r="G2647" s="30">
        <v>94221.946883262906</v>
      </c>
    </row>
    <row r="2648" spans="1:7" x14ac:dyDescent="0.25">
      <c r="A2648" t="s">
        <v>45</v>
      </c>
      <c r="B2648" t="s">
        <v>46</v>
      </c>
      <c r="C2648" t="s">
        <v>47</v>
      </c>
      <c r="D2648">
        <v>4941821</v>
      </c>
      <c r="E2648" t="s">
        <v>48</v>
      </c>
      <c r="F2648" t="s">
        <v>49</v>
      </c>
      <c r="G2648" s="30">
        <v>88.78</v>
      </c>
    </row>
    <row r="2649" spans="1:7" x14ac:dyDescent="0.25">
      <c r="A2649" t="s">
        <v>114</v>
      </c>
      <c r="B2649" t="s">
        <v>115</v>
      </c>
      <c r="C2649" t="s">
        <v>56</v>
      </c>
      <c r="D2649">
        <v>4943275</v>
      </c>
      <c r="E2649" t="s">
        <v>48</v>
      </c>
      <c r="F2649" t="s">
        <v>49</v>
      </c>
      <c r="G2649" s="30">
        <v>0</v>
      </c>
    </row>
    <row r="2650" spans="1:7" x14ac:dyDescent="0.25">
      <c r="A2650" t="s">
        <v>45</v>
      </c>
      <c r="B2650" t="s">
        <v>46</v>
      </c>
      <c r="C2650" t="s">
        <v>47</v>
      </c>
      <c r="D2650">
        <v>4945238</v>
      </c>
      <c r="E2650" t="s">
        <v>48</v>
      </c>
      <c r="F2650" t="s">
        <v>49</v>
      </c>
      <c r="G2650" s="30">
        <v>0</v>
      </c>
    </row>
    <row r="2651" spans="1:7" x14ac:dyDescent="0.25">
      <c r="A2651" t="s">
        <v>45</v>
      </c>
      <c r="B2651" t="s">
        <v>46</v>
      </c>
      <c r="C2651" t="s">
        <v>47</v>
      </c>
      <c r="D2651">
        <v>4945459</v>
      </c>
      <c r="E2651" t="s">
        <v>48</v>
      </c>
      <c r="F2651" t="s">
        <v>49</v>
      </c>
      <c r="G2651" s="30">
        <v>0</v>
      </c>
    </row>
    <row r="2652" spans="1:7" x14ac:dyDescent="0.25">
      <c r="A2652" t="s">
        <v>45</v>
      </c>
      <c r="B2652" t="s">
        <v>46</v>
      </c>
      <c r="C2652" t="s">
        <v>47</v>
      </c>
      <c r="D2652">
        <v>4946733</v>
      </c>
      <c r="E2652" t="s">
        <v>48</v>
      </c>
      <c r="F2652" t="s">
        <v>49</v>
      </c>
      <c r="G2652" s="30">
        <v>0</v>
      </c>
    </row>
    <row r="2653" spans="1:7" x14ac:dyDescent="0.25">
      <c r="A2653" t="s">
        <v>45</v>
      </c>
      <c r="B2653" t="s">
        <v>46</v>
      </c>
      <c r="C2653" t="s">
        <v>47</v>
      </c>
      <c r="D2653">
        <v>4946736</v>
      </c>
      <c r="E2653" t="s">
        <v>48</v>
      </c>
      <c r="F2653" t="s">
        <v>49</v>
      </c>
      <c r="G2653" s="30">
        <v>0</v>
      </c>
    </row>
    <row r="2654" spans="1:7" x14ac:dyDescent="0.25">
      <c r="A2654" t="s">
        <v>82</v>
      </c>
      <c r="B2654" t="s">
        <v>83</v>
      </c>
      <c r="C2654" t="s">
        <v>56</v>
      </c>
      <c r="D2654">
        <v>4947044</v>
      </c>
      <c r="E2654" t="s">
        <v>53</v>
      </c>
      <c r="F2654" t="s">
        <v>49</v>
      </c>
      <c r="G2654" s="30">
        <v>551328.504465173</v>
      </c>
    </row>
    <row r="2655" spans="1:7" x14ac:dyDescent="0.25">
      <c r="A2655" t="s">
        <v>45</v>
      </c>
      <c r="B2655" t="s">
        <v>46</v>
      </c>
      <c r="C2655" t="s">
        <v>47</v>
      </c>
      <c r="D2655">
        <v>4947915</v>
      </c>
      <c r="E2655" t="s">
        <v>48</v>
      </c>
      <c r="F2655" t="s">
        <v>49</v>
      </c>
      <c r="G2655" s="30">
        <v>0</v>
      </c>
    </row>
    <row r="2656" spans="1:7" x14ac:dyDescent="0.25">
      <c r="A2656" t="s">
        <v>45</v>
      </c>
      <c r="B2656" t="s">
        <v>46</v>
      </c>
      <c r="C2656" t="s">
        <v>47</v>
      </c>
      <c r="D2656">
        <v>4948544</v>
      </c>
      <c r="E2656" t="s">
        <v>48</v>
      </c>
      <c r="F2656" t="s">
        <v>49</v>
      </c>
      <c r="G2656" s="30">
        <v>0</v>
      </c>
    </row>
    <row r="2657" spans="1:7" x14ac:dyDescent="0.25">
      <c r="A2657" t="s">
        <v>45</v>
      </c>
      <c r="B2657" t="s">
        <v>46</v>
      </c>
      <c r="C2657" t="s">
        <v>47</v>
      </c>
      <c r="D2657">
        <v>4949412</v>
      </c>
      <c r="E2657" t="s">
        <v>48</v>
      </c>
      <c r="F2657" t="s">
        <v>49</v>
      </c>
      <c r="G2657" s="30">
        <v>0</v>
      </c>
    </row>
    <row r="2658" spans="1:7" x14ac:dyDescent="0.25">
      <c r="A2658" t="s">
        <v>45</v>
      </c>
      <c r="B2658" t="s">
        <v>46</v>
      </c>
      <c r="C2658" t="s">
        <v>47</v>
      </c>
      <c r="D2658">
        <v>4949637</v>
      </c>
      <c r="E2658" t="s">
        <v>53</v>
      </c>
      <c r="F2658" t="s">
        <v>49</v>
      </c>
      <c r="G2658" s="30">
        <v>24560.205078125</v>
      </c>
    </row>
    <row r="2659" spans="1:7" x14ac:dyDescent="0.25">
      <c r="A2659" t="s">
        <v>45</v>
      </c>
      <c r="B2659" t="s">
        <v>46</v>
      </c>
      <c r="C2659" t="s">
        <v>47</v>
      </c>
      <c r="D2659">
        <v>4949823</v>
      </c>
      <c r="E2659" t="s">
        <v>48</v>
      </c>
      <c r="F2659" t="s">
        <v>49</v>
      </c>
      <c r="G2659" s="30">
        <v>0</v>
      </c>
    </row>
    <row r="2660" spans="1:7" x14ac:dyDescent="0.25">
      <c r="A2660" t="s">
        <v>45</v>
      </c>
      <c r="B2660" t="s">
        <v>46</v>
      </c>
      <c r="C2660" t="s">
        <v>47</v>
      </c>
      <c r="D2660">
        <v>4949837</v>
      </c>
      <c r="E2660" t="s">
        <v>48</v>
      </c>
      <c r="F2660" t="s">
        <v>49</v>
      </c>
      <c r="G2660" s="30">
        <v>0</v>
      </c>
    </row>
    <row r="2661" spans="1:7" x14ac:dyDescent="0.25">
      <c r="A2661" t="s">
        <v>45</v>
      </c>
      <c r="B2661" t="s">
        <v>46</v>
      </c>
      <c r="C2661" t="s">
        <v>47</v>
      </c>
      <c r="D2661">
        <v>4949916</v>
      </c>
      <c r="E2661" t="s">
        <v>53</v>
      </c>
      <c r="F2661" t="s">
        <v>49</v>
      </c>
      <c r="G2661" s="30">
        <v>112677.446411133</v>
      </c>
    </row>
    <row r="2662" spans="1:7" x14ac:dyDescent="0.25">
      <c r="A2662" t="s">
        <v>45</v>
      </c>
      <c r="B2662" t="s">
        <v>46</v>
      </c>
      <c r="C2662" t="s">
        <v>47</v>
      </c>
      <c r="D2662">
        <v>4951016</v>
      </c>
      <c r="E2662" t="s">
        <v>48</v>
      </c>
      <c r="F2662" t="s">
        <v>49</v>
      </c>
      <c r="G2662" s="30">
        <v>0</v>
      </c>
    </row>
    <row r="2663" spans="1:7" x14ac:dyDescent="0.25">
      <c r="A2663" t="s">
        <v>45</v>
      </c>
      <c r="B2663" t="s">
        <v>46</v>
      </c>
      <c r="C2663" t="s">
        <v>47</v>
      </c>
      <c r="D2663">
        <v>4953134</v>
      </c>
      <c r="E2663" t="s">
        <v>48</v>
      </c>
      <c r="F2663" t="s">
        <v>49</v>
      </c>
      <c r="G2663" s="30">
        <v>0</v>
      </c>
    </row>
    <row r="2664" spans="1:7" x14ac:dyDescent="0.25">
      <c r="A2664" t="s">
        <v>70</v>
      </c>
      <c r="B2664" t="s">
        <v>71</v>
      </c>
      <c r="C2664" t="s">
        <v>47</v>
      </c>
      <c r="D2664">
        <v>4953194</v>
      </c>
      <c r="E2664" t="s">
        <v>53</v>
      </c>
      <c r="F2664" t="s">
        <v>49</v>
      </c>
      <c r="G2664" s="30">
        <v>216638.243241519</v>
      </c>
    </row>
    <row r="2665" spans="1:7" x14ac:dyDescent="0.25">
      <c r="A2665" t="s">
        <v>50</v>
      </c>
      <c r="B2665" t="s">
        <v>51</v>
      </c>
      <c r="C2665" t="s">
        <v>52</v>
      </c>
      <c r="D2665">
        <v>4956197</v>
      </c>
      <c r="E2665" t="s">
        <v>53</v>
      </c>
      <c r="F2665" t="s">
        <v>49</v>
      </c>
      <c r="G2665" s="30">
        <v>16516.87125919</v>
      </c>
    </row>
    <row r="2666" spans="1:7" x14ac:dyDescent="0.25">
      <c r="A2666" t="s">
        <v>50</v>
      </c>
      <c r="B2666" t="s">
        <v>51</v>
      </c>
      <c r="C2666" t="s">
        <v>52</v>
      </c>
      <c r="D2666">
        <v>4956224</v>
      </c>
      <c r="E2666" t="s">
        <v>53</v>
      </c>
      <c r="F2666" t="s">
        <v>49</v>
      </c>
      <c r="G2666" s="30">
        <v>58588.977130236301</v>
      </c>
    </row>
    <row r="2667" spans="1:7" x14ac:dyDescent="0.25">
      <c r="A2667" t="s">
        <v>45</v>
      </c>
      <c r="B2667" t="s">
        <v>46</v>
      </c>
      <c r="C2667" t="s">
        <v>47</v>
      </c>
      <c r="D2667">
        <v>4959939</v>
      </c>
      <c r="E2667" t="s">
        <v>48</v>
      </c>
      <c r="F2667" t="s">
        <v>49</v>
      </c>
      <c r="G2667" s="30">
        <v>0</v>
      </c>
    </row>
    <row r="2668" spans="1:7" x14ac:dyDescent="0.25">
      <c r="A2668" t="s">
        <v>50</v>
      </c>
      <c r="B2668" t="s">
        <v>51</v>
      </c>
      <c r="C2668" t="s">
        <v>52</v>
      </c>
      <c r="D2668">
        <v>4961366</v>
      </c>
      <c r="E2668" t="s">
        <v>53</v>
      </c>
      <c r="F2668" t="s">
        <v>49</v>
      </c>
      <c r="G2668" s="30">
        <v>416.11133201967402</v>
      </c>
    </row>
    <row r="2669" spans="1:7" x14ac:dyDescent="0.25">
      <c r="A2669" t="s">
        <v>45</v>
      </c>
      <c r="B2669" t="s">
        <v>46</v>
      </c>
      <c r="C2669" t="s">
        <v>47</v>
      </c>
      <c r="D2669">
        <v>4961474</v>
      </c>
      <c r="E2669" t="s">
        <v>48</v>
      </c>
      <c r="F2669" t="s">
        <v>49</v>
      </c>
      <c r="G2669" s="30">
        <v>0</v>
      </c>
    </row>
    <row r="2670" spans="1:7" x14ac:dyDescent="0.25">
      <c r="A2670" t="s">
        <v>88</v>
      </c>
      <c r="B2670" t="s">
        <v>89</v>
      </c>
      <c r="C2670" t="s">
        <v>78</v>
      </c>
      <c r="D2670">
        <v>4961521</v>
      </c>
      <c r="E2670" t="s">
        <v>53</v>
      </c>
      <c r="F2670" t="s">
        <v>49</v>
      </c>
      <c r="G2670" s="30">
        <v>108410.496764688</v>
      </c>
    </row>
    <row r="2671" spans="1:7" x14ac:dyDescent="0.25">
      <c r="A2671" t="s">
        <v>84</v>
      </c>
      <c r="B2671" t="s">
        <v>85</v>
      </c>
      <c r="C2671" t="s">
        <v>67</v>
      </c>
      <c r="D2671">
        <v>4961739</v>
      </c>
      <c r="E2671" t="s">
        <v>53</v>
      </c>
      <c r="F2671" t="s">
        <v>49</v>
      </c>
      <c r="G2671" s="30">
        <v>5108468.8419654705</v>
      </c>
    </row>
    <row r="2672" spans="1:7" x14ac:dyDescent="0.25">
      <c r="A2672" t="s">
        <v>45</v>
      </c>
      <c r="B2672" t="s">
        <v>46</v>
      </c>
      <c r="C2672" t="s">
        <v>47</v>
      </c>
      <c r="D2672">
        <v>4962569</v>
      </c>
      <c r="E2672" t="s">
        <v>53</v>
      </c>
      <c r="F2672" t="s">
        <v>49</v>
      </c>
      <c r="G2672" s="30">
        <v>61193.755772835597</v>
      </c>
    </row>
    <row r="2673" spans="1:7" x14ac:dyDescent="0.25">
      <c r="A2673" t="s">
        <v>116</v>
      </c>
      <c r="B2673" t="s">
        <v>117</v>
      </c>
      <c r="C2673" t="s">
        <v>47</v>
      </c>
      <c r="D2673">
        <v>4963019</v>
      </c>
      <c r="E2673" t="s">
        <v>53</v>
      </c>
      <c r="F2673" t="s">
        <v>49</v>
      </c>
      <c r="G2673" s="30">
        <v>127095.74307600599</v>
      </c>
    </row>
    <row r="2674" spans="1:7" x14ac:dyDescent="0.25">
      <c r="A2674" t="s">
        <v>45</v>
      </c>
      <c r="B2674" t="s">
        <v>46</v>
      </c>
      <c r="C2674" t="s">
        <v>47</v>
      </c>
      <c r="D2674">
        <v>4963219</v>
      </c>
      <c r="E2674" t="s">
        <v>48</v>
      </c>
      <c r="F2674" t="s">
        <v>49</v>
      </c>
      <c r="G2674" s="30">
        <v>4</v>
      </c>
    </row>
    <row r="2675" spans="1:7" x14ac:dyDescent="0.25">
      <c r="A2675" t="s">
        <v>50</v>
      </c>
      <c r="B2675" t="s">
        <v>51</v>
      </c>
      <c r="C2675" t="s">
        <v>52</v>
      </c>
      <c r="D2675">
        <v>4965573</v>
      </c>
      <c r="E2675" t="s">
        <v>53</v>
      </c>
      <c r="F2675" t="s">
        <v>49</v>
      </c>
      <c r="G2675" s="30">
        <v>69295.660041907395</v>
      </c>
    </row>
    <row r="2676" spans="1:7" x14ac:dyDescent="0.25">
      <c r="A2676" t="s">
        <v>45</v>
      </c>
      <c r="B2676" t="s">
        <v>46</v>
      </c>
      <c r="C2676" t="s">
        <v>47</v>
      </c>
      <c r="D2676">
        <v>4966002</v>
      </c>
      <c r="E2676" t="s">
        <v>48</v>
      </c>
      <c r="F2676" t="s">
        <v>49</v>
      </c>
      <c r="G2676" s="30">
        <v>0</v>
      </c>
    </row>
    <row r="2677" spans="1:7" x14ac:dyDescent="0.25">
      <c r="A2677" t="s">
        <v>45</v>
      </c>
      <c r="B2677" t="s">
        <v>46</v>
      </c>
      <c r="C2677" t="s">
        <v>47</v>
      </c>
      <c r="D2677">
        <v>4980113</v>
      </c>
      <c r="E2677" t="s">
        <v>48</v>
      </c>
      <c r="F2677" t="s">
        <v>49</v>
      </c>
      <c r="G2677" s="30">
        <v>34.880000000000003</v>
      </c>
    </row>
    <row r="2678" spans="1:7" x14ac:dyDescent="0.25">
      <c r="A2678" t="s">
        <v>45</v>
      </c>
      <c r="B2678" t="s">
        <v>46</v>
      </c>
      <c r="C2678" t="s">
        <v>47</v>
      </c>
      <c r="D2678">
        <v>4982679</v>
      </c>
      <c r="E2678" t="s">
        <v>48</v>
      </c>
      <c r="F2678" t="s">
        <v>49</v>
      </c>
      <c r="G2678" s="30">
        <v>62.4</v>
      </c>
    </row>
    <row r="2679" spans="1:7" x14ac:dyDescent="0.25">
      <c r="A2679" t="s">
        <v>45</v>
      </c>
      <c r="B2679" t="s">
        <v>46</v>
      </c>
      <c r="C2679" t="s">
        <v>47</v>
      </c>
      <c r="D2679">
        <v>4984190</v>
      </c>
      <c r="E2679" t="s">
        <v>48</v>
      </c>
      <c r="F2679" t="s">
        <v>49</v>
      </c>
      <c r="G2679" s="30">
        <v>0</v>
      </c>
    </row>
    <row r="2680" spans="1:7" x14ac:dyDescent="0.25">
      <c r="A2680" t="s">
        <v>63</v>
      </c>
      <c r="B2680" t="s">
        <v>64</v>
      </c>
      <c r="C2680" t="s">
        <v>56</v>
      </c>
      <c r="D2680">
        <v>4984267</v>
      </c>
      <c r="E2680" t="s">
        <v>53</v>
      </c>
      <c r="F2680" t="s">
        <v>49</v>
      </c>
      <c r="G2680" s="30">
        <v>658964.82706332498</v>
      </c>
    </row>
    <row r="2681" spans="1:7" x14ac:dyDescent="0.25">
      <c r="A2681" t="s">
        <v>50</v>
      </c>
      <c r="B2681" t="s">
        <v>51</v>
      </c>
      <c r="C2681" t="s">
        <v>52</v>
      </c>
      <c r="D2681">
        <v>4988963</v>
      </c>
      <c r="E2681" t="s">
        <v>53</v>
      </c>
      <c r="F2681" t="s">
        <v>49</v>
      </c>
      <c r="G2681" s="30">
        <v>274.10000000000002</v>
      </c>
    </row>
    <row r="2682" spans="1:7" x14ac:dyDescent="0.25">
      <c r="A2682" t="s">
        <v>45</v>
      </c>
      <c r="B2682" t="s">
        <v>46</v>
      </c>
      <c r="C2682" t="s">
        <v>47</v>
      </c>
      <c r="D2682">
        <v>4991207</v>
      </c>
      <c r="E2682" t="s">
        <v>48</v>
      </c>
      <c r="F2682" t="s">
        <v>49</v>
      </c>
      <c r="G2682" s="30">
        <v>0</v>
      </c>
    </row>
    <row r="2683" spans="1:7" x14ac:dyDescent="0.25">
      <c r="A2683" t="s">
        <v>45</v>
      </c>
      <c r="B2683" t="s">
        <v>46</v>
      </c>
      <c r="C2683" t="s">
        <v>47</v>
      </c>
      <c r="D2683">
        <v>4991223</v>
      </c>
      <c r="E2683" t="s">
        <v>48</v>
      </c>
      <c r="F2683" t="s">
        <v>49</v>
      </c>
      <c r="G2683" s="30">
        <v>0</v>
      </c>
    </row>
    <row r="2684" spans="1:7" x14ac:dyDescent="0.25">
      <c r="A2684" t="s">
        <v>126</v>
      </c>
      <c r="B2684" t="s">
        <v>127</v>
      </c>
      <c r="C2684" t="s">
        <v>67</v>
      </c>
      <c r="D2684">
        <v>4991450</v>
      </c>
      <c r="E2684" t="s">
        <v>53</v>
      </c>
      <c r="F2684" t="s">
        <v>49</v>
      </c>
      <c r="G2684" s="30">
        <v>323067.56419331202</v>
      </c>
    </row>
    <row r="2685" spans="1:7" x14ac:dyDescent="0.25">
      <c r="A2685" t="s">
        <v>126</v>
      </c>
      <c r="B2685" t="s">
        <v>127</v>
      </c>
      <c r="C2685" t="s">
        <v>67</v>
      </c>
      <c r="D2685">
        <v>4995305</v>
      </c>
      <c r="E2685" t="s">
        <v>53</v>
      </c>
      <c r="F2685" t="s">
        <v>49</v>
      </c>
      <c r="G2685" s="30">
        <v>21135.630161795401</v>
      </c>
    </row>
    <row r="2686" spans="1:7" x14ac:dyDescent="0.25">
      <c r="A2686" t="s">
        <v>45</v>
      </c>
      <c r="B2686" t="s">
        <v>46</v>
      </c>
      <c r="C2686" t="s">
        <v>47</v>
      </c>
      <c r="D2686">
        <v>4995605</v>
      </c>
      <c r="E2686" t="s">
        <v>48</v>
      </c>
      <c r="F2686" t="s">
        <v>49</v>
      </c>
      <c r="G2686" s="30">
        <v>0</v>
      </c>
    </row>
    <row r="2687" spans="1:7" x14ac:dyDescent="0.25">
      <c r="A2687" t="s">
        <v>45</v>
      </c>
      <c r="B2687" t="s">
        <v>46</v>
      </c>
      <c r="C2687" t="s">
        <v>47</v>
      </c>
      <c r="D2687">
        <v>4999433</v>
      </c>
      <c r="E2687" t="s">
        <v>48</v>
      </c>
      <c r="F2687" t="s">
        <v>49</v>
      </c>
      <c r="G2687" s="30">
        <v>0</v>
      </c>
    </row>
    <row r="2688" spans="1:7" x14ac:dyDescent="0.25">
      <c r="A2688" t="s">
        <v>118</v>
      </c>
      <c r="B2688" t="s">
        <v>119</v>
      </c>
      <c r="C2688" t="s">
        <v>56</v>
      </c>
      <c r="D2688">
        <v>5068234</v>
      </c>
      <c r="E2688" t="s">
        <v>53</v>
      </c>
      <c r="F2688" t="s">
        <v>49</v>
      </c>
      <c r="G2688" s="30">
        <v>5294.4990234375</v>
      </c>
    </row>
    <row r="2689" spans="1:7" x14ac:dyDescent="0.25">
      <c r="A2689" t="s">
        <v>82</v>
      </c>
      <c r="B2689" t="s">
        <v>83</v>
      </c>
      <c r="C2689" t="s">
        <v>56</v>
      </c>
      <c r="D2689">
        <v>5070514</v>
      </c>
      <c r="E2689" t="s">
        <v>53</v>
      </c>
      <c r="F2689" t="s">
        <v>49</v>
      </c>
      <c r="G2689" s="30">
        <v>3814573.8998443098</v>
      </c>
    </row>
    <row r="2690" spans="1:7" x14ac:dyDescent="0.25">
      <c r="A2690" t="s">
        <v>54</v>
      </c>
      <c r="B2690" t="s">
        <v>55</v>
      </c>
      <c r="C2690" t="s">
        <v>56</v>
      </c>
      <c r="D2690">
        <v>5080581</v>
      </c>
      <c r="E2690" t="s">
        <v>53</v>
      </c>
      <c r="F2690" t="s">
        <v>49</v>
      </c>
      <c r="G2690" s="30">
        <v>239068.67605121699</v>
      </c>
    </row>
    <row r="2691" spans="1:7" x14ac:dyDescent="0.25">
      <c r="A2691" t="s">
        <v>114</v>
      </c>
      <c r="B2691" t="s">
        <v>115</v>
      </c>
      <c r="C2691" t="s">
        <v>56</v>
      </c>
      <c r="D2691">
        <v>5081929</v>
      </c>
      <c r="E2691" t="s">
        <v>53</v>
      </c>
      <c r="F2691" t="s">
        <v>49</v>
      </c>
      <c r="G2691" s="30">
        <v>824363.8</v>
      </c>
    </row>
    <row r="2692" spans="1:7" x14ac:dyDescent="0.25">
      <c r="A2692" t="s">
        <v>68</v>
      </c>
      <c r="B2692" t="s">
        <v>69</v>
      </c>
      <c r="C2692" t="s">
        <v>56</v>
      </c>
      <c r="D2692">
        <v>5083628</v>
      </c>
      <c r="E2692" t="s">
        <v>48</v>
      </c>
      <c r="F2692" t="s">
        <v>49</v>
      </c>
      <c r="G2692" s="30">
        <v>0</v>
      </c>
    </row>
    <row r="2693" spans="1:7" x14ac:dyDescent="0.25">
      <c r="A2693" t="s">
        <v>68</v>
      </c>
      <c r="B2693" t="s">
        <v>69</v>
      </c>
      <c r="C2693" t="s">
        <v>56</v>
      </c>
      <c r="D2693">
        <v>5084948</v>
      </c>
      <c r="E2693" t="s">
        <v>53</v>
      </c>
      <c r="F2693" t="s">
        <v>49</v>
      </c>
      <c r="G2693" s="30">
        <v>566130.74312500004</v>
      </c>
    </row>
    <row r="2694" spans="1:7" x14ac:dyDescent="0.25">
      <c r="A2694" t="s">
        <v>72</v>
      </c>
      <c r="B2694" t="s">
        <v>73</v>
      </c>
      <c r="C2694" t="s">
        <v>67</v>
      </c>
      <c r="D2694">
        <v>5086860</v>
      </c>
      <c r="E2694" t="s">
        <v>53</v>
      </c>
      <c r="F2694" t="s">
        <v>49</v>
      </c>
      <c r="G2694" s="30">
        <v>463287.71890625003</v>
      </c>
    </row>
    <row r="2695" spans="1:7" x14ac:dyDescent="0.25">
      <c r="A2695" t="s">
        <v>102</v>
      </c>
      <c r="B2695" t="s">
        <v>103</v>
      </c>
      <c r="C2695" t="s">
        <v>47</v>
      </c>
      <c r="D2695">
        <v>5088045</v>
      </c>
      <c r="E2695" t="s">
        <v>53</v>
      </c>
      <c r="F2695" t="s">
        <v>49</v>
      </c>
      <c r="G2695" s="30">
        <v>95639.241356401093</v>
      </c>
    </row>
    <row r="2696" spans="1:7" x14ac:dyDescent="0.25">
      <c r="A2696" t="s">
        <v>59</v>
      </c>
      <c r="B2696" t="s">
        <v>60</v>
      </c>
      <c r="C2696" t="s">
        <v>56</v>
      </c>
      <c r="D2696">
        <v>5088340</v>
      </c>
      <c r="E2696" t="s">
        <v>53</v>
      </c>
      <c r="F2696" t="s">
        <v>49</v>
      </c>
      <c r="G2696" s="30">
        <v>316129.01940115698</v>
      </c>
    </row>
    <row r="2697" spans="1:7" x14ac:dyDescent="0.25">
      <c r="A2697" t="s">
        <v>50</v>
      </c>
      <c r="B2697" t="s">
        <v>51</v>
      </c>
      <c r="C2697" t="s">
        <v>52</v>
      </c>
      <c r="D2697">
        <v>5089123</v>
      </c>
      <c r="E2697" t="s">
        <v>53</v>
      </c>
      <c r="F2697" t="s">
        <v>49</v>
      </c>
      <c r="G2697" s="30">
        <v>761.21090716503397</v>
      </c>
    </row>
    <row r="2698" spans="1:7" x14ac:dyDescent="0.25">
      <c r="A2698" t="s">
        <v>146</v>
      </c>
      <c r="B2698" t="s">
        <v>147</v>
      </c>
      <c r="C2698" t="s">
        <v>56</v>
      </c>
      <c r="D2698">
        <v>5090322</v>
      </c>
      <c r="E2698" t="s">
        <v>53</v>
      </c>
      <c r="F2698" t="s">
        <v>49</v>
      </c>
      <c r="G2698" s="30">
        <v>9855.7468159454493</v>
      </c>
    </row>
    <row r="2699" spans="1:7" x14ac:dyDescent="0.25">
      <c r="A2699" t="s">
        <v>50</v>
      </c>
      <c r="B2699" t="s">
        <v>51</v>
      </c>
      <c r="C2699" t="s">
        <v>52</v>
      </c>
      <c r="D2699">
        <v>5096489</v>
      </c>
      <c r="E2699" t="s">
        <v>53</v>
      </c>
      <c r="F2699" t="s">
        <v>49</v>
      </c>
      <c r="G2699" s="30">
        <v>87398.878017204595</v>
      </c>
    </row>
    <row r="2700" spans="1:7" x14ac:dyDescent="0.25">
      <c r="A2700" t="s">
        <v>45</v>
      </c>
      <c r="B2700" t="s">
        <v>46</v>
      </c>
      <c r="C2700" t="s">
        <v>47</v>
      </c>
      <c r="D2700">
        <v>5097653</v>
      </c>
      <c r="E2700" t="s">
        <v>48</v>
      </c>
      <c r="F2700" t="s">
        <v>49</v>
      </c>
      <c r="G2700" s="30">
        <v>0</v>
      </c>
    </row>
    <row r="2701" spans="1:7" x14ac:dyDescent="0.25">
      <c r="A2701" t="s">
        <v>65</v>
      </c>
      <c r="B2701" t="s">
        <v>66</v>
      </c>
      <c r="C2701" t="s">
        <v>67</v>
      </c>
      <c r="D2701">
        <v>5101669</v>
      </c>
      <c r="E2701" t="s">
        <v>53</v>
      </c>
      <c r="F2701" t="s">
        <v>49</v>
      </c>
      <c r="G2701" s="30">
        <v>153392.192009277</v>
      </c>
    </row>
    <row r="2702" spans="1:7" x14ac:dyDescent="0.25">
      <c r="A2702" t="s">
        <v>45</v>
      </c>
      <c r="B2702" t="s">
        <v>46</v>
      </c>
      <c r="C2702" t="s">
        <v>47</v>
      </c>
      <c r="D2702">
        <v>5104511</v>
      </c>
      <c r="E2702" t="s">
        <v>48</v>
      </c>
      <c r="F2702" t="s">
        <v>49</v>
      </c>
      <c r="G2702" s="30">
        <v>0</v>
      </c>
    </row>
    <row r="2703" spans="1:7" x14ac:dyDescent="0.25">
      <c r="A2703" t="s">
        <v>94</v>
      </c>
      <c r="B2703" t="s">
        <v>95</v>
      </c>
      <c r="C2703" t="s">
        <v>78</v>
      </c>
      <c r="D2703">
        <v>5105067</v>
      </c>
      <c r="E2703" t="s">
        <v>53</v>
      </c>
      <c r="F2703" t="s">
        <v>49</v>
      </c>
      <c r="G2703" s="30">
        <v>4379388.2562029902</v>
      </c>
    </row>
    <row r="2704" spans="1:7" x14ac:dyDescent="0.25">
      <c r="A2704" t="s">
        <v>45</v>
      </c>
      <c r="B2704" t="s">
        <v>46</v>
      </c>
      <c r="C2704" t="s">
        <v>47</v>
      </c>
      <c r="D2704">
        <v>5129689</v>
      </c>
      <c r="E2704" t="s">
        <v>48</v>
      </c>
      <c r="F2704" t="s">
        <v>49</v>
      </c>
      <c r="G2704" s="30">
        <v>0</v>
      </c>
    </row>
    <row r="2705" spans="1:7" x14ac:dyDescent="0.25">
      <c r="A2705" t="s">
        <v>102</v>
      </c>
      <c r="B2705" t="s">
        <v>103</v>
      </c>
      <c r="C2705" t="s">
        <v>47</v>
      </c>
      <c r="D2705">
        <v>5131375</v>
      </c>
      <c r="E2705" t="s">
        <v>53</v>
      </c>
      <c r="F2705" t="s">
        <v>49</v>
      </c>
      <c r="G2705" s="30">
        <v>26188.538166162602</v>
      </c>
    </row>
    <row r="2706" spans="1:7" x14ac:dyDescent="0.25">
      <c r="A2706" t="s">
        <v>45</v>
      </c>
      <c r="B2706" t="s">
        <v>46</v>
      </c>
      <c r="C2706" t="s">
        <v>47</v>
      </c>
      <c r="D2706">
        <v>5133935</v>
      </c>
      <c r="E2706" t="s">
        <v>48</v>
      </c>
      <c r="F2706" t="s">
        <v>49</v>
      </c>
      <c r="G2706" s="30">
        <v>0</v>
      </c>
    </row>
    <row r="2707" spans="1:7" x14ac:dyDescent="0.25">
      <c r="A2707" t="s">
        <v>45</v>
      </c>
      <c r="B2707" t="s">
        <v>46</v>
      </c>
      <c r="C2707" t="s">
        <v>47</v>
      </c>
      <c r="D2707">
        <v>5134134</v>
      </c>
      <c r="E2707" t="s">
        <v>48</v>
      </c>
      <c r="F2707" t="s">
        <v>49</v>
      </c>
      <c r="G2707" s="30">
        <v>0</v>
      </c>
    </row>
    <row r="2708" spans="1:7" x14ac:dyDescent="0.25">
      <c r="A2708" t="s">
        <v>45</v>
      </c>
      <c r="B2708" t="s">
        <v>46</v>
      </c>
      <c r="C2708" t="s">
        <v>47</v>
      </c>
      <c r="D2708">
        <v>5134581</v>
      </c>
      <c r="E2708" t="s">
        <v>48</v>
      </c>
      <c r="F2708" t="s">
        <v>49</v>
      </c>
      <c r="G2708" s="30">
        <v>0</v>
      </c>
    </row>
    <row r="2709" spans="1:7" x14ac:dyDescent="0.25">
      <c r="A2709" t="s">
        <v>124</v>
      </c>
      <c r="B2709" t="s">
        <v>125</v>
      </c>
      <c r="C2709" t="s">
        <v>78</v>
      </c>
      <c r="D2709">
        <v>5136703</v>
      </c>
      <c r="E2709" t="s">
        <v>53</v>
      </c>
      <c r="F2709" t="s">
        <v>49</v>
      </c>
      <c r="G2709" s="30">
        <v>141564.66199818501</v>
      </c>
    </row>
    <row r="2710" spans="1:7" x14ac:dyDescent="0.25">
      <c r="A2710" t="s">
        <v>45</v>
      </c>
      <c r="B2710" t="s">
        <v>46</v>
      </c>
      <c r="C2710" t="s">
        <v>47</v>
      </c>
      <c r="D2710">
        <v>5138892</v>
      </c>
      <c r="E2710" t="s">
        <v>48</v>
      </c>
      <c r="F2710" t="s">
        <v>49</v>
      </c>
      <c r="G2710" s="30">
        <v>0</v>
      </c>
    </row>
    <row r="2711" spans="1:7" x14ac:dyDescent="0.25">
      <c r="A2711" t="s">
        <v>114</v>
      </c>
      <c r="B2711" t="s">
        <v>115</v>
      </c>
      <c r="C2711" t="s">
        <v>56</v>
      </c>
      <c r="D2711">
        <v>5139628</v>
      </c>
      <c r="E2711" t="s">
        <v>48</v>
      </c>
      <c r="F2711" t="s">
        <v>49</v>
      </c>
      <c r="G2711" s="30">
        <v>0</v>
      </c>
    </row>
    <row r="2712" spans="1:7" x14ac:dyDescent="0.25">
      <c r="A2712" t="s">
        <v>63</v>
      </c>
      <c r="B2712" t="s">
        <v>64</v>
      </c>
      <c r="C2712" t="s">
        <v>56</v>
      </c>
      <c r="D2712">
        <v>5140077</v>
      </c>
      <c r="E2712" t="s">
        <v>53</v>
      </c>
      <c r="F2712" t="s">
        <v>49</v>
      </c>
      <c r="G2712" s="30">
        <v>1211870.0121333101</v>
      </c>
    </row>
    <row r="2713" spans="1:7" x14ac:dyDescent="0.25">
      <c r="A2713" t="s">
        <v>45</v>
      </c>
      <c r="B2713" t="s">
        <v>46</v>
      </c>
      <c r="C2713" t="s">
        <v>47</v>
      </c>
      <c r="D2713">
        <v>5140369</v>
      </c>
      <c r="E2713" t="s">
        <v>48</v>
      </c>
      <c r="F2713" t="s">
        <v>49</v>
      </c>
      <c r="G2713" s="30">
        <v>0</v>
      </c>
    </row>
    <row r="2714" spans="1:7" x14ac:dyDescent="0.25">
      <c r="A2714" t="s">
        <v>50</v>
      </c>
      <c r="B2714" t="s">
        <v>51</v>
      </c>
      <c r="C2714" t="s">
        <v>52</v>
      </c>
      <c r="D2714">
        <v>5142690</v>
      </c>
      <c r="E2714" t="s">
        <v>48</v>
      </c>
      <c r="F2714" t="s">
        <v>49</v>
      </c>
      <c r="G2714" s="30">
        <v>3.97</v>
      </c>
    </row>
    <row r="2715" spans="1:7" x14ac:dyDescent="0.25">
      <c r="A2715" t="s">
        <v>63</v>
      </c>
      <c r="B2715" t="s">
        <v>64</v>
      </c>
      <c r="C2715" t="s">
        <v>56</v>
      </c>
      <c r="D2715">
        <v>5143738</v>
      </c>
      <c r="E2715" t="s">
        <v>53</v>
      </c>
      <c r="F2715" t="s">
        <v>49</v>
      </c>
      <c r="G2715" s="30">
        <v>67597.144687499997</v>
      </c>
    </row>
    <row r="2716" spans="1:7" x14ac:dyDescent="0.25">
      <c r="A2716" t="s">
        <v>45</v>
      </c>
      <c r="B2716" t="s">
        <v>46</v>
      </c>
      <c r="C2716" t="s">
        <v>47</v>
      </c>
      <c r="D2716">
        <v>5147489</v>
      </c>
      <c r="E2716" t="s">
        <v>48</v>
      </c>
      <c r="F2716" t="s">
        <v>49</v>
      </c>
      <c r="G2716" s="30">
        <v>0</v>
      </c>
    </row>
    <row r="2717" spans="1:7" x14ac:dyDescent="0.25">
      <c r="A2717" t="s">
        <v>96</v>
      </c>
      <c r="B2717" t="s">
        <v>97</v>
      </c>
      <c r="C2717" t="s">
        <v>81</v>
      </c>
      <c r="D2717">
        <v>5148016</v>
      </c>
      <c r="E2717" t="s">
        <v>48</v>
      </c>
      <c r="F2717" t="s">
        <v>49</v>
      </c>
      <c r="G2717" s="30">
        <v>0</v>
      </c>
    </row>
    <row r="2718" spans="1:7" x14ac:dyDescent="0.25">
      <c r="A2718" t="s">
        <v>86</v>
      </c>
      <c r="B2718" t="s">
        <v>87</v>
      </c>
      <c r="C2718" t="s">
        <v>78</v>
      </c>
      <c r="D2718">
        <v>5151207</v>
      </c>
      <c r="E2718" t="s">
        <v>53</v>
      </c>
      <c r="F2718" t="s">
        <v>49</v>
      </c>
      <c r="G2718" s="30">
        <v>1065904.86558594</v>
      </c>
    </row>
    <row r="2719" spans="1:7" x14ac:dyDescent="0.25">
      <c r="A2719" t="s">
        <v>50</v>
      </c>
      <c r="B2719" t="s">
        <v>51</v>
      </c>
      <c r="C2719" t="s">
        <v>52</v>
      </c>
      <c r="D2719">
        <v>5152399</v>
      </c>
      <c r="E2719" t="s">
        <v>53</v>
      </c>
      <c r="F2719" t="s">
        <v>49</v>
      </c>
      <c r="G2719" s="30">
        <v>123.08</v>
      </c>
    </row>
    <row r="2720" spans="1:7" x14ac:dyDescent="0.25">
      <c r="A2720" t="s">
        <v>102</v>
      </c>
      <c r="B2720" t="s">
        <v>103</v>
      </c>
      <c r="C2720" t="s">
        <v>47</v>
      </c>
      <c r="D2720">
        <v>5157520</v>
      </c>
      <c r="E2720" t="s">
        <v>53</v>
      </c>
      <c r="F2720" t="s">
        <v>49</v>
      </c>
      <c r="G2720" s="30">
        <v>40418.333991661799</v>
      </c>
    </row>
    <row r="2721" spans="1:7" x14ac:dyDescent="0.25">
      <c r="A2721" t="s">
        <v>45</v>
      </c>
      <c r="B2721" t="s">
        <v>46</v>
      </c>
      <c r="C2721" t="s">
        <v>47</v>
      </c>
      <c r="D2721">
        <v>5158846</v>
      </c>
      <c r="E2721" t="s">
        <v>48</v>
      </c>
      <c r="F2721" t="s">
        <v>49</v>
      </c>
      <c r="G2721" s="30">
        <v>0</v>
      </c>
    </row>
    <row r="2722" spans="1:7" x14ac:dyDescent="0.25">
      <c r="A2722" t="s">
        <v>104</v>
      </c>
      <c r="B2722" t="s">
        <v>105</v>
      </c>
      <c r="C2722" t="s">
        <v>78</v>
      </c>
      <c r="D2722">
        <v>5165157</v>
      </c>
      <c r="E2722" t="s">
        <v>53</v>
      </c>
      <c r="F2722" t="s">
        <v>49</v>
      </c>
      <c r="G2722" s="30">
        <v>132421.64556360201</v>
      </c>
    </row>
    <row r="2723" spans="1:7" x14ac:dyDescent="0.25">
      <c r="A2723" t="s">
        <v>50</v>
      </c>
      <c r="B2723" t="s">
        <v>51</v>
      </c>
      <c r="C2723" t="s">
        <v>52</v>
      </c>
      <c r="D2723">
        <v>5166183</v>
      </c>
      <c r="E2723" t="s">
        <v>53</v>
      </c>
      <c r="F2723" t="s">
        <v>49</v>
      </c>
      <c r="G2723" s="30">
        <v>1357.38578125</v>
      </c>
    </row>
    <row r="2724" spans="1:7" x14ac:dyDescent="0.25">
      <c r="A2724" t="s">
        <v>45</v>
      </c>
      <c r="B2724" t="s">
        <v>46</v>
      </c>
      <c r="C2724" t="s">
        <v>47</v>
      </c>
      <c r="D2724">
        <v>5167290</v>
      </c>
      <c r="E2724" t="s">
        <v>48</v>
      </c>
      <c r="F2724" t="s">
        <v>49</v>
      </c>
      <c r="G2724" s="30">
        <v>0</v>
      </c>
    </row>
    <row r="2725" spans="1:7" x14ac:dyDescent="0.25">
      <c r="A2725" t="s">
        <v>124</v>
      </c>
      <c r="B2725" t="s">
        <v>125</v>
      </c>
      <c r="C2725" t="s">
        <v>78</v>
      </c>
      <c r="D2725">
        <v>5167713</v>
      </c>
      <c r="E2725" t="s">
        <v>53</v>
      </c>
      <c r="F2725" t="s">
        <v>49</v>
      </c>
      <c r="G2725" s="30">
        <v>659475.75291975297</v>
      </c>
    </row>
    <row r="2726" spans="1:7" x14ac:dyDescent="0.25">
      <c r="A2726" t="s">
        <v>70</v>
      </c>
      <c r="B2726" t="s">
        <v>71</v>
      </c>
      <c r="C2726" t="s">
        <v>47</v>
      </c>
      <c r="D2726">
        <v>5169508</v>
      </c>
      <c r="E2726" t="s">
        <v>53</v>
      </c>
      <c r="F2726" t="s">
        <v>49</v>
      </c>
      <c r="G2726" s="30">
        <v>98173.078227624996</v>
      </c>
    </row>
    <row r="2727" spans="1:7" x14ac:dyDescent="0.25">
      <c r="A2727" t="s">
        <v>45</v>
      </c>
      <c r="B2727" t="s">
        <v>46</v>
      </c>
      <c r="C2727" t="s">
        <v>47</v>
      </c>
      <c r="D2727">
        <v>5170494</v>
      </c>
      <c r="E2727" t="s">
        <v>48</v>
      </c>
      <c r="F2727" t="s">
        <v>49</v>
      </c>
      <c r="G2727" s="30">
        <v>0</v>
      </c>
    </row>
    <row r="2728" spans="1:7" x14ac:dyDescent="0.25">
      <c r="A2728" t="s">
        <v>54</v>
      </c>
      <c r="B2728" t="s">
        <v>55</v>
      </c>
      <c r="C2728" t="s">
        <v>56</v>
      </c>
      <c r="D2728">
        <v>5176449</v>
      </c>
      <c r="E2728" t="s">
        <v>53</v>
      </c>
      <c r="F2728" t="s">
        <v>49</v>
      </c>
      <c r="G2728" s="30">
        <v>157637.901655736</v>
      </c>
    </row>
    <row r="2729" spans="1:7" x14ac:dyDescent="0.25">
      <c r="A2729" t="s">
        <v>45</v>
      </c>
      <c r="B2729" t="s">
        <v>46</v>
      </c>
      <c r="C2729" t="s">
        <v>47</v>
      </c>
      <c r="D2729">
        <v>5176789</v>
      </c>
      <c r="E2729" t="s">
        <v>48</v>
      </c>
      <c r="F2729" t="s">
        <v>49</v>
      </c>
      <c r="G2729" s="30">
        <v>0</v>
      </c>
    </row>
    <row r="2730" spans="1:7" x14ac:dyDescent="0.25">
      <c r="A2730" t="s">
        <v>74</v>
      </c>
      <c r="B2730" t="s">
        <v>75</v>
      </c>
      <c r="C2730" t="s">
        <v>67</v>
      </c>
      <c r="D2730">
        <v>5177946</v>
      </c>
      <c r="E2730" t="s">
        <v>53</v>
      </c>
      <c r="F2730" t="s">
        <v>49</v>
      </c>
      <c r="G2730" s="30">
        <v>358669.28385514102</v>
      </c>
    </row>
    <row r="2731" spans="1:7" x14ac:dyDescent="0.25">
      <c r="A2731" t="s">
        <v>79</v>
      </c>
      <c r="B2731" t="s">
        <v>80</v>
      </c>
      <c r="C2731" t="s">
        <v>81</v>
      </c>
      <c r="D2731">
        <v>5179499</v>
      </c>
      <c r="E2731" t="s">
        <v>48</v>
      </c>
      <c r="F2731" t="s">
        <v>49</v>
      </c>
      <c r="G2731" s="30">
        <v>0</v>
      </c>
    </row>
    <row r="2732" spans="1:7" x14ac:dyDescent="0.25">
      <c r="A2732" t="s">
        <v>45</v>
      </c>
      <c r="B2732" t="s">
        <v>46</v>
      </c>
      <c r="C2732" t="s">
        <v>47</v>
      </c>
      <c r="D2732">
        <v>5179820</v>
      </c>
      <c r="E2732" t="s">
        <v>48</v>
      </c>
      <c r="F2732" t="s">
        <v>49</v>
      </c>
      <c r="G2732" s="30">
        <v>0</v>
      </c>
    </row>
    <row r="2733" spans="1:7" x14ac:dyDescent="0.25">
      <c r="A2733" t="s">
        <v>124</v>
      </c>
      <c r="B2733" t="s">
        <v>125</v>
      </c>
      <c r="C2733" t="s">
        <v>78</v>
      </c>
      <c r="D2733">
        <v>5180717</v>
      </c>
      <c r="E2733" t="s">
        <v>53</v>
      </c>
      <c r="F2733" t="s">
        <v>49</v>
      </c>
      <c r="G2733" s="30">
        <v>151000.42603083499</v>
      </c>
    </row>
    <row r="2734" spans="1:7" x14ac:dyDescent="0.25">
      <c r="A2734" t="s">
        <v>45</v>
      </c>
      <c r="B2734" t="s">
        <v>46</v>
      </c>
      <c r="C2734" t="s">
        <v>47</v>
      </c>
      <c r="D2734">
        <v>5181648</v>
      </c>
      <c r="E2734" t="s">
        <v>48</v>
      </c>
      <c r="F2734" t="s">
        <v>49</v>
      </c>
      <c r="G2734" s="30">
        <v>58.38</v>
      </c>
    </row>
    <row r="2735" spans="1:7" x14ac:dyDescent="0.25">
      <c r="A2735" t="s">
        <v>45</v>
      </c>
      <c r="B2735" t="s">
        <v>46</v>
      </c>
      <c r="C2735" t="s">
        <v>47</v>
      </c>
      <c r="D2735">
        <v>5182100</v>
      </c>
      <c r="E2735" t="s">
        <v>48</v>
      </c>
      <c r="F2735" t="s">
        <v>49</v>
      </c>
      <c r="G2735" s="30">
        <v>0</v>
      </c>
    </row>
    <row r="2736" spans="1:7" x14ac:dyDescent="0.25">
      <c r="A2736" t="s">
        <v>45</v>
      </c>
      <c r="B2736" t="s">
        <v>46</v>
      </c>
      <c r="C2736" t="s">
        <v>47</v>
      </c>
      <c r="D2736">
        <v>5182207</v>
      </c>
      <c r="E2736" t="s">
        <v>48</v>
      </c>
      <c r="F2736" t="s">
        <v>49</v>
      </c>
      <c r="G2736" s="30">
        <v>0</v>
      </c>
    </row>
    <row r="2737" spans="1:7" x14ac:dyDescent="0.25">
      <c r="A2737" t="s">
        <v>88</v>
      </c>
      <c r="B2737" t="s">
        <v>89</v>
      </c>
      <c r="C2737" t="s">
        <v>78</v>
      </c>
      <c r="D2737">
        <v>5183015</v>
      </c>
      <c r="E2737" t="s">
        <v>53</v>
      </c>
      <c r="F2737" t="s">
        <v>49</v>
      </c>
      <c r="G2737" s="30">
        <v>172949.668450631</v>
      </c>
    </row>
    <row r="2738" spans="1:7" x14ac:dyDescent="0.25">
      <c r="A2738" t="s">
        <v>146</v>
      </c>
      <c r="B2738" t="s">
        <v>147</v>
      </c>
      <c r="C2738" t="s">
        <v>56</v>
      </c>
      <c r="D2738">
        <v>5183315</v>
      </c>
      <c r="E2738" t="s">
        <v>53</v>
      </c>
      <c r="F2738" t="s">
        <v>49</v>
      </c>
      <c r="G2738" s="30">
        <v>35858.196376134503</v>
      </c>
    </row>
    <row r="2739" spans="1:7" x14ac:dyDescent="0.25">
      <c r="A2739" t="s">
        <v>72</v>
      </c>
      <c r="B2739" t="s">
        <v>73</v>
      </c>
      <c r="C2739" t="s">
        <v>67</v>
      </c>
      <c r="D2739">
        <v>5183431</v>
      </c>
      <c r="E2739" t="s">
        <v>53</v>
      </c>
      <c r="F2739" t="s">
        <v>49</v>
      </c>
      <c r="G2739" s="30">
        <v>1052797.04163173</v>
      </c>
    </row>
    <row r="2740" spans="1:7" x14ac:dyDescent="0.25">
      <c r="A2740" t="s">
        <v>100</v>
      </c>
      <c r="B2740" t="s">
        <v>101</v>
      </c>
      <c r="C2740" t="s">
        <v>52</v>
      </c>
      <c r="D2740">
        <v>5183712</v>
      </c>
      <c r="E2740" t="s">
        <v>53</v>
      </c>
      <c r="F2740" t="s">
        <v>49</v>
      </c>
      <c r="G2740" s="30">
        <v>5584.9128030851098</v>
      </c>
    </row>
    <row r="2741" spans="1:7" x14ac:dyDescent="0.25">
      <c r="A2741" t="s">
        <v>50</v>
      </c>
      <c r="B2741" t="s">
        <v>51</v>
      </c>
      <c r="C2741" t="s">
        <v>52</v>
      </c>
      <c r="D2741">
        <v>5228149</v>
      </c>
      <c r="E2741" t="s">
        <v>53</v>
      </c>
      <c r="F2741" t="s">
        <v>49</v>
      </c>
      <c r="G2741" s="30">
        <v>874.48598945303002</v>
      </c>
    </row>
    <row r="2742" spans="1:7" x14ac:dyDescent="0.25">
      <c r="A2742" t="s">
        <v>68</v>
      </c>
      <c r="B2742" t="s">
        <v>69</v>
      </c>
      <c r="C2742" t="s">
        <v>56</v>
      </c>
      <c r="D2742">
        <v>5230971</v>
      </c>
      <c r="E2742" t="s">
        <v>53</v>
      </c>
      <c r="F2742" t="s">
        <v>49</v>
      </c>
      <c r="G2742" s="30">
        <v>410929.394550781</v>
      </c>
    </row>
    <row r="2743" spans="1:7" x14ac:dyDescent="0.25">
      <c r="A2743" t="s">
        <v>98</v>
      </c>
      <c r="B2743" t="s">
        <v>99</v>
      </c>
      <c r="C2743" t="s">
        <v>81</v>
      </c>
      <c r="D2743">
        <v>5231675</v>
      </c>
      <c r="E2743" t="s">
        <v>53</v>
      </c>
      <c r="F2743" t="s">
        <v>49</v>
      </c>
      <c r="G2743" s="30">
        <v>11755.1271572518</v>
      </c>
    </row>
    <row r="2744" spans="1:7" x14ac:dyDescent="0.25">
      <c r="A2744" t="s">
        <v>57</v>
      </c>
      <c r="B2744" t="s">
        <v>58</v>
      </c>
      <c r="C2744" t="s">
        <v>56</v>
      </c>
      <c r="D2744">
        <v>5231724</v>
      </c>
      <c r="E2744" t="s">
        <v>53</v>
      </c>
      <c r="F2744" t="s">
        <v>49</v>
      </c>
      <c r="G2744" s="30">
        <v>1130358.48</v>
      </c>
    </row>
    <row r="2745" spans="1:7" x14ac:dyDescent="0.25">
      <c r="A2745" t="s">
        <v>45</v>
      </c>
      <c r="B2745" t="s">
        <v>46</v>
      </c>
      <c r="C2745" t="s">
        <v>47</v>
      </c>
      <c r="D2745">
        <v>5233743</v>
      </c>
      <c r="E2745" t="s">
        <v>48</v>
      </c>
      <c r="F2745" t="s">
        <v>49</v>
      </c>
      <c r="G2745" s="30">
        <v>0</v>
      </c>
    </row>
    <row r="2746" spans="1:7" x14ac:dyDescent="0.25">
      <c r="A2746" t="s">
        <v>45</v>
      </c>
      <c r="B2746" t="s">
        <v>46</v>
      </c>
      <c r="C2746" t="s">
        <v>47</v>
      </c>
      <c r="D2746">
        <v>5235241</v>
      </c>
      <c r="E2746" t="s">
        <v>53</v>
      </c>
      <c r="F2746" t="s">
        <v>49</v>
      </c>
      <c r="G2746" s="30">
        <v>58819.627764662298</v>
      </c>
    </row>
    <row r="2747" spans="1:7" x14ac:dyDescent="0.25">
      <c r="A2747" t="s">
        <v>61</v>
      </c>
      <c r="B2747" t="s">
        <v>62</v>
      </c>
      <c r="C2747" t="s">
        <v>56</v>
      </c>
      <c r="D2747">
        <v>5236215</v>
      </c>
      <c r="E2747" t="s">
        <v>48</v>
      </c>
      <c r="F2747" t="s">
        <v>49</v>
      </c>
      <c r="G2747" s="30">
        <v>43.78</v>
      </c>
    </row>
    <row r="2748" spans="1:7" x14ac:dyDescent="0.25">
      <c r="A2748" t="s">
        <v>45</v>
      </c>
      <c r="B2748" t="s">
        <v>46</v>
      </c>
      <c r="C2748" t="s">
        <v>47</v>
      </c>
      <c r="D2748">
        <v>5238116</v>
      </c>
      <c r="E2748" t="s">
        <v>48</v>
      </c>
      <c r="F2748" t="s">
        <v>49</v>
      </c>
      <c r="G2748" s="30">
        <v>0</v>
      </c>
    </row>
    <row r="2749" spans="1:7" x14ac:dyDescent="0.25">
      <c r="A2749" t="s">
        <v>68</v>
      </c>
      <c r="B2749" t="s">
        <v>69</v>
      </c>
      <c r="C2749" t="s">
        <v>56</v>
      </c>
      <c r="D2749">
        <v>5239707</v>
      </c>
      <c r="E2749" t="s">
        <v>53</v>
      </c>
      <c r="F2749" t="s">
        <v>49</v>
      </c>
      <c r="G2749" s="30">
        <v>51469.8316677806</v>
      </c>
    </row>
    <row r="2750" spans="1:7" x14ac:dyDescent="0.25">
      <c r="A2750" t="s">
        <v>45</v>
      </c>
      <c r="B2750" t="s">
        <v>46</v>
      </c>
      <c r="C2750" t="s">
        <v>47</v>
      </c>
      <c r="D2750">
        <v>5239866</v>
      </c>
      <c r="E2750" t="s">
        <v>48</v>
      </c>
      <c r="F2750" t="s">
        <v>49</v>
      </c>
      <c r="G2750" s="30">
        <v>0</v>
      </c>
    </row>
    <row r="2751" spans="1:7" x14ac:dyDescent="0.25">
      <c r="A2751" t="s">
        <v>54</v>
      </c>
      <c r="B2751" t="s">
        <v>55</v>
      </c>
      <c r="C2751" t="s">
        <v>56</v>
      </c>
      <c r="D2751">
        <v>5240677</v>
      </c>
      <c r="E2751" t="s">
        <v>53</v>
      </c>
      <c r="F2751" t="s">
        <v>49</v>
      </c>
      <c r="G2751" s="30">
        <v>79913.107888902698</v>
      </c>
    </row>
    <row r="2752" spans="1:7" x14ac:dyDescent="0.25">
      <c r="A2752" t="s">
        <v>72</v>
      </c>
      <c r="B2752" t="s">
        <v>73</v>
      </c>
      <c r="C2752" t="s">
        <v>67</v>
      </c>
      <c r="D2752">
        <v>5244342</v>
      </c>
      <c r="E2752" t="s">
        <v>53</v>
      </c>
      <c r="F2752" t="s">
        <v>49</v>
      </c>
      <c r="G2752" s="30">
        <v>138548.51</v>
      </c>
    </row>
    <row r="2753" spans="1:7" x14ac:dyDescent="0.25">
      <c r="A2753" t="s">
        <v>76</v>
      </c>
      <c r="B2753" t="s">
        <v>77</v>
      </c>
      <c r="C2753" t="s">
        <v>78</v>
      </c>
      <c r="D2753">
        <v>5244372</v>
      </c>
      <c r="E2753" t="s">
        <v>53</v>
      </c>
      <c r="F2753" t="s">
        <v>49</v>
      </c>
      <c r="G2753" s="30">
        <v>217332.88</v>
      </c>
    </row>
    <row r="2754" spans="1:7" x14ac:dyDescent="0.25">
      <c r="A2754" t="s">
        <v>45</v>
      </c>
      <c r="B2754" t="s">
        <v>46</v>
      </c>
      <c r="C2754" t="s">
        <v>47</v>
      </c>
      <c r="D2754">
        <v>5244774</v>
      </c>
      <c r="E2754" t="s">
        <v>48</v>
      </c>
      <c r="F2754" t="s">
        <v>49</v>
      </c>
      <c r="G2754" s="30">
        <v>0</v>
      </c>
    </row>
    <row r="2755" spans="1:7" x14ac:dyDescent="0.25">
      <c r="A2755" t="s">
        <v>50</v>
      </c>
      <c r="B2755" t="s">
        <v>51</v>
      </c>
      <c r="C2755" t="s">
        <v>52</v>
      </c>
      <c r="D2755">
        <v>5245106</v>
      </c>
      <c r="E2755" t="s">
        <v>53</v>
      </c>
      <c r="F2755" t="s">
        <v>49</v>
      </c>
      <c r="G2755" s="30">
        <v>40693.525894120998</v>
      </c>
    </row>
    <row r="2756" spans="1:7" x14ac:dyDescent="0.25">
      <c r="A2756" t="s">
        <v>45</v>
      </c>
      <c r="B2756" t="s">
        <v>46</v>
      </c>
      <c r="C2756" t="s">
        <v>47</v>
      </c>
      <c r="D2756">
        <v>5245458</v>
      </c>
      <c r="E2756" t="s">
        <v>48</v>
      </c>
      <c r="F2756" t="s">
        <v>49</v>
      </c>
      <c r="G2756" s="30">
        <v>0</v>
      </c>
    </row>
    <row r="2757" spans="1:7" x14ac:dyDescent="0.25">
      <c r="A2757" t="s">
        <v>45</v>
      </c>
      <c r="B2757" t="s">
        <v>46</v>
      </c>
      <c r="C2757" t="s">
        <v>47</v>
      </c>
      <c r="D2757">
        <v>5246371</v>
      </c>
      <c r="E2757" t="s">
        <v>48</v>
      </c>
      <c r="F2757" t="s">
        <v>49</v>
      </c>
      <c r="G2757" s="30">
        <v>0</v>
      </c>
    </row>
    <row r="2758" spans="1:7" x14ac:dyDescent="0.25">
      <c r="A2758" t="s">
        <v>45</v>
      </c>
      <c r="B2758" t="s">
        <v>46</v>
      </c>
      <c r="C2758" t="s">
        <v>47</v>
      </c>
      <c r="D2758">
        <v>5246452</v>
      </c>
      <c r="E2758" t="s">
        <v>48</v>
      </c>
      <c r="F2758" t="s">
        <v>49</v>
      </c>
      <c r="G2758" s="30">
        <v>0</v>
      </c>
    </row>
    <row r="2759" spans="1:7" x14ac:dyDescent="0.25">
      <c r="A2759" t="s">
        <v>45</v>
      </c>
      <c r="B2759" t="s">
        <v>46</v>
      </c>
      <c r="C2759" t="s">
        <v>47</v>
      </c>
      <c r="D2759">
        <v>5246840</v>
      </c>
      <c r="E2759" t="s">
        <v>48</v>
      </c>
      <c r="F2759" t="s">
        <v>49</v>
      </c>
      <c r="G2759" s="30">
        <v>0</v>
      </c>
    </row>
    <row r="2760" spans="1:7" x14ac:dyDescent="0.25">
      <c r="A2760" t="s">
        <v>45</v>
      </c>
      <c r="B2760" t="s">
        <v>46</v>
      </c>
      <c r="C2760" t="s">
        <v>47</v>
      </c>
      <c r="D2760">
        <v>5247318</v>
      </c>
      <c r="E2760" t="s">
        <v>48</v>
      </c>
      <c r="F2760" t="s">
        <v>49</v>
      </c>
      <c r="G2760" s="30">
        <v>0</v>
      </c>
    </row>
    <row r="2761" spans="1:7" x14ac:dyDescent="0.25">
      <c r="A2761" t="s">
        <v>45</v>
      </c>
      <c r="B2761" t="s">
        <v>46</v>
      </c>
      <c r="C2761" t="s">
        <v>47</v>
      </c>
      <c r="D2761">
        <v>5247756</v>
      </c>
      <c r="E2761" t="s">
        <v>48</v>
      </c>
      <c r="F2761" t="s">
        <v>49</v>
      </c>
      <c r="G2761" s="30">
        <v>0.14000000000000001</v>
      </c>
    </row>
    <row r="2762" spans="1:7" x14ac:dyDescent="0.25">
      <c r="A2762" t="s">
        <v>114</v>
      </c>
      <c r="B2762" t="s">
        <v>115</v>
      </c>
      <c r="C2762" t="s">
        <v>56</v>
      </c>
      <c r="D2762">
        <v>5249109</v>
      </c>
      <c r="E2762" t="s">
        <v>53</v>
      </c>
      <c r="F2762" t="s">
        <v>49</v>
      </c>
      <c r="G2762" s="30">
        <v>358575.40493290097</v>
      </c>
    </row>
    <row r="2763" spans="1:7" x14ac:dyDescent="0.25">
      <c r="A2763" t="s">
        <v>45</v>
      </c>
      <c r="B2763" t="s">
        <v>46</v>
      </c>
      <c r="C2763" t="s">
        <v>47</v>
      </c>
      <c r="D2763">
        <v>5249314</v>
      </c>
      <c r="E2763" t="s">
        <v>53</v>
      </c>
      <c r="F2763" t="s">
        <v>49</v>
      </c>
      <c r="G2763" s="30">
        <v>41344.3115234375</v>
      </c>
    </row>
    <row r="2764" spans="1:7" x14ac:dyDescent="0.25">
      <c r="A2764" t="s">
        <v>45</v>
      </c>
      <c r="B2764" t="s">
        <v>46</v>
      </c>
      <c r="C2764" t="s">
        <v>47</v>
      </c>
      <c r="D2764">
        <v>5249914</v>
      </c>
      <c r="E2764" t="s">
        <v>48</v>
      </c>
      <c r="F2764" t="s">
        <v>49</v>
      </c>
      <c r="G2764" s="30">
        <v>0</v>
      </c>
    </row>
    <row r="2765" spans="1:7" x14ac:dyDescent="0.25">
      <c r="A2765" t="s">
        <v>45</v>
      </c>
      <c r="B2765" t="s">
        <v>46</v>
      </c>
      <c r="C2765" t="s">
        <v>47</v>
      </c>
      <c r="D2765">
        <v>5249963</v>
      </c>
      <c r="E2765" t="s">
        <v>48</v>
      </c>
      <c r="F2765" t="s">
        <v>49</v>
      </c>
      <c r="G2765" s="30">
        <v>0</v>
      </c>
    </row>
    <row r="2766" spans="1:7" x14ac:dyDescent="0.25">
      <c r="A2766" t="s">
        <v>45</v>
      </c>
      <c r="B2766" t="s">
        <v>46</v>
      </c>
      <c r="C2766" t="s">
        <v>47</v>
      </c>
      <c r="D2766">
        <v>5250597</v>
      </c>
      <c r="E2766" t="s">
        <v>48</v>
      </c>
      <c r="F2766" t="s">
        <v>49</v>
      </c>
      <c r="G2766" s="30">
        <v>0</v>
      </c>
    </row>
    <row r="2767" spans="1:7" x14ac:dyDescent="0.25">
      <c r="A2767" t="s">
        <v>45</v>
      </c>
      <c r="B2767" t="s">
        <v>46</v>
      </c>
      <c r="C2767" t="s">
        <v>47</v>
      </c>
      <c r="D2767">
        <v>5251856</v>
      </c>
      <c r="E2767" t="s">
        <v>53</v>
      </c>
      <c r="F2767" t="s">
        <v>49</v>
      </c>
      <c r="G2767" s="30">
        <v>49694.496103337602</v>
      </c>
    </row>
    <row r="2768" spans="1:7" x14ac:dyDescent="0.25">
      <c r="A2768" t="s">
        <v>102</v>
      </c>
      <c r="B2768" t="s">
        <v>103</v>
      </c>
      <c r="C2768" t="s">
        <v>47</v>
      </c>
      <c r="D2768">
        <v>5254508</v>
      </c>
      <c r="E2768" t="s">
        <v>53</v>
      </c>
      <c r="F2768" t="s">
        <v>49</v>
      </c>
      <c r="G2768" s="30">
        <v>95935.052030698906</v>
      </c>
    </row>
    <row r="2769" spans="1:7" x14ac:dyDescent="0.25">
      <c r="A2769" t="s">
        <v>50</v>
      </c>
      <c r="B2769" t="s">
        <v>51</v>
      </c>
      <c r="C2769" t="s">
        <v>52</v>
      </c>
      <c r="D2769">
        <v>5255353</v>
      </c>
      <c r="E2769" t="s">
        <v>53</v>
      </c>
      <c r="F2769" t="s">
        <v>49</v>
      </c>
      <c r="G2769" s="30">
        <v>2175.9499999999998</v>
      </c>
    </row>
    <row r="2770" spans="1:7" x14ac:dyDescent="0.25">
      <c r="A2770" t="s">
        <v>88</v>
      </c>
      <c r="B2770" t="s">
        <v>89</v>
      </c>
      <c r="C2770" t="s">
        <v>78</v>
      </c>
      <c r="D2770">
        <v>5256144</v>
      </c>
      <c r="E2770" t="s">
        <v>53</v>
      </c>
      <c r="F2770" t="s">
        <v>49</v>
      </c>
      <c r="G2770" s="30">
        <v>612466.92354655301</v>
      </c>
    </row>
    <row r="2771" spans="1:7" x14ac:dyDescent="0.25">
      <c r="A2771" t="s">
        <v>68</v>
      </c>
      <c r="B2771" t="s">
        <v>69</v>
      </c>
      <c r="C2771" t="s">
        <v>56</v>
      </c>
      <c r="D2771">
        <v>5256861</v>
      </c>
      <c r="E2771" t="s">
        <v>53</v>
      </c>
      <c r="F2771" t="s">
        <v>49</v>
      </c>
      <c r="G2771" s="30">
        <v>859160.59498246398</v>
      </c>
    </row>
    <row r="2772" spans="1:7" x14ac:dyDescent="0.25">
      <c r="A2772" t="s">
        <v>45</v>
      </c>
      <c r="B2772" t="s">
        <v>46</v>
      </c>
      <c r="C2772" t="s">
        <v>47</v>
      </c>
      <c r="D2772">
        <v>5262560</v>
      </c>
      <c r="E2772" t="s">
        <v>48</v>
      </c>
      <c r="F2772" t="s">
        <v>49</v>
      </c>
      <c r="G2772" s="30">
        <v>0</v>
      </c>
    </row>
    <row r="2773" spans="1:7" x14ac:dyDescent="0.25">
      <c r="A2773" t="s">
        <v>45</v>
      </c>
      <c r="B2773" t="s">
        <v>46</v>
      </c>
      <c r="C2773" t="s">
        <v>47</v>
      </c>
      <c r="D2773">
        <v>5264358</v>
      </c>
      <c r="E2773" t="s">
        <v>53</v>
      </c>
      <c r="F2773" t="s">
        <v>49</v>
      </c>
      <c r="G2773" s="30">
        <v>159836.13758232299</v>
      </c>
    </row>
    <row r="2774" spans="1:7" x14ac:dyDescent="0.25">
      <c r="A2774" t="s">
        <v>45</v>
      </c>
      <c r="B2774" t="s">
        <v>46</v>
      </c>
      <c r="C2774" t="s">
        <v>47</v>
      </c>
      <c r="D2774">
        <v>5265385</v>
      </c>
      <c r="E2774" t="s">
        <v>53</v>
      </c>
      <c r="F2774" t="s">
        <v>49</v>
      </c>
      <c r="G2774" s="30">
        <v>158171.43346900801</v>
      </c>
    </row>
    <row r="2775" spans="1:7" x14ac:dyDescent="0.25">
      <c r="A2775" t="s">
        <v>104</v>
      </c>
      <c r="B2775" t="s">
        <v>105</v>
      </c>
      <c r="C2775" t="s">
        <v>78</v>
      </c>
      <c r="D2775">
        <v>5267088</v>
      </c>
      <c r="E2775" t="s">
        <v>53</v>
      </c>
      <c r="F2775" t="s">
        <v>49</v>
      </c>
      <c r="G2775" s="30">
        <v>57713.022315792601</v>
      </c>
    </row>
    <row r="2776" spans="1:7" x14ac:dyDescent="0.25">
      <c r="A2776" t="s">
        <v>116</v>
      </c>
      <c r="B2776" t="s">
        <v>117</v>
      </c>
      <c r="C2776" t="s">
        <v>47</v>
      </c>
      <c r="D2776">
        <v>5268128</v>
      </c>
      <c r="E2776" t="s">
        <v>53</v>
      </c>
      <c r="F2776" t="s">
        <v>49</v>
      </c>
      <c r="G2776" s="30">
        <v>149774.27447557499</v>
      </c>
    </row>
    <row r="2777" spans="1:7" x14ac:dyDescent="0.25">
      <c r="A2777" t="s">
        <v>124</v>
      </c>
      <c r="B2777" t="s">
        <v>125</v>
      </c>
      <c r="C2777" t="s">
        <v>78</v>
      </c>
      <c r="D2777">
        <v>5268836</v>
      </c>
      <c r="E2777" t="s">
        <v>53</v>
      </c>
      <c r="F2777" t="s">
        <v>49</v>
      </c>
      <c r="G2777" s="30">
        <v>291777.55092257599</v>
      </c>
    </row>
    <row r="2778" spans="1:7" x14ac:dyDescent="0.25">
      <c r="A2778" t="s">
        <v>45</v>
      </c>
      <c r="B2778" t="s">
        <v>46</v>
      </c>
      <c r="C2778" t="s">
        <v>47</v>
      </c>
      <c r="D2778">
        <v>5269468</v>
      </c>
      <c r="E2778" t="s">
        <v>53</v>
      </c>
      <c r="F2778" t="s">
        <v>49</v>
      </c>
      <c r="G2778" s="30">
        <v>147619.68195142201</v>
      </c>
    </row>
    <row r="2779" spans="1:7" x14ac:dyDescent="0.25">
      <c r="A2779" t="s">
        <v>45</v>
      </c>
      <c r="B2779" t="s">
        <v>46</v>
      </c>
      <c r="C2779" t="s">
        <v>47</v>
      </c>
      <c r="D2779">
        <v>5270606</v>
      </c>
      <c r="E2779" t="s">
        <v>48</v>
      </c>
      <c r="F2779" t="s">
        <v>49</v>
      </c>
      <c r="G2779" s="30">
        <v>0</v>
      </c>
    </row>
    <row r="2780" spans="1:7" x14ac:dyDescent="0.25">
      <c r="A2780" t="s">
        <v>45</v>
      </c>
      <c r="B2780" t="s">
        <v>46</v>
      </c>
      <c r="C2780" t="s">
        <v>47</v>
      </c>
      <c r="D2780">
        <v>5272233</v>
      </c>
      <c r="E2780" t="s">
        <v>48</v>
      </c>
      <c r="F2780" t="s">
        <v>49</v>
      </c>
      <c r="G2780" s="30">
        <v>0</v>
      </c>
    </row>
    <row r="2781" spans="1:7" x14ac:dyDescent="0.25">
      <c r="A2781" t="s">
        <v>45</v>
      </c>
      <c r="B2781" t="s">
        <v>46</v>
      </c>
      <c r="C2781" t="s">
        <v>47</v>
      </c>
      <c r="D2781">
        <v>5274180</v>
      </c>
      <c r="E2781" t="s">
        <v>48</v>
      </c>
      <c r="F2781" t="s">
        <v>49</v>
      </c>
      <c r="G2781" s="30">
        <v>0</v>
      </c>
    </row>
    <row r="2782" spans="1:7" x14ac:dyDescent="0.25">
      <c r="A2782" t="s">
        <v>92</v>
      </c>
      <c r="B2782" t="s">
        <v>93</v>
      </c>
      <c r="C2782" t="s">
        <v>81</v>
      </c>
      <c r="D2782">
        <v>5274223</v>
      </c>
      <c r="E2782" t="s">
        <v>53</v>
      </c>
      <c r="F2782" t="s">
        <v>49</v>
      </c>
      <c r="G2782" s="30">
        <v>12006.25</v>
      </c>
    </row>
    <row r="2783" spans="1:7" x14ac:dyDescent="0.25">
      <c r="A2783" t="s">
        <v>45</v>
      </c>
      <c r="B2783" t="s">
        <v>46</v>
      </c>
      <c r="C2783" t="s">
        <v>47</v>
      </c>
      <c r="D2783">
        <v>5275348</v>
      </c>
      <c r="E2783" t="s">
        <v>48</v>
      </c>
      <c r="F2783" t="s">
        <v>49</v>
      </c>
      <c r="G2783" s="30">
        <v>0</v>
      </c>
    </row>
    <row r="2784" spans="1:7" x14ac:dyDescent="0.25">
      <c r="A2784" t="s">
        <v>68</v>
      </c>
      <c r="B2784" t="s">
        <v>69</v>
      </c>
      <c r="C2784" t="s">
        <v>56</v>
      </c>
      <c r="D2784">
        <v>5277582</v>
      </c>
      <c r="E2784" t="s">
        <v>53</v>
      </c>
      <c r="F2784" t="s">
        <v>49</v>
      </c>
      <c r="G2784" s="30">
        <v>28964.927004569799</v>
      </c>
    </row>
    <row r="2785" spans="1:7" x14ac:dyDescent="0.25">
      <c r="A2785" t="s">
        <v>45</v>
      </c>
      <c r="B2785" t="s">
        <v>46</v>
      </c>
      <c r="C2785" t="s">
        <v>47</v>
      </c>
      <c r="D2785">
        <v>5278869</v>
      </c>
      <c r="E2785" t="s">
        <v>48</v>
      </c>
      <c r="F2785" t="s">
        <v>49</v>
      </c>
      <c r="G2785" s="30">
        <v>0</v>
      </c>
    </row>
    <row r="2786" spans="1:7" x14ac:dyDescent="0.25">
      <c r="A2786" t="s">
        <v>45</v>
      </c>
      <c r="B2786" t="s">
        <v>46</v>
      </c>
      <c r="C2786" t="s">
        <v>47</v>
      </c>
      <c r="D2786">
        <v>5281146</v>
      </c>
      <c r="E2786" t="s">
        <v>48</v>
      </c>
      <c r="F2786" t="s">
        <v>49</v>
      </c>
      <c r="G2786" s="30">
        <v>0</v>
      </c>
    </row>
    <row r="2787" spans="1:7" x14ac:dyDescent="0.25">
      <c r="A2787" t="s">
        <v>45</v>
      </c>
      <c r="B2787" t="s">
        <v>46</v>
      </c>
      <c r="C2787" t="s">
        <v>47</v>
      </c>
      <c r="D2787">
        <v>5282123</v>
      </c>
      <c r="E2787" t="s">
        <v>48</v>
      </c>
      <c r="F2787" t="s">
        <v>49</v>
      </c>
      <c r="G2787" s="30">
        <v>0</v>
      </c>
    </row>
    <row r="2788" spans="1:7" x14ac:dyDescent="0.25">
      <c r="A2788" t="s">
        <v>45</v>
      </c>
      <c r="B2788" t="s">
        <v>46</v>
      </c>
      <c r="C2788" t="s">
        <v>47</v>
      </c>
      <c r="D2788">
        <v>5283600</v>
      </c>
      <c r="E2788" t="s">
        <v>48</v>
      </c>
      <c r="F2788" t="s">
        <v>49</v>
      </c>
      <c r="G2788" s="30">
        <v>0</v>
      </c>
    </row>
    <row r="2789" spans="1:7" x14ac:dyDescent="0.25">
      <c r="A2789" t="s">
        <v>45</v>
      </c>
      <c r="B2789" t="s">
        <v>46</v>
      </c>
      <c r="C2789" t="s">
        <v>47</v>
      </c>
      <c r="D2789">
        <v>5286433</v>
      </c>
      <c r="E2789" t="s">
        <v>48</v>
      </c>
      <c r="F2789" t="s">
        <v>49</v>
      </c>
      <c r="G2789" s="30">
        <v>0</v>
      </c>
    </row>
    <row r="2790" spans="1:7" x14ac:dyDescent="0.25">
      <c r="A2790" t="s">
        <v>45</v>
      </c>
      <c r="B2790" t="s">
        <v>46</v>
      </c>
      <c r="C2790" t="s">
        <v>47</v>
      </c>
      <c r="D2790">
        <v>5290239</v>
      </c>
      <c r="E2790" t="s">
        <v>48</v>
      </c>
      <c r="F2790" t="s">
        <v>49</v>
      </c>
      <c r="G2790" s="30">
        <v>0</v>
      </c>
    </row>
    <row r="2791" spans="1:7" x14ac:dyDescent="0.25">
      <c r="A2791" t="s">
        <v>98</v>
      </c>
      <c r="B2791" t="s">
        <v>99</v>
      </c>
      <c r="C2791" t="s">
        <v>81</v>
      </c>
      <c r="D2791">
        <v>5291298</v>
      </c>
      <c r="E2791" t="s">
        <v>53</v>
      </c>
      <c r="F2791" t="s">
        <v>49</v>
      </c>
      <c r="G2791" s="30">
        <v>39.202312274326196</v>
      </c>
    </row>
    <row r="2792" spans="1:7" x14ac:dyDescent="0.25">
      <c r="A2792" t="s">
        <v>45</v>
      </c>
      <c r="B2792" t="s">
        <v>46</v>
      </c>
      <c r="C2792" t="s">
        <v>47</v>
      </c>
      <c r="D2792">
        <v>5294030</v>
      </c>
      <c r="E2792" t="s">
        <v>48</v>
      </c>
      <c r="F2792" t="s">
        <v>49</v>
      </c>
      <c r="G2792" s="30">
        <v>0</v>
      </c>
    </row>
    <row r="2793" spans="1:7" x14ac:dyDescent="0.25">
      <c r="A2793" t="s">
        <v>94</v>
      </c>
      <c r="B2793" t="s">
        <v>95</v>
      </c>
      <c r="C2793" t="s">
        <v>78</v>
      </c>
      <c r="D2793">
        <v>5298344</v>
      </c>
      <c r="E2793" t="s">
        <v>53</v>
      </c>
      <c r="F2793" t="s">
        <v>49</v>
      </c>
      <c r="G2793" s="30">
        <v>134142.365780883</v>
      </c>
    </row>
    <row r="2794" spans="1:7" x14ac:dyDescent="0.25">
      <c r="A2794" t="s">
        <v>116</v>
      </c>
      <c r="B2794" t="s">
        <v>117</v>
      </c>
      <c r="C2794" t="s">
        <v>47</v>
      </c>
      <c r="D2794">
        <v>5299045</v>
      </c>
      <c r="E2794" t="s">
        <v>53</v>
      </c>
      <c r="F2794" t="s">
        <v>49</v>
      </c>
      <c r="G2794" s="30">
        <v>12814.96</v>
      </c>
    </row>
    <row r="2795" spans="1:7" x14ac:dyDescent="0.25">
      <c r="A2795" t="s">
        <v>96</v>
      </c>
      <c r="B2795" t="s">
        <v>97</v>
      </c>
      <c r="C2795" t="s">
        <v>81</v>
      </c>
      <c r="D2795">
        <v>5300277</v>
      </c>
      <c r="E2795" t="s">
        <v>53</v>
      </c>
      <c r="F2795" t="s">
        <v>49</v>
      </c>
      <c r="G2795" s="30">
        <v>164.1</v>
      </c>
    </row>
    <row r="2796" spans="1:7" x14ac:dyDescent="0.25">
      <c r="A2796" t="s">
        <v>79</v>
      </c>
      <c r="B2796" t="s">
        <v>80</v>
      </c>
      <c r="C2796" t="s">
        <v>81</v>
      </c>
      <c r="D2796">
        <v>5322421</v>
      </c>
      <c r="E2796" t="s">
        <v>53</v>
      </c>
      <c r="F2796" t="s">
        <v>49</v>
      </c>
      <c r="G2796" s="30">
        <v>320174.63097180799</v>
      </c>
    </row>
    <row r="2797" spans="1:7" x14ac:dyDescent="0.25">
      <c r="A2797" t="s">
        <v>45</v>
      </c>
      <c r="B2797" t="s">
        <v>46</v>
      </c>
      <c r="C2797" t="s">
        <v>47</v>
      </c>
      <c r="D2797">
        <v>5357714</v>
      </c>
      <c r="E2797" t="s">
        <v>48</v>
      </c>
      <c r="F2797" t="s">
        <v>49</v>
      </c>
      <c r="G2797" s="30">
        <v>0</v>
      </c>
    </row>
    <row r="2798" spans="1:7" x14ac:dyDescent="0.25">
      <c r="A2798" t="s">
        <v>61</v>
      </c>
      <c r="B2798" t="s">
        <v>62</v>
      </c>
      <c r="C2798" t="s">
        <v>56</v>
      </c>
      <c r="D2798">
        <v>5358289</v>
      </c>
      <c r="E2798" t="s">
        <v>53</v>
      </c>
      <c r="F2798" t="s">
        <v>49</v>
      </c>
      <c r="G2798" s="30">
        <v>834466.06234768499</v>
      </c>
    </row>
    <row r="2799" spans="1:7" x14ac:dyDescent="0.25">
      <c r="A2799" t="s">
        <v>63</v>
      </c>
      <c r="B2799" t="s">
        <v>64</v>
      </c>
      <c r="C2799" t="s">
        <v>56</v>
      </c>
      <c r="D2799">
        <v>5362572</v>
      </c>
      <c r="E2799" t="s">
        <v>53</v>
      </c>
      <c r="F2799" t="s">
        <v>49</v>
      </c>
      <c r="G2799" s="30">
        <v>137628.82933467699</v>
      </c>
    </row>
    <row r="2800" spans="1:7" x14ac:dyDescent="0.25">
      <c r="A2800" t="s">
        <v>94</v>
      </c>
      <c r="B2800" t="s">
        <v>95</v>
      </c>
      <c r="C2800" t="s">
        <v>78</v>
      </c>
      <c r="D2800">
        <v>5363133</v>
      </c>
      <c r="E2800" t="s">
        <v>53</v>
      </c>
      <c r="F2800" t="s">
        <v>49</v>
      </c>
      <c r="G2800" s="30">
        <v>303229.37331509701</v>
      </c>
    </row>
    <row r="2801" spans="1:7" x14ac:dyDescent="0.25">
      <c r="A2801" t="s">
        <v>45</v>
      </c>
      <c r="B2801" t="s">
        <v>46</v>
      </c>
      <c r="C2801" t="s">
        <v>47</v>
      </c>
      <c r="D2801">
        <v>5363254</v>
      </c>
      <c r="E2801" t="s">
        <v>48</v>
      </c>
      <c r="F2801" t="s">
        <v>49</v>
      </c>
      <c r="G2801" s="30">
        <v>0</v>
      </c>
    </row>
    <row r="2802" spans="1:7" x14ac:dyDescent="0.25">
      <c r="A2802" t="s">
        <v>50</v>
      </c>
      <c r="B2802" t="s">
        <v>51</v>
      </c>
      <c r="C2802" t="s">
        <v>52</v>
      </c>
      <c r="D2802">
        <v>5363583</v>
      </c>
      <c r="E2802" t="s">
        <v>53</v>
      </c>
      <c r="F2802" t="s">
        <v>49</v>
      </c>
      <c r="G2802" s="30">
        <v>12506.5076117874</v>
      </c>
    </row>
    <row r="2803" spans="1:7" x14ac:dyDescent="0.25">
      <c r="A2803" t="s">
        <v>61</v>
      </c>
      <c r="B2803" t="s">
        <v>62</v>
      </c>
      <c r="C2803" t="s">
        <v>56</v>
      </c>
      <c r="D2803">
        <v>5364845</v>
      </c>
      <c r="E2803" t="s">
        <v>48</v>
      </c>
      <c r="F2803" t="s">
        <v>49</v>
      </c>
      <c r="G2803" s="30">
        <v>0</v>
      </c>
    </row>
    <row r="2804" spans="1:7" x14ac:dyDescent="0.25">
      <c r="A2804" t="s">
        <v>94</v>
      </c>
      <c r="B2804" t="s">
        <v>95</v>
      </c>
      <c r="C2804" t="s">
        <v>78</v>
      </c>
      <c r="D2804">
        <v>5364852</v>
      </c>
      <c r="E2804" t="s">
        <v>53</v>
      </c>
      <c r="F2804" t="s">
        <v>49</v>
      </c>
      <c r="G2804" s="30">
        <v>533391.23122853797</v>
      </c>
    </row>
    <row r="2805" spans="1:7" x14ac:dyDescent="0.25">
      <c r="A2805" t="s">
        <v>100</v>
      </c>
      <c r="B2805" t="s">
        <v>101</v>
      </c>
      <c r="C2805" t="s">
        <v>52</v>
      </c>
      <c r="D2805">
        <v>5365945</v>
      </c>
      <c r="E2805" t="s">
        <v>53</v>
      </c>
      <c r="F2805" t="s">
        <v>49</v>
      </c>
      <c r="G2805" s="30">
        <v>143386.39902560701</v>
      </c>
    </row>
    <row r="2806" spans="1:7" x14ac:dyDescent="0.25">
      <c r="A2806" t="s">
        <v>45</v>
      </c>
      <c r="B2806" t="s">
        <v>46</v>
      </c>
      <c r="C2806" t="s">
        <v>47</v>
      </c>
      <c r="D2806">
        <v>5366156</v>
      </c>
      <c r="E2806" t="s">
        <v>48</v>
      </c>
      <c r="F2806" t="s">
        <v>49</v>
      </c>
      <c r="G2806" s="30">
        <v>-2.21</v>
      </c>
    </row>
    <row r="2807" spans="1:7" x14ac:dyDescent="0.25">
      <c r="A2807" t="s">
        <v>63</v>
      </c>
      <c r="B2807" t="s">
        <v>64</v>
      </c>
      <c r="C2807" t="s">
        <v>56</v>
      </c>
      <c r="D2807">
        <v>5367502</v>
      </c>
      <c r="E2807" t="s">
        <v>53</v>
      </c>
      <c r="F2807" t="s">
        <v>49</v>
      </c>
      <c r="G2807" s="30">
        <v>1450050.6892820101</v>
      </c>
    </row>
    <row r="2808" spans="1:7" x14ac:dyDescent="0.25">
      <c r="A2808" t="s">
        <v>50</v>
      </c>
      <c r="B2808" t="s">
        <v>51</v>
      </c>
      <c r="C2808" t="s">
        <v>52</v>
      </c>
      <c r="D2808">
        <v>5368471</v>
      </c>
      <c r="E2808" t="s">
        <v>53</v>
      </c>
      <c r="F2808" t="s">
        <v>49</v>
      </c>
      <c r="G2808" s="30">
        <v>14691.137079694599</v>
      </c>
    </row>
    <row r="2809" spans="1:7" x14ac:dyDescent="0.25">
      <c r="A2809" t="s">
        <v>45</v>
      </c>
      <c r="B2809" t="s">
        <v>46</v>
      </c>
      <c r="C2809" t="s">
        <v>47</v>
      </c>
      <c r="D2809">
        <v>5370112</v>
      </c>
      <c r="E2809" t="s">
        <v>53</v>
      </c>
      <c r="F2809" t="s">
        <v>49</v>
      </c>
      <c r="G2809" s="30">
        <v>59914.46</v>
      </c>
    </row>
    <row r="2810" spans="1:7" x14ac:dyDescent="0.25">
      <c r="A2810" t="s">
        <v>82</v>
      </c>
      <c r="B2810" t="s">
        <v>83</v>
      </c>
      <c r="C2810" t="s">
        <v>56</v>
      </c>
      <c r="D2810">
        <v>5370260</v>
      </c>
      <c r="E2810" t="s">
        <v>53</v>
      </c>
      <c r="F2810" t="s">
        <v>49</v>
      </c>
      <c r="G2810" s="30">
        <v>1501.16427784192</v>
      </c>
    </row>
    <row r="2811" spans="1:7" x14ac:dyDescent="0.25">
      <c r="A2811" t="s">
        <v>114</v>
      </c>
      <c r="B2811" t="s">
        <v>115</v>
      </c>
      <c r="C2811" t="s">
        <v>56</v>
      </c>
      <c r="D2811">
        <v>5370769</v>
      </c>
      <c r="E2811" t="s">
        <v>53</v>
      </c>
      <c r="F2811" t="s">
        <v>49</v>
      </c>
      <c r="G2811" s="30">
        <v>81356.653296325094</v>
      </c>
    </row>
    <row r="2812" spans="1:7" x14ac:dyDescent="0.25">
      <c r="A2812" t="s">
        <v>79</v>
      </c>
      <c r="B2812" t="s">
        <v>80</v>
      </c>
      <c r="C2812" t="s">
        <v>81</v>
      </c>
      <c r="D2812">
        <v>5373021</v>
      </c>
      <c r="E2812" t="s">
        <v>53</v>
      </c>
      <c r="F2812" t="s">
        <v>49</v>
      </c>
      <c r="G2812" s="30">
        <v>162202.153274971</v>
      </c>
    </row>
    <row r="2813" spans="1:7" x14ac:dyDescent="0.25">
      <c r="A2813" t="s">
        <v>82</v>
      </c>
      <c r="B2813" t="s">
        <v>83</v>
      </c>
      <c r="C2813" t="s">
        <v>56</v>
      </c>
      <c r="D2813">
        <v>5374127</v>
      </c>
      <c r="E2813" t="s">
        <v>53</v>
      </c>
      <c r="F2813" t="s">
        <v>49</v>
      </c>
      <c r="G2813" s="30">
        <v>1330047.2132693401</v>
      </c>
    </row>
    <row r="2814" spans="1:7" x14ac:dyDescent="0.25">
      <c r="A2814" t="s">
        <v>57</v>
      </c>
      <c r="B2814" t="s">
        <v>58</v>
      </c>
      <c r="C2814" t="s">
        <v>56</v>
      </c>
      <c r="D2814">
        <v>5374992</v>
      </c>
      <c r="E2814" t="s">
        <v>53</v>
      </c>
      <c r="F2814" t="s">
        <v>49</v>
      </c>
      <c r="G2814" s="30">
        <v>151960.557578754</v>
      </c>
    </row>
    <row r="2815" spans="1:7" x14ac:dyDescent="0.25">
      <c r="A2815" t="s">
        <v>45</v>
      </c>
      <c r="B2815" t="s">
        <v>46</v>
      </c>
      <c r="C2815" t="s">
        <v>47</v>
      </c>
      <c r="D2815">
        <v>5375479</v>
      </c>
      <c r="E2815" t="s">
        <v>48</v>
      </c>
      <c r="F2815" t="s">
        <v>49</v>
      </c>
      <c r="G2815" s="30">
        <v>91.41</v>
      </c>
    </row>
    <row r="2816" spans="1:7" x14ac:dyDescent="0.25">
      <c r="A2816" t="s">
        <v>50</v>
      </c>
      <c r="B2816" t="s">
        <v>51</v>
      </c>
      <c r="C2816" t="s">
        <v>52</v>
      </c>
      <c r="D2816">
        <v>5375507</v>
      </c>
      <c r="E2816" t="s">
        <v>53</v>
      </c>
      <c r="F2816" t="s">
        <v>49</v>
      </c>
      <c r="G2816" s="30">
        <v>118860.38984289199</v>
      </c>
    </row>
    <row r="2817" spans="1:7" x14ac:dyDescent="0.25">
      <c r="A2817" t="s">
        <v>96</v>
      </c>
      <c r="B2817" t="s">
        <v>97</v>
      </c>
      <c r="C2817" t="s">
        <v>81</v>
      </c>
      <c r="D2817">
        <v>5376024</v>
      </c>
      <c r="E2817" t="s">
        <v>48</v>
      </c>
      <c r="F2817" t="s">
        <v>49</v>
      </c>
      <c r="G2817" s="30">
        <v>0</v>
      </c>
    </row>
    <row r="2818" spans="1:7" x14ac:dyDescent="0.25">
      <c r="A2818" t="s">
        <v>104</v>
      </c>
      <c r="B2818" t="s">
        <v>105</v>
      </c>
      <c r="C2818" t="s">
        <v>78</v>
      </c>
      <c r="D2818">
        <v>5376734</v>
      </c>
      <c r="E2818" t="s">
        <v>53</v>
      </c>
      <c r="F2818" t="s">
        <v>49</v>
      </c>
      <c r="G2818" s="30">
        <v>139.77000000000001</v>
      </c>
    </row>
    <row r="2819" spans="1:7" x14ac:dyDescent="0.25">
      <c r="A2819" t="s">
        <v>45</v>
      </c>
      <c r="B2819" t="s">
        <v>46</v>
      </c>
      <c r="C2819" t="s">
        <v>47</v>
      </c>
      <c r="D2819">
        <v>5377160</v>
      </c>
      <c r="E2819" t="s">
        <v>48</v>
      </c>
      <c r="F2819" t="s">
        <v>49</v>
      </c>
      <c r="G2819" s="30">
        <v>0</v>
      </c>
    </row>
    <row r="2820" spans="1:7" x14ac:dyDescent="0.25">
      <c r="A2820" t="s">
        <v>50</v>
      </c>
      <c r="B2820" t="s">
        <v>51</v>
      </c>
      <c r="C2820" t="s">
        <v>52</v>
      </c>
      <c r="D2820">
        <v>5377831</v>
      </c>
      <c r="E2820" t="s">
        <v>53</v>
      </c>
      <c r="F2820" t="s">
        <v>49</v>
      </c>
      <c r="G2820" s="30">
        <v>1904.91</v>
      </c>
    </row>
    <row r="2821" spans="1:7" x14ac:dyDescent="0.25">
      <c r="A2821" t="s">
        <v>100</v>
      </c>
      <c r="B2821" t="s">
        <v>101</v>
      </c>
      <c r="C2821" t="s">
        <v>52</v>
      </c>
      <c r="D2821">
        <v>5378815</v>
      </c>
      <c r="E2821" t="s">
        <v>53</v>
      </c>
      <c r="F2821" t="s">
        <v>49</v>
      </c>
      <c r="G2821" s="30">
        <v>258018.66543944701</v>
      </c>
    </row>
    <row r="2822" spans="1:7" x14ac:dyDescent="0.25">
      <c r="A2822" t="s">
        <v>102</v>
      </c>
      <c r="B2822" t="s">
        <v>103</v>
      </c>
      <c r="C2822" t="s">
        <v>47</v>
      </c>
      <c r="D2822">
        <v>5380710</v>
      </c>
      <c r="E2822" t="s">
        <v>53</v>
      </c>
      <c r="F2822" t="s">
        <v>49</v>
      </c>
      <c r="G2822" s="30">
        <v>2249.6821992384498</v>
      </c>
    </row>
    <row r="2823" spans="1:7" x14ac:dyDescent="0.25">
      <c r="A2823" t="s">
        <v>50</v>
      </c>
      <c r="B2823" t="s">
        <v>51</v>
      </c>
      <c r="C2823" t="s">
        <v>52</v>
      </c>
      <c r="D2823">
        <v>5380790</v>
      </c>
      <c r="E2823" t="s">
        <v>53</v>
      </c>
      <c r="F2823" t="s">
        <v>49</v>
      </c>
      <c r="G2823" s="30">
        <v>37397.180641847597</v>
      </c>
    </row>
    <row r="2824" spans="1:7" x14ac:dyDescent="0.25">
      <c r="A2824" t="s">
        <v>45</v>
      </c>
      <c r="B2824" t="s">
        <v>46</v>
      </c>
      <c r="C2824" t="s">
        <v>47</v>
      </c>
      <c r="D2824">
        <v>5530518</v>
      </c>
      <c r="E2824" t="s">
        <v>48</v>
      </c>
      <c r="F2824" t="s">
        <v>49</v>
      </c>
      <c r="G2824" s="30">
        <v>0</v>
      </c>
    </row>
    <row r="2825" spans="1:7" x14ac:dyDescent="0.25">
      <c r="A2825" t="s">
        <v>45</v>
      </c>
      <c r="B2825" t="s">
        <v>46</v>
      </c>
      <c r="C2825" t="s">
        <v>47</v>
      </c>
      <c r="D2825">
        <v>5531171</v>
      </c>
      <c r="E2825" t="s">
        <v>48</v>
      </c>
      <c r="F2825" t="s">
        <v>49</v>
      </c>
      <c r="G2825" s="30">
        <v>0</v>
      </c>
    </row>
    <row r="2826" spans="1:7" x14ac:dyDescent="0.25">
      <c r="A2826" t="s">
        <v>61</v>
      </c>
      <c r="B2826" t="s">
        <v>62</v>
      </c>
      <c r="C2826" t="s">
        <v>56</v>
      </c>
      <c r="D2826">
        <v>5531548</v>
      </c>
      <c r="E2826" t="s">
        <v>48</v>
      </c>
      <c r="F2826" t="s">
        <v>49</v>
      </c>
      <c r="G2826" s="30">
        <v>0.37</v>
      </c>
    </row>
    <row r="2827" spans="1:7" x14ac:dyDescent="0.25">
      <c r="A2827" t="s">
        <v>45</v>
      </c>
      <c r="B2827" t="s">
        <v>46</v>
      </c>
      <c r="C2827" t="s">
        <v>47</v>
      </c>
      <c r="D2827">
        <v>5533160</v>
      </c>
      <c r="E2827" t="s">
        <v>48</v>
      </c>
      <c r="F2827" t="s">
        <v>49</v>
      </c>
      <c r="G2827" s="30">
        <v>0</v>
      </c>
    </row>
    <row r="2828" spans="1:7" x14ac:dyDescent="0.25">
      <c r="A2828" t="s">
        <v>88</v>
      </c>
      <c r="B2828" t="s">
        <v>89</v>
      </c>
      <c r="C2828" t="s">
        <v>78</v>
      </c>
      <c r="D2828">
        <v>5533162</v>
      </c>
      <c r="E2828" t="s">
        <v>53</v>
      </c>
      <c r="F2828" t="s">
        <v>49</v>
      </c>
      <c r="G2828" s="30">
        <v>780854.16920861695</v>
      </c>
    </row>
    <row r="2829" spans="1:7" x14ac:dyDescent="0.25">
      <c r="A2829" t="s">
        <v>45</v>
      </c>
      <c r="B2829" t="s">
        <v>46</v>
      </c>
      <c r="C2829" t="s">
        <v>47</v>
      </c>
      <c r="D2829">
        <v>5534106</v>
      </c>
      <c r="E2829" t="s">
        <v>48</v>
      </c>
      <c r="F2829" t="s">
        <v>49</v>
      </c>
      <c r="G2829" s="30">
        <v>0</v>
      </c>
    </row>
    <row r="2830" spans="1:7" x14ac:dyDescent="0.25">
      <c r="A2830" t="s">
        <v>45</v>
      </c>
      <c r="B2830" t="s">
        <v>46</v>
      </c>
      <c r="C2830" t="s">
        <v>47</v>
      </c>
      <c r="D2830">
        <v>5534132</v>
      </c>
      <c r="E2830" t="s">
        <v>53</v>
      </c>
      <c r="F2830" t="s">
        <v>49</v>
      </c>
      <c r="G2830" s="30">
        <v>22581.765012979198</v>
      </c>
    </row>
    <row r="2831" spans="1:7" x14ac:dyDescent="0.25">
      <c r="A2831" t="s">
        <v>45</v>
      </c>
      <c r="B2831" t="s">
        <v>46</v>
      </c>
      <c r="C2831" t="s">
        <v>47</v>
      </c>
      <c r="D2831">
        <v>5534982</v>
      </c>
      <c r="E2831" t="s">
        <v>48</v>
      </c>
      <c r="F2831" t="s">
        <v>49</v>
      </c>
      <c r="G2831" s="30">
        <v>0</v>
      </c>
    </row>
    <row r="2832" spans="1:7" x14ac:dyDescent="0.25">
      <c r="A2832" t="s">
        <v>45</v>
      </c>
      <c r="B2832" t="s">
        <v>46</v>
      </c>
      <c r="C2832" t="s">
        <v>47</v>
      </c>
      <c r="D2832">
        <v>5535561</v>
      </c>
      <c r="E2832" t="s">
        <v>48</v>
      </c>
      <c r="F2832" t="s">
        <v>49</v>
      </c>
      <c r="G2832" s="30">
        <v>0</v>
      </c>
    </row>
    <row r="2833" spans="1:7" x14ac:dyDescent="0.25">
      <c r="A2833" t="s">
        <v>45</v>
      </c>
      <c r="B2833" t="s">
        <v>46</v>
      </c>
      <c r="C2833" t="s">
        <v>47</v>
      </c>
      <c r="D2833">
        <v>5536550</v>
      </c>
      <c r="E2833" t="s">
        <v>48</v>
      </c>
      <c r="F2833" t="s">
        <v>49</v>
      </c>
      <c r="G2833" s="30">
        <v>0</v>
      </c>
    </row>
    <row r="2834" spans="1:7" x14ac:dyDescent="0.25">
      <c r="A2834" t="s">
        <v>45</v>
      </c>
      <c r="B2834" t="s">
        <v>46</v>
      </c>
      <c r="C2834" t="s">
        <v>47</v>
      </c>
      <c r="D2834">
        <v>5537275</v>
      </c>
      <c r="E2834" t="s">
        <v>48</v>
      </c>
      <c r="F2834" t="s">
        <v>49</v>
      </c>
      <c r="G2834" s="30">
        <v>0</v>
      </c>
    </row>
    <row r="2835" spans="1:7" x14ac:dyDescent="0.25">
      <c r="A2835" t="s">
        <v>45</v>
      </c>
      <c r="B2835" t="s">
        <v>46</v>
      </c>
      <c r="C2835" t="s">
        <v>47</v>
      </c>
      <c r="D2835">
        <v>5537417</v>
      </c>
      <c r="E2835" t="s">
        <v>53</v>
      </c>
      <c r="F2835" t="s">
        <v>49</v>
      </c>
      <c r="G2835" s="30">
        <v>63394.464149543703</v>
      </c>
    </row>
    <row r="2836" spans="1:7" x14ac:dyDescent="0.25">
      <c r="A2836" t="s">
        <v>124</v>
      </c>
      <c r="B2836" t="s">
        <v>125</v>
      </c>
      <c r="C2836" t="s">
        <v>78</v>
      </c>
      <c r="D2836">
        <v>5537485</v>
      </c>
      <c r="E2836" t="s">
        <v>53</v>
      </c>
      <c r="F2836" t="s">
        <v>49</v>
      </c>
      <c r="G2836" s="30">
        <v>93794.203958698199</v>
      </c>
    </row>
    <row r="2837" spans="1:7" x14ac:dyDescent="0.25">
      <c r="A2837" t="s">
        <v>116</v>
      </c>
      <c r="B2837" t="s">
        <v>117</v>
      </c>
      <c r="C2837" t="s">
        <v>47</v>
      </c>
      <c r="D2837">
        <v>5537580</v>
      </c>
      <c r="E2837" t="s">
        <v>53</v>
      </c>
      <c r="F2837" t="s">
        <v>49</v>
      </c>
      <c r="G2837" s="30">
        <v>26085.968607297898</v>
      </c>
    </row>
    <row r="2838" spans="1:7" x14ac:dyDescent="0.25">
      <c r="A2838" t="s">
        <v>74</v>
      </c>
      <c r="B2838" t="s">
        <v>75</v>
      </c>
      <c r="C2838" t="s">
        <v>67</v>
      </c>
      <c r="D2838">
        <v>5537737</v>
      </c>
      <c r="E2838" t="s">
        <v>48</v>
      </c>
      <c r="F2838" t="s">
        <v>49</v>
      </c>
      <c r="G2838" s="30">
        <v>0</v>
      </c>
    </row>
    <row r="2839" spans="1:7" x14ac:dyDescent="0.25">
      <c r="A2839" t="s">
        <v>72</v>
      </c>
      <c r="B2839" t="s">
        <v>73</v>
      </c>
      <c r="C2839" t="s">
        <v>67</v>
      </c>
      <c r="D2839">
        <v>5538292</v>
      </c>
      <c r="E2839" t="s">
        <v>53</v>
      </c>
      <c r="F2839" t="s">
        <v>49</v>
      </c>
      <c r="G2839" s="30">
        <v>969540.60569601401</v>
      </c>
    </row>
    <row r="2840" spans="1:7" x14ac:dyDescent="0.25">
      <c r="A2840" t="s">
        <v>45</v>
      </c>
      <c r="B2840" t="s">
        <v>46</v>
      </c>
      <c r="C2840" t="s">
        <v>47</v>
      </c>
      <c r="D2840">
        <v>5538351</v>
      </c>
      <c r="E2840" t="s">
        <v>53</v>
      </c>
      <c r="F2840" t="s">
        <v>49</v>
      </c>
      <c r="G2840" s="30">
        <v>20411.63</v>
      </c>
    </row>
    <row r="2841" spans="1:7" x14ac:dyDescent="0.25">
      <c r="A2841" t="s">
        <v>45</v>
      </c>
      <c r="B2841" t="s">
        <v>46</v>
      </c>
      <c r="C2841" t="s">
        <v>47</v>
      </c>
      <c r="D2841">
        <v>5539649</v>
      </c>
      <c r="E2841" t="s">
        <v>48</v>
      </c>
      <c r="F2841" t="s">
        <v>49</v>
      </c>
      <c r="G2841" s="30">
        <v>0</v>
      </c>
    </row>
    <row r="2842" spans="1:7" x14ac:dyDescent="0.25">
      <c r="A2842" t="s">
        <v>45</v>
      </c>
      <c r="B2842" t="s">
        <v>46</v>
      </c>
      <c r="C2842" t="s">
        <v>47</v>
      </c>
      <c r="D2842">
        <v>5541452</v>
      </c>
      <c r="E2842" t="s">
        <v>48</v>
      </c>
      <c r="F2842" t="s">
        <v>49</v>
      </c>
      <c r="G2842" s="30">
        <v>0</v>
      </c>
    </row>
    <row r="2843" spans="1:7" x14ac:dyDescent="0.25">
      <c r="A2843" t="s">
        <v>45</v>
      </c>
      <c r="B2843" t="s">
        <v>46</v>
      </c>
      <c r="C2843" t="s">
        <v>47</v>
      </c>
      <c r="D2843">
        <v>5542161</v>
      </c>
      <c r="E2843" t="s">
        <v>48</v>
      </c>
      <c r="F2843" t="s">
        <v>49</v>
      </c>
      <c r="G2843" s="30">
        <v>0</v>
      </c>
    </row>
    <row r="2844" spans="1:7" x14ac:dyDescent="0.25">
      <c r="A2844" t="s">
        <v>45</v>
      </c>
      <c r="B2844" t="s">
        <v>46</v>
      </c>
      <c r="C2844" t="s">
        <v>47</v>
      </c>
      <c r="D2844">
        <v>5542400</v>
      </c>
      <c r="E2844" t="s">
        <v>53</v>
      </c>
      <c r="F2844" t="s">
        <v>49</v>
      </c>
      <c r="G2844" s="30">
        <v>37102.579285379703</v>
      </c>
    </row>
    <row r="2845" spans="1:7" x14ac:dyDescent="0.25">
      <c r="A2845" t="s">
        <v>116</v>
      </c>
      <c r="B2845" t="s">
        <v>117</v>
      </c>
      <c r="C2845" t="s">
        <v>47</v>
      </c>
      <c r="D2845">
        <v>5543856</v>
      </c>
      <c r="E2845" t="s">
        <v>48</v>
      </c>
      <c r="F2845" t="s">
        <v>49</v>
      </c>
      <c r="G2845" s="30">
        <v>0</v>
      </c>
    </row>
    <row r="2846" spans="1:7" x14ac:dyDescent="0.25">
      <c r="A2846" t="s">
        <v>124</v>
      </c>
      <c r="B2846" t="s">
        <v>125</v>
      </c>
      <c r="C2846" t="s">
        <v>78</v>
      </c>
      <c r="D2846">
        <v>5544017</v>
      </c>
      <c r="E2846" t="s">
        <v>53</v>
      </c>
      <c r="F2846" t="s">
        <v>49</v>
      </c>
      <c r="G2846" s="30">
        <v>1053439.7231251199</v>
      </c>
    </row>
    <row r="2847" spans="1:7" x14ac:dyDescent="0.25">
      <c r="A2847" t="s">
        <v>50</v>
      </c>
      <c r="B2847" t="s">
        <v>51</v>
      </c>
      <c r="C2847" t="s">
        <v>52</v>
      </c>
      <c r="D2847">
        <v>5545019</v>
      </c>
      <c r="E2847" t="s">
        <v>53</v>
      </c>
      <c r="F2847" t="s">
        <v>49</v>
      </c>
      <c r="G2847" s="30">
        <v>115.44</v>
      </c>
    </row>
    <row r="2848" spans="1:7" x14ac:dyDescent="0.25">
      <c r="A2848" t="s">
        <v>45</v>
      </c>
      <c r="B2848" t="s">
        <v>46</v>
      </c>
      <c r="C2848" t="s">
        <v>47</v>
      </c>
      <c r="D2848">
        <v>5545313</v>
      </c>
      <c r="E2848" t="s">
        <v>48</v>
      </c>
      <c r="F2848" t="s">
        <v>49</v>
      </c>
      <c r="G2848" s="30">
        <v>0</v>
      </c>
    </row>
    <row r="2849" spans="1:7" x14ac:dyDescent="0.25">
      <c r="A2849" t="s">
        <v>65</v>
      </c>
      <c r="B2849" t="s">
        <v>66</v>
      </c>
      <c r="C2849" t="s">
        <v>67</v>
      </c>
      <c r="D2849">
        <v>5547030</v>
      </c>
      <c r="E2849" t="s">
        <v>53</v>
      </c>
      <c r="F2849" t="s">
        <v>49</v>
      </c>
      <c r="G2849" s="30">
        <v>309885.00086782099</v>
      </c>
    </row>
    <row r="2850" spans="1:7" x14ac:dyDescent="0.25">
      <c r="A2850" t="s">
        <v>54</v>
      </c>
      <c r="B2850" t="s">
        <v>55</v>
      </c>
      <c r="C2850" t="s">
        <v>56</v>
      </c>
      <c r="D2850">
        <v>5547086</v>
      </c>
      <c r="E2850" t="s">
        <v>48</v>
      </c>
      <c r="F2850" t="s">
        <v>49</v>
      </c>
      <c r="G2850" s="30">
        <v>0</v>
      </c>
    </row>
    <row r="2851" spans="1:7" x14ac:dyDescent="0.25">
      <c r="A2851" t="s">
        <v>102</v>
      </c>
      <c r="B2851" t="s">
        <v>103</v>
      </c>
      <c r="C2851" t="s">
        <v>47</v>
      </c>
      <c r="D2851">
        <v>5548291</v>
      </c>
      <c r="E2851" t="s">
        <v>53</v>
      </c>
      <c r="F2851" t="s">
        <v>49</v>
      </c>
      <c r="G2851" s="30">
        <v>752866.82331742696</v>
      </c>
    </row>
    <row r="2852" spans="1:7" x14ac:dyDescent="0.25">
      <c r="A2852" t="s">
        <v>45</v>
      </c>
      <c r="B2852" t="s">
        <v>46</v>
      </c>
      <c r="C2852" t="s">
        <v>47</v>
      </c>
      <c r="D2852">
        <v>5551092</v>
      </c>
      <c r="E2852" t="s">
        <v>53</v>
      </c>
      <c r="F2852" t="s">
        <v>49</v>
      </c>
      <c r="G2852" s="30">
        <v>1309.7887173836</v>
      </c>
    </row>
    <row r="2853" spans="1:7" x14ac:dyDescent="0.25">
      <c r="A2853" t="s">
        <v>50</v>
      </c>
      <c r="B2853" t="s">
        <v>51</v>
      </c>
      <c r="C2853" t="s">
        <v>52</v>
      </c>
      <c r="D2853">
        <v>5554275</v>
      </c>
      <c r="E2853" t="s">
        <v>53</v>
      </c>
      <c r="F2853" t="s">
        <v>49</v>
      </c>
      <c r="G2853" s="30">
        <v>45693.65</v>
      </c>
    </row>
    <row r="2854" spans="1:7" x14ac:dyDescent="0.25">
      <c r="A2854" t="s">
        <v>45</v>
      </c>
      <c r="B2854" t="s">
        <v>46</v>
      </c>
      <c r="C2854" t="s">
        <v>47</v>
      </c>
      <c r="D2854">
        <v>5554803</v>
      </c>
      <c r="E2854" t="s">
        <v>48</v>
      </c>
      <c r="F2854" t="s">
        <v>49</v>
      </c>
      <c r="G2854" s="30">
        <v>0</v>
      </c>
    </row>
    <row r="2855" spans="1:7" x14ac:dyDescent="0.25">
      <c r="A2855" t="s">
        <v>50</v>
      </c>
      <c r="B2855" t="s">
        <v>51</v>
      </c>
      <c r="C2855" t="s">
        <v>52</v>
      </c>
      <c r="D2855">
        <v>5554813</v>
      </c>
      <c r="E2855" t="s">
        <v>53</v>
      </c>
      <c r="F2855" t="s">
        <v>49</v>
      </c>
      <c r="G2855" s="30">
        <v>3.1162234199999999</v>
      </c>
    </row>
    <row r="2856" spans="1:7" x14ac:dyDescent="0.25">
      <c r="A2856" t="s">
        <v>74</v>
      </c>
      <c r="B2856" t="s">
        <v>75</v>
      </c>
      <c r="C2856" t="s">
        <v>67</v>
      </c>
      <c r="D2856">
        <v>5554847</v>
      </c>
      <c r="E2856" t="s">
        <v>53</v>
      </c>
      <c r="F2856" t="s">
        <v>49</v>
      </c>
      <c r="G2856" s="30">
        <v>51333.279999999999</v>
      </c>
    </row>
    <row r="2857" spans="1:7" x14ac:dyDescent="0.25">
      <c r="A2857" t="s">
        <v>124</v>
      </c>
      <c r="B2857" t="s">
        <v>125</v>
      </c>
      <c r="C2857" t="s">
        <v>78</v>
      </c>
      <c r="D2857">
        <v>5556089</v>
      </c>
      <c r="E2857" t="s">
        <v>53</v>
      </c>
      <c r="F2857" t="s">
        <v>49</v>
      </c>
      <c r="G2857" s="30">
        <v>227965.560285543</v>
      </c>
    </row>
    <row r="2858" spans="1:7" x14ac:dyDescent="0.25">
      <c r="A2858" t="s">
        <v>54</v>
      </c>
      <c r="B2858" t="s">
        <v>55</v>
      </c>
      <c r="C2858" t="s">
        <v>56</v>
      </c>
      <c r="D2858">
        <v>5556525</v>
      </c>
      <c r="E2858" t="s">
        <v>53</v>
      </c>
      <c r="F2858" t="s">
        <v>49</v>
      </c>
      <c r="G2858" s="30">
        <v>782863.97575818002</v>
      </c>
    </row>
    <row r="2859" spans="1:7" x14ac:dyDescent="0.25">
      <c r="A2859" t="s">
        <v>72</v>
      </c>
      <c r="B2859" t="s">
        <v>73</v>
      </c>
      <c r="C2859" t="s">
        <v>67</v>
      </c>
      <c r="D2859">
        <v>5557685</v>
      </c>
      <c r="E2859" t="s">
        <v>48</v>
      </c>
      <c r="F2859" t="s">
        <v>49</v>
      </c>
      <c r="G2859" s="30">
        <v>0</v>
      </c>
    </row>
    <row r="2860" spans="1:7" x14ac:dyDescent="0.25">
      <c r="A2860" t="s">
        <v>100</v>
      </c>
      <c r="B2860" t="s">
        <v>101</v>
      </c>
      <c r="C2860" t="s">
        <v>52</v>
      </c>
      <c r="D2860">
        <v>5558243</v>
      </c>
      <c r="E2860" t="s">
        <v>53</v>
      </c>
      <c r="F2860" t="s">
        <v>49</v>
      </c>
      <c r="G2860" s="30">
        <v>194857.44087565999</v>
      </c>
    </row>
    <row r="2861" spans="1:7" x14ac:dyDescent="0.25">
      <c r="A2861" t="s">
        <v>45</v>
      </c>
      <c r="B2861" t="s">
        <v>46</v>
      </c>
      <c r="C2861" t="s">
        <v>47</v>
      </c>
      <c r="D2861">
        <v>5558296</v>
      </c>
      <c r="E2861" t="s">
        <v>48</v>
      </c>
      <c r="F2861" t="s">
        <v>49</v>
      </c>
      <c r="G2861" s="30">
        <v>0</v>
      </c>
    </row>
    <row r="2862" spans="1:7" x14ac:dyDescent="0.25">
      <c r="A2862" t="s">
        <v>45</v>
      </c>
      <c r="B2862" t="s">
        <v>46</v>
      </c>
      <c r="C2862" t="s">
        <v>47</v>
      </c>
      <c r="D2862">
        <v>5559419</v>
      </c>
      <c r="E2862" t="s">
        <v>48</v>
      </c>
      <c r="F2862" t="s">
        <v>49</v>
      </c>
      <c r="G2862" s="30">
        <v>0</v>
      </c>
    </row>
    <row r="2863" spans="1:7" x14ac:dyDescent="0.25">
      <c r="A2863" t="s">
        <v>76</v>
      </c>
      <c r="B2863" t="s">
        <v>77</v>
      </c>
      <c r="C2863" t="s">
        <v>78</v>
      </c>
      <c r="D2863">
        <v>5559555</v>
      </c>
      <c r="E2863" t="s">
        <v>53</v>
      </c>
      <c r="F2863" t="s">
        <v>49</v>
      </c>
      <c r="G2863" s="30">
        <v>142940.82398053401</v>
      </c>
    </row>
    <row r="2864" spans="1:7" x14ac:dyDescent="0.25">
      <c r="A2864" t="s">
        <v>54</v>
      </c>
      <c r="B2864" t="s">
        <v>55</v>
      </c>
      <c r="C2864" t="s">
        <v>56</v>
      </c>
      <c r="D2864">
        <v>5559633</v>
      </c>
      <c r="E2864" t="s">
        <v>48</v>
      </c>
      <c r="F2864" t="s">
        <v>49</v>
      </c>
      <c r="G2864" s="30">
        <v>0</v>
      </c>
    </row>
    <row r="2865" spans="1:7" x14ac:dyDescent="0.25">
      <c r="A2865" t="s">
        <v>68</v>
      </c>
      <c r="B2865" t="s">
        <v>69</v>
      </c>
      <c r="C2865" t="s">
        <v>56</v>
      </c>
      <c r="D2865">
        <v>5561937</v>
      </c>
      <c r="E2865" t="s">
        <v>53</v>
      </c>
      <c r="F2865" t="s">
        <v>49</v>
      </c>
      <c r="G2865" s="30">
        <v>590882.39140597905</v>
      </c>
    </row>
    <row r="2866" spans="1:7" x14ac:dyDescent="0.25">
      <c r="A2866" t="s">
        <v>63</v>
      </c>
      <c r="B2866" t="s">
        <v>64</v>
      </c>
      <c r="C2866" t="s">
        <v>56</v>
      </c>
      <c r="D2866">
        <v>5563552</v>
      </c>
      <c r="E2866" t="s">
        <v>53</v>
      </c>
      <c r="F2866" t="s">
        <v>49</v>
      </c>
      <c r="G2866" s="30">
        <v>362292.16287628998</v>
      </c>
    </row>
    <row r="2867" spans="1:7" x14ac:dyDescent="0.25">
      <c r="A2867" t="s">
        <v>45</v>
      </c>
      <c r="B2867" t="s">
        <v>46</v>
      </c>
      <c r="C2867" t="s">
        <v>47</v>
      </c>
      <c r="D2867">
        <v>5563617</v>
      </c>
      <c r="E2867" t="s">
        <v>48</v>
      </c>
      <c r="F2867" t="s">
        <v>49</v>
      </c>
      <c r="G2867" s="30">
        <v>0</v>
      </c>
    </row>
    <row r="2868" spans="1:7" x14ac:dyDescent="0.25">
      <c r="A2868" t="s">
        <v>45</v>
      </c>
      <c r="B2868" t="s">
        <v>46</v>
      </c>
      <c r="C2868" t="s">
        <v>47</v>
      </c>
      <c r="D2868">
        <v>5565059</v>
      </c>
      <c r="E2868" t="s">
        <v>48</v>
      </c>
      <c r="F2868" t="s">
        <v>49</v>
      </c>
      <c r="G2868" s="30">
        <v>0</v>
      </c>
    </row>
    <row r="2869" spans="1:7" x14ac:dyDescent="0.25">
      <c r="A2869" t="s">
        <v>65</v>
      </c>
      <c r="B2869" t="s">
        <v>66</v>
      </c>
      <c r="C2869" t="s">
        <v>67</v>
      </c>
      <c r="D2869">
        <v>5567951</v>
      </c>
      <c r="E2869" t="s">
        <v>53</v>
      </c>
      <c r="F2869" t="s">
        <v>49</v>
      </c>
      <c r="G2869" s="30">
        <v>1153180.36191358</v>
      </c>
    </row>
    <row r="2870" spans="1:7" x14ac:dyDescent="0.25">
      <c r="A2870" t="s">
        <v>76</v>
      </c>
      <c r="B2870" t="s">
        <v>77</v>
      </c>
      <c r="C2870" t="s">
        <v>78</v>
      </c>
      <c r="D2870">
        <v>5568083</v>
      </c>
      <c r="E2870" t="s">
        <v>53</v>
      </c>
      <c r="F2870" t="s">
        <v>49</v>
      </c>
      <c r="G2870" s="30">
        <v>242923.070101536</v>
      </c>
    </row>
    <row r="2871" spans="1:7" x14ac:dyDescent="0.25">
      <c r="A2871" t="s">
        <v>88</v>
      </c>
      <c r="B2871" t="s">
        <v>89</v>
      </c>
      <c r="C2871" t="s">
        <v>78</v>
      </c>
      <c r="D2871">
        <v>5568215</v>
      </c>
      <c r="E2871" t="s">
        <v>53</v>
      </c>
      <c r="F2871" t="s">
        <v>49</v>
      </c>
      <c r="G2871" s="30">
        <v>697566.601321953</v>
      </c>
    </row>
    <row r="2872" spans="1:7" x14ac:dyDescent="0.25">
      <c r="A2872" t="s">
        <v>45</v>
      </c>
      <c r="B2872" t="s">
        <v>46</v>
      </c>
      <c r="C2872" t="s">
        <v>47</v>
      </c>
      <c r="D2872">
        <v>5568227</v>
      </c>
      <c r="E2872" t="s">
        <v>48</v>
      </c>
      <c r="F2872" t="s">
        <v>49</v>
      </c>
      <c r="G2872" s="30">
        <v>0</v>
      </c>
    </row>
    <row r="2873" spans="1:7" x14ac:dyDescent="0.25">
      <c r="A2873" t="s">
        <v>68</v>
      </c>
      <c r="B2873" t="s">
        <v>69</v>
      </c>
      <c r="C2873" t="s">
        <v>56</v>
      </c>
      <c r="D2873">
        <v>5569240</v>
      </c>
      <c r="E2873" t="s">
        <v>53</v>
      </c>
      <c r="F2873" t="s">
        <v>49</v>
      </c>
      <c r="G2873" s="30">
        <v>38753.660000000003</v>
      </c>
    </row>
    <row r="2874" spans="1:7" x14ac:dyDescent="0.25">
      <c r="A2874" t="s">
        <v>45</v>
      </c>
      <c r="B2874" t="s">
        <v>46</v>
      </c>
      <c r="C2874" t="s">
        <v>47</v>
      </c>
      <c r="D2874">
        <v>5570318</v>
      </c>
      <c r="E2874" t="s">
        <v>48</v>
      </c>
      <c r="F2874" t="s">
        <v>49</v>
      </c>
      <c r="G2874" s="30">
        <v>0</v>
      </c>
    </row>
    <row r="2875" spans="1:7" x14ac:dyDescent="0.25">
      <c r="A2875" t="s">
        <v>70</v>
      </c>
      <c r="B2875" t="s">
        <v>71</v>
      </c>
      <c r="C2875" t="s">
        <v>47</v>
      </c>
      <c r="D2875">
        <v>5572154</v>
      </c>
      <c r="E2875" t="s">
        <v>53</v>
      </c>
      <c r="F2875" t="s">
        <v>49</v>
      </c>
      <c r="G2875" s="30">
        <v>55244.758682299398</v>
      </c>
    </row>
    <row r="2876" spans="1:7" x14ac:dyDescent="0.25">
      <c r="A2876" t="s">
        <v>63</v>
      </c>
      <c r="B2876" t="s">
        <v>64</v>
      </c>
      <c r="C2876" t="s">
        <v>56</v>
      </c>
      <c r="D2876">
        <v>5572593</v>
      </c>
      <c r="E2876" t="s">
        <v>53</v>
      </c>
      <c r="F2876" t="s">
        <v>49</v>
      </c>
      <c r="G2876" s="30">
        <v>1449674.59056547</v>
      </c>
    </row>
    <row r="2877" spans="1:7" x14ac:dyDescent="0.25">
      <c r="A2877" t="s">
        <v>50</v>
      </c>
      <c r="B2877" t="s">
        <v>51</v>
      </c>
      <c r="C2877" t="s">
        <v>52</v>
      </c>
      <c r="D2877">
        <v>5574811</v>
      </c>
      <c r="E2877" t="s">
        <v>53</v>
      </c>
      <c r="F2877" t="s">
        <v>49</v>
      </c>
      <c r="G2877" s="30">
        <v>250.46608553229399</v>
      </c>
    </row>
    <row r="2878" spans="1:7" x14ac:dyDescent="0.25">
      <c r="A2878" t="s">
        <v>45</v>
      </c>
      <c r="B2878" t="s">
        <v>46</v>
      </c>
      <c r="C2878" t="s">
        <v>47</v>
      </c>
      <c r="D2878">
        <v>5574998</v>
      </c>
      <c r="E2878" t="s">
        <v>53</v>
      </c>
      <c r="F2878" t="s">
        <v>49</v>
      </c>
      <c r="G2878" s="30">
        <v>350.97</v>
      </c>
    </row>
    <row r="2879" spans="1:7" x14ac:dyDescent="0.25">
      <c r="A2879" t="s">
        <v>54</v>
      </c>
      <c r="B2879" t="s">
        <v>55</v>
      </c>
      <c r="C2879" t="s">
        <v>56</v>
      </c>
      <c r="D2879">
        <v>5576576</v>
      </c>
      <c r="E2879" t="s">
        <v>53</v>
      </c>
      <c r="F2879" t="s">
        <v>49</v>
      </c>
      <c r="G2879" s="30">
        <v>420662.46020864701</v>
      </c>
    </row>
    <row r="2880" spans="1:7" x14ac:dyDescent="0.25">
      <c r="A2880" t="s">
        <v>102</v>
      </c>
      <c r="B2880" t="s">
        <v>103</v>
      </c>
      <c r="C2880" t="s">
        <v>47</v>
      </c>
      <c r="D2880">
        <v>5580602</v>
      </c>
      <c r="E2880" t="s">
        <v>53</v>
      </c>
      <c r="F2880" t="s">
        <v>49</v>
      </c>
      <c r="G2880" s="30">
        <v>190553.939356777</v>
      </c>
    </row>
    <row r="2881" spans="1:7" x14ac:dyDescent="0.25">
      <c r="A2881" t="s">
        <v>45</v>
      </c>
      <c r="B2881" t="s">
        <v>46</v>
      </c>
      <c r="C2881" t="s">
        <v>47</v>
      </c>
      <c r="D2881">
        <v>5583929</v>
      </c>
      <c r="E2881" t="s">
        <v>48</v>
      </c>
      <c r="F2881" t="s">
        <v>49</v>
      </c>
      <c r="G2881" s="30">
        <v>0</v>
      </c>
    </row>
    <row r="2882" spans="1:7" x14ac:dyDescent="0.25">
      <c r="A2882" t="s">
        <v>45</v>
      </c>
      <c r="B2882" t="s">
        <v>46</v>
      </c>
      <c r="C2882" t="s">
        <v>47</v>
      </c>
      <c r="D2882">
        <v>5584760</v>
      </c>
      <c r="E2882" t="s">
        <v>48</v>
      </c>
      <c r="F2882" t="s">
        <v>49</v>
      </c>
      <c r="G2882" s="30">
        <v>0</v>
      </c>
    </row>
    <row r="2883" spans="1:7" x14ac:dyDescent="0.25">
      <c r="A2883" t="s">
        <v>88</v>
      </c>
      <c r="B2883" t="s">
        <v>89</v>
      </c>
      <c r="C2883" t="s">
        <v>78</v>
      </c>
      <c r="D2883">
        <v>5585347</v>
      </c>
      <c r="E2883" t="s">
        <v>53</v>
      </c>
      <c r="F2883" t="s">
        <v>49</v>
      </c>
      <c r="G2883" s="30">
        <v>115857.55</v>
      </c>
    </row>
    <row r="2884" spans="1:7" x14ac:dyDescent="0.25">
      <c r="A2884" t="s">
        <v>50</v>
      </c>
      <c r="B2884" t="s">
        <v>51</v>
      </c>
      <c r="C2884" t="s">
        <v>52</v>
      </c>
      <c r="D2884">
        <v>5587553</v>
      </c>
      <c r="E2884" t="s">
        <v>48</v>
      </c>
      <c r="F2884" t="s">
        <v>49</v>
      </c>
      <c r="G2884" s="30">
        <v>0</v>
      </c>
    </row>
    <row r="2885" spans="1:7" x14ac:dyDescent="0.25">
      <c r="A2885" t="s">
        <v>45</v>
      </c>
      <c r="B2885" t="s">
        <v>46</v>
      </c>
      <c r="C2885" t="s">
        <v>47</v>
      </c>
      <c r="D2885">
        <v>5588087</v>
      </c>
      <c r="E2885" t="s">
        <v>48</v>
      </c>
      <c r="F2885" t="s">
        <v>49</v>
      </c>
      <c r="G2885" s="30">
        <v>0</v>
      </c>
    </row>
    <row r="2886" spans="1:7" x14ac:dyDescent="0.25">
      <c r="A2886" t="s">
        <v>50</v>
      </c>
      <c r="B2886" t="s">
        <v>51</v>
      </c>
      <c r="C2886" t="s">
        <v>52</v>
      </c>
      <c r="D2886">
        <v>5590022</v>
      </c>
      <c r="E2886" t="s">
        <v>48</v>
      </c>
      <c r="F2886" t="s">
        <v>49</v>
      </c>
      <c r="G2886" s="30">
        <v>0</v>
      </c>
    </row>
    <row r="2887" spans="1:7" x14ac:dyDescent="0.25">
      <c r="A2887" t="s">
        <v>124</v>
      </c>
      <c r="B2887" t="s">
        <v>125</v>
      </c>
      <c r="C2887" t="s">
        <v>78</v>
      </c>
      <c r="D2887">
        <v>5590437</v>
      </c>
      <c r="E2887" t="s">
        <v>53</v>
      </c>
      <c r="F2887" t="s">
        <v>49</v>
      </c>
      <c r="G2887" s="30">
        <v>266625.51454792498</v>
      </c>
    </row>
    <row r="2888" spans="1:7" x14ac:dyDescent="0.25">
      <c r="A2888" t="s">
        <v>114</v>
      </c>
      <c r="B2888" t="s">
        <v>115</v>
      </c>
      <c r="C2888" t="s">
        <v>56</v>
      </c>
      <c r="D2888">
        <v>5592592</v>
      </c>
      <c r="E2888" t="s">
        <v>53</v>
      </c>
      <c r="F2888" t="s">
        <v>49</v>
      </c>
      <c r="G2888" s="30">
        <v>467167.66050708899</v>
      </c>
    </row>
    <row r="2889" spans="1:7" x14ac:dyDescent="0.25">
      <c r="A2889" t="s">
        <v>45</v>
      </c>
      <c r="B2889" t="s">
        <v>46</v>
      </c>
      <c r="C2889" t="s">
        <v>47</v>
      </c>
      <c r="D2889">
        <v>5594749</v>
      </c>
      <c r="E2889" t="s">
        <v>48</v>
      </c>
      <c r="F2889" t="s">
        <v>49</v>
      </c>
      <c r="G2889" s="30">
        <v>0</v>
      </c>
    </row>
    <row r="2890" spans="1:7" x14ac:dyDescent="0.25">
      <c r="A2890" t="s">
        <v>86</v>
      </c>
      <c r="B2890" t="s">
        <v>87</v>
      </c>
      <c r="C2890" t="s">
        <v>78</v>
      </c>
      <c r="D2890">
        <v>5595749</v>
      </c>
      <c r="E2890" t="s">
        <v>53</v>
      </c>
      <c r="F2890" t="s">
        <v>49</v>
      </c>
      <c r="G2890" s="30">
        <v>602642.03187041299</v>
      </c>
    </row>
    <row r="2891" spans="1:7" x14ac:dyDescent="0.25">
      <c r="A2891" t="s">
        <v>61</v>
      </c>
      <c r="B2891" t="s">
        <v>62</v>
      </c>
      <c r="C2891" t="s">
        <v>56</v>
      </c>
      <c r="D2891">
        <v>5597858</v>
      </c>
      <c r="G2891" s="30">
        <v>0</v>
      </c>
    </row>
    <row r="2892" spans="1:7" x14ac:dyDescent="0.25">
      <c r="A2892" t="s">
        <v>61</v>
      </c>
      <c r="B2892" t="s">
        <v>62</v>
      </c>
      <c r="C2892" t="s">
        <v>56</v>
      </c>
      <c r="D2892">
        <v>5597861</v>
      </c>
      <c r="G2892" s="30">
        <v>0</v>
      </c>
    </row>
    <row r="2893" spans="1:7" x14ac:dyDescent="0.25">
      <c r="A2893" t="s">
        <v>61</v>
      </c>
      <c r="B2893" t="s">
        <v>62</v>
      </c>
      <c r="C2893" t="s">
        <v>56</v>
      </c>
      <c r="D2893">
        <v>5597862</v>
      </c>
      <c r="G2893" s="30">
        <v>0</v>
      </c>
    </row>
    <row r="2894" spans="1:7" x14ac:dyDescent="0.25">
      <c r="A2894" t="s">
        <v>61</v>
      </c>
      <c r="B2894" t="s">
        <v>62</v>
      </c>
      <c r="C2894" t="s">
        <v>56</v>
      </c>
      <c r="D2894">
        <v>5597869</v>
      </c>
      <c r="G2894" s="30">
        <v>0</v>
      </c>
    </row>
    <row r="2895" spans="1:7" x14ac:dyDescent="0.25">
      <c r="A2895" t="s">
        <v>45</v>
      </c>
      <c r="B2895" t="s">
        <v>46</v>
      </c>
      <c r="C2895" t="s">
        <v>47</v>
      </c>
      <c r="D2895">
        <v>5598947</v>
      </c>
      <c r="E2895" t="s">
        <v>48</v>
      </c>
      <c r="F2895" t="s">
        <v>49</v>
      </c>
      <c r="G2895" s="30">
        <v>0</v>
      </c>
    </row>
    <row r="2896" spans="1:7" x14ac:dyDescent="0.25">
      <c r="A2896" t="s">
        <v>45</v>
      </c>
      <c r="B2896" t="s">
        <v>46</v>
      </c>
      <c r="C2896" t="s">
        <v>47</v>
      </c>
      <c r="D2896">
        <v>5598960</v>
      </c>
      <c r="E2896" t="s">
        <v>53</v>
      </c>
      <c r="F2896" t="s">
        <v>49</v>
      </c>
      <c r="G2896" s="30">
        <v>126034.553469053</v>
      </c>
    </row>
    <row r="2897" spans="1:7" x14ac:dyDescent="0.25">
      <c r="A2897" t="s">
        <v>45</v>
      </c>
      <c r="B2897" t="s">
        <v>46</v>
      </c>
      <c r="C2897" t="s">
        <v>47</v>
      </c>
      <c r="D2897">
        <v>5599602</v>
      </c>
      <c r="E2897" t="s">
        <v>48</v>
      </c>
      <c r="F2897" t="s">
        <v>49</v>
      </c>
      <c r="G2897" s="30">
        <v>0</v>
      </c>
    </row>
    <row r="2898" spans="1:7" x14ac:dyDescent="0.25">
      <c r="A2898" t="s">
        <v>45</v>
      </c>
      <c r="B2898" t="s">
        <v>46</v>
      </c>
      <c r="C2898" t="s">
        <v>47</v>
      </c>
      <c r="D2898">
        <v>5600376</v>
      </c>
      <c r="E2898" t="s">
        <v>48</v>
      </c>
      <c r="F2898" t="s">
        <v>49</v>
      </c>
      <c r="G2898" s="30">
        <v>0</v>
      </c>
    </row>
    <row r="2899" spans="1:7" x14ac:dyDescent="0.25">
      <c r="A2899" t="s">
        <v>72</v>
      </c>
      <c r="B2899" t="s">
        <v>73</v>
      </c>
      <c r="C2899" t="s">
        <v>67</v>
      </c>
      <c r="D2899">
        <v>5604486</v>
      </c>
      <c r="E2899" t="s">
        <v>53</v>
      </c>
      <c r="F2899" t="s">
        <v>49</v>
      </c>
      <c r="G2899" s="30">
        <v>5964974.9138468299</v>
      </c>
    </row>
    <row r="2900" spans="1:7" x14ac:dyDescent="0.25">
      <c r="A2900" t="s">
        <v>72</v>
      </c>
      <c r="B2900" t="s">
        <v>73</v>
      </c>
      <c r="C2900" t="s">
        <v>67</v>
      </c>
      <c r="D2900">
        <v>5605542</v>
      </c>
      <c r="E2900" t="s">
        <v>48</v>
      </c>
      <c r="F2900" t="s">
        <v>49</v>
      </c>
      <c r="G2900" s="30">
        <v>0</v>
      </c>
    </row>
    <row r="2901" spans="1:7" x14ac:dyDescent="0.25">
      <c r="A2901" t="s">
        <v>104</v>
      </c>
      <c r="B2901" t="s">
        <v>105</v>
      </c>
      <c r="C2901" t="s">
        <v>78</v>
      </c>
      <c r="D2901">
        <v>5606668</v>
      </c>
      <c r="E2901" t="s">
        <v>48</v>
      </c>
      <c r="F2901" t="s">
        <v>49</v>
      </c>
      <c r="G2901" s="30">
        <v>0</v>
      </c>
    </row>
    <row r="2902" spans="1:7" x14ac:dyDescent="0.25">
      <c r="A2902" t="s">
        <v>82</v>
      </c>
      <c r="B2902" t="s">
        <v>83</v>
      </c>
      <c r="C2902" t="s">
        <v>56</v>
      </c>
      <c r="D2902">
        <v>5608513</v>
      </c>
      <c r="E2902" t="s">
        <v>48</v>
      </c>
      <c r="F2902" t="s">
        <v>49</v>
      </c>
      <c r="G2902" s="30">
        <v>3.26</v>
      </c>
    </row>
    <row r="2903" spans="1:7" x14ac:dyDescent="0.25">
      <c r="A2903" t="s">
        <v>45</v>
      </c>
      <c r="B2903" t="s">
        <v>46</v>
      </c>
      <c r="C2903" t="s">
        <v>47</v>
      </c>
      <c r="D2903">
        <v>5609158</v>
      </c>
      <c r="E2903" t="s">
        <v>48</v>
      </c>
      <c r="F2903" t="s">
        <v>49</v>
      </c>
      <c r="G2903" s="30">
        <v>0</v>
      </c>
    </row>
    <row r="2904" spans="1:7" x14ac:dyDescent="0.25">
      <c r="A2904" t="s">
        <v>45</v>
      </c>
      <c r="B2904" t="s">
        <v>46</v>
      </c>
      <c r="C2904" t="s">
        <v>47</v>
      </c>
      <c r="D2904">
        <v>5609785</v>
      </c>
      <c r="E2904" t="s">
        <v>48</v>
      </c>
      <c r="F2904" t="s">
        <v>49</v>
      </c>
      <c r="G2904" s="30">
        <v>0</v>
      </c>
    </row>
    <row r="2905" spans="1:7" x14ac:dyDescent="0.25">
      <c r="A2905" t="s">
        <v>82</v>
      </c>
      <c r="B2905" t="s">
        <v>83</v>
      </c>
      <c r="C2905" t="s">
        <v>56</v>
      </c>
      <c r="D2905">
        <v>5612227</v>
      </c>
      <c r="E2905" t="s">
        <v>53</v>
      </c>
      <c r="F2905" t="s">
        <v>49</v>
      </c>
      <c r="G2905" s="30">
        <v>12443.057606608199</v>
      </c>
    </row>
    <row r="2906" spans="1:7" x14ac:dyDescent="0.25">
      <c r="A2906" t="s">
        <v>65</v>
      </c>
      <c r="B2906" t="s">
        <v>66</v>
      </c>
      <c r="C2906" t="s">
        <v>67</v>
      </c>
      <c r="D2906">
        <v>5612426</v>
      </c>
      <c r="E2906" t="s">
        <v>53</v>
      </c>
      <c r="F2906" t="s">
        <v>49</v>
      </c>
      <c r="G2906" s="30">
        <v>14205.15</v>
      </c>
    </row>
    <row r="2907" spans="1:7" x14ac:dyDescent="0.25">
      <c r="A2907" t="s">
        <v>45</v>
      </c>
      <c r="B2907" t="s">
        <v>46</v>
      </c>
      <c r="C2907" t="s">
        <v>47</v>
      </c>
      <c r="D2907">
        <v>5615035</v>
      </c>
      <c r="E2907" t="s">
        <v>48</v>
      </c>
      <c r="F2907" t="s">
        <v>49</v>
      </c>
      <c r="G2907" s="30">
        <v>0</v>
      </c>
    </row>
    <row r="2908" spans="1:7" x14ac:dyDescent="0.25">
      <c r="A2908" t="s">
        <v>131</v>
      </c>
      <c r="B2908" t="s">
        <v>132</v>
      </c>
      <c r="C2908" t="s">
        <v>67</v>
      </c>
      <c r="D2908">
        <v>5616472</v>
      </c>
      <c r="E2908" t="s">
        <v>48</v>
      </c>
      <c r="F2908" t="s">
        <v>49</v>
      </c>
      <c r="G2908" s="30">
        <v>0</v>
      </c>
    </row>
    <row r="2909" spans="1:7" x14ac:dyDescent="0.25">
      <c r="A2909" t="s">
        <v>45</v>
      </c>
      <c r="B2909" t="s">
        <v>46</v>
      </c>
      <c r="C2909" t="s">
        <v>47</v>
      </c>
      <c r="D2909">
        <v>5617281</v>
      </c>
      <c r="E2909" t="s">
        <v>53</v>
      </c>
      <c r="F2909" t="s">
        <v>49</v>
      </c>
      <c r="G2909" s="30">
        <v>507680.827937286</v>
      </c>
    </row>
    <row r="2910" spans="1:7" x14ac:dyDescent="0.25">
      <c r="A2910" t="s">
        <v>100</v>
      </c>
      <c r="B2910" t="s">
        <v>101</v>
      </c>
      <c r="C2910" t="s">
        <v>52</v>
      </c>
      <c r="D2910">
        <v>5617303</v>
      </c>
      <c r="E2910" t="s">
        <v>53</v>
      </c>
      <c r="F2910" t="s">
        <v>49</v>
      </c>
      <c r="G2910" s="30">
        <v>33094.996418353701</v>
      </c>
    </row>
    <row r="2911" spans="1:7" x14ac:dyDescent="0.25">
      <c r="A2911" t="s">
        <v>112</v>
      </c>
      <c r="B2911" t="s">
        <v>113</v>
      </c>
      <c r="C2911" t="s">
        <v>81</v>
      </c>
      <c r="D2911">
        <v>5617401</v>
      </c>
      <c r="E2911" t="s">
        <v>53</v>
      </c>
      <c r="F2911" t="s">
        <v>49</v>
      </c>
      <c r="G2911" s="30">
        <v>97763.09</v>
      </c>
    </row>
    <row r="2912" spans="1:7" x14ac:dyDescent="0.25">
      <c r="A2912" t="s">
        <v>45</v>
      </c>
      <c r="B2912" t="s">
        <v>46</v>
      </c>
      <c r="C2912" t="s">
        <v>47</v>
      </c>
      <c r="D2912">
        <v>5617461</v>
      </c>
      <c r="E2912" t="s">
        <v>48</v>
      </c>
      <c r="F2912" t="s">
        <v>49</v>
      </c>
      <c r="G2912" s="30">
        <v>0</v>
      </c>
    </row>
    <row r="2913" spans="1:7" x14ac:dyDescent="0.25">
      <c r="A2913" t="s">
        <v>45</v>
      </c>
      <c r="B2913" t="s">
        <v>46</v>
      </c>
      <c r="C2913" t="s">
        <v>47</v>
      </c>
      <c r="D2913">
        <v>5618388</v>
      </c>
      <c r="E2913" t="s">
        <v>48</v>
      </c>
      <c r="F2913" t="s">
        <v>49</v>
      </c>
      <c r="G2913" s="30">
        <v>0</v>
      </c>
    </row>
    <row r="2914" spans="1:7" x14ac:dyDescent="0.25">
      <c r="A2914" t="s">
        <v>61</v>
      </c>
      <c r="B2914" t="s">
        <v>62</v>
      </c>
      <c r="C2914" t="s">
        <v>56</v>
      </c>
      <c r="D2914">
        <v>5626887</v>
      </c>
      <c r="E2914" t="s">
        <v>48</v>
      </c>
      <c r="F2914" t="s">
        <v>49</v>
      </c>
      <c r="G2914" s="30">
        <v>0.65</v>
      </c>
    </row>
    <row r="2915" spans="1:7" x14ac:dyDescent="0.25">
      <c r="A2915" t="s">
        <v>45</v>
      </c>
      <c r="B2915" t="s">
        <v>46</v>
      </c>
      <c r="C2915" t="s">
        <v>47</v>
      </c>
      <c r="D2915">
        <v>5627897</v>
      </c>
      <c r="E2915" t="s">
        <v>48</v>
      </c>
      <c r="F2915" t="s">
        <v>49</v>
      </c>
      <c r="G2915" s="30">
        <v>0</v>
      </c>
    </row>
    <row r="2916" spans="1:7" x14ac:dyDescent="0.25">
      <c r="A2916" t="s">
        <v>45</v>
      </c>
      <c r="B2916" t="s">
        <v>46</v>
      </c>
      <c r="C2916" t="s">
        <v>47</v>
      </c>
      <c r="D2916">
        <v>5628089</v>
      </c>
      <c r="E2916" t="s">
        <v>48</v>
      </c>
      <c r="F2916" t="s">
        <v>49</v>
      </c>
      <c r="G2916" s="30">
        <v>0</v>
      </c>
    </row>
    <row r="2917" spans="1:7" x14ac:dyDescent="0.25">
      <c r="A2917" t="s">
        <v>45</v>
      </c>
      <c r="B2917" t="s">
        <v>46</v>
      </c>
      <c r="C2917" t="s">
        <v>47</v>
      </c>
      <c r="D2917">
        <v>5628360</v>
      </c>
      <c r="E2917" t="s">
        <v>48</v>
      </c>
      <c r="F2917" t="s">
        <v>49</v>
      </c>
      <c r="G2917" s="30">
        <v>0</v>
      </c>
    </row>
    <row r="2918" spans="1:7" x14ac:dyDescent="0.25">
      <c r="A2918" t="s">
        <v>96</v>
      </c>
      <c r="B2918" t="s">
        <v>97</v>
      </c>
      <c r="C2918" t="s">
        <v>81</v>
      </c>
      <c r="D2918">
        <v>5628657</v>
      </c>
      <c r="E2918" t="s">
        <v>53</v>
      </c>
      <c r="F2918" t="s">
        <v>49</v>
      </c>
      <c r="G2918" s="30">
        <v>1096210.2812103401</v>
      </c>
    </row>
    <row r="2919" spans="1:7" x14ac:dyDescent="0.25">
      <c r="A2919" t="s">
        <v>50</v>
      </c>
      <c r="B2919" t="s">
        <v>51</v>
      </c>
      <c r="C2919" t="s">
        <v>52</v>
      </c>
      <c r="D2919">
        <v>5628762</v>
      </c>
      <c r="E2919" t="s">
        <v>53</v>
      </c>
      <c r="F2919" t="s">
        <v>49</v>
      </c>
      <c r="G2919" s="30">
        <v>1350.6334936923899</v>
      </c>
    </row>
    <row r="2920" spans="1:7" x14ac:dyDescent="0.25">
      <c r="A2920" t="s">
        <v>50</v>
      </c>
      <c r="B2920" t="s">
        <v>51</v>
      </c>
      <c r="C2920" t="s">
        <v>52</v>
      </c>
      <c r="D2920">
        <v>5628948</v>
      </c>
      <c r="E2920" t="s">
        <v>53</v>
      </c>
      <c r="F2920" t="s">
        <v>49</v>
      </c>
      <c r="G2920" s="30">
        <v>2607.25</v>
      </c>
    </row>
    <row r="2921" spans="1:7" x14ac:dyDescent="0.25">
      <c r="A2921" t="s">
        <v>45</v>
      </c>
      <c r="B2921" t="s">
        <v>46</v>
      </c>
      <c r="C2921" t="s">
        <v>47</v>
      </c>
      <c r="D2921">
        <v>5629166</v>
      </c>
      <c r="E2921" t="s">
        <v>53</v>
      </c>
      <c r="F2921" t="s">
        <v>49</v>
      </c>
      <c r="G2921" s="30">
        <v>39424.528984375</v>
      </c>
    </row>
    <row r="2922" spans="1:7" x14ac:dyDescent="0.25">
      <c r="A2922" t="s">
        <v>45</v>
      </c>
      <c r="B2922" t="s">
        <v>46</v>
      </c>
      <c r="C2922" t="s">
        <v>47</v>
      </c>
      <c r="D2922">
        <v>5631686</v>
      </c>
      <c r="E2922" t="s">
        <v>48</v>
      </c>
      <c r="F2922" t="s">
        <v>49</v>
      </c>
      <c r="G2922" s="30">
        <v>0</v>
      </c>
    </row>
    <row r="2923" spans="1:7" x14ac:dyDescent="0.25">
      <c r="A2923" t="s">
        <v>50</v>
      </c>
      <c r="B2923" t="s">
        <v>51</v>
      </c>
      <c r="C2923" t="s">
        <v>52</v>
      </c>
      <c r="D2923">
        <v>5632278</v>
      </c>
      <c r="E2923" t="s">
        <v>53</v>
      </c>
      <c r="F2923" t="s">
        <v>49</v>
      </c>
      <c r="G2923" s="30">
        <v>8240.7261944998099</v>
      </c>
    </row>
    <row r="2924" spans="1:7" x14ac:dyDescent="0.25">
      <c r="A2924" t="s">
        <v>50</v>
      </c>
      <c r="B2924" t="s">
        <v>51</v>
      </c>
      <c r="C2924" t="s">
        <v>52</v>
      </c>
      <c r="D2924">
        <v>5632423</v>
      </c>
      <c r="E2924" t="s">
        <v>53</v>
      </c>
      <c r="F2924" t="s">
        <v>49</v>
      </c>
      <c r="G2924" s="30">
        <v>5127.3204978353597</v>
      </c>
    </row>
    <row r="2925" spans="1:7" x14ac:dyDescent="0.25">
      <c r="A2925" t="s">
        <v>50</v>
      </c>
      <c r="B2925" t="s">
        <v>51</v>
      </c>
      <c r="C2925" t="s">
        <v>52</v>
      </c>
      <c r="D2925">
        <v>5633436</v>
      </c>
      <c r="E2925" t="s">
        <v>53</v>
      </c>
      <c r="F2925" t="s">
        <v>49</v>
      </c>
      <c r="G2925" s="30">
        <v>23677.250529097499</v>
      </c>
    </row>
    <row r="2926" spans="1:7" x14ac:dyDescent="0.25">
      <c r="A2926" t="s">
        <v>45</v>
      </c>
      <c r="B2926" t="s">
        <v>46</v>
      </c>
      <c r="C2926" t="s">
        <v>47</v>
      </c>
      <c r="D2926">
        <v>5634612</v>
      </c>
      <c r="E2926" t="s">
        <v>48</v>
      </c>
      <c r="F2926" t="s">
        <v>49</v>
      </c>
      <c r="G2926" s="30">
        <v>0</v>
      </c>
    </row>
    <row r="2927" spans="1:7" x14ac:dyDescent="0.25">
      <c r="A2927" t="s">
        <v>45</v>
      </c>
      <c r="B2927" t="s">
        <v>46</v>
      </c>
      <c r="C2927" t="s">
        <v>47</v>
      </c>
      <c r="D2927">
        <v>5634853</v>
      </c>
      <c r="E2927" t="s">
        <v>48</v>
      </c>
      <c r="F2927" t="s">
        <v>49</v>
      </c>
      <c r="G2927" s="30">
        <v>0</v>
      </c>
    </row>
    <row r="2928" spans="1:7" x14ac:dyDescent="0.25">
      <c r="A2928" t="s">
        <v>45</v>
      </c>
      <c r="B2928" t="s">
        <v>46</v>
      </c>
      <c r="C2928" t="s">
        <v>47</v>
      </c>
      <c r="D2928">
        <v>5635798</v>
      </c>
      <c r="E2928" t="s">
        <v>48</v>
      </c>
      <c r="F2928" t="s">
        <v>49</v>
      </c>
      <c r="G2928" s="30">
        <v>0</v>
      </c>
    </row>
    <row r="2929" spans="1:7" x14ac:dyDescent="0.25">
      <c r="A2929" t="s">
        <v>70</v>
      </c>
      <c r="B2929" t="s">
        <v>71</v>
      </c>
      <c r="C2929" t="s">
        <v>47</v>
      </c>
      <c r="D2929">
        <v>5637477</v>
      </c>
      <c r="E2929" t="s">
        <v>53</v>
      </c>
      <c r="F2929" t="s">
        <v>49</v>
      </c>
      <c r="G2929" s="30">
        <v>336118.98810416099</v>
      </c>
    </row>
    <row r="2930" spans="1:7" x14ac:dyDescent="0.25">
      <c r="A2930" t="s">
        <v>72</v>
      </c>
      <c r="B2930" t="s">
        <v>73</v>
      </c>
      <c r="C2930" t="s">
        <v>67</v>
      </c>
      <c r="D2930">
        <v>5641861</v>
      </c>
      <c r="E2930" t="s">
        <v>48</v>
      </c>
      <c r="F2930" t="s">
        <v>49</v>
      </c>
      <c r="G2930" s="30">
        <v>0</v>
      </c>
    </row>
    <row r="2931" spans="1:7" x14ac:dyDescent="0.25">
      <c r="A2931" t="s">
        <v>45</v>
      </c>
      <c r="B2931" t="s">
        <v>46</v>
      </c>
      <c r="C2931" t="s">
        <v>47</v>
      </c>
      <c r="D2931">
        <v>5642233</v>
      </c>
      <c r="E2931" t="s">
        <v>48</v>
      </c>
      <c r="F2931" t="s">
        <v>49</v>
      </c>
      <c r="G2931" s="30">
        <v>0</v>
      </c>
    </row>
    <row r="2932" spans="1:7" x14ac:dyDescent="0.25">
      <c r="A2932" t="s">
        <v>59</v>
      </c>
      <c r="B2932" t="s">
        <v>60</v>
      </c>
      <c r="C2932" t="s">
        <v>56</v>
      </c>
      <c r="D2932">
        <v>5648231</v>
      </c>
      <c r="E2932" t="s">
        <v>53</v>
      </c>
      <c r="F2932" t="s">
        <v>49</v>
      </c>
      <c r="G2932" s="30">
        <v>3564178.7833930999</v>
      </c>
    </row>
    <row r="2933" spans="1:7" x14ac:dyDescent="0.25">
      <c r="A2933" t="s">
        <v>45</v>
      </c>
      <c r="B2933" t="s">
        <v>46</v>
      </c>
      <c r="C2933" t="s">
        <v>47</v>
      </c>
      <c r="D2933">
        <v>5649333</v>
      </c>
      <c r="E2933" t="s">
        <v>48</v>
      </c>
      <c r="F2933" t="s">
        <v>49</v>
      </c>
      <c r="G2933" s="30">
        <v>7.29</v>
      </c>
    </row>
    <row r="2934" spans="1:7" x14ac:dyDescent="0.25">
      <c r="A2934" t="s">
        <v>124</v>
      </c>
      <c r="B2934" t="s">
        <v>125</v>
      </c>
      <c r="C2934" t="s">
        <v>78</v>
      </c>
      <c r="D2934">
        <v>5651040</v>
      </c>
      <c r="E2934" t="s">
        <v>53</v>
      </c>
      <c r="F2934" t="s">
        <v>49</v>
      </c>
      <c r="G2934" s="30">
        <v>267070.80896338198</v>
      </c>
    </row>
    <row r="2935" spans="1:7" x14ac:dyDescent="0.25">
      <c r="A2935" t="s">
        <v>50</v>
      </c>
      <c r="B2935" t="s">
        <v>51</v>
      </c>
      <c r="C2935" t="s">
        <v>52</v>
      </c>
      <c r="D2935">
        <v>5659268</v>
      </c>
      <c r="E2935" t="s">
        <v>53</v>
      </c>
      <c r="F2935" t="s">
        <v>49</v>
      </c>
      <c r="G2935" s="30">
        <v>80038.906304525299</v>
      </c>
    </row>
    <row r="2936" spans="1:7" x14ac:dyDescent="0.25">
      <c r="A2936" t="s">
        <v>68</v>
      </c>
      <c r="B2936" t="s">
        <v>69</v>
      </c>
      <c r="C2936" t="s">
        <v>56</v>
      </c>
      <c r="D2936">
        <v>5660060</v>
      </c>
      <c r="E2936" t="s">
        <v>48</v>
      </c>
      <c r="F2936" t="s">
        <v>49</v>
      </c>
      <c r="G2936" s="30">
        <v>0</v>
      </c>
    </row>
    <row r="2937" spans="1:7" x14ac:dyDescent="0.25">
      <c r="A2937" t="s">
        <v>45</v>
      </c>
      <c r="B2937" t="s">
        <v>46</v>
      </c>
      <c r="C2937" t="s">
        <v>47</v>
      </c>
      <c r="D2937">
        <v>5660474</v>
      </c>
      <c r="E2937" t="s">
        <v>48</v>
      </c>
      <c r="F2937" t="s">
        <v>49</v>
      </c>
      <c r="G2937" s="30">
        <v>0</v>
      </c>
    </row>
    <row r="2938" spans="1:7" x14ac:dyDescent="0.25">
      <c r="A2938" t="s">
        <v>133</v>
      </c>
      <c r="B2938" t="s">
        <v>134</v>
      </c>
      <c r="C2938" t="s">
        <v>47</v>
      </c>
      <c r="D2938">
        <v>5662791</v>
      </c>
      <c r="E2938" t="s">
        <v>53</v>
      </c>
      <c r="F2938" t="s">
        <v>49</v>
      </c>
      <c r="G2938" s="30">
        <v>344260.15174927597</v>
      </c>
    </row>
    <row r="2939" spans="1:7" x14ac:dyDescent="0.25">
      <c r="A2939" t="s">
        <v>63</v>
      </c>
      <c r="B2939" t="s">
        <v>64</v>
      </c>
      <c r="C2939" t="s">
        <v>56</v>
      </c>
      <c r="D2939">
        <v>5663988</v>
      </c>
      <c r="E2939" t="s">
        <v>53</v>
      </c>
      <c r="F2939" t="s">
        <v>49</v>
      </c>
      <c r="G2939" s="30">
        <v>647532.44921875</v>
      </c>
    </row>
    <row r="2940" spans="1:7" x14ac:dyDescent="0.25">
      <c r="A2940" t="s">
        <v>50</v>
      </c>
      <c r="B2940" t="s">
        <v>51</v>
      </c>
      <c r="C2940" t="s">
        <v>52</v>
      </c>
      <c r="D2940">
        <v>5664839</v>
      </c>
      <c r="E2940" t="s">
        <v>53</v>
      </c>
      <c r="F2940" t="s">
        <v>49</v>
      </c>
      <c r="G2940" s="30">
        <v>3601</v>
      </c>
    </row>
    <row r="2941" spans="1:7" x14ac:dyDescent="0.25">
      <c r="A2941" t="s">
        <v>45</v>
      </c>
      <c r="B2941" t="s">
        <v>46</v>
      </c>
      <c r="C2941" t="s">
        <v>47</v>
      </c>
      <c r="D2941">
        <v>5667072</v>
      </c>
      <c r="E2941" t="s">
        <v>48</v>
      </c>
      <c r="F2941" t="s">
        <v>49</v>
      </c>
      <c r="G2941" s="30">
        <v>0</v>
      </c>
    </row>
    <row r="2942" spans="1:7" x14ac:dyDescent="0.25">
      <c r="A2942" t="s">
        <v>82</v>
      </c>
      <c r="B2942" t="s">
        <v>83</v>
      </c>
      <c r="C2942" t="s">
        <v>56</v>
      </c>
      <c r="D2942">
        <v>5669103</v>
      </c>
      <c r="E2942" t="s">
        <v>53</v>
      </c>
      <c r="F2942" t="s">
        <v>49</v>
      </c>
      <c r="G2942" s="30">
        <v>665116.024988633</v>
      </c>
    </row>
    <row r="2943" spans="1:7" x14ac:dyDescent="0.25">
      <c r="A2943" t="s">
        <v>50</v>
      </c>
      <c r="B2943" t="s">
        <v>51</v>
      </c>
      <c r="C2943" t="s">
        <v>52</v>
      </c>
      <c r="D2943">
        <v>5670212</v>
      </c>
      <c r="E2943" t="s">
        <v>53</v>
      </c>
      <c r="F2943" t="s">
        <v>49</v>
      </c>
      <c r="G2943" s="30">
        <v>48991.297744204901</v>
      </c>
    </row>
    <row r="2944" spans="1:7" x14ac:dyDescent="0.25">
      <c r="A2944" t="s">
        <v>45</v>
      </c>
      <c r="B2944" t="s">
        <v>46</v>
      </c>
      <c r="C2944" t="s">
        <v>47</v>
      </c>
      <c r="D2944">
        <v>5674212</v>
      </c>
      <c r="E2944" t="s">
        <v>48</v>
      </c>
      <c r="F2944" t="s">
        <v>49</v>
      </c>
      <c r="G2944" s="30">
        <v>0</v>
      </c>
    </row>
    <row r="2945" spans="1:7" x14ac:dyDescent="0.25">
      <c r="A2945" t="s">
        <v>70</v>
      </c>
      <c r="B2945" t="s">
        <v>71</v>
      </c>
      <c r="C2945" t="s">
        <v>47</v>
      </c>
      <c r="D2945">
        <v>5676863</v>
      </c>
      <c r="E2945" t="s">
        <v>53</v>
      </c>
      <c r="F2945" t="s">
        <v>49</v>
      </c>
      <c r="G2945" s="30">
        <v>203304.760055786</v>
      </c>
    </row>
    <row r="2946" spans="1:7" x14ac:dyDescent="0.25">
      <c r="A2946" t="s">
        <v>45</v>
      </c>
      <c r="B2946" t="s">
        <v>46</v>
      </c>
      <c r="C2946" t="s">
        <v>47</v>
      </c>
      <c r="D2946">
        <v>5678426</v>
      </c>
      <c r="E2946" t="s">
        <v>53</v>
      </c>
      <c r="F2946" t="s">
        <v>49</v>
      </c>
      <c r="G2946" s="30">
        <v>5580.04</v>
      </c>
    </row>
    <row r="2947" spans="1:7" x14ac:dyDescent="0.25">
      <c r="A2947" t="s">
        <v>50</v>
      </c>
      <c r="B2947" t="s">
        <v>51</v>
      </c>
      <c r="C2947" t="s">
        <v>52</v>
      </c>
      <c r="D2947">
        <v>5678882</v>
      </c>
      <c r="E2947" t="s">
        <v>53</v>
      </c>
      <c r="F2947" t="s">
        <v>49</v>
      </c>
      <c r="G2947" s="30">
        <v>71069.299054490097</v>
      </c>
    </row>
    <row r="2948" spans="1:7" x14ac:dyDescent="0.25">
      <c r="A2948" t="s">
        <v>50</v>
      </c>
      <c r="B2948" t="s">
        <v>51</v>
      </c>
      <c r="C2948" t="s">
        <v>52</v>
      </c>
      <c r="D2948">
        <v>5679213</v>
      </c>
      <c r="E2948" t="s">
        <v>48</v>
      </c>
      <c r="F2948" t="s">
        <v>49</v>
      </c>
      <c r="G2948" s="30">
        <v>0</v>
      </c>
    </row>
    <row r="2949" spans="1:7" x14ac:dyDescent="0.25">
      <c r="A2949" t="s">
        <v>76</v>
      </c>
      <c r="B2949" t="s">
        <v>77</v>
      </c>
      <c r="C2949" t="s">
        <v>78</v>
      </c>
      <c r="D2949">
        <v>5681169</v>
      </c>
      <c r="E2949" t="s">
        <v>53</v>
      </c>
      <c r="F2949" t="s">
        <v>49</v>
      </c>
      <c r="G2949" s="30">
        <v>82952.149895229493</v>
      </c>
    </row>
    <row r="2950" spans="1:7" x14ac:dyDescent="0.25">
      <c r="A2950" t="s">
        <v>100</v>
      </c>
      <c r="B2950" t="s">
        <v>101</v>
      </c>
      <c r="C2950" t="s">
        <v>52</v>
      </c>
      <c r="D2950">
        <v>5681503</v>
      </c>
      <c r="E2950" t="s">
        <v>53</v>
      </c>
      <c r="F2950" t="s">
        <v>49</v>
      </c>
      <c r="G2950" s="30">
        <v>122008.54029227101</v>
      </c>
    </row>
    <row r="2951" spans="1:7" x14ac:dyDescent="0.25">
      <c r="A2951" t="s">
        <v>116</v>
      </c>
      <c r="B2951" t="s">
        <v>117</v>
      </c>
      <c r="C2951" t="s">
        <v>47</v>
      </c>
      <c r="D2951">
        <v>5682911</v>
      </c>
      <c r="E2951" t="s">
        <v>53</v>
      </c>
      <c r="F2951" t="s">
        <v>49</v>
      </c>
      <c r="G2951" s="30">
        <v>1001229.6312319</v>
      </c>
    </row>
    <row r="2952" spans="1:7" x14ac:dyDescent="0.25">
      <c r="A2952" t="s">
        <v>76</v>
      </c>
      <c r="B2952" t="s">
        <v>77</v>
      </c>
      <c r="C2952" t="s">
        <v>78</v>
      </c>
      <c r="D2952">
        <v>5685893</v>
      </c>
      <c r="E2952" t="s">
        <v>53</v>
      </c>
      <c r="F2952" t="s">
        <v>49</v>
      </c>
      <c r="G2952" s="30">
        <v>263105.56774410303</v>
      </c>
    </row>
    <row r="2953" spans="1:7" x14ac:dyDescent="0.25">
      <c r="A2953" t="s">
        <v>50</v>
      </c>
      <c r="B2953" t="s">
        <v>51</v>
      </c>
      <c r="C2953" t="s">
        <v>52</v>
      </c>
      <c r="D2953">
        <v>5687092</v>
      </c>
      <c r="E2953" t="s">
        <v>53</v>
      </c>
      <c r="F2953" t="s">
        <v>49</v>
      </c>
      <c r="G2953" s="30">
        <v>85152.028421819501</v>
      </c>
    </row>
    <row r="2954" spans="1:7" x14ac:dyDescent="0.25">
      <c r="A2954" t="s">
        <v>45</v>
      </c>
      <c r="B2954" t="s">
        <v>46</v>
      </c>
      <c r="C2954" t="s">
        <v>47</v>
      </c>
      <c r="D2954">
        <v>5687309</v>
      </c>
      <c r="E2954" t="s">
        <v>48</v>
      </c>
      <c r="F2954" t="s">
        <v>49</v>
      </c>
      <c r="G2954" s="30">
        <v>0</v>
      </c>
    </row>
    <row r="2955" spans="1:7" x14ac:dyDescent="0.25">
      <c r="A2955" t="s">
        <v>45</v>
      </c>
      <c r="B2955" t="s">
        <v>46</v>
      </c>
      <c r="C2955" t="s">
        <v>47</v>
      </c>
      <c r="D2955">
        <v>5688427</v>
      </c>
      <c r="E2955" t="s">
        <v>48</v>
      </c>
      <c r="F2955" t="s">
        <v>49</v>
      </c>
      <c r="G2955" s="30">
        <v>0</v>
      </c>
    </row>
    <row r="2956" spans="1:7" x14ac:dyDescent="0.25">
      <c r="A2956" t="s">
        <v>45</v>
      </c>
      <c r="B2956" t="s">
        <v>46</v>
      </c>
      <c r="C2956" t="s">
        <v>47</v>
      </c>
      <c r="D2956">
        <v>5691088</v>
      </c>
      <c r="E2956" t="s">
        <v>48</v>
      </c>
      <c r="F2956" t="s">
        <v>49</v>
      </c>
      <c r="G2956" s="30">
        <v>0</v>
      </c>
    </row>
    <row r="2957" spans="1:7" x14ac:dyDescent="0.25">
      <c r="A2957" t="s">
        <v>104</v>
      </c>
      <c r="B2957" t="s">
        <v>105</v>
      </c>
      <c r="C2957" t="s">
        <v>78</v>
      </c>
      <c r="D2957">
        <v>5692337</v>
      </c>
      <c r="E2957" t="s">
        <v>53</v>
      </c>
      <c r="F2957" t="s">
        <v>49</v>
      </c>
      <c r="G2957" s="30">
        <v>183937.36321938201</v>
      </c>
    </row>
    <row r="2958" spans="1:7" x14ac:dyDescent="0.25">
      <c r="A2958" t="s">
        <v>65</v>
      </c>
      <c r="B2958" t="s">
        <v>66</v>
      </c>
      <c r="C2958" t="s">
        <v>67</v>
      </c>
      <c r="D2958">
        <v>5692590</v>
      </c>
      <c r="E2958" t="s">
        <v>53</v>
      </c>
      <c r="F2958" t="s">
        <v>49</v>
      </c>
      <c r="G2958" s="30">
        <v>24506523.658681899</v>
      </c>
    </row>
    <row r="2959" spans="1:7" x14ac:dyDescent="0.25">
      <c r="A2959" t="s">
        <v>118</v>
      </c>
      <c r="B2959" t="s">
        <v>119</v>
      </c>
      <c r="C2959" t="s">
        <v>56</v>
      </c>
      <c r="D2959">
        <v>5692664</v>
      </c>
      <c r="E2959" t="s">
        <v>53</v>
      </c>
      <c r="F2959" t="s">
        <v>49</v>
      </c>
      <c r="G2959" s="30">
        <v>558326.91947506496</v>
      </c>
    </row>
    <row r="2960" spans="1:7" x14ac:dyDescent="0.25">
      <c r="A2960" t="s">
        <v>50</v>
      </c>
      <c r="B2960" t="s">
        <v>51</v>
      </c>
      <c r="C2960" t="s">
        <v>52</v>
      </c>
      <c r="D2960">
        <v>5694702</v>
      </c>
      <c r="E2960" t="s">
        <v>53</v>
      </c>
      <c r="F2960" t="s">
        <v>49</v>
      </c>
      <c r="G2960" s="30">
        <v>17268.5729739122</v>
      </c>
    </row>
    <row r="2961" spans="1:7" x14ac:dyDescent="0.25">
      <c r="A2961" t="s">
        <v>45</v>
      </c>
      <c r="B2961" t="s">
        <v>46</v>
      </c>
      <c r="C2961" t="s">
        <v>47</v>
      </c>
      <c r="D2961">
        <v>5698583</v>
      </c>
      <c r="E2961" t="s">
        <v>53</v>
      </c>
      <c r="F2961" t="s">
        <v>49</v>
      </c>
      <c r="G2961" s="30">
        <v>710.89</v>
      </c>
    </row>
    <row r="2962" spans="1:7" x14ac:dyDescent="0.25">
      <c r="A2962" t="s">
        <v>45</v>
      </c>
      <c r="B2962" t="s">
        <v>46</v>
      </c>
      <c r="C2962" t="s">
        <v>47</v>
      </c>
      <c r="D2962">
        <v>5699988</v>
      </c>
      <c r="E2962" t="s">
        <v>48</v>
      </c>
      <c r="F2962" t="s">
        <v>49</v>
      </c>
      <c r="G2962" s="30">
        <v>0</v>
      </c>
    </row>
    <row r="2963" spans="1:7" x14ac:dyDescent="0.25">
      <c r="A2963" t="s">
        <v>45</v>
      </c>
      <c r="B2963" t="s">
        <v>46</v>
      </c>
      <c r="C2963" t="s">
        <v>47</v>
      </c>
      <c r="D2963">
        <v>5700388</v>
      </c>
      <c r="E2963" t="s">
        <v>48</v>
      </c>
      <c r="F2963" t="s">
        <v>49</v>
      </c>
      <c r="G2963" s="30">
        <v>0</v>
      </c>
    </row>
    <row r="2964" spans="1:7" x14ac:dyDescent="0.25">
      <c r="A2964" t="s">
        <v>45</v>
      </c>
      <c r="B2964" t="s">
        <v>46</v>
      </c>
      <c r="C2964" t="s">
        <v>47</v>
      </c>
      <c r="D2964">
        <v>5703431</v>
      </c>
      <c r="E2964" t="s">
        <v>48</v>
      </c>
      <c r="F2964" t="s">
        <v>49</v>
      </c>
      <c r="G2964" s="30">
        <v>0</v>
      </c>
    </row>
    <row r="2965" spans="1:7" x14ac:dyDescent="0.25">
      <c r="A2965" t="s">
        <v>96</v>
      </c>
      <c r="B2965" t="s">
        <v>97</v>
      </c>
      <c r="C2965" t="s">
        <v>81</v>
      </c>
      <c r="D2965">
        <v>5703816</v>
      </c>
      <c r="E2965" t="s">
        <v>48</v>
      </c>
      <c r="F2965" t="s">
        <v>49</v>
      </c>
      <c r="G2965" s="30">
        <v>0</v>
      </c>
    </row>
    <row r="2966" spans="1:7" x14ac:dyDescent="0.25">
      <c r="A2966" t="s">
        <v>82</v>
      </c>
      <c r="B2966" t="s">
        <v>83</v>
      </c>
      <c r="C2966" t="s">
        <v>56</v>
      </c>
      <c r="D2966">
        <v>5703842</v>
      </c>
      <c r="E2966" t="s">
        <v>53</v>
      </c>
      <c r="F2966" t="s">
        <v>49</v>
      </c>
      <c r="G2966" s="30">
        <v>189703.87353912499</v>
      </c>
    </row>
    <row r="2967" spans="1:7" x14ac:dyDescent="0.25">
      <c r="A2967" t="s">
        <v>45</v>
      </c>
      <c r="B2967" t="s">
        <v>46</v>
      </c>
      <c r="C2967" t="s">
        <v>47</v>
      </c>
      <c r="D2967">
        <v>5704004</v>
      </c>
      <c r="E2967" t="s">
        <v>48</v>
      </c>
      <c r="F2967" t="s">
        <v>49</v>
      </c>
      <c r="G2967" s="30">
        <v>0</v>
      </c>
    </row>
    <row r="2968" spans="1:7" x14ac:dyDescent="0.25">
      <c r="A2968" t="s">
        <v>94</v>
      </c>
      <c r="B2968" t="s">
        <v>95</v>
      </c>
      <c r="C2968" t="s">
        <v>78</v>
      </c>
      <c r="D2968">
        <v>5704281</v>
      </c>
      <c r="E2968" t="s">
        <v>53</v>
      </c>
      <c r="F2968" t="s">
        <v>49</v>
      </c>
      <c r="G2968" s="30">
        <v>100133.47226562499</v>
      </c>
    </row>
    <row r="2969" spans="1:7" x14ac:dyDescent="0.25">
      <c r="A2969" t="s">
        <v>76</v>
      </c>
      <c r="B2969" t="s">
        <v>77</v>
      </c>
      <c r="C2969" t="s">
        <v>78</v>
      </c>
      <c r="D2969">
        <v>5705869</v>
      </c>
      <c r="E2969" t="s">
        <v>53</v>
      </c>
      <c r="F2969" t="s">
        <v>49</v>
      </c>
      <c r="G2969" s="30">
        <v>137172.290656408</v>
      </c>
    </row>
    <row r="2970" spans="1:7" x14ac:dyDescent="0.25">
      <c r="A2970" t="s">
        <v>45</v>
      </c>
      <c r="B2970" t="s">
        <v>46</v>
      </c>
      <c r="C2970" t="s">
        <v>47</v>
      </c>
      <c r="D2970">
        <v>5707001</v>
      </c>
      <c r="E2970" t="s">
        <v>48</v>
      </c>
      <c r="F2970" t="s">
        <v>49</v>
      </c>
      <c r="G2970" s="30">
        <v>0</v>
      </c>
    </row>
    <row r="2971" spans="1:7" x14ac:dyDescent="0.25">
      <c r="A2971" t="s">
        <v>45</v>
      </c>
      <c r="B2971" t="s">
        <v>46</v>
      </c>
      <c r="C2971" t="s">
        <v>47</v>
      </c>
      <c r="D2971">
        <v>5707039</v>
      </c>
      <c r="E2971" t="s">
        <v>48</v>
      </c>
      <c r="F2971" t="s">
        <v>49</v>
      </c>
      <c r="G2971" s="30">
        <v>0</v>
      </c>
    </row>
    <row r="2972" spans="1:7" x14ac:dyDescent="0.25">
      <c r="A2972" t="s">
        <v>45</v>
      </c>
      <c r="B2972" t="s">
        <v>46</v>
      </c>
      <c r="C2972" t="s">
        <v>47</v>
      </c>
      <c r="D2972">
        <v>5710887</v>
      </c>
      <c r="E2972" t="s">
        <v>48</v>
      </c>
      <c r="F2972" t="s">
        <v>49</v>
      </c>
      <c r="G2972" s="30">
        <v>0</v>
      </c>
    </row>
    <row r="2973" spans="1:7" x14ac:dyDescent="0.25">
      <c r="A2973" t="s">
        <v>50</v>
      </c>
      <c r="B2973" t="s">
        <v>51</v>
      </c>
      <c r="C2973" t="s">
        <v>52</v>
      </c>
      <c r="D2973">
        <v>5711085</v>
      </c>
      <c r="E2973" t="s">
        <v>53</v>
      </c>
      <c r="F2973" t="s">
        <v>49</v>
      </c>
      <c r="G2973" s="30">
        <v>86563.115988281206</v>
      </c>
    </row>
    <row r="2974" spans="1:7" x14ac:dyDescent="0.25">
      <c r="A2974" t="s">
        <v>45</v>
      </c>
      <c r="B2974" t="s">
        <v>46</v>
      </c>
      <c r="C2974" t="s">
        <v>47</v>
      </c>
      <c r="D2974">
        <v>5711522</v>
      </c>
      <c r="E2974" t="s">
        <v>48</v>
      </c>
      <c r="F2974" t="s">
        <v>49</v>
      </c>
      <c r="G2974" s="30">
        <v>0</v>
      </c>
    </row>
    <row r="2975" spans="1:7" x14ac:dyDescent="0.25">
      <c r="A2975" t="s">
        <v>68</v>
      </c>
      <c r="B2975" t="s">
        <v>69</v>
      </c>
      <c r="C2975" t="s">
        <v>56</v>
      </c>
      <c r="D2975">
        <v>5713025</v>
      </c>
      <c r="E2975" t="s">
        <v>48</v>
      </c>
      <c r="F2975" t="s">
        <v>49</v>
      </c>
      <c r="G2975" s="30">
        <v>0</v>
      </c>
    </row>
    <row r="2976" spans="1:7" x14ac:dyDescent="0.25">
      <c r="A2976" t="s">
        <v>45</v>
      </c>
      <c r="B2976" t="s">
        <v>46</v>
      </c>
      <c r="C2976" t="s">
        <v>47</v>
      </c>
      <c r="D2976">
        <v>5714034</v>
      </c>
      <c r="E2976" t="s">
        <v>53</v>
      </c>
      <c r="F2976" t="s">
        <v>49</v>
      </c>
      <c r="G2976" s="30">
        <v>542.68536492072803</v>
      </c>
    </row>
    <row r="2977" spans="1:7" x14ac:dyDescent="0.25">
      <c r="A2977" t="s">
        <v>86</v>
      </c>
      <c r="B2977" t="s">
        <v>87</v>
      </c>
      <c r="C2977" t="s">
        <v>78</v>
      </c>
      <c r="D2977">
        <v>5724365</v>
      </c>
      <c r="E2977" t="s">
        <v>53</v>
      </c>
      <c r="F2977" t="s">
        <v>49</v>
      </c>
      <c r="G2977" s="30">
        <v>81016.432019227796</v>
      </c>
    </row>
    <row r="2978" spans="1:7" x14ac:dyDescent="0.25">
      <c r="A2978" t="s">
        <v>50</v>
      </c>
      <c r="B2978" t="s">
        <v>51</v>
      </c>
      <c r="C2978" t="s">
        <v>52</v>
      </c>
      <c r="D2978">
        <v>5724589</v>
      </c>
      <c r="E2978" t="s">
        <v>53</v>
      </c>
      <c r="F2978" t="s">
        <v>49</v>
      </c>
      <c r="G2978" s="30">
        <v>840.01</v>
      </c>
    </row>
    <row r="2979" spans="1:7" x14ac:dyDescent="0.25">
      <c r="A2979" t="s">
        <v>45</v>
      </c>
      <c r="B2979" t="s">
        <v>46</v>
      </c>
      <c r="C2979" t="s">
        <v>47</v>
      </c>
      <c r="D2979">
        <v>5724642</v>
      </c>
      <c r="E2979" t="s">
        <v>48</v>
      </c>
      <c r="F2979" t="s">
        <v>49</v>
      </c>
      <c r="G2979" s="30">
        <v>0</v>
      </c>
    </row>
    <row r="2980" spans="1:7" x14ac:dyDescent="0.25">
      <c r="A2980" t="s">
        <v>45</v>
      </c>
      <c r="B2980" t="s">
        <v>46</v>
      </c>
      <c r="C2980" t="s">
        <v>47</v>
      </c>
      <c r="D2980">
        <v>5725599</v>
      </c>
      <c r="E2980" t="s">
        <v>48</v>
      </c>
      <c r="F2980" t="s">
        <v>49</v>
      </c>
      <c r="G2980" s="30">
        <v>0</v>
      </c>
    </row>
    <row r="2981" spans="1:7" x14ac:dyDescent="0.25">
      <c r="A2981" t="s">
        <v>45</v>
      </c>
      <c r="B2981" t="s">
        <v>46</v>
      </c>
      <c r="C2981" t="s">
        <v>47</v>
      </c>
      <c r="D2981">
        <v>5725740</v>
      </c>
      <c r="E2981" t="s">
        <v>48</v>
      </c>
      <c r="F2981" t="s">
        <v>49</v>
      </c>
      <c r="G2981" s="30">
        <v>0</v>
      </c>
    </row>
    <row r="2982" spans="1:7" x14ac:dyDescent="0.25">
      <c r="A2982" t="s">
        <v>50</v>
      </c>
      <c r="B2982" t="s">
        <v>51</v>
      </c>
      <c r="C2982" t="s">
        <v>52</v>
      </c>
      <c r="D2982">
        <v>5725800</v>
      </c>
      <c r="E2982" t="s">
        <v>53</v>
      </c>
      <c r="F2982" t="s">
        <v>49</v>
      </c>
      <c r="G2982" s="30">
        <v>33715.980000000003</v>
      </c>
    </row>
    <row r="2983" spans="1:7" x14ac:dyDescent="0.25">
      <c r="A2983" t="s">
        <v>68</v>
      </c>
      <c r="B2983" t="s">
        <v>69</v>
      </c>
      <c r="C2983" t="s">
        <v>56</v>
      </c>
      <c r="D2983">
        <v>5725976</v>
      </c>
      <c r="E2983" t="s">
        <v>48</v>
      </c>
      <c r="F2983" t="s">
        <v>49</v>
      </c>
      <c r="G2983" s="30">
        <v>0</v>
      </c>
    </row>
    <row r="2984" spans="1:7" x14ac:dyDescent="0.25">
      <c r="A2984" t="s">
        <v>45</v>
      </c>
      <c r="B2984" t="s">
        <v>46</v>
      </c>
      <c r="C2984" t="s">
        <v>47</v>
      </c>
      <c r="D2984">
        <v>5726231</v>
      </c>
      <c r="E2984" t="s">
        <v>48</v>
      </c>
      <c r="F2984" t="s">
        <v>49</v>
      </c>
      <c r="G2984" s="30">
        <v>0</v>
      </c>
    </row>
    <row r="2985" spans="1:7" x14ac:dyDescent="0.25">
      <c r="A2985" t="s">
        <v>50</v>
      </c>
      <c r="B2985" t="s">
        <v>51</v>
      </c>
      <c r="C2985" t="s">
        <v>52</v>
      </c>
      <c r="D2985">
        <v>5726326</v>
      </c>
      <c r="E2985" t="s">
        <v>53</v>
      </c>
      <c r="F2985" t="s">
        <v>49</v>
      </c>
      <c r="G2985" s="30">
        <v>62690.3105915216</v>
      </c>
    </row>
    <row r="2986" spans="1:7" x14ac:dyDescent="0.25">
      <c r="A2986" t="s">
        <v>45</v>
      </c>
      <c r="B2986" t="s">
        <v>46</v>
      </c>
      <c r="C2986" t="s">
        <v>47</v>
      </c>
      <c r="D2986">
        <v>5730241</v>
      </c>
      <c r="E2986" t="s">
        <v>48</v>
      </c>
      <c r="F2986" t="s">
        <v>49</v>
      </c>
      <c r="G2986" s="30">
        <v>0</v>
      </c>
    </row>
    <row r="2987" spans="1:7" x14ac:dyDescent="0.25">
      <c r="A2987" t="s">
        <v>68</v>
      </c>
      <c r="B2987" t="s">
        <v>69</v>
      </c>
      <c r="C2987" t="s">
        <v>56</v>
      </c>
      <c r="D2987">
        <v>5731178</v>
      </c>
      <c r="E2987" t="s">
        <v>53</v>
      </c>
      <c r="F2987" t="s">
        <v>49</v>
      </c>
      <c r="G2987" s="30">
        <v>271239.54829101602</v>
      </c>
    </row>
    <row r="2988" spans="1:7" x14ac:dyDescent="0.25">
      <c r="A2988" t="s">
        <v>45</v>
      </c>
      <c r="B2988" t="s">
        <v>46</v>
      </c>
      <c r="C2988" t="s">
        <v>47</v>
      </c>
      <c r="D2988">
        <v>5732882</v>
      </c>
      <c r="E2988" t="s">
        <v>48</v>
      </c>
      <c r="F2988" t="s">
        <v>49</v>
      </c>
      <c r="G2988" s="30">
        <v>76.7</v>
      </c>
    </row>
    <row r="2989" spans="1:7" x14ac:dyDescent="0.25">
      <c r="A2989" t="s">
        <v>45</v>
      </c>
      <c r="B2989" t="s">
        <v>46</v>
      </c>
      <c r="C2989" t="s">
        <v>47</v>
      </c>
      <c r="D2989">
        <v>5733459</v>
      </c>
      <c r="E2989" t="s">
        <v>48</v>
      </c>
      <c r="F2989" t="s">
        <v>49</v>
      </c>
      <c r="G2989" s="30">
        <v>0</v>
      </c>
    </row>
    <row r="2990" spans="1:7" x14ac:dyDescent="0.25">
      <c r="A2990" t="s">
        <v>45</v>
      </c>
      <c r="B2990" t="s">
        <v>46</v>
      </c>
      <c r="C2990" t="s">
        <v>47</v>
      </c>
      <c r="D2990">
        <v>5734458</v>
      </c>
      <c r="E2990" t="s">
        <v>48</v>
      </c>
      <c r="F2990" t="s">
        <v>49</v>
      </c>
      <c r="G2990" s="30">
        <v>0</v>
      </c>
    </row>
    <row r="2991" spans="1:7" x14ac:dyDescent="0.25">
      <c r="A2991" t="s">
        <v>45</v>
      </c>
      <c r="B2991" t="s">
        <v>46</v>
      </c>
      <c r="C2991" t="s">
        <v>47</v>
      </c>
      <c r="D2991">
        <v>5734904</v>
      </c>
      <c r="E2991" t="s">
        <v>48</v>
      </c>
      <c r="F2991" t="s">
        <v>49</v>
      </c>
      <c r="G2991" s="30">
        <v>0</v>
      </c>
    </row>
    <row r="2992" spans="1:7" x14ac:dyDescent="0.25">
      <c r="A2992" t="s">
        <v>45</v>
      </c>
      <c r="B2992" t="s">
        <v>46</v>
      </c>
      <c r="C2992" t="s">
        <v>47</v>
      </c>
      <c r="D2992">
        <v>5735582</v>
      </c>
      <c r="E2992" t="s">
        <v>48</v>
      </c>
      <c r="F2992" t="s">
        <v>49</v>
      </c>
      <c r="G2992" s="30">
        <v>0</v>
      </c>
    </row>
    <row r="2993" spans="1:7" x14ac:dyDescent="0.25">
      <c r="A2993" t="s">
        <v>45</v>
      </c>
      <c r="B2993" t="s">
        <v>46</v>
      </c>
      <c r="C2993" t="s">
        <v>47</v>
      </c>
      <c r="D2993">
        <v>5738003</v>
      </c>
      <c r="E2993" t="s">
        <v>48</v>
      </c>
      <c r="F2993" t="s">
        <v>49</v>
      </c>
      <c r="G2993" s="30">
        <v>0</v>
      </c>
    </row>
    <row r="2994" spans="1:7" x14ac:dyDescent="0.25">
      <c r="A2994" t="s">
        <v>45</v>
      </c>
      <c r="B2994" t="s">
        <v>46</v>
      </c>
      <c r="C2994" t="s">
        <v>47</v>
      </c>
      <c r="D2994">
        <v>5738319</v>
      </c>
      <c r="E2994" t="s">
        <v>53</v>
      </c>
      <c r="F2994" t="s">
        <v>49</v>
      </c>
      <c r="G2994" s="30">
        <v>57374.164338991803</v>
      </c>
    </row>
    <row r="2995" spans="1:7" x14ac:dyDescent="0.25">
      <c r="A2995" t="s">
        <v>54</v>
      </c>
      <c r="B2995" t="s">
        <v>55</v>
      </c>
      <c r="C2995" t="s">
        <v>56</v>
      </c>
      <c r="D2995">
        <v>5739442</v>
      </c>
      <c r="E2995" t="s">
        <v>53</v>
      </c>
      <c r="F2995" t="s">
        <v>49</v>
      </c>
      <c r="G2995" s="30">
        <v>262017.62259709599</v>
      </c>
    </row>
    <row r="2996" spans="1:7" x14ac:dyDescent="0.25">
      <c r="A2996" t="s">
        <v>45</v>
      </c>
      <c r="B2996" t="s">
        <v>46</v>
      </c>
      <c r="C2996" t="s">
        <v>47</v>
      </c>
      <c r="D2996">
        <v>5747106</v>
      </c>
      <c r="E2996" t="s">
        <v>48</v>
      </c>
      <c r="F2996" t="s">
        <v>49</v>
      </c>
      <c r="G2996" s="30">
        <v>0</v>
      </c>
    </row>
    <row r="2997" spans="1:7" x14ac:dyDescent="0.25">
      <c r="A2997" t="s">
        <v>102</v>
      </c>
      <c r="B2997" t="s">
        <v>103</v>
      </c>
      <c r="C2997" t="s">
        <v>47</v>
      </c>
      <c r="D2997">
        <v>5748585</v>
      </c>
      <c r="E2997" t="s">
        <v>53</v>
      </c>
      <c r="F2997" t="s">
        <v>49</v>
      </c>
      <c r="G2997" s="30">
        <v>1201828.2106343401</v>
      </c>
    </row>
    <row r="2998" spans="1:7" x14ac:dyDescent="0.25">
      <c r="A2998" t="s">
        <v>45</v>
      </c>
      <c r="B2998" t="s">
        <v>46</v>
      </c>
      <c r="C2998" t="s">
        <v>47</v>
      </c>
      <c r="D2998">
        <v>5749125</v>
      </c>
      <c r="E2998" t="s">
        <v>48</v>
      </c>
      <c r="F2998" t="s">
        <v>49</v>
      </c>
      <c r="G2998" s="30">
        <v>0</v>
      </c>
    </row>
    <row r="2999" spans="1:7" x14ac:dyDescent="0.25">
      <c r="A2999" t="s">
        <v>124</v>
      </c>
      <c r="B2999" t="s">
        <v>125</v>
      </c>
      <c r="C2999" t="s">
        <v>78</v>
      </c>
      <c r="D2999">
        <v>5752086</v>
      </c>
      <c r="E2999" t="s">
        <v>53</v>
      </c>
      <c r="F2999" t="s">
        <v>49</v>
      </c>
      <c r="G2999" s="30">
        <v>1739006.30338781</v>
      </c>
    </row>
    <row r="3000" spans="1:7" x14ac:dyDescent="0.25">
      <c r="A3000" t="s">
        <v>45</v>
      </c>
      <c r="B3000" t="s">
        <v>46</v>
      </c>
      <c r="C3000" t="s">
        <v>47</v>
      </c>
      <c r="D3000">
        <v>5752473</v>
      </c>
      <c r="E3000" t="s">
        <v>53</v>
      </c>
      <c r="F3000" t="s">
        <v>49</v>
      </c>
      <c r="G3000" s="30">
        <v>12612.852756677299</v>
      </c>
    </row>
    <row r="3001" spans="1:7" x14ac:dyDescent="0.25">
      <c r="A3001" t="s">
        <v>45</v>
      </c>
      <c r="B3001" t="s">
        <v>46</v>
      </c>
      <c r="C3001" t="s">
        <v>47</v>
      </c>
      <c r="D3001">
        <v>5752605</v>
      </c>
      <c r="E3001" t="s">
        <v>53</v>
      </c>
      <c r="F3001" t="s">
        <v>49</v>
      </c>
      <c r="G3001" s="30">
        <v>2009.32</v>
      </c>
    </row>
    <row r="3002" spans="1:7" x14ac:dyDescent="0.25">
      <c r="A3002" t="s">
        <v>116</v>
      </c>
      <c r="B3002" t="s">
        <v>117</v>
      </c>
      <c r="C3002" t="s">
        <v>47</v>
      </c>
      <c r="D3002">
        <v>5754335</v>
      </c>
      <c r="E3002" t="s">
        <v>53</v>
      </c>
      <c r="F3002" t="s">
        <v>49</v>
      </c>
      <c r="G3002" s="30">
        <v>474127.545713272</v>
      </c>
    </row>
    <row r="3003" spans="1:7" x14ac:dyDescent="0.25">
      <c r="A3003" t="s">
        <v>50</v>
      </c>
      <c r="B3003" t="s">
        <v>51</v>
      </c>
      <c r="C3003" t="s">
        <v>52</v>
      </c>
      <c r="D3003">
        <v>5887035</v>
      </c>
      <c r="E3003" t="s">
        <v>53</v>
      </c>
      <c r="F3003" t="s">
        <v>49</v>
      </c>
      <c r="G3003" s="30">
        <v>60.5</v>
      </c>
    </row>
    <row r="3004" spans="1:7" x14ac:dyDescent="0.25">
      <c r="A3004" t="s">
        <v>61</v>
      </c>
      <c r="B3004" t="s">
        <v>62</v>
      </c>
      <c r="C3004" t="s">
        <v>56</v>
      </c>
      <c r="D3004">
        <v>5890286</v>
      </c>
      <c r="E3004" t="s">
        <v>53</v>
      </c>
      <c r="F3004" t="s">
        <v>49</v>
      </c>
      <c r="G3004" s="30">
        <v>1071.06</v>
      </c>
    </row>
    <row r="3005" spans="1:7" x14ac:dyDescent="0.25">
      <c r="A3005" t="s">
        <v>45</v>
      </c>
      <c r="B3005" t="s">
        <v>46</v>
      </c>
      <c r="C3005" t="s">
        <v>47</v>
      </c>
      <c r="D3005">
        <v>5890605</v>
      </c>
      <c r="E3005" t="s">
        <v>48</v>
      </c>
      <c r="F3005" t="s">
        <v>49</v>
      </c>
      <c r="G3005" s="30">
        <v>0</v>
      </c>
    </row>
    <row r="3006" spans="1:7" x14ac:dyDescent="0.25">
      <c r="A3006" t="s">
        <v>45</v>
      </c>
      <c r="B3006" t="s">
        <v>46</v>
      </c>
      <c r="C3006" t="s">
        <v>47</v>
      </c>
      <c r="D3006">
        <v>5894845</v>
      </c>
      <c r="E3006" t="s">
        <v>53</v>
      </c>
      <c r="F3006" t="s">
        <v>49</v>
      </c>
      <c r="G3006" s="30">
        <v>41171.385703024498</v>
      </c>
    </row>
    <row r="3007" spans="1:7" x14ac:dyDescent="0.25">
      <c r="A3007" t="s">
        <v>45</v>
      </c>
      <c r="B3007" t="s">
        <v>46</v>
      </c>
      <c r="C3007" t="s">
        <v>47</v>
      </c>
      <c r="D3007">
        <v>5895967</v>
      </c>
      <c r="E3007" t="s">
        <v>48</v>
      </c>
      <c r="F3007" t="s">
        <v>49</v>
      </c>
      <c r="G3007" s="30">
        <v>19.62</v>
      </c>
    </row>
    <row r="3008" spans="1:7" x14ac:dyDescent="0.25">
      <c r="A3008" t="s">
        <v>88</v>
      </c>
      <c r="B3008" t="s">
        <v>89</v>
      </c>
      <c r="C3008" t="s">
        <v>78</v>
      </c>
      <c r="D3008">
        <v>5896834</v>
      </c>
      <c r="E3008" t="s">
        <v>53</v>
      </c>
      <c r="F3008" t="s">
        <v>49</v>
      </c>
      <c r="G3008" s="30">
        <v>249473.85301289699</v>
      </c>
    </row>
    <row r="3009" spans="1:7" x14ac:dyDescent="0.25">
      <c r="A3009" t="s">
        <v>45</v>
      </c>
      <c r="B3009" t="s">
        <v>46</v>
      </c>
      <c r="C3009" t="s">
        <v>47</v>
      </c>
      <c r="D3009">
        <v>5898890</v>
      </c>
      <c r="E3009" t="s">
        <v>48</v>
      </c>
      <c r="F3009" t="s">
        <v>49</v>
      </c>
      <c r="G3009" s="30">
        <v>0</v>
      </c>
    </row>
    <row r="3010" spans="1:7" x14ac:dyDescent="0.25">
      <c r="A3010" t="s">
        <v>124</v>
      </c>
      <c r="B3010" t="s">
        <v>125</v>
      </c>
      <c r="C3010" t="s">
        <v>78</v>
      </c>
      <c r="D3010">
        <v>5898944</v>
      </c>
      <c r="E3010" t="s">
        <v>53</v>
      </c>
      <c r="F3010" t="s">
        <v>49</v>
      </c>
      <c r="G3010" s="30">
        <v>683357.33290937799</v>
      </c>
    </row>
    <row r="3011" spans="1:7" x14ac:dyDescent="0.25">
      <c r="A3011" t="s">
        <v>65</v>
      </c>
      <c r="B3011" t="s">
        <v>66</v>
      </c>
      <c r="C3011" t="s">
        <v>67</v>
      </c>
      <c r="D3011">
        <v>5899051</v>
      </c>
      <c r="E3011" t="s">
        <v>53</v>
      </c>
      <c r="F3011" t="s">
        <v>49</v>
      </c>
      <c r="G3011" s="30">
        <v>3666631.72969124</v>
      </c>
    </row>
    <row r="3012" spans="1:7" x14ac:dyDescent="0.25">
      <c r="A3012" t="s">
        <v>50</v>
      </c>
      <c r="B3012" t="s">
        <v>51</v>
      </c>
      <c r="C3012" t="s">
        <v>52</v>
      </c>
      <c r="D3012">
        <v>5900046</v>
      </c>
      <c r="E3012" t="s">
        <v>53</v>
      </c>
      <c r="F3012" t="s">
        <v>49</v>
      </c>
      <c r="G3012" s="30">
        <v>41298.354723642202</v>
      </c>
    </row>
    <row r="3013" spans="1:7" x14ac:dyDescent="0.25">
      <c r="A3013" t="s">
        <v>86</v>
      </c>
      <c r="B3013" t="s">
        <v>87</v>
      </c>
      <c r="C3013" t="s">
        <v>78</v>
      </c>
      <c r="D3013">
        <v>5904987</v>
      </c>
      <c r="E3013" t="s">
        <v>53</v>
      </c>
      <c r="F3013" t="s">
        <v>49</v>
      </c>
      <c r="G3013" s="30">
        <v>1237631.74115087</v>
      </c>
    </row>
    <row r="3014" spans="1:7" x14ac:dyDescent="0.25">
      <c r="A3014" t="s">
        <v>82</v>
      </c>
      <c r="B3014" t="s">
        <v>83</v>
      </c>
      <c r="C3014" t="s">
        <v>56</v>
      </c>
      <c r="D3014">
        <v>5910478</v>
      </c>
      <c r="E3014" t="s">
        <v>53</v>
      </c>
      <c r="F3014" t="s">
        <v>49</v>
      </c>
      <c r="G3014" s="30">
        <v>341699.38365808403</v>
      </c>
    </row>
    <row r="3015" spans="1:7" x14ac:dyDescent="0.25">
      <c r="A3015" t="s">
        <v>76</v>
      </c>
      <c r="B3015" t="s">
        <v>77</v>
      </c>
      <c r="C3015" t="s">
        <v>78</v>
      </c>
      <c r="D3015">
        <v>5917312</v>
      </c>
      <c r="E3015" t="s">
        <v>53</v>
      </c>
      <c r="F3015" t="s">
        <v>49</v>
      </c>
      <c r="G3015" s="30">
        <v>51000.54</v>
      </c>
    </row>
    <row r="3016" spans="1:7" x14ac:dyDescent="0.25">
      <c r="A3016" t="s">
        <v>86</v>
      </c>
      <c r="B3016" t="s">
        <v>87</v>
      </c>
      <c r="C3016" t="s">
        <v>78</v>
      </c>
      <c r="D3016">
        <v>5921420</v>
      </c>
      <c r="E3016" t="s">
        <v>53</v>
      </c>
      <c r="F3016" t="s">
        <v>49</v>
      </c>
      <c r="G3016" s="30">
        <v>1041366.63270963</v>
      </c>
    </row>
    <row r="3017" spans="1:7" x14ac:dyDescent="0.25">
      <c r="A3017" t="s">
        <v>45</v>
      </c>
      <c r="B3017" t="s">
        <v>46</v>
      </c>
      <c r="C3017" t="s">
        <v>47</v>
      </c>
      <c r="D3017">
        <v>5921528</v>
      </c>
      <c r="E3017" t="s">
        <v>48</v>
      </c>
      <c r="F3017" t="s">
        <v>49</v>
      </c>
      <c r="G3017" s="30">
        <v>0</v>
      </c>
    </row>
    <row r="3018" spans="1:7" x14ac:dyDescent="0.25">
      <c r="A3018" t="s">
        <v>45</v>
      </c>
      <c r="B3018" t="s">
        <v>46</v>
      </c>
      <c r="C3018" t="s">
        <v>47</v>
      </c>
      <c r="D3018">
        <v>5926043</v>
      </c>
      <c r="E3018" t="s">
        <v>48</v>
      </c>
      <c r="F3018" t="s">
        <v>49</v>
      </c>
      <c r="G3018" s="30">
        <v>0</v>
      </c>
    </row>
    <row r="3019" spans="1:7" x14ac:dyDescent="0.25">
      <c r="A3019" t="s">
        <v>82</v>
      </c>
      <c r="B3019" t="s">
        <v>83</v>
      </c>
      <c r="C3019" t="s">
        <v>56</v>
      </c>
      <c r="D3019">
        <v>5940291</v>
      </c>
      <c r="E3019" t="s">
        <v>53</v>
      </c>
      <c r="F3019" t="s">
        <v>49</v>
      </c>
      <c r="G3019" s="30">
        <v>722554.43019573204</v>
      </c>
    </row>
    <row r="3020" spans="1:7" x14ac:dyDescent="0.25">
      <c r="A3020" t="s">
        <v>50</v>
      </c>
      <c r="B3020" t="s">
        <v>51</v>
      </c>
      <c r="C3020" t="s">
        <v>52</v>
      </c>
      <c r="D3020">
        <v>5940608</v>
      </c>
      <c r="E3020" t="s">
        <v>53</v>
      </c>
      <c r="F3020" t="s">
        <v>49</v>
      </c>
      <c r="G3020" s="30">
        <v>1659.5290954924801</v>
      </c>
    </row>
    <row r="3021" spans="1:7" x14ac:dyDescent="0.25">
      <c r="A3021" t="s">
        <v>45</v>
      </c>
      <c r="B3021" t="s">
        <v>46</v>
      </c>
      <c r="C3021" t="s">
        <v>47</v>
      </c>
      <c r="D3021">
        <v>5944255</v>
      </c>
      <c r="E3021" t="s">
        <v>48</v>
      </c>
      <c r="F3021" t="s">
        <v>49</v>
      </c>
      <c r="G3021" s="30">
        <v>0</v>
      </c>
    </row>
    <row r="3022" spans="1:7" x14ac:dyDescent="0.25">
      <c r="A3022" t="s">
        <v>70</v>
      </c>
      <c r="B3022" t="s">
        <v>71</v>
      </c>
      <c r="C3022" t="s">
        <v>47</v>
      </c>
      <c r="D3022">
        <v>5945392</v>
      </c>
      <c r="E3022" t="s">
        <v>53</v>
      </c>
      <c r="F3022" t="s">
        <v>49</v>
      </c>
      <c r="G3022" s="30">
        <v>289043.70975958603</v>
      </c>
    </row>
    <row r="3023" spans="1:7" x14ac:dyDescent="0.25">
      <c r="A3023" t="s">
        <v>50</v>
      </c>
      <c r="B3023" t="s">
        <v>51</v>
      </c>
      <c r="C3023" t="s">
        <v>52</v>
      </c>
      <c r="D3023">
        <v>5949509</v>
      </c>
      <c r="E3023" t="s">
        <v>53</v>
      </c>
      <c r="F3023" t="s">
        <v>49</v>
      </c>
      <c r="G3023" s="30">
        <v>10697.26</v>
      </c>
    </row>
    <row r="3024" spans="1:7" x14ac:dyDescent="0.25">
      <c r="A3024" t="s">
        <v>45</v>
      </c>
      <c r="B3024" t="s">
        <v>46</v>
      </c>
      <c r="C3024" t="s">
        <v>47</v>
      </c>
      <c r="D3024">
        <v>5949638</v>
      </c>
      <c r="E3024" t="s">
        <v>48</v>
      </c>
      <c r="F3024" t="s">
        <v>49</v>
      </c>
      <c r="G3024" s="30">
        <v>0</v>
      </c>
    </row>
    <row r="3025" spans="1:7" x14ac:dyDescent="0.25">
      <c r="A3025" t="s">
        <v>45</v>
      </c>
      <c r="B3025" t="s">
        <v>46</v>
      </c>
      <c r="C3025" t="s">
        <v>47</v>
      </c>
      <c r="D3025">
        <v>5953432</v>
      </c>
      <c r="E3025" t="s">
        <v>48</v>
      </c>
      <c r="F3025" t="s">
        <v>49</v>
      </c>
      <c r="G3025" s="30">
        <v>0</v>
      </c>
    </row>
    <row r="3026" spans="1:7" x14ac:dyDescent="0.25">
      <c r="A3026" t="s">
        <v>50</v>
      </c>
      <c r="B3026" t="s">
        <v>51</v>
      </c>
      <c r="C3026" t="s">
        <v>52</v>
      </c>
      <c r="D3026">
        <v>5956509</v>
      </c>
      <c r="E3026" t="s">
        <v>53</v>
      </c>
      <c r="F3026" t="s">
        <v>49</v>
      </c>
      <c r="G3026" s="30">
        <v>35127.7800676603</v>
      </c>
    </row>
    <row r="3027" spans="1:7" x14ac:dyDescent="0.25">
      <c r="A3027" t="s">
        <v>114</v>
      </c>
      <c r="B3027" t="s">
        <v>115</v>
      </c>
      <c r="C3027" t="s">
        <v>56</v>
      </c>
      <c r="D3027">
        <v>5958055</v>
      </c>
      <c r="E3027" t="s">
        <v>53</v>
      </c>
      <c r="F3027" t="s">
        <v>49</v>
      </c>
      <c r="G3027" s="30">
        <v>131856.59291952499</v>
      </c>
    </row>
    <row r="3028" spans="1:7" x14ac:dyDescent="0.25">
      <c r="A3028" t="s">
        <v>90</v>
      </c>
      <c r="B3028" t="s">
        <v>91</v>
      </c>
      <c r="C3028" t="s">
        <v>81</v>
      </c>
      <c r="D3028">
        <v>5958501</v>
      </c>
      <c r="E3028" t="s">
        <v>53</v>
      </c>
      <c r="F3028" t="s">
        <v>49</v>
      </c>
      <c r="G3028" s="30">
        <v>93.684085568013799</v>
      </c>
    </row>
    <row r="3029" spans="1:7" x14ac:dyDescent="0.25">
      <c r="A3029" t="s">
        <v>90</v>
      </c>
      <c r="B3029" t="s">
        <v>91</v>
      </c>
      <c r="C3029" t="s">
        <v>81</v>
      </c>
      <c r="D3029">
        <v>5958576</v>
      </c>
      <c r="E3029" t="s">
        <v>53</v>
      </c>
      <c r="F3029" t="s">
        <v>49</v>
      </c>
      <c r="G3029" s="30">
        <v>99453.696512362905</v>
      </c>
    </row>
    <row r="3030" spans="1:7" x14ac:dyDescent="0.25">
      <c r="A3030" t="s">
        <v>45</v>
      </c>
      <c r="B3030" t="s">
        <v>46</v>
      </c>
      <c r="C3030" t="s">
        <v>47</v>
      </c>
      <c r="D3030">
        <v>5961617</v>
      </c>
      <c r="E3030" t="s">
        <v>48</v>
      </c>
      <c r="F3030" t="s">
        <v>49</v>
      </c>
      <c r="G3030" s="30">
        <v>10</v>
      </c>
    </row>
    <row r="3031" spans="1:7" x14ac:dyDescent="0.25">
      <c r="A3031" t="s">
        <v>45</v>
      </c>
      <c r="B3031" t="s">
        <v>46</v>
      </c>
      <c r="C3031" t="s">
        <v>47</v>
      </c>
      <c r="D3031">
        <v>5971665</v>
      </c>
      <c r="E3031" t="s">
        <v>53</v>
      </c>
      <c r="F3031" t="s">
        <v>49</v>
      </c>
      <c r="G3031" s="30">
        <v>100</v>
      </c>
    </row>
    <row r="3032" spans="1:7" x14ac:dyDescent="0.25">
      <c r="A3032" t="s">
        <v>79</v>
      </c>
      <c r="B3032" t="s">
        <v>80</v>
      </c>
      <c r="C3032" t="s">
        <v>81</v>
      </c>
      <c r="D3032">
        <v>5973573</v>
      </c>
      <c r="E3032" t="s">
        <v>53</v>
      </c>
      <c r="F3032" t="s">
        <v>49</v>
      </c>
      <c r="G3032" s="30">
        <v>44874.440661020803</v>
      </c>
    </row>
    <row r="3033" spans="1:7" x14ac:dyDescent="0.25">
      <c r="A3033" t="s">
        <v>50</v>
      </c>
      <c r="B3033" t="s">
        <v>51</v>
      </c>
      <c r="C3033" t="s">
        <v>52</v>
      </c>
      <c r="D3033">
        <v>5975543</v>
      </c>
      <c r="E3033" t="s">
        <v>48</v>
      </c>
      <c r="F3033" t="s">
        <v>49</v>
      </c>
      <c r="G3033" s="30">
        <v>0</v>
      </c>
    </row>
    <row r="3034" spans="1:7" x14ac:dyDescent="0.25">
      <c r="A3034" t="s">
        <v>45</v>
      </c>
      <c r="B3034" t="s">
        <v>46</v>
      </c>
      <c r="C3034" t="s">
        <v>47</v>
      </c>
      <c r="D3034">
        <v>5976284</v>
      </c>
      <c r="E3034" t="s">
        <v>48</v>
      </c>
      <c r="F3034" t="s">
        <v>49</v>
      </c>
      <c r="G3034" s="30">
        <v>1</v>
      </c>
    </row>
    <row r="3035" spans="1:7" x14ac:dyDescent="0.25">
      <c r="A3035" t="s">
        <v>45</v>
      </c>
      <c r="B3035" t="s">
        <v>46</v>
      </c>
      <c r="C3035" t="s">
        <v>47</v>
      </c>
      <c r="D3035">
        <v>5978291</v>
      </c>
      <c r="E3035" t="s">
        <v>48</v>
      </c>
      <c r="F3035" t="s">
        <v>49</v>
      </c>
      <c r="G3035" s="30">
        <v>0</v>
      </c>
    </row>
    <row r="3036" spans="1:7" x14ac:dyDescent="0.25">
      <c r="A3036" t="s">
        <v>45</v>
      </c>
      <c r="B3036" t="s">
        <v>46</v>
      </c>
      <c r="C3036" t="s">
        <v>47</v>
      </c>
      <c r="D3036">
        <v>5978914</v>
      </c>
      <c r="E3036" t="s">
        <v>48</v>
      </c>
      <c r="F3036" t="s">
        <v>49</v>
      </c>
      <c r="G3036" s="30">
        <v>0</v>
      </c>
    </row>
    <row r="3037" spans="1:7" x14ac:dyDescent="0.25">
      <c r="A3037" t="s">
        <v>50</v>
      </c>
      <c r="B3037" t="s">
        <v>51</v>
      </c>
      <c r="C3037" t="s">
        <v>52</v>
      </c>
      <c r="D3037">
        <v>5979191</v>
      </c>
      <c r="E3037" t="s">
        <v>53</v>
      </c>
      <c r="F3037" t="s">
        <v>49</v>
      </c>
      <c r="G3037" s="30">
        <v>241.043405820148</v>
      </c>
    </row>
    <row r="3038" spans="1:7" x14ac:dyDescent="0.25">
      <c r="A3038" t="s">
        <v>45</v>
      </c>
      <c r="B3038" t="s">
        <v>46</v>
      </c>
      <c r="C3038" t="s">
        <v>47</v>
      </c>
      <c r="D3038">
        <v>5979271</v>
      </c>
      <c r="E3038" t="s">
        <v>48</v>
      </c>
      <c r="F3038" t="s">
        <v>49</v>
      </c>
      <c r="G3038" s="30">
        <v>0</v>
      </c>
    </row>
    <row r="3039" spans="1:7" x14ac:dyDescent="0.25">
      <c r="A3039" t="s">
        <v>50</v>
      </c>
      <c r="B3039" t="s">
        <v>51</v>
      </c>
      <c r="C3039" t="s">
        <v>52</v>
      </c>
      <c r="D3039">
        <v>5980137</v>
      </c>
      <c r="E3039" t="s">
        <v>53</v>
      </c>
      <c r="F3039" t="s">
        <v>49</v>
      </c>
      <c r="G3039" s="30">
        <v>23802.6845703125</v>
      </c>
    </row>
    <row r="3040" spans="1:7" x14ac:dyDescent="0.25">
      <c r="A3040" t="s">
        <v>94</v>
      </c>
      <c r="B3040" t="s">
        <v>95</v>
      </c>
      <c r="C3040" t="s">
        <v>78</v>
      </c>
      <c r="D3040">
        <v>5980328</v>
      </c>
      <c r="E3040" t="s">
        <v>53</v>
      </c>
      <c r="F3040" t="s">
        <v>49</v>
      </c>
      <c r="G3040" s="30">
        <v>20869.527997967201</v>
      </c>
    </row>
    <row r="3041" spans="1:7" x14ac:dyDescent="0.25">
      <c r="A3041" t="s">
        <v>124</v>
      </c>
      <c r="B3041" t="s">
        <v>125</v>
      </c>
      <c r="C3041" t="s">
        <v>78</v>
      </c>
      <c r="D3041">
        <v>5982212</v>
      </c>
      <c r="E3041" t="s">
        <v>53</v>
      </c>
      <c r="F3041" t="s">
        <v>49</v>
      </c>
      <c r="G3041" s="30">
        <v>414339.885341093</v>
      </c>
    </row>
    <row r="3042" spans="1:7" x14ac:dyDescent="0.25">
      <c r="A3042" t="s">
        <v>45</v>
      </c>
      <c r="B3042" t="s">
        <v>46</v>
      </c>
      <c r="C3042" t="s">
        <v>47</v>
      </c>
      <c r="D3042">
        <v>5982958</v>
      </c>
      <c r="E3042" t="s">
        <v>48</v>
      </c>
      <c r="F3042" t="s">
        <v>49</v>
      </c>
      <c r="G3042" s="30">
        <v>0</v>
      </c>
    </row>
    <row r="3043" spans="1:7" x14ac:dyDescent="0.25">
      <c r="A3043" t="s">
        <v>45</v>
      </c>
      <c r="B3043" t="s">
        <v>46</v>
      </c>
      <c r="C3043" t="s">
        <v>47</v>
      </c>
      <c r="D3043">
        <v>5983224</v>
      </c>
      <c r="E3043" t="s">
        <v>48</v>
      </c>
      <c r="F3043" t="s">
        <v>49</v>
      </c>
      <c r="G3043" s="30">
        <v>0</v>
      </c>
    </row>
    <row r="3044" spans="1:7" x14ac:dyDescent="0.25">
      <c r="A3044" t="s">
        <v>72</v>
      </c>
      <c r="B3044" t="s">
        <v>73</v>
      </c>
      <c r="C3044" t="s">
        <v>67</v>
      </c>
      <c r="D3044">
        <v>5983551</v>
      </c>
      <c r="E3044" t="s">
        <v>53</v>
      </c>
      <c r="F3044" t="s">
        <v>49</v>
      </c>
      <c r="G3044" s="30">
        <v>28909.1162741972</v>
      </c>
    </row>
    <row r="3045" spans="1:7" x14ac:dyDescent="0.25">
      <c r="A3045" t="s">
        <v>57</v>
      </c>
      <c r="B3045" t="s">
        <v>58</v>
      </c>
      <c r="C3045" t="s">
        <v>56</v>
      </c>
      <c r="D3045">
        <v>5984045</v>
      </c>
      <c r="E3045" t="s">
        <v>53</v>
      </c>
      <c r="F3045" t="s">
        <v>49</v>
      </c>
      <c r="G3045" s="30">
        <v>27061.540488281302</v>
      </c>
    </row>
    <row r="3046" spans="1:7" x14ac:dyDescent="0.25">
      <c r="A3046" t="s">
        <v>59</v>
      </c>
      <c r="B3046" t="s">
        <v>60</v>
      </c>
      <c r="C3046" t="s">
        <v>56</v>
      </c>
      <c r="D3046">
        <v>5985730</v>
      </c>
      <c r="E3046" t="s">
        <v>48</v>
      </c>
      <c r="F3046" t="s">
        <v>49</v>
      </c>
      <c r="G3046" s="30">
        <v>0</v>
      </c>
    </row>
    <row r="3047" spans="1:7" x14ac:dyDescent="0.25">
      <c r="A3047" t="s">
        <v>90</v>
      </c>
      <c r="B3047" t="s">
        <v>91</v>
      </c>
      <c r="C3047" t="s">
        <v>81</v>
      </c>
      <c r="D3047">
        <v>5987750</v>
      </c>
      <c r="E3047" t="s">
        <v>53</v>
      </c>
      <c r="F3047" t="s">
        <v>49</v>
      </c>
      <c r="G3047" s="30">
        <v>461373.187193327</v>
      </c>
    </row>
    <row r="3048" spans="1:7" x14ac:dyDescent="0.25">
      <c r="A3048" t="s">
        <v>50</v>
      </c>
      <c r="B3048" t="s">
        <v>51</v>
      </c>
      <c r="C3048" t="s">
        <v>52</v>
      </c>
      <c r="D3048">
        <v>5988576</v>
      </c>
      <c r="E3048" t="s">
        <v>53</v>
      </c>
      <c r="F3048" t="s">
        <v>49</v>
      </c>
      <c r="G3048" s="30">
        <v>8386.74</v>
      </c>
    </row>
    <row r="3049" spans="1:7" x14ac:dyDescent="0.25">
      <c r="A3049" t="s">
        <v>86</v>
      </c>
      <c r="B3049" t="s">
        <v>87</v>
      </c>
      <c r="C3049" t="s">
        <v>78</v>
      </c>
      <c r="D3049">
        <v>5988854</v>
      </c>
      <c r="E3049" t="s">
        <v>53</v>
      </c>
      <c r="F3049" t="s">
        <v>49</v>
      </c>
      <c r="G3049" s="30">
        <v>4109192.0302438699</v>
      </c>
    </row>
    <row r="3050" spans="1:7" x14ac:dyDescent="0.25">
      <c r="A3050" t="s">
        <v>163</v>
      </c>
      <c r="B3050" t="s">
        <v>164</v>
      </c>
      <c r="C3050" t="s">
        <v>67</v>
      </c>
      <c r="D3050">
        <v>5989217</v>
      </c>
      <c r="E3050" t="s">
        <v>53</v>
      </c>
      <c r="F3050" t="s">
        <v>49</v>
      </c>
      <c r="G3050" s="30">
        <v>924860.60770385806</v>
      </c>
    </row>
    <row r="3051" spans="1:7" x14ac:dyDescent="0.25">
      <c r="A3051" t="s">
        <v>50</v>
      </c>
      <c r="B3051" t="s">
        <v>51</v>
      </c>
      <c r="C3051" t="s">
        <v>52</v>
      </c>
      <c r="D3051">
        <v>5989285</v>
      </c>
      <c r="E3051" t="s">
        <v>53</v>
      </c>
      <c r="F3051" t="s">
        <v>49</v>
      </c>
      <c r="G3051" s="30">
        <v>54767.369687500002</v>
      </c>
    </row>
    <row r="3052" spans="1:7" x14ac:dyDescent="0.25">
      <c r="A3052" t="s">
        <v>50</v>
      </c>
      <c r="B3052" t="s">
        <v>51</v>
      </c>
      <c r="C3052" t="s">
        <v>52</v>
      </c>
      <c r="D3052">
        <v>5989753</v>
      </c>
      <c r="E3052" t="s">
        <v>53</v>
      </c>
      <c r="F3052" t="s">
        <v>49</v>
      </c>
      <c r="G3052" s="30">
        <v>100</v>
      </c>
    </row>
    <row r="3053" spans="1:7" x14ac:dyDescent="0.25">
      <c r="A3053" t="s">
        <v>50</v>
      </c>
      <c r="B3053" t="s">
        <v>51</v>
      </c>
      <c r="C3053" t="s">
        <v>52</v>
      </c>
      <c r="D3053">
        <v>5991250</v>
      </c>
      <c r="E3053" t="s">
        <v>53</v>
      </c>
      <c r="F3053" t="s">
        <v>49</v>
      </c>
      <c r="G3053" s="30">
        <v>681</v>
      </c>
    </row>
    <row r="3054" spans="1:7" x14ac:dyDescent="0.25">
      <c r="A3054" t="s">
        <v>57</v>
      </c>
      <c r="B3054" t="s">
        <v>58</v>
      </c>
      <c r="C3054" t="s">
        <v>56</v>
      </c>
      <c r="D3054">
        <v>5995627</v>
      </c>
      <c r="E3054" t="s">
        <v>48</v>
      </c>
      <c r="F3054" t="s">
        <v>49</v>
      </c>
      <c r="G3054" s="30">
        <v>0</v>
      </c>
    </row>
    <row r="3055" spans="1:7" x14ac:dyDescent="0.25">
      <c r="A3055" t="s">
        <v>102</v>
      </c>
      <c r="B3055" t="s">
        <v>103</v>
      </c>
      <c r="C3055" t="s">
        <v>47</v>
      </c>
      <c r="D3055">
        <v>5998024</v>
      </c>
      <c r="E3055" t="s">
        <v>53</v>
      </c>
      <c r="F3055" t="s">
        <v>49</v>
      </c>
      <c r="G3055" s="30">
        <v>11937.04</v>
      </c>
    </row>
    <row r="3056" spans="1:7" x14ac:dyDescent="0.25">
      <c r="A3056" t="s">
        <v>50</v>
      </c>
      <c r="B3056" t="s">
        <v>51</v>
      </c>
      <c r="C3056" t="s">
        <v>52</v>
      </c>
      <c r="D3056">
        <v>5998748</v>
      </c>
      <c r="E3056" t="s">
        <v>53</v>
      </c>
      <c r="F3056" t="s">
        <v>49</v>
      </c>
      <c r="G3056" s="30">
        <v>2843.4553231977702</v>
      </c>
    </row>
    <row r="3057" spans="1:7" x14ac:dyDescent="0.25">
      <c r="A3057" t="s">
        <v>50</v>
      </c>
      <c r="B3057" t="s">
        <v>51</v>
      </c>
      <c r="C3057" t="s">
        <v>52</v>
      </c>
      <c r="D3057">
        <v>5999673</v>
      </c>
      <c r="E3057" t="s">
        <v>53</v>
      </c>
      <c r="F3057" t="s">
        <v>49</v>
      </c>
      <c r="G3057" s="30">
        <v>96022.676562499997</v>
      </c>
    </row>
    <row r="3058" spans="1:7" x14ac:dyDescent="0.25">
      <c r="A3058" t="s">
        <v>72</v>
      </c>
      <c r="B3058" t="s">
        <v>73</v>
      </c>
      <c r="C3058" t="s">
        <v>67</v>
      </c>
      <c r="D3058">
        <v>6002253</v>
      </c>
      <c r="E3058" t="s">
        <v>53</v>
      </c>
      <c r="F3058" t="s">
        <v>49</v>
      </c>
      <c r="G3058" s="30">
        <v>225320.762439996</v>
      </c>
    </row>
    <row r="3059" spans="1:7" x14ac:dyDescent="0.25">
      <c r="A3059" t="s">
        <v>45</v>
      </c>
      <c r="B3059" t="s">
        <v>46</v>
      </c>
      <c r="C3059" t="s">
        <v>47</v>
      </c>
      <c r="D3059">
        <v>6003542</v>
      </c>
      <c r="E3059" t="s">
        <v>48</v>
      </c>
      <c r="F3059" t="s">
        <v>49</v>
      </c>
      <c r="G3059" s="30">
        <v>0</v>
      </c>
    </row>
    <row r="3060" spans="1:7" x14ac:dyDescent="0.25">
      <c r="A3060" t="s">
        <v>79</v>
      </c>
      <c r="B3060" t="s">
        <v>80</v>
      </c>
      <c r="C3060" t="s">
        <v>81</v>
      </c>
      <c r="D3060">
        <v>6006817</v>
      </c>
      <c r="E3060" t="s">
        <v>53</v>
      </c>
      <c r="F3060" t="s">
        <v>49</v>
      </c>
      <c r="G3060" s="30">
        <v>1037174.1875</v>
      </c>
    </row>
    <row r="3061" spans="1:7" x14ac:dyDescent="0.25">
      <c r="A3061" t="s">
        <v>74</v>
      </c>
      <c r="B3061" t="s">
        <v>75</v>
      </c>
      <c r="C3061" t="s">
        <v>67</v>
      </c>
      <c r="D3061">
        <v>6008749</v>
      </c>
      <c r="E3061" t="s">
        <v>53</v>
      </c>
      <c r="F3061" t="s">
        <v>49</v>
      </c>
      <c r="G3061" s="30">
        <v>204790.505063066</v>
      </c>
    </row>
    <row r="3062" spans="1:7" x14ac:dyDescent="0.25">
      <c r="A3062" t="s">
        <v>50</v>
      </c>
      <c r="B3062" t="s">
        <v>51</v>
      </c>
      <c r="C3062" t="s">
        <v>52</v>
      </c>
      <c r="D3062">
        <v>6021465</v>
      </c>
      <c r="E3062" t="s">
        <v>53</v>
      </c>
      <c r="F3062" t="s">
        <v>49</v>
      </c>
      <c r="G3062" s="30">
        <v>63772.154056036103</v>
      </c>
    </row>
    <row r="3063" spans="1:7" x14ac:dyDescent="0.25">
      <c r="A3063" t="s">
        <v>45</v>
      </c>
      <c r="B3063" t="s">
        <v>46</v>
      </c>
      <c r="C3063" t="s">
        <v>47</v>
      </c>
      <c r="D3063">
        <v>6025227</v>
      </c>
      <c r="E3063" t="s">
        <v>53</v>
      </c>
      <c r="F3063" t="s">
        <v>49</v>
      </c>
      <c r="G3063" s="30">
        <v>576207.83973898902</v>
      </c>
    </row>
    <row r="3064" spans="1:7" x14ac:dyDescent="0.25">
      <c r="A3064" t="s">
        <v>50</v>
      </c>
      <c r="B3064" t="s">
        <v>51</v>
      </c>
      <c r="C3064" t="s">
        <v>52</v>
      </c>
      <c r="D3064">
        <v>6025621</v>
      </c>
      <c r="E3064" t="s">
        <v>53</v>
      </c>
      <c r="F3064" t="s">
        <v>49</v>
      </c>
      <c r="G3064" s="30">
        <v>1851.33415345704</v>
      </c>
    </row>
    <row r="3065" spans="1:7" x14ac:dyDescent="0.25">
      <c r="A3065" t="s">
        <v>45</v>
      </c>
      <c r="B3065" t="s">
        <v>46</v>
      </c>
      <c r="C3065" t="s">
        <v>47</v>
      </c>
      <c r="D3065">
        <v>6026523</v>
      </c>
      <c r="E3065" t="s">
        <v>48</v>
      </c>
      <c r="F3065" t="s">
        <v>49</v>
      </c>
      <c r="G3065" s="30">
        <v>0</v>
      </c>
    </row>
    <row r="3066" spans="1:7" x14ac:dyDescent="0.25">
      <c r="A3066" t="s">
        <v>45</v>
      </c>
      <c r="B3066" t="s">
        <v>46</v>
      </c>
      <c r="C3066" t="s">
        <v>47</v>
      </c>
      <c r="D3066">
        <v>6027265</v>
      </c>
      <c r="E3066" t="s">
        <v>48</v>
      </c>
      <c r="F3066" t="s">
        <v>49</v>
      </c>
      <c r="G3066" s="30">
        <v>0</v>
      </c>
    </row>
    <row r="3067" spans="1:7" x14ac:dyDescent="0.25">
      <c r="A3067" t="s">
        <v>79</v>
      </c>
      <c r="B3067" t="s">
        <v>80</v>
      </c>
      <c r="C3067" t="s">
        <v>81</v>
      </c>
      <c r="D3067">
        <v>6032798</v>
      </c>
      <c r="E3067" t="s">
        <v>53</v>
      </c>
      <c r="F3067" t="s">
        <v>49</v>
      </c>
      <c r="G3067" s="30">
        <v>211897.590570275</v>
      </c>
    </row>
    <row r="3068" spans="1:7" x14ac:dyDescent="0.25">
      <c r="A3068" t="s">
        <v>65</v>
      </c>
      <c r="B3068" t="s">
        <v>66</v>
      </c>
      <c r="C3068" t="s">
        <v>67</v>
      </c>
      <c r="D3068">
        <v>6033626</v>
      </c>
      <c r="E3068" t="s">
        <v>53</v>
      </c>
      <c r="F3068" t="s">
        <v>49</v>
      </c>
      <c r="G3068" s="30">
        <v>2253117.4399210298</v>
      </c>
    </row>
    <row r="3069" spans="1:7" x14ac:dyDescent="0.25">
      <c r="A3069" t="s">
        <v>63</v>
      </c>
      <c r="B3069" t="s">
        <v>64</v>
      </c>
      <c r="C3069" t="s">
        <v>56</v>
      </c>
      <c r="D3069">
        <v>6034937</v>
      </c>
      <c r="E3069" t="s">
        <v>53</v>
      </c>
      <c r="F3069" t="s">
        <v>49</v>
      </c>
      <c r="G3069" s="30">
        <v>1130956.59869801</v>
      </c>
    </row>
    <row r="3070" spans="1:7" x14ac:dyDescent="0.25">
      <c r="A3070" t="s">
        <v>65</v>
      </c>
      <c r="B3070" t="s">
        <v>66</v>
      </c>
      <c r="C3070" t="s">
        <v>67</v>
      </c>
      <c r="D3070">
        <v>6047027</v>
      </c>
      <c r="E3070" t="s">
        <v>53</v>
      </c>
      <c r="F3070" t="s">
        <v>49</v>
      </c>
      <c r="G3070" s="30">
        <v>1208884.7876828599</v>
      </c>
    </row>
    <row r="3071" spans="1:7" x14ac:dyDescent="0.25">
      <c r="A3071" t="s">
        <v>90</v>
      </c>
      <c r="B3071" t="s">
        <v>91</v>
      </c>
      <c r="C3071" t="s">
        <v>81</v>
      </c>
      <c r="D3071">
        <v>6047556</v>
      </c>
      <c r="E3071" t="s">
        <v>53</v>
      </c>
      <c r="F3071" t="s">
        <v>49</v>
      </c>
      <c r="G3071" s="30">
        <v>1717780.3793526201</v>
      </c>
    </row>
    <row r="3072" spans="1:7" x14ac:dyDescent="0.25">
      <c r="A3072" t="s">
        <v>82</v>
      </c>
      <c r="B3072" t="s">
        <v>83</v>
      </c>
      <c r="C3072" t="s">
        <v>56</v>
      </c>
      <c r="D3072">
        <v>6050646</v>
      </c>
      <c r="E3072" t="s">
        <v>53</v>
      </c>
      <c r="F3072" t="s">
        <v>49</v>
      </c>
      <c r="G3072" s="30">
        <v>30574.0386910294</v>
      </c>
    </row>
    <row r="3073" spans="1:7" x14ac:dyDescent="0.25">
      <c r="A3073" t="s">
        <v>92</v>
      </c>
      <c r="B3073" t="s">
        <v>93</v>
      </c>
      <c r="C3073" t="s">
        <v>81</v>
      </c>
      <c r="D3073">
        <v>6051439</v>
      </c>
      <c r="E3073" t="s">
        <v>53</v>
      </c>
      <c r="F3073" t="s">
        <v>49</v>
      </c>
      <c r="G3073" s="30">
        <v>28074.3748225573</v>
      </c>
    </row>
    <row r="3074" spans="1:7" x14ac:dyDescent="0.25">
      <c r="A3074" t="s">
        <v>88</v>
      </c>
      <c r="B3074" t="s">
        <v>89</v>
      </c>
      <c r="C3074" t="s">
        <v>78</v>
      </c>
      <c r="D3074">
        <v>6053193</v>
      </c>
      <c r="E3074" t="s">
        <v>53</v>
      </c>
      <c r="F3074" t="s">
        <v>49</v>
      </c>
      <c r="G3074" s="30">
        <v>223886.293135163</v>
      </c>
    </row>
    <row r="3075" spans="1:7" x14ac:dyDescent="0.25">
      <c r="A3075" t="s">
        <v>72</v>
      </c>
      <c r="B3075" t="s">
        <v>73</v>
      </c>
      <c r="C3075" t="s">
        <v>67</v>
      </c>
      <c r="D3075">
        <v>6055242</v>
      </c>
      <c r="E3075" t="s">
        <v>53</v>
      </c>
      <c r="F3075" t="s">
        <v>49</v>
      </c>
      <c r="G3075" s="30">
        <v>246297.66796875</v>
      </c>
    </row>
    <row r="3076" spans="1:7" x14ac:dyDescent="0.25">
      <c r="A3076" t="s">
        <v>112</v>
      </c>
      <c r="B3076" t="s">
        <v>113</v>
      </c>
      <c r="C3076" t="s">
        <v>81</v>
      </c>
      <c r="D3076">
        <v>6055374</v>
      </c>
      <c r="E3076" t="s">
        <v>53</v>
      </c>
      <c r="F3076" t="s">
        <v>49</v>
      </c>
      <c r="G3076" s="30">
        <v>124347.711461164</v>
      </c>
    </row>
    <row r="3077" spans="1:7" x14ac:dyDescent="0.25">
      <c r="A3077" t="s">
        <v>72</v>
      </c>
      <c r="B3077" t="s">
        <v>73</v>
      </c>
      <c r="C3077" t="s">
        <v>67</v>
      </c>
      <c r="D3077">
        <v>6058308</v>
      </c>
      <c r="E3077" t="s">
        <v>53</v>
      </c>
      <c r="F3077" t="s">
        <v>49</v>
      </c>
      <c r="G3077" s="30">
        <v>1413018.31303452</v>
      </c>
    </row>
    <row r="3078" spans="1:7" x14ac:dyDescent="0.25">
      <c r="A3078" t="s">
        <v>45</v>
      </c>
      <c r="B3078" t="s">
        <v>46</v>
      </c>
      <c r="C3078" t="s">
        <v>47</v>
      </c>
      <c r="D3078">
        <v>6058581</v>
      </c>
      <c r="E3078" t="s">
        <v>53</v>
      </c>
      <c r="F3078" t="s">
        <v>49</v>
      </c>
      <c r="G3078" s="30">
        <v>717.03384812845604</v>
      </c>
    </row>
    <row r="3079" spans="1:7" x14ac:dyDescent="0.25">
      <c r="A3079" t="s">
        <v>45</v>
      </c>
      <c r="B3079" t="s">
        <v>46</v>
      </c>
      <c r="C3079" t="s">
        <v>47</v>
      </c>
      <c r="D3079">
        <v>6059554</v>
      </c>
      <c r="E3079" t="s">
        <v>48</v>
      </c>
      <c r="F3079" t="s">
        <v>49</v>
      </c>
      <c r="G3079" s="30">
        <v>0</v>
      </c>
    </row>
    <row r="3080" spans="1:7" x14ac:dyDescent="0.25">
      <c r="A3080" t="s">
        <v>124</v>
      </c>
      <c r="B3080" t="s">
        <v>125</v>
      </c>
      <c r="C3080" t="s">
        <v>78</v>
      </c>
      <c r="D3080">
        <v>6059723</v>
      </c>
      <c r="E3080" t="s">
        <v>53</v>
      </c>
      <c r="F3080" t="s">
        <v>49</v>
      </c>
      <c r="G3080" s="30">
        <v>299541.23841672298</v>
      </c>
    </row>
    <row r="3081" spans="1:7" x14ac:dyDescent="0.25">
      <c r="A3081" t="s">
        <v>96</v>
      </c>
      <c r="B3081" t="s">
        <v>97</v>
      </c>
      <c r="C3081" t="s">
        <v>81</v>
      </c>
      <c r="D3081">
        <v>6060492</v>
      </c>
      <c r="E3081" t="s">
        <v>48</v>
      </c>
      <c r="F3081" t="s">
        <v>49</v>
      </c>
      <c r="G3081" s="30">
        <v>0</v>
      </c>
    </row>
    <row r="3082" spans="1:7" x14ac:dyDescent="0.25">
      <c r="A3082" t="s">
        <v>61</v>
      </c>
      <c r="B3082" t="s">
        <v>62</v>
      </c>
      <c r="C3082" t="s">
        <v>56</v>
      </c>
      <c r="D3082">
        <v>6060512</v>
      </c>
      <c r="E3082" t="s">
        <v>48</v>
      </c>
      <c r="F3082" t="s">
        <v>49</v>
      </c>
      <c r="G3082" s="30">
        <v>0</v>
      </c>
    </row>
    <row r="3083" spans="1:7" x14ac:dyDescent="0.25">
      <c r="A3083" t="s">
        <v>45</v>
      </c>
      <c r="B3083" t="s">
        <v>46</v>
      </c>
      <c r="C3083" t="s">
        <v>47</v>
      </c>
      <c r="D3083">
        <v>6062227</v>
      </c>
      <c r="E3083" t="s">
        <v>48</v>
      </c>
      <c r="F3083" t="s">
        <v>49</v>
      </c>
      <c r="G3083" s="30">
        <v>0</v>
      </c>
    </row>
    <row r="3084" spans="1:7" x14ac:dyDescent="0.25">
      <c r="A3084" t="s">
        <v>116</v>
      </c>
      <c r="B3084" t="s">
        <v>117</v>
      </c>
      <c r="C3084" t="s">
        <v>47</v>
      </c>
      <c r="D3084">
        <v>6064423</v>
      </c>
      <c r="E3084" t="s">
        <v>53</v>
      </c>
      <c r="F3084" t="s">
        <v>49</v>
      </c>
      <c r="G3084" s="30">
        <v>17793.490000000002</v>
      </c>
    </row>
    <row r="3085" spans="1:7" x14ac:dyDescent="0.25">
      <c r="A3085" t="s">
        <v>90</v>
      </c>
      <c r="B3085" t="s">
        <v>91</v>
      </c>
      <c r="C3085" t="s">
        <v>81</v>
      </c>
      <c r="D3085">
        <v>6065485</v>
      </c>
      <c r="E3085" t="s">
        <v>53</v>
      </c>
      <c r="F3085" t="s">
        <v>49</v>
      </c>
      <c r="G3085" s="30">
        <v>3990656.7388242302</v>
      </c>
    </row>
    <row r="3086" spans="1:7" x14ac:dyDescent="0.25">
      <c r="A3086" t="s">
        <v>90</v>
      </c>
      <c r="B3086" t="s">
        <v>91</v>
      </c>
      <c r="C3086" t="s">
        <v>81</v>
      </c>
      <c r="D3086">
        <v>6065627</v>
      </c>
      <c r="E3086" t="s">
        <v>53</v>
      </c>
      <c r="F3086" t="s">
        <v>49</v>
      </c>
      <c r="G3086" s="30">
        <v>383317.73684323899</v>
      </c>
    </row>
    <row r="3087" spans="1:7" x14ac:dyDescent="0.25">
      <c r="A3087" t="s">
        <v>82</v>
      </c>
      <c r="B3087" t="s">
        <v>83</v>
      </c>
      <c r="C3087" t="s">
        <v>56</v>
      </c>
      <c r="D3087">
        <v>6069900</v>
      </c>
      <c r="E3087" t="s">
        <v>53</v>
      </c>
      <c r="F3087" t="s">
        <v>49</v>
      </c>
      <c r="G3087" s="30">
        <v>541.59299551294703</v>
      </c>
    </row>
    <row r="3088" spans="1:7" x14ac:dyDescent="0.25">
      <c r="A3088" t="s">
        <v>90</v>
      </c>
      <c r="B3088" t="s">
        <v>91</v>
      </c>
      <c r="C3088" t="s">
        <v>81</v>
      </c>
      <c r="D3088">
        <v>6070832</v>
      </c>
      <c r="E3088" t="s">
        <v>53</v>
      </c>
      <c r="F3088" t="s">
        <v>49</v>
      </c>
      <c r="G3088" s="30">
        <v>565881.88200660096</v>
      </c>
    </row>
    <row r="3089" spans="1:7" x14ac:dyDescent="0.25">
      <c r="A3089" t="s">
        <v>90</v>
      </c>
      <c r="B3089" t="s">
        <v>91</v>
      </c>
      <c r="C3089" t="s">
        <v>81</v>
      </c>
      <c r="D3089">
        <v>6071007</v>
      </c>
      <c r="E3089" t="s">
        <v>53</v>
      </c>
      <c r="F3089" t="s">
        <v>49</v>
      </c>
      <c r="G3089" s="30">
        <v>5714611.8747767797</v>
      </c>
    </row>
    <row r="3090" spans="1:7" x14ac:dyDescent="0.25">
      <c r="A3090" t="s">
        <v>90</v>
      </c>
      <c r="B3090" t="s">
        <v>91</v>
      </c>
      <c r="C3090" t="s">
        <v>81</v>
      </c>
      <c r="D3090">
        <v>6071042</v>
      </c>
      <c r="E3090" t="s">
        <v>53</v>
      </c>
      <c r="F3090" t="s">
        <v>49</v>
      </c>
      <c r="G3090" s="30">
        <v>536766.49929014803</v>
      </c>
    </row>
    <row r="3091" spans="1:7" x14ac:dyDescent="0.25">
      <c r="A3091" t="s">
        <v>118</v>
      </c>
      <c r="B3091" t="s">
        <v>119</v>
      </c>
      <c r="C3091" t="s">
        <v>56</v>
      </c>
      <c r="D3091">
        <v>6073754</v>
      </c>
      <c r="E3091" t="s">
        <v>53</v>
      </c>
      <c r="F3091" t="s">
        <v>49</v>
      </c>
      <c r="G3091" s="30">
        <v>37027.189202479298</v>
      </c>
    </row>
    <row r="3092" spans="1:7" x14ac:dyDescent="0.25">
      <c r="A3092" t="s">
        <v>45</v>
      </c>
      <c r="B3092" t="s">
        <v>46</v>
      </c>
      <c r="C3092" t="s">
        <v>47</v>
      </c>
      <c r="D3092">
        <v>6076974</v>
      </c>
      <c r="E3092" t="s">
        <v>48</v>
      </c>
      <c r="F3092" t="s">
        <v>49</v>
      </c>
      <c r="G3092" s="30">
        <v>0</v>
      </c>
    </row>
    <row r="3093" spans="1:7" x14ac:dyDescent="0.25">
      <c r="A3093" t="s">
        <v>50</v>
      </c>
      <c r="B3093" t="s">
        <v>51</v>
      </c>
      <c r="C3093" t="s">
        <v>52</v>
      </c>
      <c r="D3093">
        <v>6078592</v>
      </c>
      <c r="E3093" t="s">
        <v>53</v>
      </c>
      <c r="F3093" t="s">
        <v>49</v>
      </c>
      <c r="G3093" s="30">
        <v>77.286248185689004</v>
      </c>
    </row>
    <row r="3094" spans="1:7" x14ac:dyDescent="0.25">
      <c r="A3094" t="s">
        <v>72</v>
      </c>
      <c r="B3094" t="s">
        <v>73</v>
      </c>
      <c r="C3094" t="s">
        <v>67</v>
      </c>
      <c r="D3094">
        <v>6088625</v>
      </c>
      <c r="E3094" t="s">
        <v>48</v>
      </c>
      <c r="F3094" t="s">
        <v>49</v>
      </c>
      <c r="G3094" s="30">
        <v>0</v>
      </c>
    </row>
    <row r="3095" spans="1:7" x14ac:dyDescent="0.25">
      <c r="A3095" t="s">
        <v>45</v>
      </c>
      <c r="B3095" t="s">
        <v>46</v>
      </c>
      <c r="C3095" t="s">
        <v>47</v>
      </c>
      <c r="D3095">
        <v>6088682</v>
      </c>
      <c r="E3095" t="s">
        <v>48</v>
      </c>
      <c r="F3095" t="s">
        <v>49</v>
      </c>
      <c r="G3095" s="30">
        <v>0</v>
      </c>
    </row>
    <row r="3096" spans="1:7" x14ac:dyDescent="0.25">
      <c r="A3096" t="s">
        <v>104</v>
      </c>
      <c r="B3096" t="s">
        <v>105</v>
      </c>
      <c r="C3096" t="s">
        <v>78</v>
      </c>
      <c r="D3096">
        <v>6092191</v>
      </c>
      <c r="E3096" t="s">
        <v>53</v>
      </c>
      <c r="F3096" t="s">
        <v>49</v>
      </c>
      <c r="G3096" s="30">
        <v>49409.485050000003</v>
      </c>
    </row>
    <row r="3097" spans="1:7" x14ac:dyDescent="0.25">
      <c r="A3097" t="s">
        <v>102</v>
      </c>
      <c r="B3097" t="s">
        <v>103</v>
      </c>
      <c r="C3097" t="s">
        <v>47</v>
      </c>
      <c r="D3097">
        <v>6098137</v>
      </c>
      <c r="E3097" t="s">
        <v>53</v>
      </c>
      <c r="F3097" t="s">
        <v>49</v>
      </c>
      <c r="G3097" s="30">
        <v>270943.30457031197</v>
      </c>
    </row>
    <row r="3098" spans="1:7" x14ac:dyDescent="0.25">
      <c r="A3098" t="s">
        <v>82</v>
      </c>
      <c r="B3098" t="s">
        <v>83</v>
      </c>
      <c r="C3098" t="s">
        <v>56</v>
      </c>
      <c r="D3098">
        <v>6098524</v>
      </c>
      <c r="E3098" t="s">
        <v>53</v>
      </c>
      <c r="F3098" t="s">
        <v>49</v>
      </c>
      <c r="G3098" s="30">
        <v>869851.99393535999</v>
      </c>
    </row>
    <row r="3099" spans="1:7" x14ac:dyDescent="0.25">
      <c r="A3099" t="s">
        <v>50</v>
      </c>
      <c r="B3099" t="s">
        <v>51</v>
      </c>
      <c r="C3099" t="s">
        <v>52</v>
      </c>
      <c r="D3099">
        <v>6101518</v>
      </c>
      <c r="E3099" t="s">
        <v>53</v>
      </c>
      <c r="F3099" t="s">
        <v>49</v>
      </c>
      <c r="G3099" s="30">
        <v>16783.368953667399</v>
      </c>
    </row>
    <row r="3100" spans="1:7" x14ac:dyDescent="0.25">
      <c r="A3100" t="s">
        <v>74</v>
      </c>
      <c r="B3100" t="s">
        <v>75</v>
      </c>
      <c r="C3100" t="s">
        <v>67</v>
      </c>
      <c r="D3100">
        <v>6103287</v>
      </c>
      <c r="E3100" t="s">
        <v>53</v>
      </c>
      <c r="F3100" t="s">
        <v>49</v>
      </c>
      <c r="G3100" s="30">
        <v>626174.07939467602</v>
      </c>
    </row>
    <row r="3101" spans="1:7" x14ac:dyDescent="0.25">
      <c r="A3101" t="s">
        <v>90</v>
      </c>
      <c r="B3101" t="s">
        <v>91</v>
      </c>
      <c r="C3101" t="s">
        <v>81</v>
      </c>
      <c r="D3101">
        <v>6103607</v>
      </c>
      <c r="E3101" t="s">
        <v>48</v>
      </c>
      <c r="F3101" t="s">
        <v>49</v>
      </c>
      <c r="G3101" s="30">
        <v>0</v>
      </c>
    </row>
    <row r="3102" spans="1:7" x14ac:dyDescent="0.25">
      <c r="A3102" t="s">
        <v>50</v>
      </c>
      <c r="B3102" t="s">
        <v>51</v>
      </c>
      <c r="C3102" t="s">
        <v>52</v>
      </c>
      <c r="D3102">
        <v>6103854</v>
      </c>
      <c r="E3102" t="s">
        <v>53</v>
      </c>
      <c r="F3102" t="s">
        <v>49</v>
      </c>
      <c r="G3102" s="30">
        <v>26517.863934472502</v>
      </c>
    </row>
    <row r="3103" spans="1:7" x14ac:dyDescent="0.25">
      <c r="A3103" t="s">
        <v>116</v>
      </c>
      <c r="B3103" t="s">
        <v>117</v>
      </c>
      <c r="C3103" t="s">
        <v>47</v>
      </c>
      <c r="D3103">
        <v>6105634</v>
      </c>
      <c r="E3103" t="s">
        <v>53</v>
      </c>
      <c r="F3103" t="s">
        <v>49</v>
      </c>
      <c r="G3103" s="30">
        <v>55859.167979353697</v>
      </c>
    </row>
    <row r="3104" spans="1:7" x14ac:dyDescent="0.25">
      <c r="A3104" t="s">
        <v>45</v>
      </c>
      <c r="B3104" t="s">
        <v>46</v>
      </c>
      <c r="C3104" t="s">
        <v>47</v>
      </c>
      <c r="D3104">
        <v>6106795</v>
      </c>
      <c r="E3104" t="s">
        <v>48</v>
      </c>
      <c r="F3104" t="s">
        <v>49</v>
      </c>
      <c r="G3104" s="30">
        <v>0</v>
      </c>
    </row>
    <row r="3105" spans="1:7" x14ac:dyDescent="0.25">
      <c r="A3105" t="s">
        <v>45</v>
      </c>
      <c r="B3105" t="s">
        <v>46</v>
      </c>
      <c r="C3105" t="s">
        <v>47</v>
      </c>
      <c r="D3105">
        <v>6107382</v>
      </c>
      <c r="E3105" t="s">
        <v>48</v>
      </c>
      <c r="F3105" t="s">
        <v>49</v>
      </c>
      <c r="G3105" s="30">
        <v>0</v>
      </c>
    </row>
    <row r="3106" spans="1:7" x14ac:dyDescent="0.25">
      <c r="A3106" t="s">
        <v>112</v>
      </c>
      <c r="B3106" t="s">
        <v>113</v>
      </c>
      <c r="C3106" t="s">
        <v>81</v>
      </c>
      <c r="D3106">
        <v>6109721</v>
      </c>
      <c r="E3106" t="s">
        <v>53</v>
      </c>
      <c r="F3106" t="s">
        <v>49</v>
      </c>
      <c r="G3106" s="30">
        <v>79285.5625</v>
      </c>
    </row>
    <row r="3107" spans="1:7" x14ac:dyDescent="0.25">
      <c r="A3107" t="s">
        <v>45</v>
      </c>
      <c r="B3107" t="s">
        <v>46</v>
      </c>
      <c r="C3107" t="s">
        <v>47</v>
      </c>
      <c r="D3107">
        <v>6111048</v>
      </c>
      <c r="E3107" t="s">
        <v>53</v>
      </c>
      <c r="F3107" t="s">
        <v>49</v>
      </c>
      <c r="G3107" s="30">
        <v>45529.9338807932</v>
      </c>
    </row>
    <row r="3108" spans="1:7" x14ac:dyDescent="0.25">
      <c r="A3108" t="s">
        <v>50</v>
      </c>
      <c r="B3108" t="s">
        <v>51</v>
      </c>
      <c r="C3108" t="s">
        <v>52</v>
      </c>
      <c r="D3108">
        <v>6111371</v>
      </c>
      <c r="E3108" t="s">
        <v>53</v>
      </c>
      <c r="F3108" t="s">
        <v>49</v>
      </c>
      <c r="G3108" s="30">
        <v>8060.0579571385197</v>
      </c>
    </row>
    <row r="3109" spans="1:7" x14ac:dyDescent="0.25">
      <c r="A3109" t="s">
        <v>45</v>
      </c>
      <c r="B3109" t="s">
        <v>46</v>
      </c>
      <c r="C3109" t="s">
        <v>47</v>
      </c>
      <c r="D3109">
        <v>6111508</v>
      </c>
      <c r="E3109" t="s">
        <v>48</v>
      </c>
      <c r="F3109" t="s">
        <v>49</v>
      </c>
      <c r="G3109" s="30">
        <v>7.42</v>
      </c>
    </row>
    <row r="3110" spans="1:7" x14ac:dyDescent="0.25">
      <c r="A3110" t="s">
        <v>50</v>
      </c>
      <c r="B3110" t="s">
        <v>51</v>
      </c>
      <c r="C3110" t="s">
        <v>52</v>
      </c>
      <c r="D3110">
        <v>6113636</v>
      </c>
      <c r="E3110" t="s">
        <v>53</v>
      </c>
      <c r="F3110" t="s">
        <v>49</v>
      </c>
      <c r="G3110" s="30">
        <v>46105.525685531204</v>
      </c>
    </row>
    <row r="3111" spans="1:7" x14ac:dyDescent="0.25">
      <c r="A3111" t="s">
        <v>45</v>
      </c>
      <c r="B3111" t="s">
        <v>46</v>
      </c>
      <c r="C3111" t="s">
        <v>47</v>
      </c>
      <c r="D3111">
        <v>6114247</v>
      </c>
      <c r="E3111" t="s">
        <v>53</v>
      </c>
      <c r="F3111" t="s">
        <v>49</v>
      </c>
      <c r="G3111" s="30">
        <v>477.16</v>
      </c>
    </row>
    <row r="3112" spans="1:7" x14ac:dyDescent="0.25">
      <c r="A3112" t="s">
        <v>45</v>
      </c>
      <c r="B3112" t="s">
        <v>46</v>
      </c>
      <c r="C3112" t="s">
        <v>47</v>
      </c>
      <c r="D3112">
        <v>6118723</v>
      </c>
      <c r="E3112" t="s">
        <v>48</v>
      </c>
      <c r="F3112" t="s">
        <v>49</v>
      </c>
      <c r="G3112" s="30">
        <v>0</v>
      </c>
    </row>
    <row r="3113" spans="1:7" x14ac:dyDescent="0.25">
      <c r="A3113" t="s">
        <v>70</v>
      </c>
      <c r="B3113" t="s">
        <v>71</v>
      </c>
      <c r="C3113" t="s">
        <v>47</v>
      </c>
      <c r="D3113">
        <v>6120581</v>
      </c>
      <c r="E3113" t="s">
        <v>53</v>
      </c>
      <c r="F3113" t="s">
        <v>49</v>
      </c>
      <c r="G3113" s="30">
        <v>40477.069687499999</v>
      </c>
    </row>
    <row r="3114" spans="1:7" x14ac:dyDescent="0.25">
      <c r="A3114" t="s">
        <v>70</v>
      </c>
      <c r="B3114" t="s">
        <v>71</v>
      </c>
      <c r="C3114" t="s">
        <v>47</v>
      </c>
      <c r="D3114">
        <v>6120709</v>
      </c>
      <c r="E3114" t="s">
        <v>53</v>
      </c>
      <c r="F3114" t="s">
        <v>49</v>
      </c>
      <c r="G3114" s="30">
        <v>32215.9678212281</v>
      </c>
    </row>
    <row r="3115" spans="1:7" x14ac:dyDescent="0.25">
      <c r="A3115" t="s">
        <v>45</v>
      </c>
      <c r="B3115" t="s">
        <v>46</v>
      </c>
      <c r="C3115" t="s">
        <v>47</v>
      </c>
      <c r="D3115">
        <v>6121381</v>
      </c>
      <c r="E3115" t="s">
        <v>48</v>
      </c>
      <c r="F3115" t="s">
        <v>49</v>
      </c>
      <c r="G3115" s="30">
        <v>0</v>
      </c>
    </row>
    <row r="3116" spans="1:7" x14ac:dyDescent="0.25">
      <c r="A3116" t="s">
        <v>45</v>
      </c>
      <c r="B3116" t="s">
        <v>46</v>
      </c>
      <c r="C3116" t="s">
        <v>47</v>
      </c>
      <c r="D3116">
        <v>6121518</v>
      </c>
      <c r="E3116" t="s">
        <v>53</v>
      </c>
      <c r="F3116" t="s">
        <v>49</v>
      </c>
      <c r="G3116" s="30">
        <v>23855.027352367499</v>
      </c>
    </row>
    <row r="3117" spans="1:7" x14ac:dyDescent="0.25">
      <c r="A3117" t="s">
        <v>45</v>
      </c>
      <c r="B3117" t="s">
        <v>46</v>
      </c>
      <c r="C3117" t="s">
        <v>47</v>
      </c>
      <c r="D3117">
        <v>6123285</v>
      </c>
      <c r="E3117" t="s">
        <v>48</v>
      </c>
      <c r="F3117" t="s">
        <v>49</v>
      </c>
      <c r="G3117" s="30">
        <v>0</v>
      </c>
    </row>
    <row r="3118" spans="1:7" x14ac:dyDescent="0.25">
      <c r="A3118" t="s">
        <v>102</v>
      </c>
      <c r="B3118" t="s">
        <v>103</v>
      </c>
      <c r="C3118" t="s">
        <v>47</v>
      </c>
      <c r="D3118">
        <v>6124784</v>
      </c>
      <c r="E3118" t="s">
        <v>53</v>
      </c>
      <c r="F3118" t="s">
        <v>49</v>
      </c>
      <c r="G3118" s="30">
        <v>45056.505287825603</v>
      </c>
    </row>
    <row r="3119" spans="1:7" x14ac:dyDescent="0.25">
      <c r="A3119" t="s">
        <v>96</v>
      </c>
      <c r="B3119" t="s">
        <v>97</v>
      </c>
      <c r="C3119" t="s">
        <v>81</v>
      </c>
      <c r="D3119">
        <v>6128240</v>
      </c>
      <c r="E3119" t="s">
        <v>53</v>
      </c>
      <c r="F3119" t="s">
        <v>49</v>
      </c>
      <c r="G3119" s="30">
        <v>592784.16730733495</v>
      </c>
    </row>
    <row r="3120" spans="1:7" x14ac:dyDescent="0.25">
      <c r="A3120" t="s">
        <v>45</v>
      </c>
      <c r="B3120" t="s">
        <v>46</v>
      </c>
      <c r="C3120" t="s">
        <v>47</v>
      </c>
      <c r="D3120">
        <v>6128744</v>
      </c>
      <c r="E3120" t="s">
        <v>48</v>
      </c>
      <c r="F3120" t="s">
        <v>49</v>
      </c>
      <c r="G3120" s="30">
        <v>0</v>
      </c>
    </row>
    <row r="3121" spans="1:7" x14ac:dyDescent="0.25">
      <c r="A3121" t="s">
        <v>45</v>
      </c>
      <c r="B3121" t="s">
        <v>46</v>
      </c>
      <c r="C3121" t="s">
        <v>47</v>
      </c>
      <c r="D3121">
        <v>6130019</v>
      </c>
      <c r="E3121" t="s">
        <v>48</v>
      </c>
      <c r="F3121" t="s">
        <v>49</v>
      </c>
      <c r="G3121" s="30">
        <v>0</v>
      </c>
    </row>
    <row r="3122" spans="1:7" x14ac:dyDescent="0.25">
      <c r="A3122" t="s">
        <v>45</v>
      </c>
      <c r="B3122" t="s">
        <v>46</v>
      </c>
      <c r="C3122" t="s">
        <v>47</v>
      </c>
      <c r="D3122">
        <v>6131124</v>
      </c>
      <c r="E3122" t="s">
        <v>48</v>
      </c>
      <c r="F3122" t="s">
        <v>49</v>
      </c>
      <c r="G3122" s="30">
        <v>0</v>
      </c>
    </row>
    <row r="3123" spans="1:7" x14ac:dyDescent="0.25">
      <c r="A3123" t="s">
        <v>90</v>
      </c>
      <c r="B3123" t="s">
        <v>91</v>
      </c>
      <c r="C3123" t="s">
        <v>81</v>
      </c>
      <c r="D3123">
        <v>6131386</v>
      </c>
      <c r="E3123" t="s">
        <v>53</v>
      </c>
      <c r="F3123" t="s">
        <v>49</v>
      </c>
      <c r="G3123" s="30">
        <v>2025752.6188624799</v>
      </c>
    </row>
    <row r="3124" spans="1:7" x14ac:dyDescent="0.25">
      <c r="A3124" t="s">
        <v>45</v>
      </c>
      <c r="B3124" t="s">
        <v>46</v>
      </c>
      <c r="C3124" t="s">
        <v>47</v>
      </c>
      <c r="D3124">
        <v>6143801</v>
      </c>
      <c r="E3124" t="s">
        <v>48</v>
      </c>
      <c r="F3124" t="s">
        <v>49</v>
      </c>
      <c r="G3124" s="30">
        <v>0</v>
      </c>
    </row>
    <row r="3125" spans="1:7" x14ac:dyDescent="0.25">
      <c r="A3125" t="s">
        <v>68</v>
      </c>
      <c r="B3125" t="s">
        <v>69</v>
      </c>
      <c r="C3125" t="s">
        <v>56</v>
      </c>
      <c r="D3125">
        <v>6160850</v>
      </c>
      <c r="E3125" t="s">
        <v>48</v>
      </c>
      <c r="F3125" t="s">
        <v>49</v>
      </c>
      <c r="G3125" s="30">
        <v>0</v>
      </c>
    </row>
    <row r="3126" spans="1:7" x14ac:dyDescent="0.25">
      <c r="A3126" t="s">
        <v>59</v>
      </c>
      <c r="B3126" t="s">
        <v>60</v>
      </c>
      <c r="C3126" t="s">
        <v>56</v>
      </c>
      <c r="D3126">
        <v>6167172</v>
      </c>
      <c r="E3126" t="s">
        <v>48</v>
      </c>
      <c r="F3126" t="s">
        <v>49</v>
      </c>
      <c r="G3126" s="30">
        <v>0</v>
      </c>
    </row>
    <row r="3127" spans="1:7" x14ac:dyDescent="0.25">
      <c r="A3127" t="s">
        <v>61</v>
      </c>
      <c r="B3127" t="s">
        <v>62</v>
      </c>
      <c r="C3127" t="s">
        <v>56</v>
      </c>
      <c r="D3127">
        <v>6171142</v>
      </c>
      <c r="E3127" t="s">
        <v>48</v>
      </c>
      <c r="F3127" t="s">
        <v>49</v>
      </c>
      <c r="G3127" s="30">
        <v>-8.9600000000000009</v>
      </c>
    </row>
    <row r="3128" spans="1:7" x14ac:dyDescent="0.25">
      <c r="A3128" t="s">
        <v>45</v>
      </c>
      <c r="B3128" t="s">
        <v>46</v>
      </c>
      <c r="C3128" t="s">
        <v>47</v>
      </c>
      <c r="D3128">
        <v>6181994</v>
      </c>
      <c r="E3128" t="s">
        <v>48</v>
      </c>
      <c r="F3128" t="s">
        <v>49</v>
      </c>
      <c r="G3128" s="30">
        <v>0</v>
      </c>
    </row>
    <row r="3129" spans="1:7" x14ac:dyDescent="0.25">
      <c r="A3129" t="s">
        <v>90</v>
      </c>
      <c r="B3129" t="s">
        <v>91</v>
      </c>
      <c r="C3129" t="s">
        <v>81</v>
      </c>
      <c r="D3129">
        <v>6183374</v>
      </c>
      <c r="E3129" t="s">
        <v>53</v>
      </c>
      <c r="F3129" t="s">
        <v>49</v>
      </c>
      <c r="G3129" s="30">
        <v>389823.44568492798</v>
      </c>
    </row>
    <row r="3130" spans="1:7" x14ac:dyDescent="0.25">
      <c r="A3130" t="s">
        <v>45</v>
      </c>
      <c r="B3130" t="s">
        <v>46</v>
      </c>
      <c r="C3130" t="s">
        <v>47</v>
      </c>
      <c r="D3130">
        <v>6184392</v>
      </c>
      <c r="E3130" t="s">
        <v>48</v>
      </c>
      <c r="F3130" t="s">
        <v>49</v>
      </c>
      <c r="G3130" s="30">
        <v>0</v>
      </c>
    </row>
    <row r="3131" spans="1:7" x14ac:dyDescent="0.25">
      <c r="A3131" t="s">
        <v>54</v>
      </c>
      <c r="B3131" t="s">
        <v>55</v>
      </c>
      <c r="C3131" t="s">
        <v>56</v>
      </c>
      <c r="D3131">
        <v>6186123</v>
      </c>
      <c r="E3131" t="s">
        <v>53</v>
      </c>
      <c r="F3131" t="s">
        <v>49</v>
      </c>
      <c r="G3131" s="30">
        <v>20573.027331622801</v>
      </c>
    </row>
    <row r="3132" spans="1:7" x14ac:dyDescent="0.25">
      <c r="A3132" t="s">
        <v>45</v>
      </c>
      <c r="B3132" t="s">
        <v>46</v>
      </c>
      <c r="C3132" t="s">
        <v>47</v>
      </c>
      <c r="D3132">
        <v>6188321</v>
      </c>
      <c r="E3132" t="s">
        <v>48</v>
      </c>
      <c r="F3132" t="s">
        <v>49</v>
      </c>
      <c r="G3132" s="30">
        <v>0</v>
      </c>
    </row>
    <row r="3133" spans="1:7" x14ac:dyDescent="0.25">
      <c r="A3133" t="s">
        <v>116</v>
      </c>
      <c r="B3133" t="s">
        <v>117</v>
      </c>
      <c r="C3133" t="s">
        <v>47</v>
      </c>
      <c r="D3133">
        <v>6190736</v>
      </c>
      <c r="E3133" t="s">
        <v>53</v>
      </c>
      <c r="F3133" t="s">
        <v>49</v>
      </c>
      <c r="G3133" s="30">
        <v>172400.696144396</v>
      </c>
    </row>
    <row r="3134" spans="1:7" x14ac:dyDescent="0.25">
      <c r="A3134" t="s">
        <v>50</v>
      </c>
      <c r="B3134" t="s">
        <v>51</v>
      </c>
      <c r="C3134" t="s">
        <v>52</v>
      </c>
      <c r="D3134">
        <v>6196958</v>
      </c>
      <c r="E3134" t="s">
        <v>53</v>
      </c>
      <c r="F3134" t="s">
        <v>49</v>
      </c>
      <c r="G3134" s="30">
        <v>9992.4579182916004</v>
      </c>
    </row>
    <row r="3135" spans="1:7" x14ac:dyDescent="0.25">
      <c r="A3135" t="s">
        <v>79</v>
      </c>
      <c r="B3135" t="s">
        <v>80</v>
      </c>
      <c r="C3135" t="s">
        <v>81</v>
      </c>
      <c r="D3135">
        <v>6197217</v>
      </c>
      <c r="E3135" t="s">
        <v>53</v>
      </c>
      <c r="F3135" t="s">
        <v>49</v>
      </c>
      <c r="G3135" s="30">
        <v>177.94000244140599</v>
      </c>
    </row>
    <row r="3136" spans="1:7" x14ac:dyDescent="0.25">
      <c r="A3136" t="s">
        <v>45</v>
      </c>
      <c r="B3136" t="s">
        <v>46</v>
      </c>
      <c r="C3136" t="s">
        <v>47</v>
      </c>
      <c r="D3136">
        <v>6198633</v>
      </c>
      <c r="E3136" t="s">
        <v>48</v>
      </c>
      <c r="F3136" t="s">
        <v>49</v>
      </c>
      <c r="G3136" s="30">
        <v>0</v>
      </c>
    </row>
    <row r="3137" spans="1:7" x14ac:dyDescent="0.25">
      <c r="A3137" t="s">
        <v>118</v>
      </c>
      <c r="B3137" t="s">
        <v>119</v>
      </c>
      <c r="C3137" t="s">
        <v>56</v>
      </c>
      <c r="D3137">
        <v>6198748</v>
      </c>
      <c r="E3137" t="s">
        <v>53</v>
      </c>
      <c r="F3137" t="s">
        <v>49</v>
      </c>
      <c r="G3137" s="30">
        <v>294304.21600037598</v>
      </c>
    </row>
    <row r="3138" spans="1:7" x14ac:dyDescent="0.25">
      <c r="A3138" t="s">
        <v>54</v>
      </c>
      <c r="B3138" t="s">
        <v>55</v>
      </c>
      <c r="C3138" t="s">
        <v>56</v>
      </c>
      <c r="D3138">
        <v>6199836</v>
      </c>
      <c r="E3138" t="s">
        <v>48</v>
      </c>
      <c r="F3138" t="s">
        <v>49</v>
      </c>
      <c r="G3138" s="30">
        <v>0</v>
      </c>
    </row>
    <row r="3139" spans="1:7" x14ac:dyDescent="0.25">
      <c r="A3139" t="s">
        <v>50</v>
      </c>
      <c r="B3139" t="s">
        <v>51</v>
      </c>
      <c r="C3139" t="s">
        <v>52</v>
      </c>
      <c r="D3139">
        <v>6200996</v>
      </c>
      <c r="E3139" t="s">
        <v>53</v>
      </c>
      <c r="F3139" t="s">
        <v>49</v>
      </c>
      <c r="G3139" s="30">
        <v>55950.182407994304</v>
      </c>
    </row>
    <row r="3140" spans="1:7" x14ac:dyDescent="0.25">
      <c r="A3140" t="s">
        <v>61</v>
      </c>
      <c r="B3140" t="s">
        <v>62</v>
      </c>
      <c r="C3140" t="s">
        <v>56</v>
      </c>
      <c r="D3140">
        <v>6202667</v>
      </c>
      <c r="E3140" t="s">
        <v>48</v>
      </c>
      <c r="F3140" t="s">
        <v>49</v>
      </c>
      <c r="G3140" s="30">
        <v>0</v>
      </c>
    </row>
    <row r="3141" spans="1:7" x14ac:dyDescent="0.25">
      <c r="A3141" t="s">
        <v>45</v>
      </c>
      <c r="B3141" t="s">
        <v>46</v>
      </c>
      <c r="C3141" t="s">
        <v>47</v>
      </c>
      <c r="D3141">
        <v>6206113</v>
      </c>
      <c r="E3141" t="s">
        <v>48</v>
      </c>
      <c r="F3141" t="s">
        <v>49</v>
      </c>
      <c r="G3141" s="30">
        <v>0</v>
      </c>
    </row>
    <row r="3142" spans="1:7" x14ac:dyDescent="0.25">
      <c r="A3142" t="s">
        <v>128</v>
      </c>
      <c r="B3142" t="s">
        <v>129</v>
      </c>
      <c r="C3142" t="s">
        <v>130</v>
      </c>
      <c r="D3142">
        <v>6217600</v>
      </c>
      <c r="E3142" t="s">
        <v>53</v>
      </c>
      <c r="F3142" t="s">
        <v>49</v>
      </c>
      <c r="G3142" s="30">
        <v>13941964.605600899</v>
      </c>
    </row>
    <row r="3143" spans="1:7" x14ac:dyDescent="0.25">
      <c r="A3143" t="s">
        <v>45</v>
      </c>
      <c r="B3143" t="s">
        <v>46</v>
      </c>
      <c r="C3143" t="s">
        <v>47</v>
      </c>
      <c r="D3143">
        <v>6295550</v>
      </c>
      <c r="E3143" t="s">
        <v>48</v>
      </c>
      <c r="F3143" t="s">
        <v>49</v>
      </c>
      <c r="G3143" s="30">
        <v>-1.05</v>
      </c>
    </row>
    <row r="3144" spans="1:7" x14ac:dyDescent="0.25">
      <c r="A3144" t="s">
        <v>50</v>
      </c>
      <c r="B3144" t="s">
        <v>51</v>
      </c>
      <c r="C3144" t="s">
        <v>52</v>
      </c>
      <c r="D3144">
        <v>6303939</v>
      </c>
      <c r="E3144" t="s">
        <v>53</v>
      </c>
      <c r="F3144" t="s">
        <v>49</v>
      </c>
      <c r="G3144" s="30">
        <v>45859.448103482202</v>
      </c>
    </row>
    <row r="3145" spans="1:7" x14ac:dyDescent="0.25">
      <c r="A3145" t="s">
        <v>104</v>
      </c>
      <c r="B3145" t="s">
        <v>105</v>
      </c>
      <c r="C3145" t="s">
        <v>78</v>
      </c>
      <c r="D3145">
        <v>6304178</v>
      </c>
      <c r="E3145" t="s">
        <v>53</v>
      </c>
      <c r="F3145" t="s">
        <v>49</v>
      </c>
      <c r="G3145" s="30">
        <v>446838.01117648702</v>
      </c>
    </row>
    <row r="3146" spans="1:7" x14ac:dyDescent="0.25">
      <c r="A3146" t="s">
        <v>104</v>
      </c>
      <c r="B3146" t="s">
        <v>105</v>
      </c>
      <c r="C3146" t="s">
        <v>78</v>
      </c>
      <c r="D3146">
        <v>6305005</v>
      </c>
      <c r="E3146" t="s">
        <v>53</v>
      </c>
      <c r="F3146" t="s">
        <v>49</v>
      </c>
      <c r="G3146" s="30">
        <v>98366.551945355706</v>
      </c>
    </row>
    <row r="3147" spans="1:7" x14ac:dyDescent="0.25">
      <c r="A3147" t="s">
        <v>45</v>
      </c>
      <c r="B3147" t="s">
        <v>46</v>
      </c>
      <c r="C3147" t="s">
        <v>47</v>
      </c>
      <c r="D3147">
        <v>6305716</v>
      </c>
      <c r="E3147" t="s">
        <v>48</v>
      </c>
      <c r="F3147" t="s">
        <v>49</v>
      </c>
      <c r="G3147" s="30">
        <v>0</v>
      </c>
    </row>
    <row r="3148" spans="1:7" x14ac:dyDescent="0.25">
      <c r="A3148" t="s">
        <v>102</v>
      </c>
      <c r="B3148" t="s">
        <v>103</v>
      </c>
      <c r="C3148" t="s">
        <v>47</v>
      </c>
      <c r="D3148">
        <v>6309049</v>
      </c>
      <c r="E3148" t="s">
        <v>53</v>
      </c>
      <c r="F3148" t="s">
        <v>49</v>
      </c>
      <c r="G3148" s="30">
        <v>78028.420205656003</v>
      </c>
    </row>
    <row r="3149" spans="1:7" x14ac:dyDescent="0.25">
      <c r="A3149" t="s">
        <v>92</v>
      </c>
      <c r="B3149" t="s">
        <v>93</v>
      </c>
      <c r="C3149" t="s">
        <v>81</v>
      </c>
      <c r="D3149">
        <v>6313418</v>
      </c>
      <c r="E3149" t="s">
        <v>53</v>
      </c>
      <c r="F3149" t="s">
        <v>49</v>
      </c>
      <c r="G3149" s="30">
        <v>16716.705130521899</v>
      </c>
    </row>
    <row r="3150" spans="1:7" x14ac:dyDescent="0.25">
      <c r="A3150" t="s">
        <v>45</v>
      </c>
      <c r="B3150" t="s">
        <v>46</v>
      </c>
      <c r="C3150" t="s">
        <v>47</v>
      </c>
      <c r="D3150">
        <v>6323714</v>
      </c>
      <c r="E3150" t="s">
        <v>48</v>
      </c>
      <c r="F3150" t="s">
        <v>49</v>
      </c>
      <c r="G3150" s="30">
        <v>0</v>
      </c>
    </row>
    <row r="3151" spans="1:7" x14ac:dyDescent="0.25">
      <c r="A3151" t="s">
        <v>50</v>
      </c>
      <c r="B3151" t="s">
        <v>51</v>
      </c>
      <c r="C3151" t="s">
        <v>52</v>
      </c>
      <c r="D3151">
        <v>6331656</v>
      </c>
      <c r="E3151" t="s">
        <v>48</v>
      </c>
      <c r="F3151" t="s">
        <v>49</v>
      </c>
      <c r="G3151" s="30">
        <v>0</v>
      </c>
    </row>
    <row r="3152" spans="1:7" x14ac:dyDescent="0.25">
      <c r="A3152" t="s">
        <v>50</v>
      </c>
      <c r="B3152" t="s">
        <v>51</v>
      </c>
      <c r="C3152" t="s">
        <v>52</v>
      </c>
      <c r="D3152">
        <v>6336626</v>
      </c>
      <c r="E3152" t="s">
        <v>53</v>
      </c>
      <c r="F3152" t="s">
        <v>49</v>
      </c>
      <c r="G3152" s="30">
        <v>1171.57</v>
      </c>
    </row>
    <row r="3153" spans="1:7" x14ac:dyDescent="0.25">
      <c r="A3153" t="s">
        <v>76</v>
      </c>
      <c r="B3153" t="s">
        <v>77</v>
      </c>
      <c r="C3153" t="s">
        <v>78</v>
      </c>
      <c r="D3153">
        <v>6337491</v>
      </c>
      <c r="E3153" t="s">
        <v>53</v>
      </c>
      <c r="F3153" t="s">
        <v>49</v>
      </c>
      <c r="G3153" s="30">
        <v>193675.38</v>
      </c>
    </row>
    <row r="3154" spans="1:7" x14ac:dyDescent="0.25">
      <c r="A3154" t="s">
        <v>50</v>
      </c>
      <c r="B3154" t="s">
        <v>51</v>
      </c>
      <c r="C3154" t="s">
        <v>52</v>
      </c>
      <c r="D3154">
        <v>6340090</v>
      </c>
      <c r="E3154" t="s">
        <v>53</v>
      </c>
      <c r="F3154" t="s">
        <v>49</v>
      </c>
      <c r="G3154" s="30">
        <v>25493.821040778199</v>
      </c>
    </row>
    <row r="3155" spans="1:7" x14ac:dyDescent="0.25">
      <c r="A3155" t="s">
        <v>50</v>
      </c>
      <c r="B3155" t="s">
        <v>51</v>
      </c>
      <c r="C3155" t="s">
        <v>52</v>
      </c>
      <c r="D3155">
        <v>6343494</v>
      </c>
      <c r="E3155" t="s">
        <v>53</v>
      </c>
      <c r="F3155" t="s">
        <v>49</v>
      </c>
      <c r="G3155" s="30">
        <v>56454.412532447997</v>
      </c>
    </row>
    <row r="3156" spans="1:7" x14ac:dyDescent="0.25">
      <c r="A3156" t="s">
        <v>45</v>
      </c>
      <c r="B3156" t="s">
        <v>46</v>
      </c>
      <c r="C3156" t="s">
        <v>47</v>
      </c>
      <c r="D3156">
        <v>6347300</v>
      </c>
      <c r="E3156" t="s">
        <v>48</v>
      </c>
      <c r="F3156" t="s">
        <v>49</v>
      </c>
      <c r="G3156" s="30">
        <v>0</v>
      </c>
    </row>
    <row r="3157" spans="1:7" x14ac:dyDescent="0.25">
      <c r="A3157" t="s">
        <v>61</v>
      </c>
      <c r="B3157" t="s">
        <v>62</v>
      </c>
      <c r="C3157" t="s">
        <v>56</v>
      </c>
      <c r="D3157">
        <v>6349293</v>
      </c>
      <c r="E3157" t="s">
        <v>48</v>
      </c>
      <c r="F3157" t="s">
        <v>49</v>
      </c>
      <c r="G3157" s="30">
        <v>0</v>
      </c>
    </row>
    <row r="3158" spans="1:7" x14ac:dyDescent="0.25">
      <c r="A3158" t="s">
        <v>112</v>
      </c>
      <c r="B3158" t="s">
        <v>113</v>
      </c>
      <c r="C3158" t="s">
        <v>81</v>
      </c>
      <c r="D3158">
        <v>6350718</v>
      </c>
      <c r="E3158" t="s">
        <v>53</v>
      </c>
      <c r="F3158" t="s">
        <v>49</v>
      </c>
      <c r="G3158" s="30">
        <v>234489.59947286401</v>
      </c>
    </row>
    <row r="3159" spans="1:7" x14ac:dyDescent="0.25">
      <c r="A3159" t="s">
        <v>45</v>
      </c>
      <c r="B3159" t="s">
        <v>46</v>
      </c>
      <c r="C3159" t="s">
        <v>47</v>
      </c>
      <c r="D3159">
        <v>6351832</v>
      </c>
      <c r="E3159" t="s">
        <v>48</v>
      </c>
      <c r="F3159" t="s">
        <v>49</v>
      </c>
      <c r="G3159" s="30">
        <v>0</v>
      </c>
    </row>
    <row r="3160" spans="1:7" x14ac:dyDescent="0.25">
      <c r="A3160" t="s">
        <v>45</v>
      </c>
      <c r="B3160" t="s">
        <v>46</v>
      </c>
      <c r="C3160" t="s">
        <v>47</v>
      </c>
      <c r="D3160">
        <v>6352746</v>
      </c>
      <c r="E3160" t="s">
        <v>48</v>
      </c>
      <c r="F3160" t="s">
        <v>49</v>
      </c>
      <c r="G3160" s="30">
        <v>0</v>
      </c>
    </row>
    <row r="3161" spans="1:7" x14ac:dyDescent="0.25">
      <c r="A3161" t="s">
        <v>50</v>
      </c>
      <c r="B3161" t="s">
        <v>51</v>
      </c>
      <c r="C3161" t="s">
        <v>52</v>
      </c>
      <c r="D3161">
        <v>6353104</v>
      </c>
      <c r="E3161" t="s">
        <v>48</v>
      </c>
      <c r="F3161" t="s">
        <v>49</v>
      </c>
      <c r="G3161" s="30">
        <v>0</v>
      </c>
    </row>
    <row r="3162" spans="1:7" x14ac:dyDescent="0.25">
      <c r="A3162" t="s">
        <v>45</v>
      </c>
      <c r="B3162" t="s">
        <v>46</v>
      </c>
      <c r="C3162" t="s">
        <v>47</v>
      </c>
      <c r="D3162">
        <v>6358564</v>
      </c>
      <c r="E3162" t="s">
        <v>53</v>
      </c>
      <c r="F3162" t="s">
        <v>49</v>
      </c>
      <c r="G3162" s="30">
        <v>100</v>
      </c>
    </row>
    <row r="3163" spans="1:7" x14ac:dyDescent="0.25">
      <c r="A3163" t="s">
        <v>116</v>
      </c>
      <c r="B3163" t="s">
        <v>117</v>
      </c>
      <c r="C3163" t="s">
        <v>47</v>
      </c>
      <c r="D3163">
        <v>6359200</v>
      </c>
      <c r="E3163" t="s">
        <v>53</v>
      </c>
      <c r="F3163" t="s">
        <v>49</v>
      </c>
      <c r="G3163" s="30">
        <v>517927.11720822199</v>
      </c>
    </row>
    <row r="3164" spans="1:7" x14ac:dyDescent="0.25">
      <c r="A3164" t="s">
        <v>45</v>
      </c>
      <c r="B3164" t="s">
        <v>46</v>
      </c>
      <c r="C3164" t="s">
        <v>47</v>
      </c>
      <c r="D3164">
        <v>6363734</v>
      </c>
      <c r="E3164" t="s">
        <v>48</v>
      </c>
      <c r="F3164" t="s">
        <v>49</v>
      </c>
      <c r="G3164" s="30">
        <v>0</v>
      </c>
    </row>
    <row r="3165" spans="1:7" x14ac:dyDescent="0.25">
      <c r="A3165" t="s">
        <v>45</v>
      </c>
      <c r="B3165" t="s">
        <v>46</v>
      </c>
      <c r="C3165" t="s">
        <v>47</v>
      </c>
      <c r="D3165">
        <v>6363957</v>
      </c>
      <c r="E3165" t="s">
        <v>48</v>
      </c>
      <c r="F3165" t="s">
        <v>49</v>
      </c>
      <c r="G3165" s="30">
        <v>0</v>
      </c>
    </row>
    <row r="3166" spans="1:7" x14ac:dyDescent="0.25">
      <c r="A3166" t="s">
        <v>50</v>
      </c>
      <c r="B3166" t="s">
        <v>51</v>
      </c>
      <c r="C3166" t="s">
        <v>52</v>
      </c>
      <c r="D3166">
        <v>6364328</v>
      </c>
      <c r="E3166" t="s">
        <v>53</v>
      </c>
      <c r="F3166" t="s">
        <v>49</v>
      </c>
      <c r="G3166" s="30">
        <v>11722.4930937638</v>
      </c>
    </row>
    <row r="3167" spans="1:7" x14ac:dyDescent="0.25">
      <c r="A3167" t="s">
        <v>45</v>
      </c>
      <c r="B3167" t="s">
        <v>46</v>
      </c>
      <c r="C3167" t="s">
        <v>47</v>
      </c>
      <c r="D3167">
        <v>6369638</v>
      </c>
      <c r="E3167" t="s">
        <v>48</v>
      </c>
      <c r="F3167" t="s">
        <v>49</v>
      </c>
      <c r="G3167" s="30">
        <v>0</v>
      </c>
    </row>
    <row r="3168" spans="1:7" x14ac:dyDescent="0.25">
      <c r="A3168" t="s">
        <v>79</v>
      </c>
      <c r="B3168" t="s">
        <v>80</v>
      </c>
      <c r="C3168" t="s">
        <v>81</v>
      </c>
      <c r="D3168">
        <v>6375108</v>
      </c>
      <c r="E3168" t="s">
        <v>53</v>
      </c>
      <c r="F3168" t="s">
        <v>49</v>
      </c>
      <c r="G3168" s="30">
        <v>194176.3153125</v>
      </c>
    </row>
    <row r="3169" spans="1:7" x14ac:dyDescent="0.25">
      <c r="A3169" t="s">
        <v>94</v>
      </c>
      <c r="B3169" t="s">
        <v>95</v>
      </c>
      <c r="C3169" t="s">
        <v>78</v>
      </c>
      <c r="D3169">
        <v>6375467</v>
      </c>
      <c r="E3169" t="s">
        <v>53</v>
      </c>
      <c r="F3169" t="s">
        <v>49</v>
      </c>
      <c r="G3169" s="30">
        <v>34157.081843532498</v>
      </c>
    </row>
    <row r="3170" spans="1:7" x14ac:dyDescent="0.25">
      <c r="A3170" t="s">
        <v>45</v>
      </c>
      <c r="B3170" t="s">
        <v>46</v>
      </c>
      <c r="C3170" t="s">
        <v>47</v>
      </c>
      <c r="D3170">
        <v>6375881</v>
      </c>
      <c r="E3170" t="s">
        <v>53</v>
      </c>
      <c r="F3170" t="s">
        <v>49</v>
      </c>
      <c r="G3170" s="30">
        <v>91943.247964843802</v>
      </c>
    </row>
    <row r="3171" spans="1:7" x14ac:dyDescent="0.25">
      <c r="A3171" t="s">
        <v>45</v>
      </c>
      <c r="B3171" t="s">
        <v>46</v>
      </c>
      <c r="C3171" t="s">
        <v>47</v>
      </c>
      <c r="D3171">
        <v>6376920</v>
      </c>
      <c r="E3171" t="s">
        <v>48</v>
      </c>
      <c r="F3171" t="s">
        <v>49</v>
      </c>
      <c r="G3171" s="30">
        <v>0</v>
      </c>
    </row>
    <row r="3172" spans="1:7" x14ac:dyDescent="0.25">
      <c r="A3172" t="s">
        <v>90</v>
      </c>
      <c r="B3172" t="s">
        <v>91</v>
      </c>
      <c r="C3172" t="s">
        <v>81</v>
      </c>
      <c r="D3172">
        <v>6377594</v>
      </c>
      <c r="E3172" t="s">
        <v>53</v>
      </c>
      <c r="F3172" t="s">
        <v>49</v>
      </c>
      <c r="G3172" s="30">
        <v>5619966.54919207</v>
      </c>
    </row>
    <row r="3173" spans="1:7" x14ac:dyDescent="0.25">
      <c r="A3173" t="s">
        <v>90</v>
      </c>
      <c r="B3173" t="s">
        <v>91</v>
      </c>
      <c r="C3173" t="s">
        <v>81</v>
      </c>
      <c r="D3173">
        <v>6377637</v>
      </c>
      <c r="E3173" t="s">
        <v>53</v>
      </c>
      <c r="F3173" t="s">
        <v>49</v>
      </c>
      <c r="G3173" s="30">
        <v>1680276.67475575</v>
      </c>
    </row>
    <row r="3174" spans="1:7" x14ac:dyDescent="0.25">
      <c r="A3174" t="s">
        <v>90</v>
      </c>
      <c r="B3174" t="s">
        <v>91</v>
      </c>
      <c r="C3174" t="s">
        <v>81</v>
      </c>
      <c r="D3174">
        <v>6378112</v>
      </c>
      <c r="E3174" t="s">
        <v>53</v>
      </c>
      <c r="F3174" t="s">
        <v>49</v>
      </c>
      <c r="G3174" s="30">
        <v>989827.34189296397</v>
      </c>
    </row>
    <row r="3175" spans="1:7" x14ac:dyDescent="0.25">
      <c r="A3175" t="s">
        <v>45</v>
      </c>
      <c r="B3175" t="s">
        <v>46</v>
      </c>
      <c r="C3175" t="s">
        <v>47</v>
      </c>
      <c r="D3175">
        <v>6379944</v>
      </c>
      <c r="E3175" t="s">
        <v>48</v>
      </c>
      <c r="F3175" t="s">
        <v>49</v>
      </c>
      <c r="G3175" s="30">
        <v>0</v>
      </c>
    </row>
    <row r="3176" spans="1:7" x14ac:dyDescent="0.25">
      <c r="A3176" t="s">
        <v>112</v>
      </c>
      <c r="B3176" t="s">
        <v>113</v>
      </c>
      <c r="C3176" t="s">
        <v>81</v>
      </c>
      <c r="D3176">
        <v>6381004</v>
      </c>
      <c r="E3176" t="s">
        <v>53</v>
      </c>
      <c r="F3176" t="s">
        <v>49</v>
      </c>
      <c r="G3176" s="30">
        <v>330428.92725547799</v>
      </c>
    </row>
    <row r="3177" spans="1:7" x14ac:dyDescent="0.25">
      <c r="A3177" t="s">
        <v>45</v>
      </c>
      <c r="B3177" t="s">
        <v>46</v>
      </c>
      <c r="C3177" t="s">
        <v>47</v>
      </c>
      <c r="D3177">
        <v>6382559</v>
      </c>
      <c r="E3177" t="s">
        <v>48</v>
      </c>
      <c r="F3177" t="s">
        <v>49</v>
      </c>
      <c r="G3177" s="30">
        <v>0</v>
      </c>
    </row>
    <row r="3178" spans="1:7" x14ac:dyDescent="0.25">
      <c r="A3178" t="s">
        <v>45</v>
      </c>
      <c r="B3178" t="s">
        <v>46</v>
      </c>
      <c r="C3178" t="s">
        <v>47</v>
      </c>
      <c r="D3178">
        <v>6384282</v>
      </c>
      <c r="E3178" t="s">
        <v>53</v>
      </c>
      <c r="F3178" t="s">
        <v>49</v>
      </c>
      <c r="G3178" s="30">
        <v>35788.045770930999</v>
      </c>
    </row>
    <row r="3179" spans="1:7" x14ac:dyDescent="0.25">
      <c r="A3179" t="s">
        <v>112</v>
      </c>
      <c r="B3179" t="s">
        <v>113</v>
      </c>
      <c r="C3179" t="s">
        <v>81</v>
      </c>
      <c r="D3179">
        <v>6386013</v>
      </c>
      <c r="E3179" t="s">
        <v>53</v>
      </c>
      <c r="F3179" t="s">
        <v>49</v>
      </c>
      <c r="G3179" s="30">
        <v>108517.510721539</v>
      </c>
    </row>
    <row r="3180" spans="1:7" x14ac:dyDescent="0.25">
      <c r="A3180" t="s">
        <v>45</v>
      </c>
      <c r="B3180" t="s">
        <v>46</v>
      </c>
      <c r="C3180" t="s">
        <v>47</v>
      </c>
      <c r="D3180">
        <v>6391245</v>
      </c>
      <c r="E3180" t="s">
        <v>48</v>
      </c>
      <c r="F3180" t="s">
        <v>49</v>
      </c>
      <c r="G3180" s="30">
        <v>0</v>
      </c>
    </row>
    <row r="3181" spans="1:7" x14ac:dyDescent="0.25">
      <c r="A3181" t="s">
        <v>45</v>
      </c>
      <c r="B3181" t="s">
        <v>46</v>
      </c>
      <c r="C3181" t="s">
        <v>47</v>
      </c>
      <c r="D3181">
        <v>6392877</v>
      </c>
      <c r="E3181" t="s">
        <v>48</v>
      </c>
      <c r="F3181" t="s">
        <v>49</v>
      </c>
      <c r="G3181" s="30">
        <v>0</v>
      </c>
    </row>
    <row r="3182" spans="1:7" x14ac:dyDescent="0.25">
      <c r="A3182" t="s">
        <v>96</v>
      </c>
      <c r="B3182" t="s">
        <v>97</v>
      </c>
      <c r="C3182" t="s">
        <v>81</v>
      </c>
      <c r="D3182">
        <v>6393648</v>
      </c>
      <c r="E3182" t="s">
        <v>53</v>
      </c>
      <c r="F3182" t="s">
        <v>49</v>
      </c>
      <c r="G3182" s="30">
        <v>40334.098036275798</v>
      </c>
    </row>
    <row r="3183" spans="1:7" x14ac:dyDescent="0.25">
      <c r="A3183" t="s">
        <v>112</v>
      </c>
      <c r="B3183" t="s">
        <v>113</v>
      </c>
      <c r="C3183" t="s">
        <v>81</v>
      </c>
      <c r="D3183">
        <v>6395339</v>
      </c>
      <c r="E3183" t="s">
        <v>53</v>
      </c>
      <c r="F3183" t="s">
        <v>49</v>
      </c>
      <c r="G3183" s="30">
        <v>7787.8198046875004</v>
      </c>
    </row>
    <row r="3184" spans="1:7" x14ac:dyDescent="0.25">
      <c r="A3184" t="s">
        <v>45</v>
      </c>
      <c r="B3184" t="s">
        <v>46</v>
      </c>
      <c r="C3184" t="s">
        <v>47</v>
      </c>
      <c r="D3184">
        <v>6395712</v>
      </c>
      <c r="E3184" t="s">
        <v>53</v>
      </c>
      <c r="F3184" t="s">
        <v>49</v>
      </c>
      <c r="G3184" s="30">
        <v>4000</v>
      </c>
    </row>
    <row r="3185" spans="1:7" x14ac:dyDescent="0.25">
      <c r="A3185" t="s">
        <v>124</v>
      </c>
      <c r="B3185" t="s">
        <v>125</v>
      </c>
      <c r="C3185" t="s">
        <v>78</v>
      </c>
      <c r="D3185">
        <v>6396516</v>
      </c>
      <c r="E3185" t="s">
        <v>53</v>
      </c>
      <c r="F3185" t="s">
        <v>49</v>
      </c>
      <c r="G3185" s="30">
        <v>138726.07852812801</v>
      </c>
    </row>
    <row r="3186" spans="1:7" x14ac:dyDescent="0.25">
      <c r="A3186" t="s">
        <v>45</v>
      </c>
      <c r="B3186" t="s">
        <v>46</v>
      </c>
      <c r="C3186" t="s">
        <v>47</v>
      </c>
      <c r="D3186">
        <v>6401089</v>
      </c>
      <c r="E3186" t="s">
        <v>48</v>
      </c>
      <c r="F3186" t="s">
        <v>49</v>
      </c>
      <c r="G3186" s="30">
        <v>0</v>
      </c>
    </row>
    <row r="3187" spans="1:7" x14ac:dyDescent="0.25">
      <c r="A3187" t="s">
        <v>65</v>
      </c>
      <c r="B3187" t="s">
        <v>66</v>
      </c>
      <c r="C3187" t="s">
        <v>67</v>
      </c>
      <c r="D3187">
        <v>6402541</v>
      </c>
      <c r="E3187" t="s">
        <v>53</v>
      </c>
      <c r="F3187" t="s">
        <v>49</v>
      </c>
      <c r="G3187" s="30">
        <v>1069.65860435426</v>
      </c>
    </row>
    <row r="3188" spans="1:7" x14ac:dyDescent="0.25">
      <c r="A3188" t="s">
        <v>45</v>
      </c>
      <c r="B3188" t="s">
        <v>46</v>
      </c>
      <c r="C3188" t="s">
        <v>47</v>
      </c>
      <c r="D3188">
        <v>6406762</v>
      </c>
      <c r="E3188" t="s">
        <v>48</v>
      </c>
      <c r="F3188" t="s">
        <v>49</v>
      </c>
      <c r="G3188" s="30">
        <v>0</v>
      </c>
    </row>
    <row r="3189" spans="1:7" x14ac:dyDescent="0.25">
      <c r="A3189" t="s">
        <v>92</v>
      </c>
      <c r="B3189" t="s">
        <v>93</v>
      </c>
      <c r="C3189" t="s">
        <v>81</v>
      </c>
      <c r="D3189">
        <v>6408890</v>
      </c>
      <c r="E3189" t="s">
        <v>53</v>
      </c>
      <c r="F3189" t="s">
        <v>49</v>
      </c>
      <c r="G3189" s="30">
        <v>172919.49941187899</v>
      </c>
    </row>
    <row r="3190" spans="1:7" x14ac:dyDescent="0.25">
      <c r="A3190" t="s">
        <v>96</v>
      </c>
      <c r="B3190" t="s">
        <v>97</v>
      </c>
      <c r="C3190" t="s">
        <v>81</v>
      </c>
      <c r="D3190">
        <v>6409919</v>
      </c>
      <c r="E3190" t="s">
        <v>48</v>
      </c>
      <c r="F3190" t="s">
        <v>49</v>
      </c>
      <c r="G3190" s="30">
        <v>0</v>
      </c>
    </row>
    <row r="3191" spans="1:7" x14ac:dyDescent="0.25">
      <c r="A3191" t="s">
        <v>45</v>
      </c>
      <c r="B3191" t="s">
        <v>46</v>
      </c>
      <c r="C3191" t="s">
        <v>47</v>
      </c>
      <c r="D3191">
        <v>6409985</v>
      </c>
      <c r="E3191" t="s">
        <v>48</v>
      </c>
      <c r="F3191" t="s">
        <v>49</v>
      </c>
      <c r="G3191" s="30">
        <v>0</v>
      </c>
    </row>
    <row r="3192" spans="1:7" x14ac:dyDescent="0.25">
      <c r="A3192" t="s">
        <v>63</v>
      </c>
      <c r="B3192" t="s">
        <v>64</v>
      </c>
      <c r="C3192" t="s">
        <v>56</v>
      </c>
      <c r="D3192">
        <v>6413866</v>
      </c>
      <c r="E3192" t="s">
        <v>48</v>
      </c>
      <c r="F3192" t="s">
        <v>49</v>
      </c>
      <c r="G3192" s="30">
        <v>0</v>
      </c>
    </row>
    <row r="3193" spans="1:7" x14ac:dyDescent="0.25">
      <c r="A3193" t="s">
        <v>45</v>
      </c>
      <c r="B3193" t="s">
        <v>46</v>
      </c>
      <c r="C3193" t="s">
        <v>47</v>
      </c>
      <c r="D3193">
        <v>6419210</v>
      </c>
      <c r="E3193" t="s">
        <v>48</v>
      </c>
      <c r="F3193" t="s">
        <v>49</v>
      </c>
      <c r="G3193" s="30">
        <v>0</v>
      </c>
    </row>
    <row r="3194" spans="1:7" x14ac:dyDescent="0.25">
      <c r="A3194" t="s">
        <v>90</v>
      </c>
      <c r="B3194" t="s">
        <v>91</v>
      </c>
      <c r="C3194" t="s">
        <v>81</v>
      </c>
      <c r="D3194">
        <v>6420566</v>
      </c>
      <c r="E3194" t="s">
        <v>48</v>
      </c>
      <c r="F3194" t="s">
        <v>49</v>
      </c>
      <c r="G3194" s="30">
        <v>0</v>
      </c>
    </row>
    <row r="3195" spans="1:7" x14ac:dyDescent="0.25">
      <c r="A3195" t="s">
        <v>112</v>
      </c>
      <c r="B3195" t="s">
        <v>113</v>
      </c>
      <c r="C3195" t="s">
        <v>81</v>
      </c>
      <c r="D3195">
        <v>6425901</v>
      </c>
      <c r="E3195" t="s">
        <v>53</v>
      </c>
      <c r="F3195" t="s">
        <v>49</v>
      </c>
      <c r="G3195" s="30">
        <v>538945.72812417697</v>
      </c>
    </row>
    <row r="3196" spans="1:7" x14ac:dyDescent="0.25">
      <c r="A3196" t="s">
        <v>65</v>
      </c>
      <c r="B3196" t="s">
        <v>66</v>
      </c>
      <c r="C3196" t="s">
        <v>67</v>
      </c>
      <c r="D3196">
        <v>6432352</v>
      </c>
      <c r="E3196" t="s">
        <v>53</v>
      </c>
      <c r="F3196" t="s">
        <v>49</v>
      </c>
      <c r="G3196" s="30">
        <v>2202751.67798999</v>
      </c>
    </row>
    <row r="3197" spans="1:7" x14ac:dyDescent="0.25">
      <c r="A3197" t="s">
        <v>45</v>
      </c>
      <c r="B3197" t="s">
        <v>46</v>
      </c>
      <c r="C3197" t="s">
        <v>47</v>
      </c>
      <c r="D3197">
        <v>6439412</v>
      </c>
      <c r="E3197" t="s">
        <v>48</v>
      </c>
      <c r="F3197" t="s">
        <v>49</v>
      </c>
      <c r="G3197" s="30">
        <v>0</v>
      </c>
    </row>
    <row r="3198" spans="1:7" x14ac:dyDescent="0.25">
      <c r="A3198" t="s">
        <v>50</v>
      </c>
      <c r="B3198" t="s">
        <v>51</v>
      </c>
      <c r="C3198" t="s">
        <v>52</v>
      </c>
      <c r="D3198">
        <v>6439619</v>
      </c>
      <c r="E3198" t="s">
        <v>53</v>
      </c>
      <c r="F3198" t="s">
        <v>49</v>
      </c>
      <c r="G3198" s="30">
        <v>37282.542321723799</v>
      </c>
    </row>
    <row r="3199" spans="1:7" x14ac:dyDescent="0.25">
      <c r="A3199" t="s">
        <v>50</v>
      </c>
      <c r="B3199" t="s">
        <v>51</v>
      </c>
      <c r="C3199" t="s">
        <v>52</v>
      </c>
      <c r="D3199">
        <v>6439954</v>
      </c>
      <c r="E3199" t="s">
        <v>53</v>
      </c>
      <c r="F3199" t="s">
        <v>49</v>
      </c>
      <c r="G3199" s="30">
        <v>45721.071449482202</v>
      </c>
    </row>
    <row r="3200" spans="1:7" x14ac:dyDescent="0.25">
      <c r="A3200" t="s">
        <v>82</v>
      </c>
      <c r="B3200" t="s">
        <v>83</v>
      </c>
      <c r="C3200" t="s">
        <v>56</v>
      </c>
      <c r="D3200">
        <v>6439971</v>
      </c>
      <c r="E3200" t="s">
        <v>53</v>
      </c>
      <c r="F3200" t="s">
        <v>49</v>
      </c>
      <c r="G3200" s="30">
        <v>1067622.7975130701</v>
      </c>
    </row>
    <row r="3201" spans="1:7" x14ac:dyDescent="0.25">
      <c r="A3201" t="s">
        <v>50</v>
      </c>
      <c r="B3201" t="s">
        <v>51</v>
      </c>
      <c r="C3201" t="s">
        <v>52</v>
      </c>
      <c r="D3201">
        <v>6440236</v>
      </c>
      <c r="E3201" t="s">
        <v>53</v>
      </c>
      <c r="F3201" t="s">
        <v>49</v>
      </c>
      <c r="G3201" s="30">
        <v>68087.673989261297</v>
      </c>
    </row>
    <row r="3202" spans="1:7" x14ac:dyDescent="0.25">
      <c r="A3202" t="s">
        <v>45</v>
      </c>
      <c r="B3202" t="s">
        <v>46</v>
      </c>
      <c r="C3202" t="s">
        <v>47</v>
      </c>
      <c r="D3202">
        <v>6447414</v>
      </c>
      <c r="E3202" t="s">
        <v>53</v>
      </c>
      <c r="F3202" t="s">
        <v>49</v>
      </c>
      <c r="G3202" s="30">
        <v>44910.6935956737</v>
      </c>
    </row>
    <row r="3203" spans="1:7" x14ac:dyDescent="0.25">
      <c r="A3203" t="s">
        <v>45</v>
      </c>
      <c r="B3203" t="s">
        <v>46</v>
      </c>
      <c r="C3203" t="s">
        <v>47</v>
      </c>
      <c r="D3203">
        <v>6450438</v>
      </c>
      <c r="E3203" t="s">
        <v>53</v>
      </c>
      <c r="F3203" t="s">
        <v>49</v>
      </c>
      <c r="G3203" s="30">
        <v>17385.716049713799</v>
      </c>
    </row>
    <row r="3204" spans="1:7" x14ac:dyDescent="0.25">
      <c r="A3204" t="s">
        <v>45</v>
      </c>
      <c r="B3204" t="s">
        <v>46</v>
      </c>
      <c r="C3204" t="s">
        <v>47</v>
      </c>
      <c r="D3204">
        <v>6452555</v>
      </c>
      <c r="E3204" t="s">
        <v>48</v>
      </c>
      <c r="F3204" t="s">
        <v>49</v>
      </c>
      <c r="G3204" s="30">
        <v>0</v>
      </c>
    </row>
    <row r="3205" spans="1:7" x14ac:dyDescent="0.25">
      <c r="A3205" t="s">
        <v>45</v>
      </c>
      <c r="B3205" t="s">
        <v>46</v>
      </c>
      <c r="C3205" t="s">
        <v>47</v>
      </c>
      <c r="D3205">
        <v>6454912</v>
      </c>
      <c r="E3205" t="s">
        <v>48</v>
      </c>
      <c r="F3205" t="s">
        <v>49</v>
      </c>
      <c r="G3205" s="30">
        <v>0</v>
      </c>
    </row>
    <row r="3206" spans="1:7" x14ac:dyDescent="0.25">
      <c r="A3206" t="s">
        <v>45</v>
      </c>
      <c r="B3206" t="s">
        <v>46</v>
      </c>
      <c r="C3206" t="s">
        <v>47</v>
      </c>
      <c r="D3206">
        <v>6454999</v>
      </c>
      <c r="E3206" t="s">
        <v>53</v>
      </c>
      <c r="F3206" t="s">
        <v>49</v>
      </c>
      <c r="G3206" s="30">
        <v>128534.35</v>
      </c>
    </row>
    <row r="3207" spans="1:7" x14ac:dyDescent="0.25">
      <c r="A3207" t="s">
        <v>88</v>
      </c>
      <c r="B3207" t="s">
        <v>89</v>
      </c>
      <c r="C3207" t="s">
        <v>78</v>
      </c>
      <c r="D3207">
        <v>6455062</v>
      </c>
      <c r="E3207" t="s">
        <v>53</v>
      </c>
      <c r="F3207" t="s">
        <v>49</v>
      </c>
      <c r="G3207" s="30">
        <v>192266.535549236</v>
      </c>
    </row>
    <row r="3208" spans="1:7" x14ac:dyDescent="0.25">
      <c r="A3208" t="s">
        <v>45</v>
      </c>
      <c r="B3208" t="s">
        <v>46</v>
      </c>
      <c r="C3208" t="s">
        <v>47</v>
      </c>
      <c r="D3208">
        <v>6455881</v>
      </c>
      <c r="E3208" t="s">
        <v>48</v>
      </c>
      <c r="F3208" t="s">
        <v>49</v>
      </c>
      <c r="G3208" s="30">
        <v>0</v>
      </c>
    </row>
    <row r="3209" spans="1:7" x14ac:dyDescent="0.25">
      <c r="A3209" t="s">
        <v>50</v>
      </c>
      <c r="B3209" t="s">
        <v>51</v>
      </c>
      <c r="C3209" t="s">
        <v>52</v>
      </c>
      <c r="D3209">
        <v>6458943</v>
      </c>
      <c r="E3209" t="s">
        <v>53</v>
      </c>
      <c r="F3209" t="s">
        <v>49</v>
      </c>
      <c r="G3209" s="30">
        <v>12424.5291782819</v>
      </c>
    </row>
    <row r="3210" spans="1:7" x14ac:dyDescent="0.25">
      <c r="A3210" t="s">
        <v>45</v>
      </c>
      <c r="B3210" t="s">
        <v>46</v>
      </c>
      <c r="C3210" t="s">
        <v>47</v>
      </c>
      <c r="D3210">
        <v>6461580</v>
      </c>
      <c r="E3210" t="s">
        <v>48</v>
      </c>
      <c r="F3210" t="s">
        <v>49</v>
      </c>
      <c r="G3210" s="30">
        <v>0</v>
      </c>
    </row>
    <row r="3211" spans="1:7" x14ac:dyDescent="0.25">
      <c r="A3211" t="s">
        <v>94</v>
      </c>
      <c r="B3211" t="s">
        <v>95</v>
      </c>
      <c r="C3211" t="s">
        <v>78</v>
      </c>
      <c r="D3211">
        <v>6462488</v>
      </c>
      <c r="E3211" t="s">
        <v>53</v>
      </c>
      <c r="F3211" t="s">
        <v>49</v>
      </c>
      <c r="G3211" s="30">
        <v>905354.52131888503</v>
      </c>
    </row>
    <row r="3212" spans="1:7" x14ac:dyDescent="0.25">
      <c r="A3212" t="s">
        <v>72</v>
      </c>
      <c r="B3212" t="s">
        <v>73</v>
      </c>
      <c r="C3212" t="s">
        <v>67</v>
      </c>
      <c r="D3212">
        <v>6463895</v>
      </c>
      <c r="E3212" t="s">
        <v>53</v>
      </c>
      <c r="F3212" t="s">
        <v>49</v>
      </c>
      <c r="G3212" s="30">
        <v>25000</v>
      </c>
    </row>
    <row r="3213" spans="1:7" x14ac:dyDescent="0.25">
      <c r="A3213" t="s">
        <v>72</v>
      </c>
      <c r="B3213" t="s">
        <v>73</v>
      </c>
      <c r="C3213" t="s">
        <v>67</v>
      </c>
      <c r="D3213">
        <v>6463930</v>
      </c>
      <c r="E3213" t="s">
        <v>53</v>
      </c>
      <c r="F3213" t="s">
        <v>49</v>
      </c>
      <c r="G3213" s="30">
        <v>45309.383614254402</v>
      </c>
    </row>
    <row r="3214" spans="1:7" x14ac:dyDescent="0.25">
      <c r="A3214" t="s">
        <v>45</v>
      </c>
      <c r="B3214" t="s">
        <v>46</v>
      </c>
      <c r="C3214" t="s">
        <v>47</v>
      </c>
      <c r="D3214">
        <v>6464053</v>
      </c>
      <c r="E3214" t="s">
        <v>48</v>
      </c>
      <c r="F3214" t="s">
        <v>49</v>
      </c>
      <c r="G3214" s="30">
        <v>59.62</v>
      </c>
    </row>
    <row r="3215" spans="1:7" x14ac:dyDescent="0.25">
      <c r="A3215" t="s">
        <v>50</v>
      </c>
      <c r="B3215" t="s">
        <v>51</v>
      </c>
      <c r="C3215" t="s">
        <v>52</v>
      </c>
      <c r="D3215">
        <v>6465322</v>
      </c>
      <c r="E3215" t="s">
        <v>53</v>
      </c>
      <c r="F3215" t="s">
        <v>49</v>
      </c>
      <c r="G3215" s="30">
        <v>8204.7999999999993</v>
      </c>
    </row>
    <row r="3216" spans="1:7" x14ac:dyDescent="0.25">
      <c r="A3216" t="s">
        <v>79</v>
      </c>
      <c r="B3216" t="s">
        <v>80</v>
      </c>
      <c r="C3216" t="s">
        <v>81</v>
      </c>
      <c r="D3216">
        <v>6471519</v>
      </c>
      <c r="E3216" t="s">
        <v>53</v>
      </c>
      <c r="F3216" t="s">
        <v>49</v>
      </c>
      <c r="G3216" s="30">
        <v>58268.9428140194</v>
      </c>
    </row>
    <row r="3217" spans="1:7" x14ac:dyDescent="0.25">
      <c r="A3217" t="s">
        <v>61</v>
      </c>
      <c r="B3217" t="s">
        <v>62</v>
      </c>
      <c r="C3217" t="s">
        <v>56</v>
      </c>
      <c r="D3217">
        <v>6472986</v>
      </c>
      <c r="E3217" t="s">
        <v>48</v>
      </c>
      <c r="F3217" t="s">
        <v>49</v>
      </c>
      <c r="G3217" s="30">
        <v>0</v>
      </c>
    </row>
    <row r="3218" spans="1:7" x14ac:dyDescent="0.25">
      <c r="A3218" t="s">
        <v>68</v>
      </c>
      <c r="B3218" t="s">
        <v>69</v>
      </c>
      <c r="C3218" t="s">
        <v>56</v>
      </c>
      <c r="D3218">
        <v>6475688</v>
      </c>
      <c r="E3218" t="s">
        <v>53</v>
      </c>
      <c r="F3218" t="s">
        <v>49</v>
      </c>
      <c r="G3218" s="30">
        <v>99780.826066734997</v>
      </c>
    </row>
    <row r="3219" spans="1:7" x14ac:dyDescent="0.25">
      <c r="A3219" t="s">
        <v>45</v>
      </c>
      <c r="B3219" t="s">
        <v>46</v>
      </c>
      <c r="C3219" t="s">
        <v>47</v>
      </c>
      <c r="D3219">
        <v>6478661</v>
      </c>
      <c r="E3219" t="s">
        <v>48</v>
      </c>
      <c r="F3219" t="s">
        <v>49</v>
      </c>
      <c r="G3219" s="30">
        <v>0.02</v>
      </c>
    </row>
    <row r="3220" spans="1:7" x14ac:dyDescent="0.25">
      <c r="A3220" t="s">
        <v>63</v>
      </c>
      <c r="B3220" t="s">
        <v>64</v>
      </c>
      <c r="C3220" t="s">
        <v>56</v>
      </c>
      <c r="D3220">
        <v>6480697</v>
      </c>
      <c r="E3220" t="s">
        <v>53</v>
      </c>
      <c r="F3220" t="s">
        <v>49</v>
      </c>
      <c r="G3220" s="30">
        <v>2033584.15101978</v>
      </c>
    </row>
    <row r="3221" spans="1:7" x14ac:dyDescent="0.25">
      <c r="A3221" t="s">
        <v>45</v>
      </c>
      <c r="B3221" t="s">
        <v>46</v>
      </c>
      <c r="C3221" t="s">
        <v>47</v>
      </c>
      <c r="D3221">
        <v>6481257</v>
      </c>
      <c r="E3221" t="s">
        <v>48</v>
      </c>
      <c r="F3221" t="s">
        <v>49</v>
      </c>
      <c r="G3221" s="30">
        <v>0</v>
      </c>
    </row>
    <row r="3222" spans="1:7" x14ac:dyDescent="0.25">
      <c r="A3222" t="s">
        <v>45</v>
      </c>
      <c r="B3222" t="s">
        <v>46</v>
      </c>
      <c r="C3222" t="s">
        <v>47</v>
      </c>
      <c r="D3222">
        <v>6486523</v>
      </c>
      <c r="E3222" t="s">
        <v>53</v>
      </c>
      <c r="F3222" t="s">
        <v>49</v>
      </c>
      <c r="G3222" s="30">
        <v>250338.359375</v>
      </c>
    </row>
    <row r="3223" spans="1:7" x14ac:dyDescent="0.25">
      <c r="A3223" t="s">
        <v>112</v>
      </c>
      <c r="B3223" t="s">
        <v>113</v>
      </c>
      <c r="C3223" t="s">
        <v>81</v>
      </c>
      <c r="D3223">
        <v>6488345</v>
      </c>
      <c r="E3223" t="s">
        <v>53</v>
      </c>
      <c r="F3223" t="s">
        <v>49</v>
      </c>
      <c r="G3223" s="30">
        <v>1047964.04788821</v>
      </c>
    </row>
    <row r="3224" spans="1:7" x14ac:dyDescent="0.25">
      <c r="A3224" t="s">
        <v>45</v>
      </c>
      <c r="B3224" t="s">
        <v>46</v>
      </c>
      <c r="C3224" t="s">
        <v>47</v>
      </c>
      <c r="D3224">
        <v>6488606</v>
      </c>
      <c r="E3224" t="s">
        <v>48</v>
      </c>
      <c r="F3224" t="s">
        <v>49</v>
      </c>
      <c r="G3224" s="30">
        <v>0</v>
      </c>
    </row>
    <row r="3225" spans="1:7" x14ac:dyDescent="0.25">
      <c r="A3225" t="s">
        <v>50</v>
      </c>
      <c r="B3225" t="s">
        <v>51</v>
      </c>
      <c r="C3225" t="s">
        <v>52</v>
      </c>
      <c r="D3225">
        <v>6488834</v>
      </c>
      <c r="E3225" t="s">
        <v>53</v>
      </c>
      <c r="F3225" t="s">
        <v>49</v>
      </c>
      <c r="G3225" s="30">
        <v>213.74</v>
      </c>
    </row>
    <row r="3226" spans="1:7" x14ac:dyDescent="0.25">
      <c r="A3226" t="s">
        <v>90</v>
      </c>
      <c r="B3226" t="s">
        <v>91</v>
      </c>
      <c r="C3226" t="s">
        <v>81</v>
      </c>
      <c r="D3226">
        <v>6491890</v>
      </c>
      <c r="E3226" t="s">
        <v>53</v>
      </c>
      <c r="F3226" t="s">
        <v>49</v>
      </c>
      <c r="G3226" s="30">
        <v>2817383.9442642201</v>
      </c>
    </row>
    <row r="3227" spans="1:7" x14ac:dyDescent="0.25">
      <c r="A3227" t="s">
        <v>86</v>
      </c>
      <c r="B3227" t="s">
        <v>87</v>
      </c>
      <c r="C3227" t="s">
        <v>78</v>
      </c>
      <c r="D3227">
        <v>6494601</v>
      </c>
      <c r="E3227" t="s">
        <v>53</v>
      </c>
      <c r="F3227" t="s">
        <v>49</v>
      </c>
      <c r="G3227" s="30">
        <v>72008.220157704302</v>
      </c>
    </row>
    <row r="3228" spans="1:7" x14ac:dyDescent="0.25">
      <c r="A3228" t="s">
        <v>50</v>
      </c>
      <c r="B3228" t="s">
        <v>51</v>
      </c>
      <c r="C3228" t="s">
        <v>52</v>
      </c>
      <c r="D3228">
        <v>6499574</v>
      </c>
      <c r="E3228" t="s">
        <v>53</v>
      </c>
      <c r="F3228" t="s">
        <v>49</v>
      </c>
      <c r="G3228" s="30">
        <v>897.42</v>
      </c>
    </row>
    <row r="3229" spans="1:7" x14ac:dyDescent="0.25">
      <c r="A3229" t="s">
        <v>86</v>
      </c>
      <c r="B3229" t="s">
        <v>87</v>
      </c>
      <c r="C3229" t="s">
        <v>78</v>
      </c>
      <c r="D3229">
        <v>6505292</v>
      </c>
      <c r="E3229" t="s">
        <v>53</v>
      </c>
      <c r="F3229" t="s">
        <v>49</v>
      </c>
      <c r="G3229" s="30">
        <v>93680.870523749094</v>
      </c>
    </row>
    <row r="3230" spans="1:7" x14ac:dyDescent="0.25">
      <c r="A3230" t="s">
        <v>45</v>
      </c>
      <c r="B3230" t="s">
        <v>46</v>
      </c>
      <c r="C3230" t="s">
        <v>47</v>
      </c>
      <c r="D3230">
        <v>6506877</v>
      </c>
      <c r="E3230" t="s">
        <v>48</v>
      </c>
      <c r="F3230" t="s">
        <v>49</v>
      </c>
      <c r="G3230" s="30">
        <v>0</v>
      </c>
    </row>
    <row r="3231" spans="1:7" x14ac:dyDescent="0.25">
      <c r="A3231" t="s">
        <v>45</v>
      </c>
      <c r="B3231" t="s">
        <v>46</v>
      </c>
      <c r="C3231" t="s">
        <v>47</v>
      </c>
      <c r="D3231">
        <v>6507135</v>
      </c>
      <c r="E3231" t="s">
        <v>48</v>
      </c>
      <c r="F3231" t="s">
        <v>49</v>
      </c>
      <c r="G3231" s="30">
        <v>0</v>
      </c>
    </row>
    <row r="3232" spans="1:7" x14ac:dyDescent="0.25">
      <c r="A3232" t="s">
        <v>50</v>
      </c>
      <c r="B3232" t="s">
        <v>51</v>
      </c>
      <c r="C3232" t="s">
        <v>52</v>
      </c>
      <c r="D3232">
        <v>6509199</v>
      </c>
      <c r="E3232" t="s">
        <v>53</v>
      </c>
      <c r="F3232" t="s">
        <v>49</v>
      </c>
      <c r="G3232" s="30">
        <v>30649.1310849607</v>
      </c>
    </row>
    <row r="3233" spans="1:7" x14ac:dyDescent="0.25">
      <c r="A3233" t="s">
        <v>72</v>
      </c>
      <c r="B3233" t="s">
        <v>73</v>
      </c>
      <c r="C3233" t="s">
        <v>67</v>
      </c>
      <c r="D3233">
        <v>6509317</v>
      </c>
      <c r="E3233" t="s">
        <v>53</v>
      </c>
      <c r="F3233" t="s">
        <v>49</v>
      </c>
      <c r="G3233" s="30">
        <v>339672.962604245</v>
      </c>
    </row>
    <row r="3234" spans="1:7" x14ac:dyDescent="0.25">
      <c r="A3234" t="s">
        <v>50</v>
      </c>
      <c r="B3234" t="s">
        <v>51</v>
      </c>
      <c r="C3234" t="s">
        <v>52</v>
      </c>
      <c r="D3234">
        <v>6510958</v>
      </c>
      <c r="E3234" t="s">
        <v>48</v>
      </c>
      <c r="F3234" t="s">
        <v>49</v>
      </c>
      <c r="G3234" s="30">
        <v>0</v>
      </c>
    </row>
    <row r="3235" spans="1:7" x14ac:dyDescent="0.25">
      <c r="A3235" t="s">
        <v>63</v>
      </c>
      <c r="B3235" t="s">
        <v>64</v>
      </c>
      <c r="C3235" t="s">
        <v>56</v>
      </c>
      <c r="D3235">
        <v>6515135</v>
      </c>
      <c r="E3235" t="s">
        <v>53</v>
      </c>
      <c r="F3235" t="s">
        <v>49</v>
      </c>
      <c r="G3235" s="30">
        <v>144668.656894446</v>
      </c>
    </row>
    <row r="3236" spans="1:7" x14ac:dyDescent="0.25">
      <c r="A3236" t="s">
        <v>90</v>
      </c>
      <c r="B3236" t="s">
        <v>91</v>
      </c>
      <c r="C3236" t="s">
        <v>81</v>
      </c>
      <c r="D3236">
        <v>6519373</v>
      </c>
      <c r="E3236" t="s">
        <v>53</v>
      </c>
      <c r="F3236" t="s">
        <v>49</v>
      </c>
      <c r="G3236" s="30">
        <v>633456.90910800698</v>
      </c>
    </row>
    <row r="3237" spans="1:7" x14ac:dyDescent="0.25">
      <c r="A3237" t="s">
        <v>102</v>
      </c>
      <c r="B3237" t="s">
        <v>103</v>
      </c>
      <c r="C3237" t="s">
        <v>47</v>
      </c>
      <c r="D3237">
        <v>6519709</v>
      </c>
      <c r="E3237" t="s">
        <v>53</v>
      </c>
      <c r="F3237" t="s">
        <v>49</v>
      </c>
      <c r="G3237" s="30">
        <v>692391.80937499995</v>
      </c>
    </row>
    <row r="3238" spans="1:7" x14ac:dyDescent="0.25">
      <c r="A3238" t="s">
        <v>45</v>
      </c>
      <c r="B3238" t="s">
        <v>46</v>
      </c>
      <c r="C3238" t="s">
        <v>47</v>
      </c>
      <c r="D3238">
        <v>6520780</v>
      </c>
      <c r="E3238" t="s">
        <v>48</v>
      </c>
      <c r="F3238" t="s">
        <v>49</v>
      </c>
      <c r="G3238" s="30">
        <v>0</v>
      </c>
    </row>
    <row r="3239" spans="1:7" x14ac:dyDescent="0.25">
      <c r="A3239" t="s">
        <v>88</v>
      </c>
      <c r="B3239" t="s">
        <v>89</v>
      </c>
      <c r="C3239" t="s">
        <v>78</v>
      </c>
      <c r="D3239">
        <v>6521227</v>
      </c>
      <c r="E3239" t="s">
        <v>53</v>
      </c>
      <c r="F3239" t="s">
        <v>49</v>
      </c>
      <c r="G3239" s="30">
        <v>204385.93867789701</v>
      </c>
    </row>
    <row r="3240" spans="1:7" x14ac:dyDescent="0.25">
      <c r="A3240" t="s">
        <v>112</v>
      </c>
      <c r="B3240" t="s">
        <v>113</v>
      </c>
      <c r="C3240" t="s">
        <v>81</v>
      </c>
      <c r="D3240">
        <v>6521606</v>
      </c>
      <c r="E3240" t="s">
        <v>53</v>
      </c>
      <c r="F3240" t="s">
        <v>49</v>
      </c>
      <c r="G3240" s="30">
        <v>106018.63744090599</v>
      </c>
    </row>
    <row r="3241" spans="1:7" x14ac:dyDescent="0.25">
      <c r="A3241" t="s">
        <v>61</v>
      </c>
      <c r="B3241" t="s">
        <v>62</v>
      </c>
      <c r="C3241" t="s">
        <v>56</v>
      </c>
      <c r="D3241">
        <v>6525331</v>
      </c>
      <c r="E3241" t="s">
        <v>48</v>
      </c>
      <c r="F3241" t="s">
        <v>49</v>
      </c>
      <c r="G3241" s="30">
        <v>0.86</v>
      </c>
    </row>
    <row r="3242" spans="1:7" x14ac:dyDescent="0.25">
      <c r="A3242" t="s">
        <v>45</v>
      </c>
      <c r="B3242" t="s">
        <v>46</v>
      </c>
      <c r="C3242" t="s">
        <v>47</v>
      </c>
      <c r="D3242">
        <v>6531041</v>
      </c>
      <c r="E3242" t="s">
        <v>48</v>
      </c>
      <c r="F3242" t="s">
        <v>49</v>
      </c>
      <c r="G3242" s="30">
        <v>0</v>
      </c>
    </row>
    <row r="3243" spans="1:7" x14ac:dyDescent="0.25">
      <c r="A3243" t="s">
        <v>50</v>
      </c>
      <c r="B3243" t="s">
        <v>51</v>
      </c>
      <c r="C3243" t="s">
        <v>52</v>
      </c>
      <c r="D3243">
        <v>6531294</v>
      </c>
      <c r="E3243" t="s">
        <v>53</v>
      </c>
      <c r="F3243" t="s">
        <v>49</v>
      </c>
      <c r="G3243" s="30">
        <v>62.32</v>
      </c>
    </row>
    <row r="3244" spans="1:7" x14ac:dyDescent="0.25">
      <c r="A3244" t="s">
        <v>114</v>
      </c>
      <c r="B3244" t="s">
        <v>115</v>
      </c>
      <c r="C3244" t="s">
        <v>56</v>
      </c>
      <c r="D3244">
        <v>6532789</v>
      </c>
      <c r="E3244" t="s">
        <v>53</v>
      </c>
      <c r="F3244" t="s">
        <v>49</v>
      </c>
      <c r="G3244" s="30">
        <v>182482.05725476801</v>
      </c>
    </row>
    <row r="3245" spans="1:7" x14ac:dyDescent="0.25">
      <c r="A3245" t="s">
        <v>45</v>
      </c>
      <c r="B3245" t="s">
        <v>46</v>
      </c>
      <c r="C3245" t="s">
        <v>47</v>
      </c>
      <c r="D3245">
        <v>6533646</v>
      </c>
      <c r="E3245" t="s">
        <v>48</v>
      </c>
      <c r="F3245" t="s">
        <v>49</v>
      </c>
      <c r="G3245" s="30">
        <v>84.96</v>
      </c>
    </row>
    <row r="3246" spans="1:7" x14ac:dyDescent="0.25">
      <c r="A3246" t="s">
        <v>82</v>
      </c>
      <c r="B3246" t="s">
        <v>83</v>
      </c>
      <c r="C3246" t="s">
        <v>56</v>
      </c>
      <c r="D3246">
        <v>6533853</v>
      </c>
      <c r="E3246" t="s">
        <v>53</v>
      </c>
      <c r="F3246" t="s">
        <v>49</v>
      </c>
      <c r="G3246" s="30">
        <v>5552643.5326384399</v>
      </c>
    </row>
    <row r="3247" spans="1:7" x14ac:dyDescent="0.25">
      <c r="A3247" t="s">
        <v>118</v>
      </c>
      <c r="B3247" t="s">
        <v>119</v>
      </c>
      <c r="C3247" t="s">
        <v>56</v>
      </c>
      <c r="D3247">
        <v>6534327</v>
      </c>
      <c r="E3247" t="s">
        <v>53</v>
      </c>
      <c r="F3247" t="s">
        <v>49</v>
      </c>
      <c r="G3247" s="30">
        <v>480393.64734188298</v>
      </c>
    </row>
    <row r="3248" spans="1:7" x14ac:dyDescent="0.25">
      <c r="A3248" t="s">
        <v>102</v>
      </c>
      <c r="B3248" t="s">
        <v>103</v>
      </c>
      <c r="C3248" t="s">
        <v>47</v>
      </c>
      <c r="D3248">
        <v>6534805</v>
      </c>
      <c r="E3248" t="s">
        <v>53</v>
      </c>
      <c r="F3248" t="s">
        <v>49</v>
      </c>
      <c r="G3248" s="30">
        <v>136273.03473105101</v>
      </c>
    </row>
    <row r="3249" spans="1:7" x14ac:dyDescent="0.25">
      <c r="A3249" t="s">
        <v>45</v>
      </c>
      <c r="B3249" t="s">
        <v>46</v>
      </c>
      <c r="C3249" t="s">
        <v>47</v>
      </c>
      <c r="D3249">
        <v>6548293</v>
      </c>
      <c r="E3249" t="s">
        <v>48</v>
      </c>
      <c r="F3249" t="s">
        <v>49</v>
      </c>
      <c r="G3249" s="30">
        <v>0</v>
      </c>
    </row>
    <row r="3250" spans="1:7" x14ac:dyDescent="0.25">
      <c r="A3250" t="s">
        <v>45</v>
      </c>
      <c r="B3250" t="s">
        <v>46</v>
      </c>
      <c r="C3250" t="s">
        <v>47</v>
      </c>
      <c r="D3250">
        <v>6570590</v>
      </c>
      <c r="E3250" t="s">
        <v>48</v>
      </c>
      <c r="F3250" t="s">
        <v>49</v>
      </c>
      <c r="G3250" s="30">
        <v>0</v>
      </c>
    </row>
    <row r="3251" spans="1:7" x14ac:dyDescent="0.25">
      <c r="A3251" t="s">
        <v>63</v>
      </c>
      <c r="B3251" t="s">
        <v>64</v>
      </c>
      <c r="C3251" t="s">
        <v>56</v>
      </c>
      <c r="D3251">
        <v>6581019</v>
      </c>
      <c r="E3251" t="s">
        <v>53</v>
      </c>
      <c r="F3251" t="s">
        <v>49</v>
      </c>
      <c r="G3251" s="30">
        <v>230014.86</v>
      </c>
    </row>
    <row r="3252" spans="1:7" x14ac:dyDescent="0.25">
      <c r="A3252" t="s">
        <v>45</v>
      </c>
      <c r="B3252" t="s">
        <v>46</v>
      </c>
      <c r="C3252" t="s">
        <v>47</v>
      </c>
      <c r="D3252">
        <v>6582417</v>
      </c>
      <c r="E3252" t="s">
        <v>48</v>
      </c>
      <c r="F3252" t="s">
        <v>49</v>
      </c>
      <c r="G3252" s="30">
        <v>0</v>
      </c>
    </row>
    <row r="3253" spans="1:7" x14ac:dyDescent="0.25">
      <c r="A3253" t="s">
        <v>45</v>
      </c>
      <c r="B3253" t="s">
        <v>46</v>
      </c>
      <c r="C3253" t="s">
        <v>47</v>
      </c>
      <c r="D3253">
        <v>6584226</v>
      </c>
      <c r="E3253" t="s">
        <v>48</v>
      </c>
      <c r="F3253" t="s">
        <v>49</v>
      </c>
      <c r="G3253" s="30">
        <v>0</v>
      </c>
    </row>
    <row r="3254" spans="1:7" x14ac:dyDescent="0.25">
      <c r="A3254" t="s">
        <v>61</v>
      </c>
      <c r="B3254" t="s">
        <v>62</v>
      </c>
      <c r="C3254" t="s">
        <v>56</v>
      </c>
      <c r="D3254">
        <v>6585132</v>
      </c>
      <c r="E3254" t="s">
        <v>53</v>
      </c>
      <c r="F3254" t="s">
        <v>49</v>
      </c>
      <c r="G3254" s="30">
        <v>474672.45798828098</v>
      </c>
    </row>
    <row r="3255" spans="1:7" x14ac:dyDescent="0.25">
      <c r="A3255" t="s">
        <v>88</v>
      </c>
      <c r="B3255" t="s">
        <v>89</v>
      </c>
      <c r="C3255" t="s">
        <v>78</v>
      </c>
      <c r="D3255">
        <v>6589680</v>
      </c>
      <c r="E3255" t="s">
        <v>53</v>
      </c>
      <c r="F3255" t="s">
        <v>49</v>
      </c>
      <c r="G3255" s="30">
        <v>147924.84035153801</v>
      </c>
    </row>
    <row r="3256" spans="1:7" x14ac:dyDescent="0.25">
      <c r="A3256" t="s">
        <v>50</v>
      </c>
      <c r="B3256" t="s">
        <v>51</v>
      </c>
      <c r="C3256" t="s">
        <v>52</v>
      </c>
      <c r="D3256">
        <v>6592408</v>
      </c>
      <c r="E3256" t="s">
        <v>53</v>
      </c>
      <c r="F3256" t="s">
        <v>49</v>
      </c>
      <c r="G3256" s="30">
        <v>80209.402804548401</v>
      </c>
    </row>
    <row r="3257" spans="1:7" x14ac:dyDescent="0.25">
      <c r="A3257" t="s">
        <v>45</v>
      </c>
      <c r="B3257" t="s">
        <v>46</v>
      </c>
      <c r="C3257" t="s">
        <v>47</v>
      </c>
      <c r="D3257">
        <v>6594195</v>
      </c>
      <c r="E3257" t="s">
        <v>48</v>
      </c>
      <c r="F3257" t="s">
        <v>49</v>
      </c>
      <c r="G3257" s="30">
        <v>0</v>
      </c>
    </row>
    <row r="3258" spans="1:7" x14ac:dyDescent="0.25">
      <c r="A3258" t="s">
        <v>65</v>
      </c>
      <c r="B3258" t="s">
        <v>66</v>
      </c>
      <c r="C3258" t="s">
        <v>67</v>
      </c>
      <c r="D3258">
        <v>6594427</v>
      </c>
      <c r="E3258" t="s">
        <v>53</v>
      </c>
      <c r="F3258" t="s">
        <v>49</v>
      </c>
      <c r="G3258" s="30">
        <v>8406044.7688355409</v>
      </c>
    </row>
    <row r="3259" spans="1:7" x14ac:dyDescent="0.25">
      <c r="A3259" t="s">
        <v>96</v>
      </c>
      <c r="B3259" t="s">
        <v>97</v>
      </c>
      <c r="C3259" t="s">
        <v>81</v>
      </c>
      <c r="D3259">
        <v>6594429</v>
      </c>
      <c r="E3259" t="s">
        <v>53</v>
      </c>
      <c r="F3259" t="s">
        <v>49</v>
      </c>
      <c r="G3259" s="30">
        <v>5890671.6557386899</v>
      </c>
    </row>
    <row r="3260" spans="1:7" x14ac:dyDescent="0.25">
      <c r="A3260" t="s">
        <v>45</v>
      </c>
      <c r="B3260" t="s">
        <v>46</v>
      </c>
      <c r="C3260" t="s">
        <v>47</v>
      </c>
      <c r="D3260">
        <v>6596003</v>
      </c>
      <c r="E3260" t="s">
        <v>48</v>
      </c>
      <c r="F3260" t="s">
        <v>49</v>
      </c>
      <c r="G3260" s="30">
        <v>0</v>
      </c>
    </row>
    <row r="3261" spans="1:7" x14ac:dyDescent="0.25">
      <c r="A3261" t="s">
        <v>45</v>
      </c>
      <c r="B3261" t="s">
        <v>46</v>
      </c>
      <c r="C3261" t="s">
        <v>47</v>
      </c>
      <c r="D3261">
        <v>6596363</v>
      </c>
      <c r="E3261" t="s">
        <v>48</v>
      </c>
      <c r="F3261" t="s">
        <v>49</v>
      </c>
      <c r="G3261" s="30">
        <v>0</v>
      </c>
    </row>
    <row r="3262" spans="1:7" x14ac:dyDescent="0.25">
      <c r="A3262" t="s">
        <v>133</v>
      </c>
      <c r="B3262" t="s">
        <v>134</v>
      </c>
      <c r="C3262" t="s">
        <v>47</v>
      </c>
      <c r="D3262">
        <v>6603212</v>
      </c>
      <c r="E3262" t="s">
        <v>53</v>
      </c>
      <c r="F3262" t="s">
        <v>49</v>
      </c>
      <c r="G3262" s="30">
        <v>26758.071866738701</v>
      </c>
    </row>
    <row r="3263" spans="1:7" x14ac:dyDescent="0.25">
      <c r="A3263" t="s">
        <v>59</v>
      </c>
      <c r="B3263" t="s">
        <v>60</v>
      </c>
      <c r="C3263" t="s">
        <v>56</v>
      </c>
      <c r="D3263">
        <v>6603409</v>
      </c>
      <c r="E3263" t="s">
        <v>53</v>
      </c>
      <c r="F3263" t="s">
        <v>49</v>
      </c>
      <c r="G3263" s="30">
        <v>526260.28203124995</v>
      </c>
    </row>
    <row r="3264" spans="1:7" x14ac:dyDescent="0.25">
      <c r="A3264" t="s">
        <v>59</v>
      </c>
      <c r="B3264" t="s">
        <v>60</v>
      </c>
      <c r="C3264" t="s">
        <v>56</v>
      </c>
      <c r="D3264">
        <v>6604255</v>
      </c>
      <c r="E3264" t="s">
        <v>53</v>
      </c>
      <c r="F3264" t="s">
        <v>49</v>
      </c>
      <c r="G3264" s="30">
        <v>173055.42850472199</v>
      </c>
    </row>
    <row r="3265" spans="1:7" x14ac:dyDescent="0.25">
      <c r="A3265" t="s">
        <v>59</v>
      </c>
      <c r="B3265" t="s">
        <v>60</v>
      </c>
      <c r="C3265" t="s">
        <v>56</v>
      </c>
      <c r="D3265">
        <v>6604377</v>
      </c>
      <c r="E3265" t="s">
        <v>53</v>
      </c>
      <c r="F3265" t="s">
        <v>49</v>
      </c>
      <c r="G3265" s="30">
        <v>215230.180411084</v>
      </c>
    </row>
    <row r="3266" spans="1:7" x14ac:dyDescent="0.25">
      <c r="A3266" t="s">
        <v>82</v>
      </c>
      <c r="B3266" t="s">
        <v>83</v>
      </c>
      <c r="C3266" t="s">
        <v>56</v>
      </c>
      <c r="D3266">
        <v>6608407</v>
      </c>
      <c r="E3266" t="s">
        <v>53</v>
      </c>
      <c r="F3266" t="s">
        <v>49</v>
      </c>
      <c r="G3266" s="30">
        <v>1513072.45442328</v>
      </c>
    </row>
    <row r="3267" spans="1:7" x14ac:dyDescent="0.25">
      <c r="A3267" t="s">
        <v>92</v>
      </c>
      <c r="B3267" t="s">
        <v>93</v>
      </c>
      <c r="C3267" t="s">
        <v>81</v>
      </c>
      <c r="D3267">
        <v>6615843</v>
      </c>
      <c r="E3267" t="s">
        <v>53</v>
      </c>
      <c r="F3267" t="s">
        <v>49</v>
      </c>
      <c r="G3267" s="30">
        <v>24690.9744106818</v>
      </c>
    </row>
    <row r="3268" spans="1:7" x14ac:dyDescent="0.25">
      <c r="A3268" t="s">
        <v>90</v>
      </c>
      <c r="B3268" t="s">
        <v>91</v>
      </c>
      <c r="C3268" t="s">
        <v>81</v>
      </c>
      <c r="D3268">
        <v>6619494</v>
      </c>
      <c r="E3268" t="s">
        <v>53</v>
      </c>
      <c r="F3268" t="s">
        <v>49</v>
      </c>
      <c r="G3268" s="30">
        <v>289057.532677815</v>
      </c>
    </row>
    <row r="3269" spans="1:7" x14ac:dyDescent="0.25">
      <c r="A3269" t="s">
        <v>131</v>
      </c>
      <c r="B3269" t="s">
        <v>132</v>
      </c>
      <c r="C3269" t="s">
        <v>67</v>
      </c>
      <c r="D3269">
        <v>6620905</v>
      </c>
      <c r="E3269" t="s">
        <v>48</v>
      </c>
      <c r="F3269" t="s">
        <v>49</v>
      </c>
      <c r="G3269" s="30">
        <v>0</v>
      </c>
    </row>
    <row r="3270" spans="1:7" x14ac:dyDescent="0.25">
      <c r="A3270" t="s">
        <v>104</v>
      </c>
      <c r="B3270" t="s">
        <v>105</v>
      </c>
      <c r="C3270" t="s">
        <v>78</v>
      </c>
      <c r="D3270">
        <v>6621647</v>
      </c>
      <c r="E3270" t="s">
        <v>53</v>
      </c>
      <c r="F3270" t="s">
        <v>49</v>
      </c>
      <c r="G3270" s="30">
        <v>170439.192129395</v>
      </c>
    </row>
    <row r="3271" spans="1:7" x14ac:dyDescent="0.25">
      <c r="A3271" t="s">
        <v>45</v>
      </c>
      <c r="B3271" t="s">
        <v>46</v>
      </c>
      <c r="C3271" t="s">
        <v>47</v>
      </c>
      <c r="D3271">
        <v>6630181</v>
      </c>
      <c r="E3271" t="s">
        <v>48</v>
      </c>
      <c r="F3271" t="s">
        <v>49</v>
      </c>
      <c r="G3271" s="30">
        <v>0</v>
      </c>
    </row>
    <row r="3272" spans="1:7" x14ac:dyDescent="0.25">
      <c r="A3272" t="s">
        <v>45</v>
      </c>
      <c r="B3272" t="s">
        <v>46</v>
      </c>
      <c r="C3272" t="s">
        <v>47</v>
      </c>
      <c r="D3272">
        <v>6634629</v>
      </c>
      <c r="E3272" t="s">
        <v>48</v>
      </c>
      <c r="F3272" t="s">
        <v>49</v>
      </c>
      <c r="G3272" s="30">
        <v>0</v>
      </c>
    </row>
    <row r="3273" spans="1:7" x14ac:dyDescent="0.25">
      <c r="A3273" t="s">
        <v>116</v>
      </c>
      <c r="B3273" t="s">
        <v>117</v>
      </c>
      <c r="C3273" t="s">
        <v>47</v>
      </c>
      <c r="D3273">
        <v>6634669</v>
      </c>
      <c r="E3273" t="s">
        <v>53</v>
      </c>
      <c r="F3273" t="s">
        <v>49</v>
      </c>
      <c r="G3273" s="30">
        <v>106751.796796875</v>
      </c>
    </row>
    <row r="3274" spans="1:7" x14ac:dyDescent="0.25">
      <c r="A3274" t="s">
        <v>50</v>
      </c>
      <c r="B3274" t="s">
        <v>51</v>
      </c>
      <c r="C3274" t="s">
        <v>52</v>
      </c>
      <c r="D3274">
        <v>6661881</v>
      </c>
      <c r="E3274" t="s">
        <v>53</v>
      </c>
      <c r="F3274" t="s">
        <v>49</v>
      </c>
      <c r="G3274" s="30">
        <v>51286.292744951897</v>
      </c>
    </row>
    <row r="3275" spans="1:7" x14ac:dyDescent="0.25">
      <c r="A3275" t="s">
        <v>131</v>
      </c>
      <c r="B3275" t="s">
        <v>132</v>
      </c>
      <c r="C3275" t="s">
        <v>67</v>
      </c>
      <c r="D3275">
        <v>6663260</v>
      </c>
      <c r="E3275" t="s">
        <v>53</v>
      </c>
      <c r="F3275" t="s">
        <v>49</v>
      </c>
      <c r="G3275" s="30">
        <v>987510.44029978802</v>
      </c>
    </row>
    <row r="3276" spans="1:7" x14ac:dyDescent="0.25">
      <c r="A3276" t="s">
        <v>45</v>
      </c>
      <c r="B3276" t="s">
        <v>46</v>
      </c>
      <c r="C3276" t="s">
        <v>47</v>
      </c>
      <c r="D3276">
        <v>6664059</v>
      </c>
      <c r="E3276" t="s">
        <v>48</v>
      </c>
      <c r="F3276" t="s">
        <v>49</v>
      </c>
      <c r="G3276" s="30">
        <v>0</v>
      </c>
    </row>
    <row r="3277" spans="1:7" x14ac:dyDescent="0.25">
      <c r="A3277" t="s">
        <v>45</v>
      </c>
      <c r="B3277" t="s">
        <v>46</v>
      </c>
      <c r="C3277" t="s">
        <v>47</v>
      </c>
      <c r="D3277">
        <v>6664743</v>
      </c>
      <c r="E3277" t="s">
        <v>48</v>
      </c>
      <c r="F3277" t="s">
        <v>49</v>
      </c>
      <c r="G3277" s="30">
        <v>0</v>
      </c>
    </row>
    <row r="3278" spans="1:7" x14ac:dyDescent="0.25">
      <c r="A3278" t="s">
        <v>45</v>
      </c>
      <c r="B3278" t="s">
        <v>46</v>
      </c>
      <c r="C3278" t="s">
        <v>47</v>
      </c>
      <c r="D3278">
        <v>6666539</v>
      </c>
      <c r="E3278" t="s">
        <v>48</v>
      </c>
      <c r="F3278" t="s">
        <v>49</v>
      </c>
      <c r="G3278" s="30">
        <v>0</v>
      </c>
    </row>
    <row r="3279" spans="1:7" x14ac:dyDescent="0.25">
      <c r="A3279" t="s">
        <v>86</v>
      </c>
      <c r="B3279" t="s">
        <v>87</v>
      </c>
      <c r="C3279" t="s">
        <v>78</v>
      </c>
      <c r="D3279">
        <v>6669349</v>
      </c>
      <c r="E3279" t="s">
        <v>53</v>
      </c>
      <c r="F3279" t="s">
        <v>49</v>
      </c>
      <c r="G3279" s="30">
        <v>476385.688271572</v>
      </c>
    </row>
    <row r="3280" spans="1:7" x14ac:dyDescent="0.25">
      <c r="A3280" t="s">
        <v>59</v>
      </c>
      <c r="B3280" t="s">
        <v>60</v>
      </c>
      <c r="C3280" t="s">
        <v>56</v>
      </c>
      <c r="D3280">
        <v>6673291</v>
      </c>
      <c r="E3280" t="s">
        <v>53</v>
      </c>
      <c r="F3280" t="s">
        <v>49</v>
      </c>
      <c r="G3280" s="30">
        <v>23553.7704492187</v>
      </c>
    </row>
    <row r="3281" spans="1:7" x14ac:dyDescent="0.25">
      <c r="A3281" t="s">
        <v>133</v>
      </c>
      <c r="B3281" t="s">
        <v>134</v>
      </c>
      <c r="C3281" t="s">
        <v>47</v>
      </c>
      <c r="D3281">
        <v>6673606</v>
      </c>
      <c r="E3281" t="s">
        <v>48</v>
      </c>
      <c r="F3281" t="s">
        <v>49</v>
      </c>
      <c r="G3281" s="30">
        <v>0</v>
      </c>
    </row>
    <row r="3282" spans="1:7" x14ac:dyDescent="0.25">
      <c r="A3282" t="s">
        <v>63</v>
      </c>
      <c r="B3282" t="s">
        <v>64</v>
      </c>
      <c r="C3282" t="s">
        <v>56</v>
      </c>
      <c r="D3282">
        <v>6675320</v>
      </c>
      <c r="E3282" t="s">
        <v>53</v>
      </c>
      <c r="F3282" t="s">
        <v>49</v>
      </c>
      <c r="G3282" s="30">
        <v>616494.79744166904</v>
      </c>
    </row>
    <row r="3283" spans="1:7" x14ac:dyDescent="0.25">
      <c r="A3283" t="s">
        <v>50</v>
      </c>
      <c r="B3283" t="s">
        <v>51</v>
      </c>
      <c r="C3283" t="s">
        <v>52</v>
      </c>
      <c r="D3283">
        <v>6676820</v>
      </c>
      <c r="E3283" t="s">
        <v>53</v>
      </c>
      <c r="F3283" t="s">
        <v>49</v>
      </c>
      <c r="G3283" s="30">
        <v>41966.24609375</v>
      </c>
    </row>
    <row r="3284" spans="1:7" x14ac:dyDescent="0.25">
      <c r="A3284" t="s">
        <v>72</v>
      </c>
      <c r="B3284" t="s">
        <v>73</v>
      </c>
      <c r="C3284" t="s">
        <v>67</v>
      </c>
      <c r="D3284">
        <v>6677311</v>
      </c>
      <c r="E3284" t="s">
        <v>53</v>
      </c>
      <c r="F3284" t="s">
        <v>49</v>
      </c>
      <c r="G3284" s="30">
        <v>7022964.5835973304</v>
      </c>
    </row>
    <row r="3285" spans="1:7" x14ac:dyDescent="0.25">
      <c r="A3285" t="s">
        <v>45</v>
      </c>
      <c r="B3285" t="s">
        <v>46</v>
      </c>
      <c r="C3285" t="s">
        <v>47</v>
      </c>
      <c r="D3285">
        <v>6677500</v>
      </c>
      <c r="E3285" t="s">
        <v>48</v>
      </c>
      <c r="F3285" t="s">
        <v>49</v>
      </c>
      <c r="G3285" s="30">
        <v>0</v>
      </c>
    </row>
    <row r="3286" spans="1:7" x14ac:dyDescent="0.25">
      <c r="A3286" t="s">
        <v>104</v>
      </c>
      <c r="B3286" t="s">
        <v>105</v>
      </c>
      <c r="C3286" t="s">
        <v>78</v>
      </c>
      <c r="D3286">
        <v>6678419</v>
      </c>
      <c r="E3286" t="s">
        <v>53</v>
      </c>
      <c r="F3286" t="s">
        <v>49</v>
      </c>
      <c r="G3286" s="30">
        <v>102616.901279254</v>
      </c>
    </row>
    <row r="3287" spans="1:7" x14ac:dyDescent="0.25">
      <c r="A3287" t="s">
        <v>90</v>
      </c>
      <c r="B3287" t="s">
        <v>91</v>
      </c>
      <c r="C3287" t="s">
        <v>81</v>
      </c>
      <c r="D3287">
        <v>6679355</v>
      </c>
      <c r="E3287" t="s">
        <v>53</v>
      </c>
      <c r="F3287" t="s">
        <v>49</v>
      </c>
      <c r="G3287" s="30">
        <v>424504.744140625</v>
      </c>
    </row>
    <row r="3288" spans="1:7" x14ac:dyDescent="0.25">
      <c r="A3288" t="s">
        <v>45</v>
      </c>
      <c r="B3288" t="s">
        <v>46</v>
      </c>
      <c r="C3288" t="s">
        <v>47</v>
      </c>
      <c r="D3288">
        <v>6682546</v>
      </c>
      <c r="E3288" t="s">
        <v>48</v>
      </c>
      <c r="F3288" t="s">
        <v>49</v>
      </c>
      <c r="G3288" s="30">
        <v>0</v>
      </c>
    </row>
    <row r="3289" spans="1:7" x14ac:dyDescent="0.25">
      <c r="A3289" t="s">
        <v>102</v>
      </c>
      <c r="B3289" t="s">
        <v>103</v>
      </c>
      <c r="C3289" t="s">
        <v>47</v>
      </c>
      <c r="D3289">
        <v>6682626</v>
      </c>
      <c r="E3289" t="s">
        <v>53</v>
      </c>
      <c r="F3289" t="s">
        <v>49</v>
      </c>
      <c r="G3289" s="30">
        <v>392297.23219297198</v>
      </c>
    </row>
    <row r="3290" spans="1:7" x14ac:dyDescent="0.25">
      <c r="A3290" t="s">
        <v>50</v>
      </c>
      <c r="B3290" t="s">
        <v>51</v>
      </c>
      <c r="C3290" t="s">
        <v>52</v>
      </c>
      <c r="D3290">
        <v>6682902</v>
      </c>
      <c r="E3290" t="s">
        <v>53</v>
      </c>
      <c r="F3290" t="s">
        <v>49</v>
      </c>
      <c r="G3290" s="30">
        <v>1040.96</v>
      </c>
    </row>
    <row r="3291" spans="1:7" x14ac:dyDescent="0.25">
      <c r="A3291" t="s">
        <v>94</v>
      </c>
      <c r="B3291" t="s">
        <v>95</v>
      </c>
      <c r="C3291" t="s">
        <v>78</v>
      </c>
      <c r="D3291">
        <v>6683488</v>
      </c>
      <c r="E3291" t="s">
        <v>53</v>
      </c>
      <c r="F3291" t="s">
        <v>49</v>
      </c>
      <c r="G3291" s="30">
        <v>5094476.4939225698</v>
      </c>
    </row>
    <row r="3292" spans="1:7" x14ac:dyDescent="0.25">
      <c r="A3292" t="s">
        <v>59</v>
      </c>
      <c r="B3292" t="s">
        <v>60</v>
      </c>
      <c r="C3292" t="s">
        <v>56</v>
      </c>
      <c r="D3292">
        <v>6686740</v>
      </c>
      <c r="E3292" t="s">
        <v>53</v>
      </c>
      <c r="F3292" t="s">
        <v>49</v>
      </c>
      <c r="G3292" s="30">
        <v>199583.00366249401</v>
      </c>
    </row>
    <row r="3293" spans="1:7" x14ac:dyDescent="0.25">
      <c r="A3293" t="s">
        <v>61</v>
      </c>
      <c r="B3293" t="s">
        <v>62</v>
      </c>
      <c r="C3293" t="s">
        <v>56</v>
      </c>
      <c r="D3293">
        <v>6687834</v>
      </c>
      <c r="E3293" t="s">
        <v>53</v>
      </c>
      <c r="F3293" t="s">
        <v>49</v>
      </c>
      <c r="G3293" s="30">
        <v>59363.568194162697</v>
      </c>
    </row>
    <row r="3294" spans="1:7" x14ac:dyDescent="0.25">
      <c r="A3294" t="s">
        <v>72</v>
      </c>
      <c r="B3294" t="s">
        <v>73</v>
      </c>
      <c r="C3294" t="s">
        <v>67</v>
      </c>
      <c r="D3294">
        <v>6689130</v>
      </c>
      <c r="E3294" t="s">
        <v>53</v>
      </c>
      <c r="F3294" t="s">
        <v>49</v>
      </c>
      <c r="G3294" s="30">
        <v>886817.05870095303</v>
      </c>
    </row>
    <row r="3295" spans="1:7" x14ac:dyDescent="0.25">
      <c r="A3295" t="s">
        <v>45</v>
      </c>
      <c r="B3295" t="s">
        <v>46</v>
      </c>
      <c r="C3295" t="s">
        <v>47</v>
      </c>
      <c r="D3295">
        <v>6696437</v>
      </c>
      <c r="E3295" t="s">
        <v>53</v>
      </c>
      <c r="F3295" t="s">
        <v>49</v>
      </c>
      <c r="G3295" s="30">
        <v>124.48958228120399</v>
      </c>
    </row>
    <row r="3296" spans="1:7" x14ac:dyDescent="0.25">
      <c r="A3296" t="s">
        <v>50</v>
      </c>
      <c r="B3296" t="s">
        <v>51</v>
      </c>
      <c r="C3296" t="s">
        <v>52</v>
      </c>
      <c r="D3296">
        <v>6699135</v>
      </c>
      <c r="E3296" t="s">
        <v>53</v>
      </c>
      <c r="F3296" t="s">
        <v>49</v>
      </c>
      <c r="G3296" s="30">
        <v>15724.1983093366</v>
      </c>
    </row>
    <row r="3297" spans="1:7" x14ac:dyDescent="0.25">
      <c r="A3297" t="s">
        <v>90</v>
      </c>
      <c r="B3297" t="s">
        <v>91</v>
      </c>
      <c r="C3297" t="s">
        <v>81</v>
      </c>
      <c r="D3297">
        <v>6700515</v>
      </c>
      <c r="E3297" t="s">
        <v>53</v>
      </c>
      <c r="F3297" t="s">
        <v>49</v>
      </c>
      <c r="G3297" s="30">
        <v>1540232.4637323101</v>
      </c>
    </row>
    <row r="3298" spans="1:7" x14ac:dyDescent="0.25">
      <c r="A3298" t="s">
        <v>45</v>
      </c>
      <c r="B3298" t="s">
        <v>46</v>
      </c>
      <c r="C3298" t="s">
        <v>47</v>
      </c>
      <c r="D3298">
        <v>6702276</v>
      </c>
      <c r="E3298" t="s">
        <v>48</v>
      </c>
      <c r="F3298" t="s">
        <v>49</v>
      </c>
      <c r="G3298" s="30">
        <v>0</v>
      </c>
    </row>
    <row r="3299" spans="1:7" x14ac:dyDescent="0.25">
      <c r="A3299" t="s">
        <v>50</v>
      </c>
      <c r="B3299" t="s">
        <v>51</v>
      </c>
      <c r="C3299" t="s">
        <v>52</v>
      </c>
      <c r="D3299">
        <v>6703191</v>
      </c>
      <c r="E3299" t="s">
        <v>53</v>
      </c>
      <c r="F3299" t="s">
        <v>49</v>
      </c>
      <c r="G3299" s="30">
        <v>33848.118797752497</v>
      </c>
    </row>
    <row r="3300" spans="1:7" x14ac:dyDescent="0.25">
      <c r="A3300" t="s">
        <v>90</v>
      </c>
      <c r="B3300" t="s">
        <v>91</v>
      </c>
      <c r="C3300" t="s">
        <v>81</v>
      </c>
      <c r="D3300">
        <v>6704299</v>
      </c>
      <c r="E3300" t="s">
        <v>53</v>
      </c>
      <c r="F3300" t="s">
        <v>49</v>
      </c>
      <c r="G3300" s="30">
        <v>256221.75638752201</v>
      </c>
    </row>
    <row r="3301" spans="1:7" x14ac:dyDescent="0.25">
      <c r="A3301" t="s">
        <v>45</v>
      </c>
      <c r="B3301" t="s">
        <v>46</v>
      </c>
      <c r="C3301" t="s">
        <v>47</v>
      </c>
      <c r="D3301">
        <v>6707434</v>
      </c>
      <c r="E3301" t="s">
        <v>48</v>
      </c>
      <c r="F3301" t="s">
        <v>49</v>
      </c>
      <c r="G3301" s="30">
        <v>0</v>
      </c>
    </row>
    <row r="3302" spans="1:7" x14ac:dyDescent="0.25">
      <c r="A3302" t="s">
        <v>50</v>
      </c>
      <c r="B3302" t="s">
        <v>51</v>
      </c>
      <c r="C3302" t="s">
        <v>52</v>
      </c>
      <c r="D3302">
        <v>6736977</v>
      </c>
      <c r="E3302" t="s">
        <v>53</v>
      </c>
      <c r="F3302" t="s">
        <v>49</v>
      </c>
      <c r="G3302" s="30">
        <v>272.68</v>
      </c>
    </row>
    <row r="3303" spans="1:7" x14ac:dyDescent="0.25">
      <c r="A3303" t="s">
        <v>70</v>
      </c>
      <c r="B3303" t="s">
        <v>71</v>
      </c>
      <c r="C3303" t="s">
        <v>47</v>
      </c>
      <c r="D3303">
        <v>6739003</v>
      </c>
      <c r="E3303" t="s">
        <v>53</v>
      </c>
      <c r="F3303" t="s">
        <v>49</v>
      </c>
      <c r="G3303" s="30">
        <v>365073.41233355302</v>
      </c>
    </row>
    <row r="3304" spans="1:7" x14ac:dyDescent="0.25">
      <c r="A3304" t="s">
        <v>45</v>
      </c>
      <c r="B3304" t="s">
        <v>46</v>
      </c>
      <c r="C3304" t="s">
        <v>47</v>
      </c>
      <c r="D3304">
        <v>6740951</v>
      </c>
      <c r="E3304" t="s">
        <v>48</v>
      </c>
      <c r="F3304" t="s">
        <v>49</v>
      </c>
      <c r="G3304" s="30">
        <v>0</v>
      </c>
    </row>
    <row r="3305" spans="1:7" x14ac:dyDescent="0.25">
      <c r="A3305" t="s">
        <v>50</v>
      </c>
      <c r="B3305" t="s">
        <v>51</v>
      </c>
      <c r="C3305" t="s">
        <v>52</v>
      </c>
      <c r="D3305">
        <v>6741458</v>
      </c>
      <c r="E3305" t="s">
        <v>53</v>
      </c>
      <c r="F3305" t="s">
        <v>49</v>
      </c>
      <c r="G3305" s="30">
        <v>338.78716055587302</v>
      </c>
    </row>
    <row r="3306" spans="1:7" x14ac:dyDescent="0.25">
      <c r="A3306" t="s">
        <v>74</v>
      </c>
      <c r="B3306" t="s">
        <v>75</v>
      </c>
      <c r="C3306" t="s">
        <v>67</v>
      </c>
      <c r="D3306">
        <v>6761562</v>
      </c>
      <c r="E3306" t="s">
        <v>53</v>
      </c>
      <c r="F3306" t="s">
        <v>49</v>
      </c>
      <c r="G3306" s="30">
        <v>451417.25900400802</v>
      </c>
    </row>
    <row r="3307" spans="1:7" x14ac:dyDescent="0.25">
      <c r="A3307" t="s">
        <v>45</v>
      </c>
      <c r="B3307" t="s">
        <v>46</v>
      </c>
      <c r="C3307" t="s">
        <v>47</v>
      </c>
      <c r="D3307">
        <v>6785470</v>
      </c>
      <c r="E3307" t="s">
        <v>48</v>
      </c>
      <c r="F3307" t="s">
        <v>49</v>
      </c>
      <c r="G3307" s="30">
        <v>0</v>
      </c>
    </row>
    <row r="3308" spans="1:7" x14ac:dyDescent="0.25">
      <c r="A3308" t="s">
        <v>45</v>
      </c>
      <c r="B3308" t="s">
        <v>46</v>
      </c>
      <c r="C3308" t="s">
        <v>47</v>
      </c>
      <c r="D3308">
        <v>6809247</v>
      </c>
      <c r="E3308" t="s">
        <v>53</v>
      </c>
      <c r="F3308" t="s">
        <v>49</v>
      </c>
      <c r="G3308" s="30">
        <v>160915.612315454</v>
      </c>
    </row>
    <row r="3309" spans="1:7" x14ac:dyDescent="0.25">
      <c r="A3309" t="s">
        <v>45</v>
      </c>
      <c r="B3309" t="s">
        <v>46</v>
      </c>
      <c r="C3309" t="s">
        <v>47</v>
      </c>
      <c r="D3309">
        <v>6809415</v>
      </c>
      <c r="E3309" t="s">
        <v>48</v>
      </c>
      <c r="F3309" t="s">
        <v>49</v>
      </c>
      <c r="G3309" s="30">
        <v>0</v>
      </c>
    </row>
    <row r="3310" spans="1:7" x14ac:dyDescent="0.25">
      <c r="A3310" t="s">
        <v>90</v>
      </c>
      <c r="B3310" t="s">
        <v>91</v>
      </c>
      <c r="C3310" t="s">
        <v>81</v>
      </c>
      <c r="D3310">
        <v>6814184</v>
      </c>
      <c r="E3310" t="s">
        <v>53</v>
      </c>
      <c r="F3310" t="s">
        <v>49</v>
      </c>
      <c r="G3310" s="30">
        <v>569177.46485802694</v>
      </c>
    </row>
    <row r="3311" spans="1:7" x14ac:dyDescent="0.25">
      <c r="A3311" t="s">
        <v>86</v>
      </c>
      <c r="B3311" t="s">
        <v>87</v>
      </c>
      <c r="C3311" t="s">
        <v>78</v>
      </c>
      <c r="D3311">
        <v>6829081</v>
      </c>
      <c r="E3311" t="s">
        <v>53</v>
      </c>
      <c r="F3311" t="s">
        <v>49</v>
      </c>
      <c r="G3311" s="30">
        <v>773987.43875387998</v>
      </c>
    </row>
    <row r="3312" spans="1:7" x14ac:dyDescent="0.25">
      <c r="A3312" t="s">
        <v>45</v>
      </c>
      <c r="B3312" t="s">
        <v>46</v>
      </c>
      <c r="C3312" t="s">
        <v>47</v>
      </c>
      <c r="D3312">
        <v>6831241</v>
      </c>
      <c r="E3312" t="s">
        <v>48</v>
      </c>
      <c r="F3312" t="s">
        <v>49</v>
      </c>
      <c r="G3312" s="30">
        <v>0</v>
      </c>
    </row>
    <row r="3313" spans="1:7" x14ac:dyDescent="0.25">
      <c r="A3313" t="s">
        <v>45</v>
      </c>
      <c r="B3313" t="s">
        <v>46</v>
      </c>
      <c r="C3313" t="s">
        <v>47</v>
      </c>
      <c r="D3313">
        <v>6831441</v>
      </c>
      <c r="E3313" t="s">
        <v>48</v>
      </c>
      <c r="F3313" t="s">
        <v>49</v>
      </c>
      <c r="G3313" s="30">
        <v>0</v>
      </c>
    </row>
    <row r="3314" spans="1:7" x14ac:dyDescent="0.25">
      <c r="A3314" t="s">
        <v>45</v>
      </c>
      <c r="B3314" t="s">
        <v>46</v>
      </c>
      <c r="C3314" t="s">
        <v>47</v>
      </c>
      <c r="D3314">
        <v>6832472</v>
      </c>
      <c r="E3314" t="s">
        <v>48</v>
      </c>
      <c r="F3314" t="s">
        <v>49</v>
      </c>
      <c r="G3314" s="30">
        <v>0</v>
      </c>
    </row>
    <row r="3315" spans="1:7" x14ac:dyDescent="0.25">
      <c r="A3315" t="s">
        <v>45</v>
      </c>
      <c r="B3315" t="s">
        <v>46</v>
      </c>
      <c r="C3315" t="s">
        <v>47</v>
      </c>
      <c r="D3315">
        <v>6833278</v>
      </c>
      <c r="E3315" t="s">
        <v>53</v>
      </c>
      <c r="F3315" t="s">
        <v>49</v>
      </c>
      <c r="G3315" s="30">
        <v>62217.003847254498</v>
      </c>
    </row>
    <row r="3316" spans="1:7" x14ac:dyDescent="0.25">
      <c r="A3316" t="s">
        <v>50</v>
      </c>
      <c r="B3316" t="s">
        <v>51</v>
      </c>
      <c r="C3316" t="s">
        <v>52</v>
      </c>
      <c r="D3316">
        <v>6835224</v>
      </c>
      <c r="E3316" t="s">
        <v>53</v>
      </c>
      <c r="F3316" t="s">
        <v>49</v>
      </c>
      <c r="G3316" s="30">
        <v>55861.820412797599</v>
      </c>
    </row>
    <row r="3317" spans="1:7" x14ac:dyDescent="0.25">
      <c r="A3317" t="s">
        <v>124</v>
      </c>
      <c r="B3317" t="s">
        <v>125</v>
      </c>
      <c r="C3317" t="s">
        <v>78</v>
      </c>
      <c r="D3317">
        <v>6836965</v>
      </c>
      <c r="E3317" t="s">
        <v>53</v>
      </c>
      <c r="F3317" t="s">
        <v>49</v>
      </c>
      <c r="G3317" s="30">
        <v>266531.65000000002</v>
      </c>
    </row>
    <row r="3318" spans="1:7" x14ac:dyDescent="0.25">
      <c r="A3318" t="s">
        <v>118</v>
      </c>
      <c r="B3318" t="s">
        <v>119</v>
      </c>
      <c r="C3318" t="s">
        <v>56</v>
      </c>
      <c r="D3318">
        <v>6839031</v>
      </c>
      <c r="E3318" t="s">
        <v>53</v>
      </c>
      <c r="F3318" t="s">
        <v>49</v>
      </c>
      <c r="G3318" s="30">
        <v>162313.75947225699</v>
      </c>
    </row>
    <row r="3319" spans="1:7" x14ac:dyDescent="0.25">
      <c r="A3319" t="s">
        <v>112</v>
      </c>
      <c r="B3319" t="s">
        <v>113</v>
      </c>
      <c r="C3319" t="s">
        <v>81</v>
      </c>
      <c r="D3319">
        <v>6839390</v>
      </c>
      <c r="E3319" t="s">
        <v>53</v>
      </c>
      <c r="F3319" t="s">
        <v>49</v>
      </c>
      <c r="G3319" s="30">
        <v>394030.58272800501</v>
      </c>
    </row>
    <row r="3320" spans="1:7" x14ac:dyDescent="0.25">
      <c r="A3320" t="s">
        <v>112</v>
      </c>
      <c r="B3320" t="s">
        <v>113</v>
      </c>
      <c r="C3320" t="s">
        <v>81</v>
      </c>
      <c r="D3320">
        <v>6840045</v>
      </c>
      <c r="E3320" t="s">
        <v>53</v>
      </c>
      <c r="F3320" t="s">
        <v>49</v>
      </c>
      <c r="G3320" s="30">
        <v>551457.21875</v>
      </c>
    </row>
    <row r="3321" spans="1:7" x14ac:dyDescent="0.25">
      <c r="A3321" t="s">
        <v>112</v>
      </c>
      <c r="B3321" t="s">
        <v>113</v>
      </c>
      <c r="C3321" t="s">
        <v>81</v>
      </c>
      <c r="D3321">
        <v>6842569</v>
      </c>
      <c r="E3321" t="s">
        <v>53</v>
      </c>
      <c r="F3321" t="s">
        <v>49</v>
      </c>
      <c r="G3321" s="30">
        <v>119143.093298008</v>
      </c>
    </row>
    <row r="3322" spans="1:7" x14ac:dyDescent="0.25">
      <c r="A3322" t="s">
        <v>45</v>
      </c>
      <c r="B3322" t="s">
        <v>46</v>
      </c>
      <c r="C3322" t="s">
        <v>47</v>
      </c>
      <c r="D3322">
        <v>6842785</v>
      </c>
      <c r="E3322" t="s">
        <v>48</v>
      </c>
      <c r="F3322" t="s">
        <v>49</v>
      </c>
      <c r="G3322" s="30">
        <v>0</v>
      </c>
    </row>
    <row r="3323" spans="1:7" x14ac:dyDescent="0.25">
      <c r="A3323" t="s">
        <v>114</v>
      </c>
      <c r="B3323" t="s">
        <v>115</v>
      </c>
      <c r="C3323" t="s">
        <v>56</v>
      </c>
      <c r="D3323">
        <v>6845301</v>
      </c>
      <c r="E3323" t="s">
        <v>53</v>
      </c>
      <c r="F3323" t="s">
        <v>49</v>
      </c>
      <c r="G3323" s="30">
        <v>123050.87828125</v>
      </c>
    </row>
    <row r="3324" spans="1:7" x14ac:dyDescent="0.25">
      <c r="A3324" t="s">
        <v>59</v>
      </c>
      <c r="B3324" t="s">
        <v>60</v>
      </c>
      <c r="C3324" t="s">
        <v>56</v>
      </c>
      <c r="D3324">
        <v>6846182</v>
      </c>
      <c r="E3324" t="s">
        <v>53</v>
      </c>
      <c r="F3324" t="s">
        <v>49</v>
      </c>
      <c r="G3324" s="30">
        <v>5295119.8517891997</v>
      </c>
    </row>
    <row r="3325" spans="1:7" x14ac:dyDescent="0.25">
      <c r="A3325" t="s">
        <v>50</v>
      </c>
      <c r="B3325" t="s">
        <v>51</v>
      </c>
      <c r="C3325" t="s">
        <v>52</v>
      </c>
      <c r="D3325">
        <v>6847084</v>
      </c>
      <c r="E3325" t="s">
        <v>53</v>
      </c>
      <c r="F3325" t="s">
        <v>49</v>
      </c>
      <c r="G3325" s="30">
        <v>416.912235529871</v>
      </c>
    </row>
    <row r="3326" spans="1:7" x14ac:dyDescent="0.25">
      <c r="A3326" t="s">
        <v>112</v>
      </c>
      <c r="B3326" t="s">
        <v>113</v>
      </c>
      <c r="C3326" t="s">
        <v>81</v>
      </c>
      <c r="D3326">
        <v>6852973</v>
      </c>
      <c r="E3326" t="s">
        <v>53</v>
      </c>
      <c r="F3326" t="s">
        <v>49</v>
      </c>
      <c r="G3326" s="30">
        <v>64708.5</v>
      </c>
    </row>
    <row r="3327" spans="1:7" x14ac:dyDescent="0.25">
      <c r="A3327" t="s">
        <v>61</v>
      </c>
      <c r="B3327" t="s">
        <v>62</v>
      </c>
      <c r="C3327" t="s">
        <v>56</v>
      </c>
      <c r="D3327">
        <v>6854070</v>
      </c>
      <c r="E3327" t="s">
        <v>53</v>
      </c>
      <c r="F3327" t="s">
        <v>49</v>
      </c>
      <c r="G3327" s="30">
        <v>33016.425964047303</v>
      </c>
    </row>
    <row r="3328" spans="1:7" x14ac:dyDescent="0.25">
      <c r="A3328" t="s">
        <v>45</v>
      </c>
      <c r="B3328" t="s">
        <v>46</v>
      </c>
      <c r="C3328" t="s">
        <v>47</v>
      </c>
      <c r="D3328">
        <v>6854708</v>
      </c>
      <c r="E3328" t="s">
        <v>48</v>
      </c>
      <c r="F3328" t="s">
        <v>49</v>
      </c>
      <c r="G3328" s="30">
        <v>0</v>
      </c>
    </row>
    <row r="3329" spans="1:7" x14ac:dyDescent="0.25">
      <c r="A3329" t="s">
        <v>50</v>
      </c>
      <c r="B3329" t="s">
        <v>51</v>
      </c>
      <c r="C3329" t="s">
        <v>52</v>
      </c>
      <c r="D3329">
        <v>6858466</v>
      </c>
      <c r="E3329" t="s">
        <v>53</v>
      </c>
      <c r="F3329" t="s">
        <v>49</v>
      </c>
      <c r="G3329" s="30">
        <v>3365.5480526748302</v>
      </c>
    </row>
    <row r="3330" spans="1:7" x14ac:dyDescent="0.25">
      <c r="A3330" t="s">
        <v>45</v>
      </c>
      <c r="B3330" t="s">
        <v>46</v>
      </c>
      <c r="C3330" t="s">
        <v>47</v>
      </c>
      <c r="D3330">
        <v>6860340</v>
      </c>
      <c r="E3330" t="s">
        <v>48</v>
      </c>
      <c r="F3330" t="s">
        <v>49</v>
      </c>
      <c r="G3330" s="30">
        <v>0</v>
      </c>
    </row>
    <row r="3331" spans="1:7" x14ac:dyDescent="0.25">
      <c r="A3331" t="s">
        <v>45</v>
      </c>
      <c r="B3331" t="s">
        <v>46</v>
      </c>
      <c r="C3331" t="s">
        <v>47</v>
      </c>
      <c r="D3331">
        <v>6861706</v>
      </c>
      <c r="E3331" t="s">
        <v>48</v>
      </c>
      <c r="F3331" t="s">
        <v>49</v>
      </c>
      <c r="G3331" s="30">
        <v>0</v>
      </c>
    </row>
    <row r="3332" spans="1:7" x14ac:dyDescent="0.25">
      <c r="A3332" t="s">
        <v>45</v>
      </c>
      <c r="B3332" t="s">
        <v>46</v>
      </c>
      <c r="C3332" t="s">
        <v>47</v>
      </c>
      <c r="D3332">
        <v>6861851</v>
      </c>
      <c r="E3332" t="s">
        <v>48</v>
      </c>
      <c r="F3332" t="s">
        <v>49</v>
      </c>
      <c r="G3332" s="30">
        <v>0</v>
      </c>
    </row>
    <row r="3333" spans="1:7" x14ac:dyDescent="0.25">
      <c r="A3333" t="s">
        <v>45</v>
      </c>
      <c r="B3333" t="s">
        <v>46</v>
      </c>
      <c r="C3333" t="s">
        <v>47</v>
      </c>
      <c r="D3333">
        <v>6863081</v>
      </c>
      <c r="E3333" t="s">
        <v>48</v>
      </c>
      <c r="F3333" t="s">
        <v>49</v>
      </c>
      <c r="G3333" s="30">
        <v>0</v>
      </c>
    </row>
    <row r="3334" spans="1:7" x14ac:dyDescent="0.25">
      <c r="A3334" t="s">
        <v>45</v>
      </c>
      <c r="B3334" t="s">
        <v>46</v>
      </c>
      <c r="C3334" t="s">
        <v>47</v>
      </c>
      <c r="D3334">
        <v>6863453</v>
      </c>
      <c r="E3334" t="s">
        <v>48</v>
      </c>
      <c r="F3334" t="s">
        <v>49</v>
      </c>
      <c r="G3334" s="30">
        <v>0</v>
      </c>
    </row>
    <row r="3335" spans="1:7" x14ac:dyDescent="0.25">
      <c r="A3335" t="s">
        <v>45</v>
      </c>
      <c r="B3335" t="s">
        <v>46</v>
      </c>
      <c r="C3335" t="s">
        <v>47</v>
      </c>
      <c r="D3335">
        <v>6863929</v>
      </c>
      <c r="E3335" t="s">
        <v>48</v>
      </c>
      <c r="F3335" t="s">
        <v>49</v>
      </c>
      <c r="G3335" s="30">
        <v>0.74</v>
      </c>
    </row>
    <row r="3336" spans="1:7" x14ac:dyDescent="0.25">
      <c r="A3336" t="s">
        <v>70</v>
      </c>
      <c r="B3336" t="s">
        <v>71</v>
      </c>
      <c r="C3336" t="s">
        <v>47</v>
      </c>
      <c r="D3336">
        <v>6864308</v>
      </c>
      <c r="E3336" t="s">
        <v>53</v>
      </c>
      <c r="F3336" t="s">
        <v>49</v>
      </c>
      <c r="G3336" s="30">
        <v>87428.780080925397</v>
      </c>
    </row>
    <row r="3337" spans="1:7" x14ac:dyDescent="0.25">
      <c r="A3337" t="s">
        <v>50</v>
      </c>
      <c r="B3337" t="s">
        <v>51</v>
      </c>
      <c r="C3337" t="s">
        <v>52</v>
      </c>
      <c r="D3337">
        <v>6867324</v>
      </c>
      <c r="E3337" t="s">
        <v>53</v>
      </c>
      <c r="F3337" t="s">
        <v>49</v>
      </c>
      <c r="G3337" s="30">
        <v>17633.482713190599</v>
      </c>
    </row>
    <row r="3338" spans="1:7" x14ac:dyDescent="0.25">
      <c r="A3338" t="s">
        <v>45</v>
      </c>
      <c r="B3338" t="s">
        <v>46</v>
      </c>
      <c r="C3338" t="s">
        <v>47</v>
      </c>
      <c r="D3338">
        <v>6872087</v>
      </c>
      <c r="E3338" t="s">
        <v>48</v>
      </c>
      <c r="F3338" t="s">
        <v>49</v>
      </c>
      <c r="G3338" s="30">
        <v>0</v>
      </c>
    </row>
    <row r="3339" spans="1:7" x14ac:dyDescent="0.25">
      <c r="A3339" t="s">
        <v>96</v>
      </c>
      <c r="B3339" t="s">
        <v>97</v>
      </c>
      <c r="C3339" t="s">
        <v>81</v>
      </c>
      <c r="D3339">
        <v>6872169</v>
      </c>
      <c r="E3339" t="s">
        <v>53</v>
      </c>
      <c r="F3339" t="s">
        <v>49</v>
      </c>
      <c r="G3339" s="30">
        <v>118303.42027822899</v>
      </c>
    </row>
    <row r="3340" spans="1:7" x14ac:dyDescent="0.25">
      <c r="A3340" t="s">
        <v>54</v>
      </c>
      <c r="B3340" t="s">
        <v>55</v>
      </c>
      <c r="C3340" t="s">
        <v>56</v>
      </c>
      <c r="D3340">
        <v>6872719</v>
      </c>
      <c r="E3340" t="s">
        <v>53</v>
      </c>
      <c r="F3340" t="s">
        <v>49</v>
      </c>
      <c r="G3340" s="30">
        <v>556469.773010317</v>
      </c>
    </row>
    <row r="3341" spans="1:7" x14ac:dyDescent="0.25">
      <c r="A3341" t="s">
        <v>45</v>
      </c>
      <c r="B3341" t="s">
        <v>46</v>
      </c>
      <c r="C3341" t="s">
        <v>47</v>
      </c>
      <c r="D3341">
        <v>6873014</v>
      </c>
      <c r="E3341" t="s">
        <v>48</v>
      </c>
      <c r="F3341" t="s">
        <v>49</v>
      </c>
      <c r="G3341" s="30">
        <v>0</v>
      </c>
    </row>
    <row r="3342" spans="1:7" x14ac:dyDescent="0.25">
      <c r="A3342" t="s">
        <v>50</v>
      </c>
      <c r="B3342" t="s">
        <v>51</v>
      </c>
      <c r="C3342" t="s">
        <v>52</v>
      </c>
      <c r="D3342">
        <v>6873848</v>
      </c>
      <c r="E3342" t="s">
        <v>53</v>
      </c>
      <c r="F3342" t="s">
        <v>49</v>
      </c>
      <c r="G3342" s="30">
        <v>57786.734375</v>
      </c>
    </row>
    <row r="3343" spans="1:7" x14ac:dyDescent="0.25">
      <c r="A3343" t="s">
        <v>94</v>
      </c>
      <c r="B3343" t="s">
        <v>95</v>
      </c>
      <c r="C3343" t="s">
        <v>78</v>
      </c>
      <c r="D3343">
        <v>6875874</v>
      </c>
      <c r="E3343" t="s">
        <v>53</v>
      </c>
      <c r="F3343" t="s">
        <v>49</v>
      </c>
      <c r="G3343" s="30">
        <v>41782.068189750098</v>
      </c>
    </row>
    <row r="3344" spans="1:7" x14ac:dyDescent="0.25">
      <c r="A3344" t="s">
        <v>50</v>
      </c>
      <c r="B3344" t="s">
        <v>51</v>
      </c>
      <c r="C3344" t="s">
        <v>52</v>
      </c>
      <c r="D3344">
        <v>6876437</v>
      </c>
      <c r="E3344" t="s">
        <v>53</v>
      </c>
      <c r="F3344" t="s">
        <v>49</v>
      </c>
      <c r="G3344" s="30">
        <v>16158.6134375</v>
      </c>
    </row>
    <row r="3345" spans="1:7" x14ac:dyDescent="0.25">
      <c r="A3345" t="s">
        <v>45</v>
      </c>
      <c r="B3345" t="s">
        <v>46</v>
      </c>
      <c r="C3345" t="s">
        <v>47</v>
      </c>
      <c r="D3345">
        <v>6876939</v>
      </c>
      <c r="E3345" t="s">
        <v>48</v>
      </c>
      <c r="F3345" t="s">
        <v>49</v>
      </c>
      <c r="G3345" s="30">
        <v>0</v>
      </c>
    </row>
    <row r="3346" spans="1:7" x14ac:dyDescent="0.25">
      <c r="A3346" t="s">
        <v>45</v>
      </c>
      <c r="B3346" t="s">
        <v>46</v>
      </c>
      <c r="C3346" t="s">
        <v>47</v>
      </c>
      <c r="D3346">
        <v>6880251</v>
      </c>
      <c r="E3346" t="s">
        <v>48</v>
      </c>
      <c r="F3346" t="s">
        <v>49</v>
      </c>
      <c r="G3346" s="30">
        <v>0</v>
      </c>
    </row>
    <row r="3347" spans="1:7" x14ac:dyDescent="0.25">
      <c r="A3347" t="s">
        <v>45</v>
      </c>
      <c r="B3347" t="s">
        <v>46</v>
      </c>
      <c r="C3347" t="s">
        <v>47</v>
      </c>
      <c r="D3347">
        <v>6881133</v>
      </c>
      <c r="E3347" t="s">
        <v>48</v>
      </c>
      <c r="F3347" t="s">
        <v>49</v>
      </c>
      <c r="G3347" s="30">
        <v>0</v>
      </c>
    </row>
    <row r="3348" spans="1:7" x14ac:dyDescent="0.25">
      <c r="A3348" t="s">
        <v>82</v>
      </c>
      <c r="B3348" t="s">
        <v>83</v>
      </c>
      <c r="C3348" t="s">
        <v>56</v>
      </c>
      <c r="D3348">
        <v>6889120</v>
      </c>
      <c r="E3348" t="s">
        <v>53</v>
      </c>
      <c r="F3348" t="s">
        <v>49</v>
      </c>
      <c r="G3348" s="30">
        <v>1215636.5845232599</v>
      </c>
    </row>
    <row r="3349" spans="1:7" x14ac:dyDescent="0.25">
      <c r="A3349" t="s">
        <v>45</v>
      </c>
      <c r="B3349" t="s">
        <v>46</v>
      </c>
      <c r="C3349" t="s">
        <v>47</v>
      </c>
      <c r="D3349">
        <v>6894731</v>
      </c>
      <c r="E3349" t="s">
        <v>53</v>
      </c>
      <c r="F3349" t="s">
        <v>49</v>
      </c>
      <c r="G3349" s="30">
        <v>180117.70712163599</v>
      </c>
    </row>
    <row r="3350" spans="1:7" x14ac:dyDescent="0.25">
      <c r="A3350" t="s">
        <v>45</v>
      </c>
      <c r="B3350" t="s">
        <v>46</v>
      </c>
      <c r="C3350" t="s">
        <v>47</v>
      </c>
      <c r="D3350">
        <v>6894767</v>
      </c>
      <c r="E3350" t="s">
        <v>48</v>
      </c>
      <c r="F3350" t="s">
        <v>49</v>
      </c>
      <c r="G3350" s="30">
        <v>0</v>
      </c>
    </row>
    <row r="3351" spans="1:7" x14ac:dyDescent="0.25">
      <c r="A3351" t="s">
        <v>45</v>
      </c>
      <c r="B3351" t="s">
        <v>46</v>
      </c>
      <c r="C3351" t="s">
        <v>47</v>
      </c>
      <c r="D3351">
        <v>6897997</v>
      </c>
      <c r="E3351" t="s">
        <v>48</v>
      </c>
      <c r="F3351" t="s">
        <v>49</v>
      </c>
      <c r="G3351" s="30">
        <v>0</v>
      </c>
    </row>
    <row r="3352" spans="1:7" x14ac:dyDescent="0.25">
      <c r="A3352" t="s">
        <v>92</v>
      </c>
      <c r="B3352" t="s">
        <v>93</v>
      </c>
      <c r="C3352" t="s">
        <v>81</v>
      </c>
      <c r="D3352">
        <v>6898131</v>
      </c>
      <c r="E3352" t="s">
        <v>53</v>
      </c>
      <c r="F3352" t="s">
        <v>49</v>
      </c>
      <c r="G3352" s="30">
        <v>790009.68076132599</v>
      </c>
    </row>
    <row r="3353" spans="1:7" x14ac:dyDescent="0.25">
      <c r="A3353" t="s">
        <v>45</v>
      </c>
      <c r="B3353" t="s">
        <v>46</v>
      </c>
      <c r="C3353" t="s">
        <v>47</v>
      </c>
      <c r="D3353">
        <v>6898408</v>
      </c>
      <c r="E3353" t="s">
        <v>48</v>
      </c>
      <c r="F3353" t="s">
        <v>49</v>
      </c>
      <c r="G3353" s="30">
        <v>0</v>
      </c>
    </row>
    <row r="3354" spans="1:7" x14ac:dyDescent="0.25">
      <c r="A3354" t="s">
        <v>45</v>
      </c>
      <c r="B3354" t="s">
        <v>46</v>
      </c>
      <c r="C3354" t="s">
        <v>47</v>
      </c>
      <c r="D3354">
        <v>6898422</v>
      </c>
      <c r="E3354" t="s">
        <v>48</v>
      </c>
      <c r="F3354" t="s">
        <v>49</v>
      </c>
      <c r="G3354" s="30">
        <v>0</v>
      </c>
    </row>
    <row r="3355" spans="1:7" x14ac:dyDescent="0.25">
      <c r="A3355" t="s">
        <v>68</v>
      </c>
      <c r="B3355" t="s">
        <v>69</v>
      </c>
      <c r="C3355" t="s">
        <v>56</v>
      </c>
      <c r="D3355">
        <v>6899556</v>
      </c>
      <c r="E3355" t="s">
        <v>48</v>
      </c>
      <c r="F3355" t="s">
        <v>49</v>
      </c>
      <c r="G3355" s="30">
        <v>0</v>
      </c>
    </row>
    <row r="3356" spans="1:7" x14ac:dyDescent="0.25">
      <c r="A3356" t="s">
        <v>50</v>
      </c>
      <c r="B3356" t="s">
        <v>51</v>
      </c>
      <c r="C3356" t="s">
        <v>52</v>
      </c>
      <c r="D3356">
        <v>6901347</v>
      </c>
      <c r="E3356" t="s">
        <v>53</v>
      </c>
      <c r="F3356" t="s">
        <v>49</v>
      </c>
      <c r="G3356" s="30">
        <v>62812.639628348101</v>
      </c>
    </row>
    <row r="3357" spans="1:7" x14ac:dyDescent="0.25">
      <c r="A3357" t="s">
        <v>50</v>
      </c>
      <c r="B3357" t="s">
        <v>51</v>
      </c>
      <c r="C3357" t="s">
        <v>52</v>
      </c>
      <c r="D3357">
        <v>6903661</v>
      </c>
      <c r="E3357" t="s">
        <v>53</v>
      </c>
      <c r="F3357" t="s">
        <v>49</v>
      </c>
      <c r="G3357" s="30">
        <v>189.32645206026899</v>
      </c>
    </row>
    <row r="3358" spans="1:7" x14ac:dyDescent="0.25">
      <c r="A3358" t="s">
        <v>45</v>
      </c>
      <c r="B3358" t="s">
        <v>46</v>
      </c>
      <c r="C3358" t="s">
        <v>47</v>
      </c>
      <c r="D3358">
        <v>6904447</v>
      </c>
      <c r="E3358" t="s">
        <v>48</v>
      </c>
      <c r="F3358" t="s">
        <v>49</v>
      </c>
      <c r="G3358" s="30">
        <v>0</v>
      </c>
    </row>
    <row r="3359" spans="1:7" x14ac:dyDescent="0.25">
      <c r="A3359" t="s">
        <v>45</v>
      </c>
      <c r="B3359" t="s">
        <v>46</v>
      </c>
      <c r="C3359" t="s">
        <v>47</v>
      </c>
      <c r="D3359">
        <v>6904507</v>
      </c>
      <c r="E3359" t="s">
        <v>48</v>
      </c>
      <c r="F3359" t="s">
        <v>49</v>
      </c>
      <c r="G3359" s="30">
        <v>46.36</v>
      </c>
    </row>
    <row r="3360" spans="1:7" x14ac:dyDescent="0.25">
      <c r="A3360" t="s">
        <v>68</v>
      </c>
      <c r="B3360" t="s">
        <v>69</v>
      </c>
      <c r="C3360" t="s">
        <v>56</v>
      </c>
      <c r="D3360">
        <v>6905207</v>
      </c>
      <c r="E3360" t="s">
        <v>53</v>
      </c>
      <c r="F3360" t="s">
        <v>49</v>
      </c>
      <c r="G3360" s="30">
        <v>167569.81813964801</v>
      </c>
    </row>
    <row r="3361" spans="1:7" x14ac:dyDescent="0.25">
      <c r="A3361" t="s">
        <v>45</v>
      </c>
      <c r="B3361" t="s">
        <v>46</v>
      </c>
      <c r="C3361" t="s">
        <v>47</v>
      </c>
      <c r="D3361">
        <v>6906237</v>
      </c>
      <c r="E3361" t="s">
        <v>48</v>
      </c>
      <c r="F3361" t="s">
        <v>49</v>
      </c>
      <c r="G3361" s="30">
        <v>0</v>
      </c>
    </row>
    <row r="3362" spans="1:7" x14ac:dyDescent="0.25">
      <c r="A3362" t="s">
        <v>45</v>
      </c>
      <c r="B3362" t="s">
        <v>46</v>
      </c>
      <c r="C3362" t="s">
        <v>47</v>
      </c>
      <c r="D3362">
        <v>6906433</v>
      </c>
      <c r="E3362" t="s">
        <v>48</v>
      </c>
      <c r="F3362" t="s">
        <v>49</v>
      </c>
      <c r="G3362" s="30">
        <v>0</v>
      </c>
    </row>
    <row r="3363" spans="1:7" x14ac:dyDescent="0.25">
      <c r="A3363" t="s">
        <v>72</v>
      </c>
      <c r="B3363" t="s">
        <v>73</v>
      </c>
      <c r="C3363" t="s">
        <v>67</v>
      </c>
      <c r="D3363">
        <v>6906474</v>
      </c>
      <c r="E3363" t="s">
        <v>53</v>
      </c>
      <c r="F3363" t="s">
        <v>49</v>
      </c>
      <c r="G3363" s="30">
        <v>1530696.6466306599</v>
      </c>
    </row>
    <row r="3364" spans="1:7" x14ac:dyDescent="0.25">
      <c r="A3364" t="s">
        <v>45</v>
      </c>
      <c r="B3364" t="s">
        <v>46</v>
      </c>
      <c r="C3364" t="s">
        <v>47</v>
      </c>
      <c r="D3364">
        <v>6908623</v>
      </c>
      <c r="E3364" t="s">
        <v>48</v>
      </c>
      <c r="F3364" t="s">
        <v>49</v>
      </c>
      <c r="G3364" s="30">
        <v>0</v>
      </c>
    </row>
    <row r="3365" spans="1:7" x14ac:dyDescent="0.25">
      <c r="A3365" t="s">
        <v>92</v>
      </c>
      <c r="B3365" t="s">
        <v>93</v>
      </c>
      <c r="C3365" t="s">
        <v>81</v>
      </c>
      <c r="D3365">
        <v>6908890</v>
      </c>
      <c r="E3365" t="s">
        <v>53</v>
      </c>
      <c r="F3365" t="s">
        <v>49</v>
      </c>
      <c r="G3365" s="30">
        <v>15219.4177186078</v>
      </c>
    </row>
    <row r="3366" spans="1:7" x14ac:dyDescent="0.25">
      <c r="A3366" t="s">
        <v>45</v>
      </c>
      <c r="B3366" t="s">
        <v>46</v>
      </c>
      <c r="C3366" t="s">
        <v>47</v>
      </c>
      <c r="D3366">
        <v>6915792</v>
      </c>
      <c r="E3366" t="s">
        <v>48</v>
      </c>
      <c r="F3366" t="s">
        <v>49</v>
      </c>
      <c r="G3366" s="30">
        <v>0</v>
      </c>
    </row>
    <row r="3367" spans="1:7" x14ac:dyDescent="0.25">
      <c r="A3367" t="s">
        <v>45</v>
      </c>
      <c r="B3367" t="s">
        <v>46</v>
      </c>
      <c r="C3367" t="s">
        <v>47</v>
      </c>
      <c r="D3367">
        <v>6916109</v>
      </c>
      <c r="E3367" t="s">
        <v>48</v>
      </c>
      <c r="F3367" t="s">
        <v>49</v>
      </c>
      <c r="G3367" s="30">
        <v>0</v>
      </c>
    </row>
    <row r="3368" spans="1:7" x14ac:dyDescent="0.25">
      <c r="A3368" t="s">
        <v>45</v>
      </c>
      <c r="B3368" t="s">
        <v>46</v>
      </c>
      <c r="C3368" t="s">
        <v>47</v>
      </c>
      <c r="D3368">
        <v>6917947</v>
      </c>
      <c r="E3368" t="s">
        <v>48</v>
      </c>
      <c r="F3368" t="s">
        <v>49</v>
      </c>
      <c r="G3368" s="30">
        <v>0</v>
      </c>
    </row>
    <row r="3369" spans="1:7" x14ac:dyDescent="0.25">
      <c r="A3369" t="s">
        <v>50</v>
      </c>
      <c r="B3369" t="s">
        <v>51</v>
      </c>
      <c r="C3369" t="s">
        <v>52</v>
      </c>
      <c r="D3369">
        <v>6918934</v>
      </c>
      <c r="E3369" t="s">
        <v>53</v>
      </c>
      <c r="F3369" t="s">
        <v>49</v>
      </c>
      <c r="G3369" s="30">
        <v>54818.243332120699</v>
      </c>
    </row>
    <row r="3370" spans="1:7" x14ac:dyDescent="0.25">
      <c r="A3370" t="s">
        <v>88</v>
      </c>
      <c r="B3370" t="s">
        <v>89</v>
      </c>
      <c r="C3370" t="s">
        <v>78</v>
      </c>
      <c r="D3370">
        <v>6920681</v>
      </c>
      <c r="E3370" t="s">
        <v>53</v>
      </c>
      <c r="F3370" t="s">
        <v>49</v>
      </c>
      <c r="G3370" s="30">
        <v>77050.313767205706</v>
      </c>
    </row>
    <row r="3371" spans="1:7" x14ac:dyDescent="0.25">
      <c r="A3371" t="s">
        <v>45</v>
      </c>
      <c r="B3371" t="s">
        <v>46</v>
      </c>
      <c r="C3371" t="s">
        <v>47</v>
      </c>
      <c r="D3371">
        <v>6920918</v>
      </c>
      <c r="E3371" t="s">
        <v>48</v>
      </c>
      <c r="F3371" t="s">
        <v>49</v>
      </c>
      <c r="G3371" s="30">
        <v>0</v>
      </c>
    </row>
    <row r="3372" spans="1:7" x14ac:dyDescent="0.25">
      <c r="A3372" t="s">
        <v>45</v>
      </c>
      <c r="B3372" t="s">
        <v>46</v>
      </c>
      <c r="C3372" t="s">
        <v>47</v>
      </c>
      <c r="D3372">
        <v>6932304</v>
      </c>
      <c r="E3372" t="s">
        <v>48</v>
      </c>
      <c r="F3372" t="s">
        <v>49</v>
      </c>
      <c r="G3372" s="30">
        <v>0</v>
      </c>
    </row>
    <row r="3373" spans="1:7" x14ac:dyDescent="0.25">
      <c r="A3373" t="s">
        <v>45</v>
      </c>
      <c r="B3373" t="s">
        <v>46</v>
      </c>
      <c r="C3373" t="s">
        <v>47</v>
      </c>
      <c r="D3373">
        <v>6932332</v>
      </c>
      <c r="E3373" t="s">
        <v>48</v>
      </c>
      <c r="F3373" t="s">
        <v>49</v>
      </c>
      <c r="G3373" s="30">
        <v>0</v>
      </c>
    </row>
    <row r="3374" spans="1:7" x14ac:dyDescent="0.25">
      <c r="A3374" t="s">
        <v>124</v>
      </c>
      <c r="B3374" t="s">
        <v>125</v>
      </c>
      <c r="C3374" t="s">
        <v>78</v>
      </c>
      <c r="D3374">
        <v>6933035</v>
      </c>
      <c r="E3374" t="s">
        <v>53</v>
      </c>
      <c r="F3374" t="s">
        <v>49</v>
      </c>
      <c r="G3374" s="30">
        <v>771146.62456710194</v>
      </c>
    </row>
    <row r="3375" spans="1:7" x14ac:dyDescent="0.25">
      <c r="A3375" t="s">
        <v>50</v>
      </c>
      <c r="B3375" t="s">
        <v>51</v>
      </c>
      <c r="C3375" t="s">
        <v>52</v>
      </c>
      <c r="D3375">
        <v>6940814</v>
      </c>
      <c r="E3375" t="s">
        <v>53</v>
      </c>
      <c r="F3375" t="s">
        <v>49</v>
      </c>
      <c r="G3375" s="30">
        <v>13305.2191769645</v>
      </c>
    </row>
    <row r="3376" spans="1:7" x14ac:dyDescent="0.25">
      <c r="A3376" t="s">
        <v>50</v>
      </c>
      <c r="B3376" t="s">
        <v>51</v>
      </c>
      <c r="C3376" t="s">
        <v>52</v>
      </c>
      <c r="D3376">
        <v>6945034</v>
      </c>
      <c r="E3376" t="s">
        <v>48</v>
      </c>
      <c r="F3376" t="s">
        <v>49</v>
      </c>
      <c r="G3376" s="30">
        <v>0</v>
      </c>
    </row>
    <row r="3377" spans="1:7" x14ac:dyDescent="0.25">
      <c r="A3377" t="s">
        <v>45</v>
      </c>
      <c r="B3377" t="s">
        <v>46</v>
      </c>
      <c r="C3377" t="s">
        <v>47</v>
      </c>
      <c r="D3377">
        <v>6947287</v>
      </c>
      <c r="E3377" t="s">
        <v>48</v>
      </c>
      <c r="F3377" t="s">
        <v>49</v>
      </c>
      <c r="G3377" s="30">
        <v>0</v>
      </c>
    </row>
    <row r="3378" spans="1:7" x14ac:dyDescent="0.25">
      <c r="A3378" t="s">
        <v>45</v>
      </c>
      <c r="B3378" t="s">
        <v>46</v>
      </c>
      <c r="C3378" t="s">
        <v>47</v>
      </c>
      <c r="D3378">
        <v>6948452</v>
      </c>
      <c r="E3378" t="s">
        <v>48</v>
      </c>
      <c r="F3378" t="s">
        <v>49</v>
      </c>
      <c r="G3378" s="30">
        <v>0</v>
      </c>
    </row>
    <row r="3379" spans="1:7" x14ac:dyDescent="0.25">
      <c r="A3379" t="s">
        <v>50</v>
      </c>
      <c r="B3379" t="s">
        <v>51</v>
      </c>
      <c r="C3379" t="s">
        <v>52</v>
      </c>
      <c r="D3379">
        <v>6952843</v>
      </c>
      <c r="E3379" t="s">
        <v>53</v>
      </c>
      <c r="F3379" t="s">
        <v>49</v>
      </c>
      <c r="G3379" s="30">
        <v>3416.5596103399998</v>
      </c>
    </row>
    <row r="3380" spans="1:7" x14ac:dyDescent="0.25">
      <c r="A3380" t="s">
        <v>59</v>
      </c>
      <c r="B3380" t="s">
        <v>60</v>
      </c>
      <c r="C3380" t="s">
        <v>56</v>
      </c>
      <c r="D3380">
        <v>6954442</v>
      </c>
      <c r="E3380" t="s">
        <v>53</v>
      </c>
      <c r="F3380" t="s">
        <v>49</v>
      </c>
      <c r="G3380" s="30">
        <v>285679.268583183</v>
      </c>
    </row>
    <row r="3381" spans="1:7" x14ac:dyDescent="0.25">
      <c r="A3381" t="s">
        <v>82</v>
      </c>
      <c r="B3381" t="s">
        <v>83</v>
      </c>
      <c r="C3381" t="s">
        <v>56</v>
      </c>
      <c r="D3381">
        <v>6958274</v>
      </c>
      <c r="E3381" t="s">
        <v>53</v>
      </c>
      <c r="F3381" t="s">
        <v>49</v>
      </c>
      <c r="G3381" s="30">
        <v>237324.92250193699</v>
      </c>
    </row>
    <row r="3382" spans="1:7" x14ac:dyDescent="0.25">
      <c r="A3382" t="s">
        <v>50</v>
      </c>
      <c r="B3382" t="s">
        <v>51</v>
      </c>
      <c r="C3382" t="s">
        <v>52</v>
      </c>
      <c r="D3382">
        <v>6958915</v>
      </c>
      <c r="E3382" t="s">
        <v>53</v>
      </c>
      <c r="F3382" t="s">
        <v>49</v>
      </c>
      <c r="G3382" s="30">
        <v>11910.828125</v>
      </c>
    </row>
    <row r="3383" spans="1:7" x14ac:dyDescent="0.25">
      <c r="A3383" t="s">
        <v>50</v>
      </c>
      <c r="B3383" t="s">
        <v>51</v>
      </c>
      <c r="C3383" t="s">
        <v>52</v>
      </c>
      <c r="D3383">
        <v>6960673</v>
      </c>
      <c r="E3383" t="s">
        <v>48</v>
      </c>
      <c r="F3383" t="s">
        <v>49</v>
      </c>
      <c r="G3383" s="30">
        <v>0</v>
      </c>
    </row>
    <row r="3384" spans="1:7" x14ac:dyDescent="0.25">
      <c r="A3384" t="s">
        <v>45</v>
      </c>
      <c r="B3384" t="s">
        <v>46</v>
      </c>
      <c r="C3384" t="s">
        <v>47</v>
      </c>
      <c r="D3384">
        <v>6970263</v>
      </c>
      <c r="E3384" t="s">
        <v>48</v>
      </c>
      <c r="F3384" t="s">
        <v>49</v>
      </c>
      <c r="G3384" s="30">
        <v>32.97</v>
      </c>
    </row>
    <row r="3385" spans="1:7" x14ac:dyDescent="0.25">
      <c r="A3385" t="s">
        <v>45</v>
      </c>
      <c r="B3385" t="s">
        <v>46</v>
      </c>
      <c r="C3385" t="s">
        <v>47</v>
      </c>
      <c r="D3385">
        <v>6971145</v>
      </c>
      <c r="E3385" t="s">
        <v>48</v>
      </c>
      <c r="F3385" t="s">
        <v>49</v>
      </c>
      <c r="G3385" s="30">
        <v>62.33</v>
      </c>
    </row>
    <row r="3386" spans="1:7" x14ac:dyDescent="0.25">
      <c r="A3386" t="s">
        <v>90</v>
      </c>
      <c r="B3386" t="s">
        <v>91</v>
      </c>
      <c r="C3386" t="s">
        <v>81</v>
      </c>
      <c r="D3386">
        <v>6971869</v>
      </c>
      <c r="E3386" t="s">
        <v>53</v>
      </c>
      <c r="F3386" t="s">
        <v>49</v>
      </c>
      <c r="G3386" s="30">
        <v>585766.86031782394</v>
      </c>
    </row>
    <row r="3387" spans="1:7" x14ac:dyDescent="0.25">
      <c r="A3387" t="s">
        <v>45</v>
      </c>
      <c r="B3387" t="s">
        <v>46</v>
      </c>
      <c r="C3387" t="s">
        <v>47</v>
      </c>
      <c r="D3387">
        <v>6972780</v>
      </c>
      <c r="E3387" t="s">
        <v>53</v>
      </c>
      <c r="F3387" t="s">
        <v>49</v>
      </c>
      <c r="G3387" s="30">
        <v>51.375678270036197</v>
      </c>
    </row>
    <row r="3388" spans="1:7" x14ac:dyDescent="0.25">
      <c r="A3388" t="s">
        <v>59</v>
      </c>
      <c r="B3388" t="s">
        <v>60</v>
      </c>
      <c r="C3388" t="s">
        <v>56</v>
      </c>
      <c r="D3388">
        <v>6976664</v>
      </c>
      <c r="E3388" t="s">
        <v>53</v>
      </c>
      <c r="F3388" t="s">
        <v>49</v>
      </c>
      <c r="G3388" s="30">
        <v>672686.78535254602</v>
      </c>
    </row>
    <row r="3389" spans="1:7" x14ac:dyDescent="0.25">
      <c r="A3389" t="s">
        <v>94</v>
      </c>
      <c r="B3389" t="s">
        <v>95</v>
      </c>
      <c r="C3389" t="s">
        <v>78</v>
      </c>
      <c r="D3389">
        <v>6977209</v>
      </c>
      <c r="E3389" t="s">
        <v>53</v>
      </c>
      <c r="F3389" t="s">
        <v>49</v>
      </c>
      <c r="G3389" s="30">
        <v>1532.6513292963</v>
      </c>
    </row>
    <row r="3390" spans="1:7" x14ac:dyDescent="0.25">
      <c r="A3390" t="s">
        <v>45</v>
      </c>
      <c r="B3390" t="s">
        <v>46</v>
      </c>
      <c r="C3390" t="s">
        <v>47</v>
      </c>
      <c r="D3390">
        <v>6981632</v>
      </c>
      <c r="E3390" t="s">
        <v>48</v>
      </c>
      <c r="F3390" t="s">
        <v>49</v>
      </c>
      <c r="G3390" s="30">
        <v>0</v>
      </c>
    </row>
    <row r="3391" spans="1:7" x14ac:dyDescent="0.25">
      <c r="A3391" t="s">
        <v>50</v>
      </c>
      <c r="B3391" t="s">
        <v>51</v>
      </c>
      <c r="C3391" t="s">
        <v>52</v>
      </c>
      <c r="D3391">
        <v>6982356</v>
      </c>
      <c r="E3391" t="s">
        <v>48</v>
      </c>
      <c r="F3391" t="s">
        <v>49</v>
      </c>
      <c r="G3391" s="30">
        <v>0</v>
      </c>
    </row>
    <row r="3392" spans="1:7" x14ac:dyDescent="0.25">
      <c r="A3392" t="s">
        <v>54</v>
      </c>
      <c r="B3392" t="s">
        <v>55</v>
      </c>
      <c r="C3392" t="s">
        <v>56</v>
      </c>
      <c r="D3392">
        <v>6984006</v>
      </c>
      <c r="E3392" t="s">
        <v>53</v>
      </c>
      <c r="F3392" t="s">
        <v>49</v>
      </c>
      <c r="G3392" s="30">
        <v>239404.23757004499</v>
      </c>
    </row>
    <row r="3393" spans="1:7" x14ac:dyDescent="0.25">
      <c r="A3393" t="s">
        <v>92</v>
      </c>
      <c r="B3393" t="s">
        <v>93</v>
      </c>
      <c r="C3393" t="s">
        <v>81</v>
      </c>
      <c r="D3393">
        <v>6984463</v>
      </c>
      <c r="E3393" t="s">
        <v>48</v>
      </c>
      <c r="F3393" t="s">
        <v>49</v>
      </c>
      <c r="G3393" s="30">
        <v>0</v>
      </c>
    </row>
    <row r="3394" spans="1:7" x14ac:dyDescent="0.25">
      <c r="A3394" t="s">
        <v>45</v>
      </c>
      <c r="B3394" t="s">
        <v>46</v>
      </c>
      <c r="C3394" t="s">
        <v>47</v>
      </c>
      <c r="D3394">
        <v>6984938</v>
      </c>
      <c r="E3394" t="s">
        <v>48</v>
      </c>
      <c r="F3394" t="s">
        <v>49</v>
      </c>
      <c r="G3394" s="30">
        <v>0</v>
      </c>
    </row>
    <row r="3395" spans="1:7" x14ac:dyDescent="0.25">
      <c r="A3395" t="s">
        <v>94</v>
      </c>
      <c r="B3395" t="s">
        <v>95</v>
      </c>
      <c r="C3395" t="s">
        <v>78</v>
      </c>
      <c r="D3395">
        <v>6990565</v>
      </c>
      <c r="E3395" t="s">
        <v>53</v>
      </c>
      <c r="F3395" t="s">
        <v>49</v>
      </c>
      <c r="G3395" s="30">
        <v>693523.113899205</v>
      </c>
    </row>
    <row r="3396" spans="1:7" x14ac:dyDescent="0.25">
      <c r="A3396" t="s">
        <v>45</v>
      </c>
      <c r="B3396" t="s">
        <v>46</v>
      </c>
      <c r="C3396" t="s">
        <v>47</v>
      </c>
      <c r="D3396">
        <v>6992746</v>
      </c>
      <c r="E3396" t="s">
        <v>48</v>
      </c>
      <c r="F3396" t="s">
        <v>49</v>
      </c>
      <c r="G3396" s="30">
        <v>0</v>
      </c>
    </row>
    <row r="3397" spans="1:7" x14ac:dyDescent="0.25">
      <c r="A3397" t="s">
        <v>45</v>
      </c>
      <c r="B3397" t="s">
        <v>46</v>
      </c>
      <c r="C3397" t="s">
        <v>47</v>
      </c>
      <c r="D3397">
        <v>6995907</v>
      </c>
      <c r="E3397" t="s">
        <v>48</v>
      </c>
      <c r="F3397" t="s">
        <v>49</v>
      </c>
      <c r="G3397" s="30">
        <v>3.95</v>
      </c>
    </row>
    <row r="3398" spans="1:7" x14ac:dyDescent="0.25">
      <c r="A3398" t="s">
        <v>45</v>
      </c>
      <c r="B3398" t="s">
        <v>46</v>
      </c>
      <c r="C3398" t="s">
        <v>47</v>
      </c>
      <c r="D3398">
        <v>6996656</v>
      </c>
      <c r="E3398" t="s">
        <v>48</v>
      </c>
      <c r="F3398" t="s">
        <v>49</v>
      </c>
      <c r="G3398" s="30">
        <v>0</v>
      </c>
    </row>
    <row r="3399" spans="1:7" x14ac:dyDescent="0.25">
      <c r="A3399" t="s">
        <v>45</v>
      </c>
      <c r="B3399" t="s">
        <v>46</v>
      </c>
      <c r="C3399" t="s">
        <v>47</v>
      </c>
      <c r="D3399">
        <v>6997324</v>
      </c>
      <c r="E3399" t="s">
        <v>48</v>
      </c>
      <c r="F3399" t="s">
        <v>49</v>
      </c>
      <c r="G3399" s="30">
        <v>0</v>
      </c>
    </row>
    <row r="3400" spans="1:7" x14ac:dyDescent="0.25">
      <c r="A3400" t="s">
        <v>50</v>
      </c>
      <c r="B3400" t="s">
        <v>51</v>
      </c>
      <c r="C3400" t="s">
        <v>52</v>
      </c>
      <c r="D3400">
        <v>6997591</v>
      </c>
      <c r="E3400" t="s">
        <v>53</v>
      </c>
      <c r="F3400" t="s">
        <v>49</v>
      </c>
      <c r="G3400" s="30">
        <v>81306.453437499993</v>
      </c>
    </row>
    <row r="3401" spans="1:7" x14ac:dyDescent="0.25">
      <c r="A3401" t="s">
        <v>50</v>
      </c>
      <c r="B3401" t="s">
        <v>51</v>
      </c>
      <c r="C3401" t="s">
        <v>52</v>
      </c>
      <c r="D3401">
        <v>7000943</v>
      </c>
      <c r="E3401" t="s">
        <v>53</v>
      </c>
      <c r="F3401" t="s">
        <v>49</v>
      </c>
      <c r="G3401" s="30">
        <v>27505.900468749998</v>
      </c>
    </row>
    <row r="3402" spans="1:7" x14ac:dyDescent="0.25">
      <c r="A3402" t="s">
        <v>45</v>
      </c>
      <c r="B3402" t="s">
        <v>46</v>
      </c>
      <c r="C3402" t="s">
        <v>47</v>
      </c>
      <c r="D3402">
        <v>7005256</v>
      </c>
      <c r="E3402" t="s">
        <v>48</v>
      </c>
      <c r="F3402" t="s">
        <v>49</v>
      </c>
      <c r="G3402" s="30">
        <v>0</v>
      </c>
    </row>
    <row r="3403" spans="1:7" x14ac:dyDescent="0.25">
      <c r="A3403" t="s">
        <v>45</v>
      </c>
      <c r="B3403" t="s">
        <v>46</v>
      </c>
      <c r="C3403" t="s">
        <v>47</v>
      </c>
      <c r="D3403">
        <v>7007337</v>
      </c>
      <c r="E3403" t="s">
        <v>48</v>
      </c>
      <c r="F3403" t="s">
        <v>49</v>
      </c>
      <c r="G3403" s="30">
        <v>0</v>
      </c>
    </row>
    <row r="3404" spans="1:7" x14ac:dyDescent="0.25">
      <c r="A3404" t="s">
        <v>45</v>
      </c>
      <c r="B3404" t="s">
        <v>46</v>
      </c>
      <c r="C3404" t="s">
        <v>47</v>
      </c>
      <c r="D3404">
        <v>7010370</v>
      </c>
      <c r="E3404" t="s">
        <v>48</v>
      </c>
      <c r="F3404" t="s">
        <v>49</v>
      </c>
      <c r="G3404" s="30">
        <v>0.15</v>
      </c>
    </row>
    <row r="3405" spans="1:7" x14ac:dyDescent="0.25">
      <c r="A3405" t="s">
        <v>118</v>
      </c>
      <c r="B3405" t="s">
        <v>119</v>
      </c>
      <c r="C3405" t="s">
        <v>56</v>
      </c>
      <c r="D3405">
        <v>7012982</v>
      </c>
      <c r="E3405" t="s">
        <v>53</v>
      </c>
      <c r="F3405" t="s">
        <v>49</v>
      </c>
      <c r="G3405" s="30">
        <v>353008.46573793102</v>
      </c>
    </row>
    <row r="3406" spans="1:7" x14ac:dyDescent="0.25">
      <c r="A3406" t="s">
        <v>45</v>
      </c>
      <c r="B3406" t="s">
        <v>46</v>
      </c>
      <c r="C3406" t="s">
        <v>47</v>
      </c>
      <c r="D3406">
        <v>7020651</v>
      </c>
      <c r="E3406" t="s">
        <v>48</v>
      </c>
      <c r="F3406" t="s">
        <v>49</v>
      </c>
      <c r="G3406" s="30">
        <v>0</v>
      </c>
    </row>
    <row r="3407" spans="1:7" x14ac:dyDescent="0.25">
      <c r="A3407" t="s">
        <v>90</v>
      </c>
      <c r="B3407" t="s">
        <v>91</v>
      </c>
      <c r="C3407" t="s">
        <v>81</v>
      </c>
      <c r="D3407">
        <v>7021400</v>
      </c>
      <c r="E3407" t="s">
        <v>53</v>
      </c>
      <c r="F3407" t="s">
        <v>49</v>
      </c>
      <c r="G3407" s="30">
        <v>804192.60490368097</v>
      </c>
    </row>
    <row r="3408" spans="1:7" x14ac:dyDescent="0.25">
      <c r="A3408" t="s">
        <v>90</v>
      </c>
      <c r="B3408" t="s">
        <v>91</v>
      </c>
      <c r="C3408" t="s">
        <v>81</v>
      </c>
      <c r="D3408">
        <v>7022012</v>
      </c>
      <c r="E3408" t="s">
        <v>53</v>
      </c>
      <c r="F3408" t="s">
        <v>49</v>
      </c>
      <c r="G3408" s="30">
        <v>255614.24334744501</v>
      </c>
    </row>
    <row r="3409" spans="1:7" x14ac:dyDescent="0.25">
      <c r="A3409" t="s">
        <v>45</v>
      </c>
      <c r="B3409" t="s">
        <v>46</v>
      </c>
      <c r="C3409" t="s">
        <v>47</v>
      </c>
      <c r="D3409">
        <v>7025762</v>
      </c>
      <c r="E3409" t="s">
        <v>48</v>
      </c>
      <c r="F3409" t="s">
        <v>49</v>
      </c>
      <c r="G3409" s="30">
        <v>0</v>
      </c>
    </row>
    <row r="3410" spans="1:7" x14ac:dyDescent="0.25">
      <c r="A3410" t="s">
        <v>45</v>
      </c>
      <c r="B3410" t="s">
        <v>46</v>
      </c>
      <c r="C3410" t="s">
        <v>47</v>
      </c>
      <c r="D3410">
        <v>7026798</v>
      </c>
      <c r="E3410" t="s">
        <v>48</v>
      </c>
      <c r="F3410" t="s">
        <v>49</v>
      </c>
      <c r="G3410" s="30">
        <v>0</v>
      </c>
    </row>
    <row r="3411" spans="1:7" x14ac:dyDescent="0.25">
      <c r="A3411" t="s">
        <v>45</v>
      </c>
      <c r="B3411" t="s">
        <v>46</v>
      </c>
      <c r="C3411" t="s">
        <v>47</v>
      </c>
      <c r="D3411">
        <v>7028738</v>
      </c>
      <c r="E3411" t="s">
        <v>48</v>
      </c>
      <c r="F3411" t="s">
        <v>49</v>
      </c>
      <c r="G3411" s="30">
        <v>0</v>
      </c>
    </row>
    <row r="3412" spans="1:7" x14ac:dyDescent="0.25">
      <c r="A3412" t="s">
        <v>90</v>
      </c>
      <c r="B3412" t="s">
        <v>91</v>
      </c>
      <c r="C3412" t="s">
        <v>81</v>
      </c>
      <c r="D3412">
        <v>7033687</v>
      </c>
      <c r="E3412" t="s">
        <v>53</v>
      </c>
      <c r="F3412" t="s">
        <v>49</v>
      </c>
      <c r="G3412" s="30">
        <v>752976.63675839303</v>
      </c>
    </row>
    <row r="3413" spans="1:7" x14ac:dyDescent="0.25">
      <c r="A3413" t="s">
        <v>50</v>
      </c>
      <c r="B3413" t="s">
        <v>51</v>
      </c>
      <c r="C3413" t="s">
        <v>52</v>
      </c>
      <c r="D3413">
        <v>7041761</v>
      </c>
      <c r="E3413" t="s">
        <v>48</v>
      </c>
      <c r="F3413" t="s">
        <v>49</v>
      </c>
      <c r="G3413" s="30">
        <v>0</v>
      </c>
    </row>
    <row r="3414" spans="1:7" x14ac:dyDescent="0.25">
      <c r="A3414" t="s">
        <v>45</v>
      </c>
      <c r="B3414" t="s">
        <v>46</v>
      </c>
      <c r="C3414" t="s">
        <v>47</v>
      </c>
      <c r="D3414">
        <v>7043356</v>
      </c>
      <c r="E3414" t="s">
        <v>53</v>
      </c>
      <c r="F3414" t="s">
        <v>49</v>
      </c>
      <c r="G3414" s="30">
        <v>66082.791417383196</v>
      </c>
    </row>
    <row r="3415" spans="1:7" x14ac:dyDescent="0.25">
      <c r="A3415" t="s">
        <v>74</v>
      </c>
      <c r="B3415" t="s">
        <v>75</v>
      </c>
      <c r="C3415" t="s">
        <v>67</v>
      </c>
      <c r="D3415">
        <v>7045249</v>
      </c>
      <c r="E3415" t="s">
        <v>53</v>
      </c>
      <c r="F3415" t="s">
        <v>49</v>
      </c>
      <c r="G3415" s="30">
        <v>192365.43919142301</v>
      </c>
    </row>
    <row r="3416" spans="1:7" x14ac:dyDescent="0.25">
      <c r="A3416" t="s">
        <v>72</v>
      </c>
      <c r="B3416" t="s">
        <v>73</v>
      </c>
      <c r="C3416" t="s">
        <v>67</v>
      </c>
      <c r="D3416">
        <v>7045535</v>
      </c>
      <c r="E3416" t="s">
        <v>53</v>
      </c>
      <c r="F3416" t="s">
        <v>49</v>
      </c>
      <c r="G3416" s="30">
        <v>935728.686640625</v>
      </c>
    </row>
    <row r="3417" spans="1:7" x14ac:dyDescent="0.25">
      <c r="A3417" t="s">
        <v>54</v>
      </c>
      <c r="B3417" t="s">
        <v>55</v>
      </c>
      <c r="C3417" t="s">
        <v>56</v>
      </c>
      <c r="D3417">
        <v>7046897</v>
      </c>
      <c r="E3417" t="s">
        <v>53</v>
      </c>
      <c r="F3417" t="s">
        <v>49</v>
      </c>
      <c r="G3417" s="30">
        <v>408147.13969267398</v>
      </c>
    </row>
    <row r="3418" spans="1:7" x14ac:dyDescent="0.25">
      <c r="A3418" t="s">
        <v>104</v>
      </c>
      <c r="B3418" t="s">
        <v>105</v>
      </c>
      <c r="C3418" t="s">
        <v>78</v>
      </c>
      <c r="D3418">
        <v>7060459</v>
      </c>
      <c r="E3418" t="s">
        <v>53</v>
      </c>
      <c r="F3418" t="s">
        <v>49</v>
      </c>
      <c r="G3418" s="30">
        <v>223180.710888481</v>
      </c>
    </row>
    <row r="3419" spans="1:7" x14ac:dyDescent="0.25">
      <c r="A3419" t="s">
        <v>102</v>
      </c>
      <c r="B3419" t="s">
        <v>103</v>
      </c>
      <c r="C3419" t="s">
        <v>47</v>
      </c>
      <c r="D3419">
        <v>7065024</v>
      </c>
      <c r="E3419" t="s">
        <v>53</v>
      </c>
      <c r="F3419" t="s">
        <v>49</v>
      </c>
      <c r="G3419" s="30">
        <v>249080.04497544601</v>
      </c>
    </row>
    <row r="3420" spans="1:7" x14ac:dyDescent="0.25">
      <c r="A3420" t="s">
        <v>94</v>
      </c>
      <c r="B3420" t="s">
        <v>95</v>
      </c>
      <c r="C3420" t="s">
        <v>78</v>
      </c>
      <c r="D3420">
        <v>7069988</v>
      </c>
      <c r="E3420" t="s">
        <v>53</v>
      </c>
      <c r="F3420" t="s">
        <v>49</v>
      </c>
      <c r="G3420" s="30">
        <v>377269.33765896503</v>
      </c>
    </row>
    <row r="3421" spans="1:7" x14ac:dyDescent="0.25">
      <c r="A3421" t="s">
        <v>45</v>
      </c>
      <c r="B3421" t="s">
        <v>46</v>
      </c>
      <c r="C3421" t="s">
        <v>47</v>
      </c>
      <c r="D3421">
        <v>7071660</v>
      </c>
      <c r="E3421" t="s">
        <v>48</v>
      </c>
      <c r="F3421" t="s">
        <v>49</v>
      </c>
      <c r="G3421" s="30">
        <v>36.020000000000003</v>
      </c>
    </row>
    <row r="3422" spans="1:7" x14ac:dyDescent="0.25">
      <c r="A3422" t="s">
        <v>57</v>
      </c>
      <c r="B3422" t="s">
        <v>58</v>
      </c>
      <c r="C3422" t="s">
        <v>56</v>
      </c>
      <c r="D3422">
        <v>7075391</v>
      </c>
      <c r="E3422" t="s">
        <v>53</v>
      </c>
      <c r="F3422" t="s">
        <v>49</v>
      </c>
      <c r="G3422" s="30">
        <v>133.433941773963</v>
      </c>
    </row>
    <row r="3423" spans="1:7" x14ac:dyDescent="0.25">
      <c r="A3423" t="s">
        <v>92</v>
      </c>
      <c r="B3423" t="s">
        <v>93</v>
      </c>
      <c r="C3423" t="s">
        <v>81</v>
      </c>
      <c r="D3423">
        <v>7077361</v>
      </c>
      <c r="E3423" t="s">
        <v>48</v>
      </c>
      <c r="F3423" t="s">
        <v>49</v>
      </c>
      <c r="G3423" s="30">
        <v>0</v>
      </c>
    </row>
    <row r="3424" spans="1:7" x14ac:dyDescent="0.25">
      <c r="A3424" t="s">
        <v>133</v>
      </c>
      <c r="B3424" t="s">
        <v>134</v>
      </c>
      <c r="C3424" t="s">
        <v>47</v>
      </c>
      <c r="D3424">
        <v>7078127</v>
      </c>
      <c r="E3424" t="s">
        <v>53</v>
      </c>
      <c r="F3424" t="s">
        <v>49</v>
      </c>
      <c r="G3424" s="30">
        <v>403532.26742780302</v>
      </c>
    </row>
    <row r="3425" spans="1:7" x14ac:dyDescent="0.25">
      <c r="A3425" t="s">
        <v>45</v>
      </c>
      <c r="B3425" t="s">
        <v>46</v>
      </c>
      <c r="C3425" t="s">
        <v>47</v>
      </c>
      <c r="D3425">
        <v>7078327</v>
      </c>
      <c r="E3425" t="s">
        <v>48</v>
      </c>
      <c r="F3425" t="s">
        <v>49</v>
      </c>
      <c r="G3425" s="30">
        <v>0</v>
      </c>
    </row>
    <row r="3426" spans="1:7" x14ac:dyDescent="0.25">
      <c r="A3426" t="s">
        <v>76</v>
      </c>
      <c r="B3426" t="s">
        <v>77</v>
      </c>
      <c r="C3426" t="s">
        <v>78</v>
      </c>
      <c r="D3426">
        <v>7079243</v>
      </c>
      <c r="E3426" t="s">
        <v>53</v>
      </c>
      <c r="F3426" t="s">
        <v>49</v>
      </c>
      <c r="G3426" s="30">
        <v>88404.209510625005</v>
      </c>
    </row>
    <row r="3427" spans="1:7" x14ac:dyDescent="0.25">
      <c r="A3427" t="s">
        <v>50</v>
      </c>
      <c r="B3427" t="s">
        <v>51</v>
      </c>
      <c r="C3427" t="s">
        <v>52</v>
      </c>
      <c r="D3427">
        <v>7082710</v>
      </c>
      <c r="E3427" t="s">
        <v>53</v>
      </c>
      <c r="F3427" t="s">
        <v>49</v>
      </c>
      <c r="G3427" s="30">
        <v>1978.1304285491201</v>
      </c>
    </row>
    <row r="3428" spans="1:7" x14ac:dyDescent="0.25">
      <c r="A3428" t="s">
        <v>104</v>
      </c>
      <c r="B3428" t="s">
        <v>105</v>
      </c>
      <c r="C3428" t="s">
        <v>78</v>
      </c>
      <c r="D3428">
        <v>7085585</v>
      </c>
      <c r="E3428" t="s">
        <v>48</v>
      </c>
      <c r="F3428" t="s">
        <v>49</v>
      </c>
      <c r="G3428" s="30">
        <v>0</v>
      </c>
    </row>
    <row r="3429" spans="1:7" x14ac:dyDescent="0.25">
      <c r="A3429" t="s">
        <v>88</v>
      </c>
      <c r="B3429" t="s">
        <v>89</v>
      </c>
      <c r="C3429" t="s">
        <v>78</v>
      </c>
      <c r="D3429">
        <v>7085748</v>
      </c>
      <c r="E3429" t="s">
        <v>53</v>
      </c>
      <c r="F3429" t="s">
        <v>49</v>
      </c>
      <c r="G3429" s="30">
        <v>161694.075386535</v>
      </c>
    </row>
    <row r="3430" spans="1:7" x14ac:dyDescent="0.25">
      <c r="A3430" t="s">
        <v>45</v>
      </c>
      <c r="B3430" t="s">
        <v>46</v>
      </c>
      <c r="C3430" t="s">
        <v>47</v>
      </c>
      <c r="D3430">
        <v>7086365</v>
      </c>
      <c r="E3430" t="s">
        <v>48</v>
      </c>
      <c r="F3430" t="s">
        <v>49</v>
      </c>
      <c r="G3430" s="30">
        <v>0</v>
      </c>
    </row>
    <row r="3431" spans="1:7" x14ac:dyDescent="0.25">
      <c r="A3431" t="s">
        <v>45</v>
      </c>
      <c r="B3431" t="s">
        <v>46</v>
      </c>
      <c r="C3431" t="s">
        <v>47</v>
      </c>
      <c r="D3431">
        <v>7086631</v>
      </c>
      <c r="E3431" t="s">
        <v>48</v>
      </c>
      <c r="F3431" t="s">
        <v>49</v>
      </c>
      <c r="G3431" s="30">
        <v>0</v>
      </c>
    </row>
    <row r="3432" spans="1:7" x14ac:dyDescent="0.25">
      <c r="A3432" t="s">
        <v>50</v>
      </c>
      <c r="B3432" t="s">
        <v>51</v>
      </c>
      <c r="C3432" t="s">
        <v>52</v>
      </c>
      <c r="D3432">
        <v>7089764</v>
      </c>
      <c r="E3432" t="s">
        <v>53</v>
      </c>
      <c r="F3432" t="s">
        <v>49</v>
      </c>
      <c r="G3432" s="30">
        <v>19068.670905164901</v>
      </c>
    </row>
    <row r="3433" spans="1:7" x14ac:dyDescent="0.25">
      <c r="A3433" t="s">
        <v>114</v>
      </c>
      <c r="B3433" t="s">
        <v>115</v>
      </c>
      <c r="C3433" t="s">
        <v>56</v>
      </c>
      <c r="D3433">
        <v>7091707</v>
      </c>
      <c r="E3433" t="s">
        <v>53</v>
      </c>
      <c r="F3433" t="s">
        <v>49</v>
      </c>
      <c r="G3433" s="30">
        <v>155893.56416880401</v>
      </c>
    </row>
    <row r="3434" spans="1:7" x14ac:dyDescent="0.25">
      <c r="A3434" t="s">
        <v>86</v>
      </c>
      <c r="B3434" t="s">
        <v>87</v>
      </c>
      <c r="C3434" t="s">
        <v>78</v>
      </c>
      <c r="D3434">
        <v>7104482</v>
      </c>
      <c r="E3434" t="s">
        <v>53</v>
      </c>
      <c r="F3434" t="s">
        <v>49</v>
      </c>
      <c r="G3434" s="30">
        <v>12938.062933592701</v>
      </c>
    </row>
    <row r="3435" spans="1:7" x14ac:dyDescent="0.25">
      <c r="A3435" t="s">
        <v>45</v>
      </c>
      <c r="B3435" t="s">
        <v>46</v>
      </c>
      <c r="C3435" t="s">
        <v>47</v>
      </c>
      <c r="D3435">
        <v>7105294</v>
      </c>
      <c r="E3435" t="s">
        <v>48</v>
      </c>
      <c r="F3435" t="s">
        <v>49</v>
      </c>
      <c r="G3435" s="30">
        <v>0</v>
      </c>
    </row>
    <row r="3436" spans="1:7" x14ac:dyDescent="0.25">
      <c r="A3436" t="s">
        <v>45</v>
      </c>
      <c r="B3436" t="s">
        <v>46</v>
      </c>
      <c r="C3436" t="s">
        <v>47</v>
      </c>
      <c r="D3436">
        <v>7105745</v>
      </c>
      <c r="E3436" t="s">
        <v>48</v>
      </c>
      <c r="F3436" t="s">
        <v>49</v>
      </c>
      <c r="G3436" s="30">
        <v>0</v>
      </c>
    </row>
    <row r="3437" spans="1:7" x14ac:dyDescent="0.25">
      <c r="A3437" t="s">
        <v>112</v>
      </c>
      <c r="B3437" t="s">
        <v>113</v>
      </c>
      <c r="C3437" t="s">
        <v>81</v>
      </c>
      <c r="D3437">
        <v>7106957</v>
      </c>
      <c r="E3437" t="s">
        <v>53</v>
      </c>
      <c r="F3437" t="s">
        <v>49</v>
      </c>
      <c r="G3437" s="30">
        <v>1049498.96105255</v>
      </c>
    </row>
    <row r="3438" spans="1:7" x14ac:dyDescent="0.25">
      <c r="A3438" t="s">
        <v>118</v>
      </c>
      <c r="B3438" t="s">
        <v>119</v>
      </c>
      <c r="C3438" t="s">
        <v>56</v>
      </c>
      <c r="D3438">
        <v>7107821</v>
      </c>
      <c r="E3438" t="s">
        <v>53</v>
      </c>
      <c r="F3438" t="s">
        <v>49</v>
      </c>
      <c r="G3438" s="30">
        <v>16241.7259131093</v>
      </c>
    </row>
    <row r="3439" spans="1:7" x14ac:dyDescent="0.25">
      <c r="A3439" t="s">
        <v>61</v>
      </c>
      <c r="B3439" t="s">
        <v>62</v>
      </c>
      <c r="C3439" t="s">
        <v>56</v>
      </c>
      <c r="D3439">
        <v>7107829</v>
      </c>
      <c r="E3439" t="s">
        <v>48</v>
      </c>
      <c r="F3439" t="s">
        <v>49</v>
      </c>
      <c r="G3439" s="30">
        <v>-1.63</v>
      </c>
    </row>
    <row r="3440" spans="1:7" x14ac:dyDescent="0.25">
      <c r="A3440" t="s">
        <v>45</v>
      </c>
      <c r="B3440" t="s">
        <v>46</v>
      </c>
      <c r="C3440" t="s">
        <v>47</v>
      </c>
      <c r="D3440">
        <v>7108957</v>
      </c>
      <c r="E3440" t="s">
        <v>48</v>
      </c>
      <c r="F3440" t="s">
        <v>49</v>
      </c>
      <c r="G3440" s="30">
        <v>0</v>
      </c>
    </row>
    <row r="3441" spans="1:7" x14ac:dyDescent="0.25">
      <c r="A3441" t="s">
        <v>50</v>
      </c>
      <c r="B3441" t="s">
        <v>51</v>
      </c>
      <c r="C3441" t="s">
        <v>52</v>
      </c>
      <c r="D3441">
        <v>7109898</v>
      </c>
      <c r="E3441" t="s">
        <v>48</v>
      </c>
      <c r="F3441" t="s">
        <v>49</v>
      </c>
      <c r="G3441" s="30">
        <v>0</v>
      </c>
    </row>
    <row r="3442" spans="1:7" x14ac:dyDescent="0.25">
      <c r="A3442" t="s">
        <v>45</v>
      </c>
      <c r="B3442" t="s">
        <v>46</v>
      </c>
      <c r="C3442" t="s">
        <v>47</v>
      </c>
      <c r="D3442">
        <v>7111601</v>
      </c>
      <c r="E3442" t="s">
        <v>48</v>
      </c>
      <c r="F3442" t="s">
        <v>49</v>
      </c>
      <c r="G3442" s="30">
        <v>0</v>
      </c>
    </row>
    <row r="3443" spans="1:7" x14ac:dyDescent="0.25">
      <c r="A3443" t="s">
        <v>92</v>
      </c>
      <c r="B3443" t="s">
        <v>93</v>
      </c>
      <c r="C3443" t="s">
        <v>81</v>
      </c>
      <c r="D3443">
        <v>7112132</v>
      </c>
      <c r="E3443" t="s">
        <v>53</v>
      </c>
      <c r="F3443" t="s">
        <v>49</v>
      </c>
      <c r="G3443" s="30">
        <v>14472.733842391301</v>
      </c>
    </row>
    <row r="3444" spans="1:7" x14ac:dyDescent="0.25">
      <c r="A3444" t="s">
        <v>118</v>
      </c>
      <c r="B3444" t="s">
        <v>119</v>
      </c>
      <c r="C3444" t="s">
        <v>56</v>
      </c>
      <c r="D3444">
        <v>7113176</v>
      </c>
      <c r="E3444" t="s">
        <v>48</v>
      </c>
      <c r="F3444" t="s">
        <v>49</v>
      </c>
      <c r="G3444" s="30">
        <v>0</v>
      </c>
    </row>
    <row r="3445" spans="1:7" x14ac:dyDescent="0.25">
      <c r="A3445" t="s">
        <v>50</v>
      </c>
      <c r="B3445" t="s">
        <v>51</v>
      </c>
      <c r="C3445" t="s">
        <v>52</v>
      </c>
      <c r="D3445">
        <v>7113386</v>
      </c>
      <c r="E3445" t="s">
        <v>53</v>
      </c>
      <c r="F3445" t="s">
        <v>49</v>
      </c>
      <c r="G3445" s="30">
        <v>6288.0169430667202</v>
      </c>
    </row>
    <row r="3446" spans="1:7" x14ac:dyDescent="0.25">
      <c r="A3446" t="s">
        <v>54</v>
      </c>
      <c r="B3446" t="s">
        <v>55</v>
      </c>
      <c r="C3446" t="s">
        <v>56</v>
      </c>
      <c r="D3446">
        <v>7117723</v>
      </c>
      <c r="E3446" t="s">
        <v>53</v>
      </c>
      <c r="F3446" t="s">
        <v>49</v>
      </c>
      <c r="G3446" s="30">
        <v>51314.160774421303</v>
      </c>
    </row>
    <row r="3447" spans="1:7" x14ac:dyDescent="0.25">
      <c r="A3447" t="s">
        <v>45</v>
      </c>
      <c r="B3447" t="s">
        <v>46</v>
      </c>
      <c r="C3447" t="s">
        <v>47</v>
      </c>
      <c r="D3447">
        <v>7117967</v>
      </c>
      <c r="E3447" t="s">
        <v>48</v>
      </c>
      <c r="F3447" t="s">
        <v>49</v>
      </c>
      <c r="G3447" s="30">
        <v>0</v>
      </c>
    </row>
    <row r="3448" spans="1:7" x14ac:dyDescent="0.25">
      <c r="A3448" t="s">
        <v>112</v>
      </c>
      <c r="B3448" t="s">
        <v>113</v>
      </c>
      <c r="C3448" t="s">
        <v>81</v>
      </c>
      <c r="D3448">
        <v>7118112</v>
      </c>
      <c r="E3448" t="s">
        <v>53</v>
      </c>
      <c r="F3448" t="s">
        <v>49</v>
      </c>
      <c r="G3448" s="30">
        <v>320178.36511516699</v>
      </c>
    </row>
    <row r="3449" spans="1:7" x14ac:dyDescent="0.25">
      <c r="A3449" t="s">
        <v>45</v>
      </c>
      <c r="B3449" t="s">
        <v>46</v>
      </c>
      <c r="C3449" t="s">
        <v>47</v>
      </c>
      <c r="D3449">
        <v>7119184</v>
      </c>
      <c r="E3449" t="s">
        <v>48</v>
      </c>
      <c r="F3449" t="s">
        <v>49</v>
      </c>
      <c r="G3449" s="30">
        <v>0</v>
      </c>
    </row>
    <row r="3450" spans="1:7" x14ac:dyDescent="0.25">
      <c r="A3450" t="s">
        <v>54</v>
      </c>
      <c r="B3450" t="s">
        <v>55</v>
      </c>
      <c r="C3450" t="s">
        <v>56</v>
      </c>
      <c r="D3450">
        <v>7119239</v>
      </c>
      <c r="E3450" t="s">
        <v>53</v>
      </c>
      <c r="F3450" t="s">
        <v>49</v>
      </c>
      <c r="G3450" s="30">
        <v>737631.38351562503</v>
      </c>
    </row>
    <row r="3451" spans="1:7" x14ac:dyDescent="0.25">
      <c r="A3451" t="s">
        <v>50</v>
      </c>
      <c r="B3451" t="s">
        <v>51</v>
      </c>
      <c r="C3451" t="s">
        <v>52</v>
      </c>
      <c r="D3451">
        <v>7123105</v>
      </c>
      <c r="E3451" t="s">
        <v>53</v>
      </c>
      <c r="F3451" t="s">
        <v>49</v>
      </c>
      <c r="G3451" s="30">
        <v>788.47949925899002</v>
      </c>
    </row>
    <row r="3452" spans="1:7" x14ac:dyDescent="0.25">
      <c r="A3452" t="s">
        <v>45</v>
      </c>
      <c r="B3452" t="s">
        <v>46</v>
      </c>
      <c r="C3452" t="s">
        <v>47</v>
      </c>
      <c r="D3452">
        <v>7125089</v>
      </c>
      <c r="E3452" t="s">
        <v>48</v>
      </c>
      <c r="F3452" t="s">
        <v>49</v>
      </c>
      <c r="G3452" s="30">
        <v>0</v>
      </c>
    </row>
    <row r="3453" spans="1:7" x14ac:dyDescent="0.25">
      <c r="A3453" t="s">
        <v>72</v>
      </c>
      <c r="B3453" t="s">
        <v>73</v>
      </c>
      <c r="C3453" t="s">
        <v>67</v>
      </c>
      <c r="D3453">
        <v>7127943</v>
      </c>
      <c r="E3453" t="s">
        <v>53</v>
      </c>
      <c r="F3453" t="s">
        <v>49</v>
      </c>
      <c r="G3453" s="30">
        <v>463.83091105325798</v>
      </c>
    </row>
    <row r="3454" spans="1:7" x14ac:dyDescent="0.25">
      <c r="A3454" t="s">
        <v>118</v>
      </c>
      <c r="B3454" t="s">
        <v>119</v>
      </c>
      <c r="C3454" t="s">
        <v>56</v>
      </c>
      <c r="D3454">
        <v>7128838</v>
      </c>
      <c r="E3454" t="s">
        <v>53</v>
      </c>
      <c r="F3454" t="s">
        <v>49</v>
      </c>
      <c r="G3454" s="30">
        <v>140145.40451221101</v>
      </c>
    </row>
    <row r="3455" spans="1:7" x14ac:dyDescent="0.25">
      <c r="A3455" t="s">
        <v>90</v>
      </c>
      <c r="B3455" t="s">
        <v>91</v>
      </c>
      <c r="C3455" t="s">
        <v>81</v>
      </c>
      <c r="D3455">
        <v>7132129</v>
      </c>
      <c r="E3455" t="s">
        <v>53</v>
      </c>
      <c r="F3455" t="s">
        <v>49</v>
      </c>
      <c r="G3455" s="30">
        <v>35909.680781249997</v>
      </c>
    </row>
    <row r="3456" spans="1:7" x14ac:dyDescent="0.25">
      <c r="A3456" t="s">
        <v>45</v>
      </c>
      <c r="B3456" t="s">
        <v>46</v>
      </c>
      <c r="C3456" t="s">
        <v>47</v>
      </c>
      <c r="D3456">
        <v>7133120</v>
      </c>
      <c r="E3456" t="s">
        <v>53</v>
      </c>
      <c r="F3456" t="s">
        <v>49</v>
      </c>
      <c r="G3456" s="30">
        <v>56890.3815465976</v>
      </c>
    </row>
    <row r="3457" spans="1:7" x14ac:dyDescent="0.25">
      <c r="A3457" t="s">
        <v>57</v>
      </c>
      <c r="B3457" t="s">
        <v>58</v>
      </c>
      <c r="C3457" t="s">
        <v>56</v>
      </c>
      <c r="D3457">
        <v>7133197</v>
      </c>
      <c r="E3457" t="s">
        <v>48</v>
      </c>
      <c r="F3457" t="s">
        <v>49</v>
      </c>
      <c r="G3457" s="30">
        <v>0</v>
      </c>
    </row>
    <row r="3458" spans="1:7" x14ac:dyDescent="0.25">
      <c r="A3458" t="s">
        <v>116</v>
      </c>
      <c r="B3458" t="s">
        <v>117</v>
      </c>
      <c r="C3458" t="s">
        <v>47</v>
      </c>
      <c r="D3458">
        <v>7133755</v>
      </c>
      <c r="E3458" t="s">
        <v>53</v>
      </c>
      <c r="F3458" t="s">
        <v>49</v>
      </c>
      <c r="G3458" s="30">
        <v>291335.43387352402</v>
      </c>
    </row>
    <row r="3459" spans="1:7" x14ac:dyDescent="0.25">
      <c r="A3459" t="s">
        <v>116</v>
      </c>
      <c r="B3459" t="s">
        <v>117</v>
      </c>
      <c r="C3459" t="s">
        <v>47</v>
      </c>
      <c r="D3459">
        <v>7135114</v>
      </c>
      <c r="E3459" t="s">
        <v>53</v>
      </c>
      <c r="F3459" t="s">
        <v>49</v>
      </c>
      <c r="G3459" s="30">
        <v>398383.32416960999</v>
      </c>
    </row>
    <row r="3460" spans="1:7" x14ac:dyDescent="0.25">
      <c r="A3460" t="s">
        <v>116</v>
      </c>
      <c r="B3460" t="s">
        <v>117</v>
      </c>
      <c r="C3460" t="s">
        <v>47</v>
      </c>
      <c r="D3460">
        <v>7136424</v>
      </c>
      <c r="E3460" t="s">
        <v>53</v>
      </c>
      <c r="F3460" t="s">
        <v>49</v>
      </c>
      <c r="G3460" s="30">
        <v>496514.09417837899</v>
      </c>
    </row>
    <row r="3461" spans="1:7" x14ac:dyDescent="0.25">
      <c r="A3461" t="s">
        <v>45</v>
      </c>
      <c r="B3461" t="s">
        <v>46</v>
      </c>
      <c r="C3461" t="s">
        <v>47</v>
      </c>
      <c r="D3461">
        <v>7137793</v>
      </c>
      <c r="E3461" t="s">
        <v>48</v>
      </c>
      <c r="F3461" t="s">
        <v>49</v>
      </c>
      <c r="G3461" s="30">
        <v>0</v>
      </c>
    </row>
    <row r="3462" spans="1:7" x14ac:dyDescent="0.25">
      <c r="A3462" t="s">
        <v>94</v>
      </c>
      <c r="B3462" t="s">
        <v>95</v>
      </c>
      <c r="C3462" t="s">
        <v>78</v>
      </c>
      <c r="D3462">
        <v>7142138</v>
      </c>
      <c r="E3462" t="s">
        <v>53</v>
      </c>
      <c r="F3462" t="s">
        <v>49</v>
      </c>
      <c r="G3462" s="30">
        <v>215376.174451361</v>
      </c>
    </row>
    <row r="3463" spans="1:7" x14ac:dyDescent="0.25">
      <c r="A3463" t="s">
        <v>45</v>
      </c>
      <c r="B3463" t="s">
        <v>46</v>
      </c>
      <c r="C3463" t="s">
        <v>47</v>
      </c>
      <c r="D3463">
        <v>7150833</v>
      </c>
      <c r="E3463" t="s">
        <v>48</v>
      </c>
      <c r="F3463" t="s">
        <v>49</v>
      </c>
      <c r="G3463" s="30">
        <v>0</v>
      </c>
    </row>
    <row r="3464" spans="1:7" x14ac:dyDescent="0.25">
      <c r="A3464" t="s">
        <v>45</v>
      </c>
      <c r="B3464" t="s">
        <v>46</v>
      </c>
      <c r="C3464" t="s">
        <v>47</v>
      </c>
      <c r="D3464">
        <v>7151213</v>
      </c>
      <c r="E3464" t="s">
        <v>48</v>
      </c>
      <c r="F3464" t="s">
        <v>49</v>
      </c>
      <c r="G3464" s="30">
        <v>0</v>
      </c>
    </row>
    <row r="3465" spans="1:7" x14ac:dyDescent="0.25">
      <c r="A3465" t="s">
        <v>45</v>
      </c>
      <c r="B3465" t="s">
        <v>46</v>
      </c>
      <c r="C3465" t="s">
        <v>47</v>
      </c>
      <c r="D3465">
        <v>7151360</v>
      </c>
      <c r="E3465" t="s">
        <v>48</v>
      </c>
      <c r="F3465" t="s">
        <v>49</v>
      </c>
      <c r="G3465" s="30">
        <v>0</v>
      </c>
    </row>
    <row r="3466" spans="1:7" x14ac:dyDescent="0.25">
      <c r="A3466" t="s">
        <v>61</v>
      </c>
      <c r="B3466" t="s">
        <v>62</v>
      </c>
      <c r="C3466" t="s">
        <v>56</v>
      </c>
      <c r="D3466">
        <v>7151635</v>
      </c>
      <c r="E3466" t="s">
        <v>48</v>
      </c>
      <c r="F3466" t="s">
        <v>49</v>
      </c>
      <c r="G3466" s="30">
        <v>0</v>
      </c>
    </row>
    <row r="3467" spans="1:7" x14ac:dyDescent="0.25">
      <c r="A3467" t="s">
        <v>57</v>
      </c>
      <c r="B3467" t="s">
        <v>58</v>
      </c>
      <c r="C3467" t="s">
        <v>56</v>
      </c>
      <c r="D3467">
        <v>7152250</v>
      </c>
      <c r="E3467" t="s">
        <v>53</v>
      </c>
      <c r="F3467" t="s">
        <v>49</v>
      </c>
      <c r="G3467" s="30">
        <v>113.56366767</v>
      </c>
    </row>
    <row r="3468" spans="1:7" x14ac:dyDescent="0.25">
      <c r="A3468" t="s">
        <v>45</v>
      </c>
      <c r="B3468" t="s">
        <v>46</v>
      </c>
      <c r="C3468" t="s">
        <v>47</v>
      </c>
      <c r="D3468">
        <v>7152747</v>
      </c>
      <c r="E3468" t="s">
        <v>48</v>
      </c>
      <c r="F3468" t="s">
        <v>49</v>
      </c>
      <c r="G3468" s="30">
        <v>0</v>
      </c>
    </row>
    <row r="3469" spans="1:7" x14ac:dyDescent="0.25">
      <c r="A3469" t="s">
        <v>118</v>
      </c>
      <c r="B3469" t="s">
        <v>119</v>
      </c>
      <c r="C3469" t="s">
        <v>56</v>
      </c>
      <c r="D3469">
        <v>7153713</v>
      </c>
      <c r="E3469" t="s">
        <v>53</v>
      </c>
      <c r="F3469" t="s">
        <v>49</v>
      </c>
      <c r="G3469" s="30">
        <v>479138.06780028698</v>
      </c>
    </row>
    <row r="3470" spans="1:7" x14ac:dyDescent="0.25">
      <c r="A3470" t="s">
        <v>50</v>
      </c>
      <c r="B3470" t="s">
        <v>51</v>
      </c>
      <c r="C3470" t="s">
        <v>52</v>
      </c>
      <c r="D3470">
        <v>7157377</v>
      </c>
      <c r="E3470" t="s">
        <v>53</v>
      </c>
      <c r="F3470" t="s">
        <v>49</v>
      </c>
      <c r="G3470" s="30">
        <v>202.95293020278899</v>
      </c>
    </row>
    <row r="3471" spans="1:7" x14ac:dyDescent="0.25">
      <c r="A3471" t="s">
        <v>45</v>
      </c>
      <c r="B3471" t="s">
        <v>46</v>
      </c>
      <c r="C3471" t="s">
        <v>47</v>
      </c>
      <c r="D3471">
        <v>7161965</v>
      </c>
      <c r="E3471" t="s">
        <v>48</v>
      </c>
      <c r="F3471" t="s">
        <v>49</v>
      </c>
      <c r="G3471" s="30">
        <v>0</v>
      </c>
    </row>
    <row r="3472" spans="1:7" x14ac:dyDescent="0.25">
      <c r="A3472" t="s">
        <v>82</v>
      </c>
      <c r="B3472" t="s">
        <v>83</v>
      </c>
      <c r="C3472" t="s">
        <v>56</v>
      </c>
      <c r="D3472">
        <v>7163558</v>
      </c>
      <c r="E3472" t="s">
        <v>53</v>
      </c>
      <c r="F3472" t="s">
        <v>49</v>
      </c>
      <c r="G3472" s="30">
        <v>1490135.73160992</v>
      </c>
    </row>
    <row r="3473" spans="1:7" x14ac:dyDescent="0.25">
      <c r="A3473" t="s">
        <v>50</v>
      </c>
      <c r="B3473" t="s">
        <v>51</v>
      </c>
      <c r="C3473" t="s">
        <v>52</v>
      </c>
      <c r="D3473">
        <v>7164391</v>
      </c>
      <c r="E3473" t="s">
        <v>48</v>
      </c>
      <c r="F3473" t="s">
        <v>49</v>
      </c>
      <c r="G3473" s="30">
        <v>0</v>
      </c>
    </row>
    <row r="3474" spans="1:7" x14ac:dyDescent="0.25">
      <c r="A3474" t="s">
        <v>92</v>
      </c>
      <c r="B3474" t="s">
        <v>93</v>
      </c>
      <c r="C3474" t="s">
        <v>81</v>
      </c>
      <c r="D3474">
        <v>7164418</v>
      </c>
      <c r="E3474" t="s">
        <v>48</v>
      </c>
      <c r="F3474" t="s">
        <v>49</v>
      </c>
      <c r="G3474" s="30">
        <v>0</v>
      </c>
    </row>
    <row r="3475" spans="1:7" x14ac:dyDescent="0.25">
      <c r="A3475" t="s">
        <v>45</v>
      </c>
      <c r="B3475" t="s">
        <v>46</v>
      </c>
      <c r="C3475" t="s">
        <v>47</v>
      </c>
      <c r="D3475">
        <v>7164522</v>
      </c>
      <c r="E3475" t="s">
        <v>48</v>
      </c>
      <c r="F3475" t="s">
        <v>49</v>
      </c>
      <c r="G3475" s="30">
        <v>0</v>
      </c>
    </row>
    <row r="3476" spans="1:7" x14ac:dyDescent="0.25">
      <c r="A3476" t="s">
        <v>90</v>
      </c>
      <c r="B3476" t="s">
        <v>91</v>
      </c>
      <c r="C3476" t="s">
        <v>81</v>
      </c>
      <c r="D3476">
        <v>7164966</v>
      </c>
      <c r="E3476" t="s">
        <v>53</v>
      </c>
      <c r="F3476" t="s">
        <v>49</v>
      </c>
      <c r="G3476" s="30">
        <v>225480.95999999999</v>
      </c>
    </row>
    <row r="3477" spans="1:7" x14ac:dyDescent="0.25">
      <c r="A3477" t="s">
        <v>50</v>
      </c>
      <c r="B3477" t="s">
        <v>51</v>
      </c>
      <c r="C3477" t="s">
        <v>52</v>
      </c>
      <c r="D3477">
        <v>7177057</v>
      </c>
      <c r="E3477" t="s">
        <v>53</v>
      </c>
      <c r="F3477" t="s">
        <v>49</v>
      </c>
      <c r="G3477" s="30">
        <v>3563.8018014280901</v>
      </c>
    </row>
    <row r="3478" spans="1:7" x14ac:dyDescent="0.25">
      <c r="A3478" t="s">
        <v>112</v>
      </c>
      <c r="B3478" t="s">
        <v>113</v>
      </c>
      <c r="C3478" t="s">
        <v>81</v>
      </c>
      <c r="D3478">
        <v>7182728</v>
      </c>
      <c r="E3478" t="s">
        <v>53</v>
      </c>
      <c r="F3478" t="s">
        <v>49</v>
      </c>
      <c r="G3478" s="30">
        <v>79161.301902136503</v>
      </c>
    </row>
    <row r="3479" spans="1:7" x14ac:dyDescent="0.25">
      <c r="A3479" t="s">
        <v>50</v>
      </c>
      <c r="B3479" t="s">
        <v>51</v>
      </c>
      <c r="C3479" t="s">
        <v>52</v>
      </c>
      <c r="D3479">
        <v>7188633</v>
      </c>
      <c r="E3479" t="s">
        <v>48</v>
      </c>
      <c r="F3479" t="s">
        <v>49</v>
      </c>
      <c r="G3479" s="30">
        <v>0</v>
      </c>
    </row>
    <row r="3480" spans="1:7" x14ac:dyDescent="0.25">
      <c r="A3480" t="s">
        <v>92</v>
      </c>
      <c r="B3480" t="s">
        <v>93</v>
      </c>
      <c r="C3480" t="s">
        <v>81</v>
      </c>
      <c r="D3480">
        <v>7188844</v>
      </c>
      <c r="E3480" t="s">
        <v>53</v>
      </c>
      <c r="F3480" t="s">
        <v>49</v>
      </c>
      <c r="G3480" s="30">
        <v>211660.503497167</v>
      </c>
    </row>
    <row r="3481" spans="1:7" x14ac:dyDescent="0.25">
      <c r="A3481" t="s">
        <v>126</v>
      </c>
      <c r="B3481" t="s">
        <v>127</v>
      </c>
      <c r="C3481" t="s">
        <v>67</v>
      </c>
      <c r="D3481">
        <v>7189377</v>
      </c>
      <c r="E3481" t="s">
        <v>48</v>
      </c>
      <c r="F3481" t="s">
        <v>49</v>
      </c>
      <c r="G3481" s="30">
        <v>0</v>
      </c>
    </row>
    <row r="3482" spans="1:7" x14ac:dyDescent="0.25">
      <c r="A3482" t="s">
        <v>94</v>
      </c>
      <c r="B3482" t="s">
        <v>95</v>
      </c>
      <c r="C3482" t="s">
        <v>78</v>
      </c>
      <c r="D3482">
        <v>7191198</v>
      </c>
      <c r="E3482" t="s">
        <v>53</v>
      </c>
      <c r="F3482" t="s">
        <v>49</v>
      </c>
      <c r="G3482" s="30">
        <v>576858.10510919103</v>
      </c>
    </row>
    <row r="3483" spans="1:7" x14ac:dyDescent="0.25">
      <c r="A3483" t="s">
        <v>59</v>
      </c>
      <c r="B3483" t="s">
        <v>60</v>
      </c>
      <c r="C3483" t="s">
        <v>56</v>
      </c>
      <c r="D3483">
        <v>7192344</v>
      </c>
      <c r="E3483" t="s">
        <v>53</v>
      </c>
      <c r="F3483" t="s">
        <v>49</v>
      </c>
      <c r="G3483" s="30">
        <v>111743.16</v>
      </c>
    </row>
    <row r="3484" spans="1:7" x14ac:dyDescent="0.25">
      <c r="A3484" t="s">
        <v>90</v>
      </c>
      <c r="B3484" t="s">
        <v>91</v>
      </c>
      <c r="C3484" t="s">
        <v>81</v>
      </c>
      <c r="D3484">
        <v>7193787</v>
      </c>
      <c r="E3484" t="s">
        <v>53</v>
      </c>
      <c r="F3484" t="s">
        <v>49</v>
      </c>
      <c r="G3484" s="30">
        <v>536439.01496397401</v>
      </c>
    </row>
    <row r="3485" spans="1:7" x14ac:dyDescent="0.25">
      <c r="A3485" t="s">
        <v>54</v>
      </c>
      <c r="B3485" t="s">
        <v>55</v>
      </c>
      <c r="C3485" t="s">
        <v>56</v>
      </c>
      <c r="D3485">
        <v>7194953</v>
      </c>
      <c r="E3485" t="s">
        <v>53</v>
      </c>
      <c r="F3485" t="s">
        <v>49</v>
      </c>
      <c r="G3485" s="30">
        <v>32095.614347312301</v>
      </c>
    </row>
    <row r="3486" spans="1:7" x14ac:dyDescent="0.25">
      <c r="A3486" t="s">
        <v>45</v>
      </c>
      <c r="B3486" t="s">
        <v>46</v>
      </c>
      <c r="C3486" t="s">
        <v>47</v>
      </c>
      <c r="D3486">
        <v>7195304</v>
      </c>
      <c r="E3486" t="s">
        <v>48</v>
      </c>
      <c r="F3486" t="s">
        <v>49</v>
      </c>
      <c r="G3486" s="30">
        <v>0</v>
      </c>
    </row>
    <row r="3487" spans="1:7" x14ac:dyDescent="0.25">
      <c r="A3487" t="s">
        <v>82</v>
      </c>
      <c r="B3487" t="s">
        <v>83</v>
      </c>
      <c r="C3487" t="s">
        <v>56</v>
      </c>
      <c r="D3487">
        <v>7197027</v>
      </c>
      <c r="E3487" t="s">
        <v>53</v>
      </c>
      <c r="F3487" t="s">
        <v>49</v>
      </c>
      <c r="G3487" s="30">
        <v>175233.81127124699</v>
      </c>
    </row>
    <row r="3488" spans="1:7" x14ac:dyDescent="0.25">
      <c r="A3488" t="s">
        <v>45</v>
      </c>
      <c r="B3488" t="s">
        <v>46</v>
      </c>
      <c r="C3488" t="s">
        <v>47</v>
      </c>
      <c r="D3488">
        <v>7197242</v>
      </c>
      <c r="E3488" t="s">
        <v>48</v>
      </c>
      <c r="F3488" t="s">
        <v>49</v>
      </c>
      <c r="G3488" s="30">
        <v>0</v>
      </c>
    </row>
    <row r="3489" spans="1:7" x14ac:dyDescent="0.25">
      <c r="A3489" t="s">
        <v>114</v>
      </c>
      <c r="B3489" t="s">
        <v>115</v>
      </c>
      <c r="C3489" t="s">
        <v>56</v>
      </c>
      <c r="D3489">
        <v>7200636</v>
      </c>
      <c r="E3489" t="s">
        <v>48</v>
      </c>
      <c r="F3489" t="s">
        <v>49</v>
      </c>
      <c r="G3489" s="30">
        <v>87.65</v>
      </c>
    </row>
    <row r="3490" spans="1:7" x14ac:dyDescent="0.25">
      <c r="A3490" t="s">
        <v>63</v>
      </c>
      <c r="B3490" t="s">
        <v>64</v>
      </c>
      <c r="C3490" t="s">
        <v>56</v>
      </c>
      <c r="D3490">
        <v>7206415</v>
      </c>
      <c r="E3490" t="s">
        <v>53</v>
      </c>
      <c r="F3490" t="s">
        <v>49</v>
      </c>
      <c r="G3490" s="30">
        <v>156864.82333201601</v>
      </c>
    </row>
    <row r="3491" spans="1:7" x14ac:dyDescent="0.25">
      <c r="A3491" t="s">
        <v>45</v>
      </c>
      <c r="B3491" t="s">
        <v>46</v>
      </c>
      <c r="C3491" t="s">
        <v>47</v>
      </c>
      <c r="D3491">
        <v>7206844</v>
      </c>
      <c r="E3491" t="s">
        <v>48</v>
      </c>
      <c r="F3491" t="s">
        <v>49</v>
      </c>
      <c r="G3491" s="30">
        <v>0</v>
      </c>
    </row>
    <row r="3492" spans="1:7" x14ac:dyDescent="0.25">
      <c r="A3492" t="s">
        <v>50</v>
      </c>
      <c r="B3492" t="s">
        <v>51</v>
      </c>
      <c r="C3492" t="s">
        <v>52</v>
      </c>
      <c r="D3492">
        <v>7207653</v>
      </c>
      <c r="E3492" t="s">
        <v>53</v>
      </c>
      <c r="F3492" t="s">
        <v>49</v>
      </c>
      <c r="G3492" s="30">
        <v>13150.924801639399</v>
      </c>
    </row>
    <row r="3493" spans="1:7" x14ac:dyDescent="0.25">
      <c r="A3493" t="s">
        <v>61</v>
      </c>
      <c r="B3493" t="s">
        <v>62</v>
      </c>
      <c r="C3493" t="s">
        <v>56</v>
      </c>
      <c r="D3493">
        <v>7212017</v>
      </c>
      <c r="E3493" t="s">
        <v>53</v>
      </c>
      <c r="F3493" t="s">
        <v>49</v>
      </c>
      <c r="G3493" s="30">
        <v>33234.83</v>
      </c>
    </row>
    <row r="3494" spans="1:7" x14ac:dyDescent="0.25">
      <c r="A3494" t="s">
        <v>45</v>
      </c>
      <c r="B3494" t="s">
        <v>46</v>
      </c>
      <c r="C3494" t="s">
        <v>47</v>
      </c>
      <c r="D3494">
        <v>7213051</v>
      </c>
      <c r="E3494" t="s">
        <v>48</v>
      </c>
      <c r="F3494" t="s">
        <v>49</v>
      </c>
      <c r="G3494" s="30">
        <v>0</v>
      </c>
    </row>
    <row r="3495" spans="1:7" x14ac:dyDescent="0.25">
      <c r="A3495" t="s">
        <v>92</v>
      </c>
      <c r="B3495" t="s">
        <v>93</v>
      </c>
      <c r="C3495" t="s">
        <v>81</v>
      </c>
      <c r="D3495">
        <v>7214759</v>
      </c>
      <c r="E3495" t="s">
        <v>53</v>
      </c>
      <c r="F3495" t="s">
        <v>49</v>
      </c>
      <c r="G3495" s="30">
        <v>103228.820318218</v>
      </c>
    </row>
    <row r="3496" spans="1:7" x14ac:dyDescent="0.25">
      <c r="A3496" t="s">
        <v>45</v>
      </c>
      <c r="B3496" t="s">
        <v>46</v>
      </c>
      <c r="C3496" t="s">
        <v>47</v>
      </c>
      <c r="D3496">
        <v>7217495</v>
      </c>
      <c r="E3496" t="s">
        <v>48</v>
      </c>
      <c r="F3496" t="s">
        <v>49</v>
      </c>
      <c r="G3496" s="30">
        <v>0</v>
      </c>
    </row>
    <row r="3497" spans="1:7" x14ac:dyDescent="0.25">
      <c r="A3497" t="s">
        <v>45</v>
      </c>
      <c r="B3497" t="s">
        <v>46</v>
      </c>
      <c r="C3497" t="s">
        <v>47</v>
      </c>
      <c r="D3497">
        <v>7220206</v>
      </c>
      <c r="E3497" t="s">
        <v>48</v>
      </c>
      <c r="F3497" t="s">
        <v>49</v>
      </c>
      <c r="G3497" s="30">
        <v>0</v>
      </c>
    </row>
    <row r="3498" spans="1:7" x14ac:dyDescent="0.25">
      <c r="A3498" t="s">
        <v>45</v>
      </c>
      <c r="B3498" t="s">
        <v>46</v>
      </c>
      <c r="C3498" t="s">
        <v>47</v>
      </c>
      <c r="D3498">
        <v>7222993</v>
      </c>
      <c r="E3498" t="s">
        <v>48</v>
      </c>
      <c r="F3498" t="s">
        <v>49</v>
      </c>
      <c r="G3498" s="30">
        <v>10.63</v>
      </c>
    </row>
    <row r="3499" spans="1:7" x14ac:dyDescent="0.25">
      <c r="A3499" t="s">
        <v>54</v>
      </c>
      <c r="B3499" t="s">
        <v>55</v>
      </c>
      <c r="C3499" t="s">
        <v>56</v>
      </c>
      <c r="D3499">
        <v>7224222</v>
      </c>
      <c r="E3499" t="s">
        <v>53</v>
      </c>
      <c r="F3499" t="s">
        <v>49</v>
      </c>
      <c r="G3499" s="30">
        <v>10785.7721194365</v>
      </c>
    </row>
    <row r="3500" spans="1:7" x14ac:dyDescent="0.25">
      <c r="A3500" t="s">
        <v>61</v>
      </c>
      <c r="B3500" t="s">
        <v>62</v>
      </c>
      <c r="C3500" t="s">
        <v>56</v>
      </c>
      <c r="D3500">
        <v>7243679</v>
      </c>
      <c r="E3500" t="s">
        <v>48</v>
      </c>
      <c r="F3500" t="s">
        <v>49</v>
      </c>
      <c r="G3500" s="30">
        <v>0</v>
      </c>
    </row>
    <row r="3501" spans="1:7" x14ac:dyDescent="0.25">
      <c r="A3501" t="s">
        <v>45</v>
      </c>
      <c r="B3501" t="s">
        <v>46</v>
      </c>
      <c r="C3501" t="s">
        <v>47</v>
      </c>
      <c r="D3501">
        <v>7244133</v>
      </c>
      <c r="E3501" t="s">
        <v>48</v>
      </c>
      <c r="F3501" t="s">
        <v>49</v>
      </c>
      <c r="G3501" s="30">
        <v>0</v>
      </c>
    </row>
    <row r="3502" spans="1:7" x14ac:dyDescent="0.25">
      <c r="A3502" t="s">
        <v>45</v>
      </c>
      <c r="B3502" t="s">
        <v>46</v>
      </c>
      <c r="C3502" t="s">
        <v>47</v>
      </c>
      <c r="D3502">
        <v>7244285</v>
      </c>
      <c r="E3502" t="s">
        <v>53</v>
      </c>
      <c r="F3502" t="s">
        <v>49</v>
      </c>
      <c r="G3502" s="30">
        <v>53087.912678607798</v>
      </c>
    </row>
    <row r="3503" spans="1:7" x14ac:dyDescent="0.25">
      <c r="A3503" t="s">
        <v>104</v>
      </c>
      <c r="B3503" t="s">
        <v>105</v>
      </c>
      <c r="C3503" t="s">
        <v>78</v>
      </c>
      <c r="D3503">
        <v>7244468</v>
      </c>
      <c r="E3503" t="s">
        <v>53</v>
      </c>
      <c r="F3503" t="s">
        <v>49</v>
      </c>
      <c r="G3503" s="30">
        <v>194783.13904805799</v>
      </c>
    </row>
    <row r="3504" spans="1:7" x14ac:dyDescent="0.25">
      <c r="A3504" t="s">
        <v>112</v>
      </c>
      <c r="B3504" t="s">
        <v>113</v>
      </c>
      <c r="C3504" t="s">
        <v>81</v>
      </c>
      <c r="D3504">
        <v>7245869</v>
      </c>
      <c r="E3504" t="s">
        <v>53</v>
      </c>
      <c r="F3504" t="s">
        <v>49</v>
      </c>
      <c r="G3504" s="30">
        <v>132099.19211768199</v>
      </c>
    </row>
    <row r="3505" spans="1:7" x14ac:dyDescent="0.25">
      <c r="A3505" t="s">
        <v>45</v>
      </c>
      <c r="B3505" t="s">
        <v>46</v>
      </c>
      <c r="C3505" t="s">
        <v>47</v>
      </c>
      <c r="D3505">
        <v>7249205</v>
      </c>
      <c r="E3505" t="s">
        <v>48</v>
      </c>
      <c r="F3505" t="s">
        <v>49</v>
      </c>
      <c r="G3505" s="30">
        <v>0</v>
      </c>
    </row>
    <row r="3506" spans="1:7" x14ac:dyDescent="0.25">
      <c r="A3506" t="s">
        <v>76</v>
      </c>
      <c r="B3506" t="s">
        <v>77</v>
      </c>
      <c r="C3506" t="s">
        <v>78</v>
      </c>
      <c r="D3506">
        <v>7252794</v>
      </c>
      <c r="E3506" t="s">
        <v>53</v>
      </c>
      <c r="F3506" t="s">
        <v>49</v>
      </c>
      <c r="G3506" s="30">
        <v>149600.08807296699</v>
      </c>
    </row>
    <row r="3507" spans="1:7" x14ac:dyDescent="0.25">
      <c r="A3507" t="s">
        <v>45</v>
      </c>
      <c r="B3507" t="s">
        <v>46</v>
      </c>
      <c r="C3507" t="s">
        <v>47</v>
      </c>
      <c r="D3507">
        <v>7257163</v>
      </c>
      <c r="E3507" t="s">
        <v>48</v>
      </c>
      <c r="F3507" t="s">
        <v>49</v>
      </c>
      <c r="G3507" s="30">
        <v>0</v>
      </c>
    </row>
    <row r="3508" spans="1:7" x14ac:dyDescent="0.25">
      <c r="A3508" t="s">
        <v>92</v>
      </c>
      <c r="B3508" t="s">
        <v>93</v>
      </c>
      <c r="C3508" t="s">
        <v>81</v>
      </c>
      <c r="D3508">
        <v>7261728</v>
      </c>
      <c r="E3508" t="s">
        <v>53</v>
      </c>
      <c r="F3508" t="s">
        <v>49</v>
      </c>
      <c r="G3508" s="30">
        <v>9751.7099999999991</v>
      </c>
    </row>
    <row r="3509" spans="1:7" x14ac:dyDescent="0.25">
      <c r="A3509" t="s">
        <v>45</v>
      </c>
      <c r="B3509" t="s">
        <v>46</v>
      </c>
      <c r="C3509" t="s">
        <v>47</v>
      </c>
      <c r="D3509">
        <v>7263838</v>
      </c>
      <c r="E3509" t="s">
        <v>48</v>
      </c>
      <c r="F3509" t="s">
        <v>49</v>
      </c>
      <c r="G3509" s="30">
        <v>0</v>
      </c>
    </row>
    <row r="3510" spans="1:7" x14ac:dyDescent="0.25">
      <c r="A3510" t="s">
        <v>45</v>
      </c>
      <c r="B3510" t="s">
        <v>46</v>
      </c>
      <c r="C3510" t="s">
        <v>47</v>
      </c>
      <c r="D3510">
        <v>7263839</v>
      </c>
      <c r="E3510" t="s">
        <v>48</v>
      </c>
      <c r="F3510" t="s">
        <v>49</v>
      </c>
      <c r="G3510" s="30">
        <v>0</v>
      </c>
    </row>
    <row r="3511" spans="1:7" x14ac:dyDescent="0.25">
      <c r="A3511" t="s">
        <v>45</v>
      </c>
      <c r="B3511" t="s">
        <v>46</v>
      </c>
      <c r="C3511" t="s">
        <v>47</v>
      </c>
      <c r="D3511">
        <v>7263841</v>
      </c>
      <c r="E3511" t="s">
        <v>48</v>
      </c>
      <c r="F3511" t="s">
        <v>49</v>
      </c>
      <c r="G3511" s="30">
        <v>0</v>
      </c>
    </row>
    <row r="3512" spans="1:7" x14ac:dyDescent="0.25">
      <c r="A3512" t="s">
        <v>45</v>
      </c>
      <c r="B3512" t="s">
        <v>46</v>
      </c>
      <c r="C3512" t="s">
        <v>47</v>
      </c>
      <c r="D3512">
        <v>7263843</v>
      </c>
      <c r="E3512" t="s">
        <v>48</v>
      </c>
      <c r="F3512" t="s">
        <v>49</v>
      </c>
      <c r="G3512" s="30">
        <v>0</v>
      </c>
    </row>
    <row r="3513" spans="1:7" x14ac:dyDescent="0.25">
      <c r="A3513" t="s">
        <v>50</v>
      </c>
      <c r="B3513" t="s">
        <v>51</v>
      </c>
      <c r="C3513" t="s">
        <v>52</v>
      </c>
      <c r="D3513">
        <v>7264614</v>
      </c>
      <c r="E3513" t="s">
        <v>53</v>
      </c>
      <c r="F3513" t="s">
        <v>49</v>
      </c>
      <c r="G3513" s="30">
        <v>46420.814825948502</v>
      </c>
    </row>
    <row r="3514" spans="1:7" x14ac:dyDescent="0.25">
      <c r="A3514" t="s">
        <v>61</v>
      </c>
      <c r="B3514" t="s">
        <v>62</v>
      </c>
      <c r="C3514" t="s">
        <v>56</v>
      </c>
      <c r="D3514">
        <v>7269977</v>
      </c>
      <c r="E3514" t="s">
        <v>48</v>
      </c>
      <c r="F3514" t="s">
        <v>49</v>
      </c>
      <c r="G3514" s="30">
        <v>0</v>
      </c>
    </row>
    <row r="3515" spans="1:7" x14ac:dyDescent="0.25">
      <c r="A3515" t="s">
        <v>45</v>
      </c>
      <c r="B3515" t="s">
        <v>46</v>
      </c>
      <c r="C3515" t="s">
        <v>47</v>
      </c>
      <c r="D3515">
        <v>7271208</v>
      </c>
      <c r="E3515" t="s">
        <v>48</v>
      </c>
      <c r="F3515" t="s">
        <v>49</v>
      </c>
      <c r="G3515" s="30">
        <v>0</v>
      </c>
    </row>
    <row r="3516" spans="1:7" x14ac:dyDescent="0.25">
      <c r="A3516" t="s">
        <v>50</v>
      </c>
      <c r="B3516" t="s">
        <v>51</v>
      </c>
      <c r="C3516" t="s">
        <v>52</v>
      </c>
      <c r="D3516">
        <v>7271470</v>
      </c>
      <c r="E3516" t="s">
        <v>53</v>
      </c>
      <c r="F3516" t="s">
        <v>49</v>
      </c>
      <c r="G3516" s="30">
        <v>4118.50930910643</v>
      </c>
    </row>
    <row r="3517" spans="1:7" x14ac:dyDescent="0.25">
      <c r="A3517" t="s">
        <v>90</v>
      </c>
      <c r="B3517" t="s">
        <v>91</v>
      </c>
      <c r="C3517" t="s">
        <v>81</v>
      </c>
      <c r="D3517">
        <v>7273962</v>
      </c>
      <c r="E3517" t="s">
        <v>53</v>
      </c>
      <c r="F3517" t="s">
        <v>49</v>
      </c>
      <c r="G3517" s="30">
        <v>215187.107619755</v>
      </c>
    </row>
    <row r="3518" spans="1:7" x14ac:dyDescent="0.25">
      <c r="A3518" t="s">
        <v>96</v>
      </c>
      <c r="B3518" t="s">
        <v>97</v>
      </c>
      <c r="C3518" t="s">
        <v>81</v>
      </c>
      <c r="D3518">
        <v>7278170</v>
      </c>
      <c r="E3518" t="s">
        <v>53</v>
      </c>
      <c r="F3518" t="s">
        <v>49</v>
      </c>
      <c r="G3518" s="30">
        <v>115998.008342377</v>
      </c>
    </row>
    <row r="3519" spans="1:7" x14ac:dyDescent="0.25">
      <c r="A3519" t="s">
        <v>102</v>
      </c>
      <c r="B3519" t="s">
        <v>103</v>
      </c>
      <c r="C3519" t="s">
        <v>47</v>
      </c>
      <c r="D3519">
        <v>7279064</v>
      </c>
      <c r="E3519" t="s">
        <v>53</v>
      </c>
      <c r="F3519" t="s">
        <v>49</v>
      </c>
      <c r="G3519" s="30">
        <v>217619.393182645</v>
      </c>
    </row>
    <row r="3520" spans="1:7" x14ac:dyDescent="0.25">
      <c r="A3520" t="s">
        <v>45</v>
      </c>
      <c r="B3520" t="s">
        <v>46</v>
      </c>
      <c r="C3520" t="s">
        <v>47</v>
      </c>
      <c r="D3520">
        <v>7281204</v>
      </c>
      <c r="E3520" t="s">
        <v>53</v>
      </c>
      <c r="F3520" t="s">
        <v>49</v>
      </c>
      <c r="G3520" s="30">
        <v>-557.87</v>
      </c>
    </row>
    <row r="3521" spans="1:7" x14ac:dyDescent="0.25">
      <c r="A3521" t="s">
        <v>45</v>
      </c>
      <c r="B3521" t="s">
        <v>46</v>
      </c>
      <c r="C3521" t="s">
        <v>47</v>
      </c>
      <c r="D3521">
        <v>7282681</v>
      </c>
      <c r="E3521" t="s">
        <v>48</v>
      </c>
      <c r="F3521" t="s">
        <v>49</v>
      </c>
      <c r="G3521" s="30">
        <v>0</v>
      </c>
    </row>
    <row r="3522" spans="1:7" x14ac:dyDescent="0.25">
      <c r="A3522" t="s">
        <v>45</v>
      </c>
      <c r="B3522" t="s">
        <v>46</v>
      </c>
      <c r="C3522" t="s">
        <v>47</v>
      </c>
      <c r="D3522">
        <v>7284345</v>
      </c>
      <c r="E3522" t="s">
        <v>48</v>
      </c>
      <c r="F3522" t="s">
        <v>49</v>
      </c>
      <c r="G3522" s="30">
        <v>0</v>
      </c>
    </row>
    <row r="3523" spans="1:7" x14ac:dyDescent="0.25">
      <c r="A3523" t="s">
        <v>96</v>
      </c>
      <c r="B3523" t="s">
        <v>97</v>
      </c>
      <c r="C3523" t="s">
        <v>81</v>
      </c>
      <c r="D3523">
        <v>7291249</v>
      </c>
      <c r="E3523" t="s">
        <v>48</v>
      </c>
      <c r="F3523" t="s">
        <v>49</v>
      </c>
      <c r="G3523" s="30">
        <v>0</v>
      </c>
    </row>
    <row r="3524" spans="1:7" x14ac:dyDescent="0.25">
      <c r="A3524" t="s">
        <v>96</v>
      </c>
      <c r="B3524" t="s">
        <v>97</v>
      </c>
      <c r="C3524" t="s">
        <v>81</v>
      </c>
      <c r="D3524">
        <v>7291250</v>
      </c>
      <c r="E3524" t="s">
        <v>48</v>
      </c>
      <c r="F3524" t="s">
        <v>49</v>
      </c>
      <c r="G3524" s="30">
        <v>0</v>
      </c>
    </row>
    <row r="3525" spans="1:7" x14ac:dyDescent="0.25">
      <c r="A3525" t="s">
        <v>96</v>
      </c>
      <c r="B3525" t="s">
        <v>97</v>
      </c>
      <c r="C3525" t="s">
        <v>81</v>
      </c>
      <c r="D3525">
        <v>7291254</v>
      </c>
      <c r="E3525" t="s">
        <v>48</v>
      </c>
      <c r="F3525" t="s">
        <v>49</v>
      </c>
      <c r="G3525" s="30">
        <v>0</v>
      </c>
    </row>
    <row r="3526" spans="1:7" x14ac:dyDescent="0.25">
      <c r="A3526" t="s">
        <v>96</v>
      </c>
      <c r="B3526" t="s">
        <v>97</v>
      </c>
      <c r="C3526" t="s">
        <v>81</v>
      </c>
      <c r="D3526">
        <v>7291257</v>
      </c>
      <c r="E3526" t="s">
        <v>48</v>
      </c>
      <c r="F3526" t="s">
        <v>49</v>
      </c>
      <c r="G3526" s="30">
        <v>0</v>
      </c>
    </row>
    <row r="3527" spans="1:7" x14ac:dyDescent="0.25">
      <c r="A3527" t="s">
        <v>50</v>
      </c>
      <c r="B3527" t="s">
        <v>51</v>
      </c>
      <c r="C3527" t="s">
        <v>52</v>
      </c>
      <c r="D3527">
        <v>7295927</v>
      </c>
      <c r="E3527" t="s">
        <v>53</v>
      </c>
      <c r="F3527" t="s">
        <v>49</v>
      </c>
      <c r="G3527" s="30">
        <v>20196.929462890599</v>
      </c>
    </row>
    <row r="3528" spans="1:7" x14ac:dyDescent="0.25">
      <c r="A3528" t="s">
        <v>45</v>
      </c>
      <c r="B3528" t="s">
        <v>46</v>
      </c>
      <c r="C3528" t="s">
        <v>47</v>
      </c>
      <c r="D3528">
        <v>7298221</v>
      </c>
      <c r="E3528" t="s">
        <v>48</v>
      </c>
      <c r="F3528" t="s">
        <v>49</v>
      </c>
      <c r="G3528" s="30">
        <v>0.48</v>
      </c>
    </row>
    <row r="3529" spans="1:7" x14ac:dyDescent="0.25">
      <c r="A3529" t="s">
        <v>45</v>
      </c>
      <c r="B3529" t="s">
        <v>46</v>
      </c>
      <c r="C3529" t="s">
        <v>47</v>
      </c>
      <c r="D3529">
        <v>7302156</v>
      </c>
      <c r="E3529" t="s">
        <v>48</v>
      </c>
      <c r="F3529" t="s">
        <v>49</v>
      </c>
      <c r="G3529" s="30">
        <v>0</v>
      </c>
    </row>
    <row r="3530" spans="1:7" x14ac:dyDescent="0.25">
      <c r="A3530" t="s">
        <v>45</v>
      </c>
      <c r="B3530" t="s">
        <v>46</v>
      </c>
      <c r="C3530" t="s">
        <v>47</v>
      </c>
      <c r="D3530">
        <v>7302897</v>
      </c>
      <c r="E3530" t="s">
        <v>48</v>
      </c>
      <c r="F3530" t="s">
        <v>49</v>
      </c>
      <c r="G3530" s="30">
        <v>0</v>
      </c>
    </row>
    <row r="3531" spans="1:7" x14ac:dyDescent="0.25">
      <c r="A3531" t="s">
        <v>50</v>
      </c>
      <c r="B3531" t="s">
        <v>51</v>
      </c>
      <c r="C3531" t="s">
        <v>52</v>
      </c>
      <c r="D3531">
        <v>7302988</v>
      </c>
      <c r="E3531" t="s">
        <v>53</v>
      </c>
      <c r="F3531" t="s">
        <v>49</v>
      </c>
      <c r="G3531" s="30">
        <v>10189.3474623826</v>
      </c>
    </row>
    <row r="3532" spans="1:7" x14ac:dyDescent="0.25">
      <c r="A3532" t="s">
        <v>50</v>
      </c>
      <c r="B3532" t="s">
        <v>51</v>
      </c>
      <c r="C3532" t="s">
        <v>52</v>
      </c>
      <c r="D3532">
        <v>7311630</v>
      </c>
      <c r="E3532" t="s">
        <v>53</v>
      </c>
      <c r="F3532" t="s">
        <v>49</v>
      </c>
      <c r="G3532" s="30">
        <v>33514.035714532904</v>
      </c>
    </row>
    <row r="3533" spans="1:7" x14ac:dyDescent="0.25">
      <c r="A3533" t="s">
        <v>100</v>
      </c>
      <c r="B3533" t="s">
        <v>101</v>
      </c>
      <c r="C3533" t="s">
        <v>52</v>
      </c>
      <c r="D3533">
        <v>7311892</v>
      </c>
      <c r="E3533" t="s">
        <v>48</v>
      </c>
      <c r="F3533" t="s">
        <v>49</v>
      </c>
      <c r="G3533" s="30">
        <v>0</v>
      </c>
    </row>
    <row r="3534" spans="1:7" x14ac:dyDescent="0.25">
      <c r="A3534" t="s">
        <v>94</v>
      </c>
      <c r="B3534" t="s">
        <v>95</v>
      </c>
      <c r="C3534" t="s">
        <v>78</v>
      </c>
      <c r="D3534">
        <v>7316943</v>
      </c>
      <c r="E3534" t="s">
        <v>53</v>
      </c>
      <c r="F3534" t="s">
        <v>49</v>
      </c>
      <c r="G3534" s="30">
        <v>380865.16822903597</v>
      </c>
    </row>
    <row r="3535" spans="1:7" x14ac:dyDescent="0.25">
      <c r="A3535" t="s">
        <v>45</v>
      </c>
      <c r="B3535" t="s">
        <v>46</v>
      </c>
      <c r="C3535" t="s">
        <v>47</v>
      </c>
      <c r="D3535">
        <v>7320443</v>
      </c>
      <c r="E3535" t="s">
        <v>48</v>
      </c>
      <c r="F3535" t="s">
        <v>49</v>
      </c>
      <c r="G3535" s="30">
        <v>0</v>
      </c>
    </row>
    <row r="3536" spans="1:7" x14ac:dyDescent="0.25">
      <c r="A3536" t="s">
        <v>112</v>
      </c>
      <c r="B3536" t="s">
        <v>113</v>
      </c>
      <c r="C3536" t="s">
        <v>81</v>
      </c>
      <c r="D3536">
        <v>7325066</v>
      </c>
      <c r="E3536" t="s">
        <v>53</v>
      </c>
      <c r="F3536" t="s">
        <v>49</v>
      </c>
      <c r="G3536" s="30">
        <v>20558.714084124302</v>
      </c>
    </row>
    <row r="3537" spans="1:7" x14ac:dyDescent="0.25">
      <c r="A3537" t="s">
        <v>50</v>
      </c>
      <c r="B3537" t="s">
        <v>51</v>
      </c>
      <c r="C3537" t="s">
        <v>52</v>
      </c>
      <c r="D3537">
        <v>7325896</v>
      </c>
      <c r="E3537" t="s">
        <v>53</v>
      </c>
      <c r="F3537" t="s">
        <v>49</v>
      </c>
      <c r="G3537" s="30">
        <v>22023.2270274572</v>
      </c>
    </row>
    <row r="3538" spans="1:7" x14ac:dyDescent="0.25">
      <c r="A3538" t="s">
        <v>50</v>
      </c>
      <c r="B3538" t="s">
        <v>51</v>
      </c>
      <c r="C3538" t="s">
        <v>52</v>
      </c>
      <c r="D3538">
        <v>7332359</v>
      </c>
      <c r="E3538" t="s">
        <v>53</v>
      </c>
      <c r="F3538" t="s">
        <v>49</v>
      </c>
      <c r="G3538" s="30">
        <v>12594.330351562499</v>
      </c>
    </row>
    <row r="3539" spans="1:7" x14ac:dyDescent="0.25">
      <c r="A3539" t="s">
        <v>45</v>
      </c>
      <c r="B3539" t="s">
        <v>46</v>
      </c>
      <c r="C3539" t="s">
        <v>47</v>
      </c>
      <c r="D3539">
        <v>7332959</v>
      </c>
      <c r="E3539" t="s">
        <v>48</v>
      </c>
      <c r="F3539" t="s">
        <v>49</v>
      </c>
      <c r="G3539" s="30">
        <v>10</v>
      </c>
    </row>
    <row r="3540" spans="1:7" x14ac:dyDescent="0.25">
      <c r="A3540" t="s">
        <v>50</v>
      </c>
      <c r="B3540" t="s">
        <v>51</v>
      </c>
      <c r="C3540" t="s">
        <v>52</v>
      </c>
      <c r="D3540">
        <v>7333353</v>
      </c>
      <c r="E3540" t="s">
        <v>53</v>
      </c>
      <c r="F3540" t="s">
        <v>49</v>
      </c>
      <c r="G3540" s="30">
        <v>817.81044308390801</v>
      </c>
    </row>
    <row r="3541" spans="1:7" x14ac:dyDescent="0.25">
      <c r="A3541" t="s">
        <v>45</v>
      </c>
      <c r="B3541" t="s">
        <v>46</v>
      </c>
      <c r="C3541" t="s">
        <v>47</v>
      </c>
      <c r="D3541">
        <v>7333491</v>
      </c>
      <c r="E3541" t="s">
        <v>48</v>
      </c>
      <c r="F3541" t="s">
        <v>49</v>
      </c>
      <c r="G3541" s="30">
        <v>55.03</v>
      </c>
    </row>
    <row r="3542" spans="1:7" x14ac:dyDescent="0.25">
      <c r="A3542" t="s">
        <v>70</v>
      </c>
      <c r="B3542" t="s">
        <v>71</v>
      </c>
      <c r="C3542" t="s">
        <v>47</v>
      </c>
      <c r="D3542">
        <v>7336547</v>
      </c>
      <c r="E3542" t="s">
        <v>53</v>
      </c>
      <c r="F3542" t="s">
        <v>49</v>
      </c>
      <c r="G3542" s="30">
        <v>153028.22392680799</v>
      </c>
    </row>
    <row r="3543" spans="1:7" x14ac:dyDescent="0.25">
      <c r="A3543" t="s">
        <v>114</v>
      </c>
      <c r="B3543" t="s">
        <v>115</v>
      </c>
      <c r="C3543" t="s">
        <v>56</v>
      </c>
      <c r="D3543">
        <v>7336709</v>
      </c>
      <c r="E3543" t="s">
        <v>48</v>
      </c>
      <c r="F3543" t="s">
        <v>49</v>
      </c>
      <c r="G3543" s="30">
        <v>0</v>
      </c>
    </row>
    <row r="3544" spans="1:7" x14ac:dyDescent="0.25">
      <c r="A3544" t="s">
        <v>90</v>
      </c>
      <c r="B3544" t="s">
        <v>91</v>
      </c>
      <c r="C3544" t="s">
        <v>81</v>
      </c>
      <c r="D3544">
        <v>7342149</v>
      </c>
      <c r="E3544" t="s">
        <v>53</v>
      </c>
      <c r="F3544" t="s">
        <v>49</v>
      </c>
      <c r="G3544" s="30">
        <v>301549.31143917801</v>
      </c>
    </row>
    <row r="3545" spans="1:7" x14ac:dyDescent="0.25">
      <c r="A3545" t="s">
        <v>57</v>
      </c>
      <c r="B3545" t="s">
        <v>58</v>
      </c>
      <c r="C3545" t="s">
        <v>56</v>
      </c>
      <c r="D3545">
        <v>7342718</v>
      </c>
      <c r="E3545" t="s">
        <v>53</v>
      </c>
      <c r="F3545" t="s">
        <v>49</v>
      </c>
      <c r="G3545" s="30">
        <v>31840.440446996301</v>
      </c>
    </row>
    <row r="3546" spans="1:7" x14ac:dyDescent="0.25">
      <c r="A3546" t="s">
        <v>90</v>
      </c>
      <c r="B3546" t="s">
        <v>91</v>
      </c>
      <c r="C3546" t="s">
        <v>81</v>
      </c>
      <c r="D3546">
        <v>7342860</v>
      </c>
      <c r="E3546" t="s">
        <v>53</v>
      </c>
      <c r="F3546" t="s">
        <v>49</v>
      </c>
      <c r="G3546" s="30">
        <v>204270.68</v>
      </c>
    </row>
    <row r="3547" spans="1:7" x14ac:dyDescent="0.25">
      <c r="A3547" t="s">
        <v>116</v>
      </c>
      <c r="B3547" t="s">
        <v>117</v>
      </c>
      <c r="C3547" t="s">
        <v>47</v>
      </c>
      <c r="D3547">
        <v>7343303</v>
      </c>
      <c r="E3547" t="s">
        <v>53</v>
      </c>
      <c r="F3547" t="s">
        <v>49</v>
      </c>
      <c r="G3547" s="30">
        <v>1631218.2699367199</v>
      </c>
    </row>
    <row r="3548" spans="1:7" x14ac:dyDescent="0.25">
      <c r="A3548" t="s">
        <v>90</v>
      </c>
      <c r="B3548" t="s">
        <v>91</v>
      </c>
      <c r="C3548" t="s">
        <v>81</v>
      </c>
      <c r="D3548">
        <v>7344821</v>
      </c>
      <c r="E3548" t="s">
        <v>53</v>
      </c>
      <c r="F3548" t="s">
        <v>49</v>
      </c>
      <c r="G3548" s="30">
        <v>81919.845955337398</v>
      </c>
    </row>
    <row r="3549" spans="1:7" x14ac:dyDescent="0.25">
      <c r="A3549" t="s">
        <v>86</v>
      </c>
      <c r="B3549" t="s">
        <v>87</v>
      </c>
      <c r="C3549" t="s">
        <v>78</v>
      </c>
      <c r="D3549">
        <v>7345098</v>
      </c>
      <c r="E3549" t="s">
        <v>53</v>
      </c>
      <c r="F3549" t="s">
        <v>49</v>
      </c>
      <c r="G3549" s="30">
        <v>1086127.58449219</v>
      </c>
    </row>
    <row r="3550" spans="1:7" x14ac:dyDescent="0.25">
      <c r="A3550" t="s">
        <v>45</v>
      </c>
      <c r="B3550" t="s">
        <v>46</v>
      </c>
      <c r="C3550" t="s">
        <v>47</v>
      </c>
      <c r="D3550">
        <v>7346085</v>
      </c>
      <c r="E3550" t="s">
        <v>48</v>
      </c>
      <c r="F3550" t="s">
        <v>49</v>
      </c>
      <c r="G3550" s="30">
        <v>0</v>
      </c>
    </row>
    <row r="3551" spans="1:7" x14ac:dyDescent="0.25">
      <c r="A3551" t="s">
        <v>45</v>
      </c>
      <c r="B3551" t="s">
        <v>46</v>
      </c>
      <c r="C3551" t="s">
        <v>47</v>
      </c>
      <c r="D3551">
        <v>7351607</v>
      </c>
      <c r="E3551" t="s">
        <v>53</v>
      </c>
      <c r="F3551" t="s">
        <v>49</v>
      </c>
      <c r="G3551" s="30">
        <v>14613.1290066121</v>
      </c>
    </row>
    <row r="3552" spans="1:7" x14ac:dyDescent="0.25">
      <c r="A3552" t="s">
        <v>50</v>
      </c>
      <c r="B3552" t="s">
        <v>51</v>
      </c>
      <c r="C3552" t="s">
        <v>52</v>
      </c>
      <c r="D3552">
        <v>7355872</v>
      </c>
      <c r="E3552" t="s">
        <v>53</v>
      </c>
      <c r="F3552" t="s">
        <v>49</v>
      </c>
      <c r="G3552" s="30">
        <v>34062.338387394499</v>
      </c>
    </row>
    <row r="3553" spans="1:7" x14ac:dyDescent="0.25">
      <c r="A3553" t="s">
        <v>45</v>
      </c>
      <c r="B3553" t="s">
        <v>46</v>
      </c>
      <c r="C3553" t="s">
        <v>47</v>
      </c>
      <c r="D3553">
        <v>7359368</v>
      </c>
      <c r="E3553" t="s">
        <v>48</v>
      </c>
      <c r="F3553" t="s">
        <v>49</v>
      </c>
      <c r="G3553" s="30">
        <v>0</v>
      </c>
    </row>
    <row r="3554" spans="1:7" x14ac:dyDescent="0.25">
      <c r="A3554" t="s">
        <v>54</v>
      </c>
      <c r="B3554" t="s">
        <v>55</v>
      </c>
      <c r="C3554" t="s">
        <v>56</v>
      </c>
      <c r="D3554">
        <v>7363260</v>
      </c>
      <c r="E3554" t="s">
        <v>53</v>
      </c>
      <c r="F3554" t="s">
        <v>49</v>
      </c>
      <c r="G3554" s="30">
        <v>17583.610904716501</v>
      </c>
    </row>
    <row r="3555" spans="1:7" x14ac:dyDescent="0.25">
      <c r="A3555" t="s">
        <v>45</v>
      </c>
      <c r="B3555" t="s">
        <v>46</v>
      </c>
      <c r="C3555" t="s">
        <v>47</v>
      </c>
      <c r="D3555">
        <v>7366019</v>
      </c>
      <c r="E3555" t="s">
        <v>48</v>
      </c>
      <c r="F3555" t="s">
        <v>49</v>
      </c>
      <c r="G3555" s="30">
        <v>0</v>
      </c>
    </row>
    <row r="3556" spans="1:7" x14ac:dyDescent="0.25">
      <c r="A3556" t="s">
        <v>57</v>
      </c>
      <c r="B3556" t="s">
        <v>58</v>
      </c>
      <c r="C3556" t="s">
        <v>56</v>
      </c>
      <c r="D3556">
        <v>7367638</v>
      </c>
      <c r="E3556" t="s">
        <v>53</v>
      </c>
      <c r="F3556" t="s">
        <v>49</v>
      </c>
      <c r="G3556" s="30">
        <v>163900.78419059701</v>
      </c>
    </row>
    <row r="3557" spans="1:7" x14ac:dyDescent="0.25">
      <c r="A3557" t="s">
        <v>50</v>
      </c>
      <c r="B3557" t="s">
        <v>51</v>
      </c>
      <c r="C3557" t="s">
        <v>52</v>
      </c>
      <c r="D3557">
        <v>7373499</v>
      </c>
      <c r="E3557" t="s">
        <v>53</v>
      </c>
      <c r="F3557" t="s">
        <v>49</v>
      </c>
      <c r="G3557" s="30">
        <v>45005.970269327699</v>
      </c>
    </row>
    <row r="3558" spans="1:7" x14ac:dyDescent="0.25">
      <c r="A3558" t="s">
        <v>128</v>
      </c>
      <c r="B3558" t="s">
        <v>129</v>
      </c>
      <c r="C3558" t="s">
        <v>130</v>
      </c>
      <c r="D3558">
        <v>7375607</v>
      </c>
      <c r="E3558" t="s">
        <v>53</v>
      </c>
      <c r="F3558" t="s">
        <v>49</v>
      </c>
      <c r="G3558" s="30">
        <v>1433432.8720589499</v>
      </c>
    </row>
    <row r="3559" spans="1:7" x14ac:dyDescent="0.25">
      <c r="A3559" t="s">
        <v>76</v>
      </c>
      <c r="B3559" t="s">
        <v>77</v>
      </c>
      <c r="C3559" t="s">
        <v>78</v>
      </c>
      <c r="D3559">
        <v>7376432</v>
      </c>
      <c r="E3559" t="s">
        <v>53</v>
      </c>
      <c r="F3559" t="s">
        <v>49</v>
      </c>
      <c r="G3559" s="30">
        <v>153908.918458197</v>
      </c>
    </row>
    <row r="3560" spans="1:7" x14ac:dyDescent="0.25">
      <c r="A3560" t="s">
        <v>59</v>
      </c>
      <c r="B3560" t="s">
        <v>60</v>
      </c>
      <c r="C3560" t="s">
        <v>56</v>
      </c>
      <c r="D3560">
        <v>7376610</v>
      </c>
      <c r="E3560" t="s">
        <v>53</v>
      </c>
      <c r="F3560" t="s">
        <v>49</v>
      </c>
      <c r="G3560" s="30">
        <v>284771.74890440598</v>
      </c>
    </row>
    <row r="3561" spans="1:7" x14ac:dyDescent="0.25">
      <c r="A3561" t="s">
        <v>45</v>
      </c>
      <c r="B3561" t="s">
        <v>46</v>
      </c>
      <c r="C3561" t="s">
        <v>47</v>
      </c>
      <c r="D3561">
        <v>7376774</v>
      </c>
      <c r="E3561" t="s">
        <v>48</v>
      </c>
      <c r="F3561" t="s">
        <v>49</v>
      </c>
      <c r="G3561" s="30">
        <v>0</v>
      </c>
    </row>
    <row r="3562" spans="1:7" x14ac:dyDescent="0.25">
      <c r="A3562" t="s">
        <v>45</v>
      </c>
      <c r="B3562" t="s">
        <v>46</v>
      </c>
      <c r="C3562" t="s">
        <v>47</v>
      </c>
      <c r="D3562">
        <v>7377691</v>
      </c>
      <c r="E3562" t="s">
        <v>48</v>
      </c>
      <c r="F3562" t="s">
        <v>49</v>
      </c>
      <c r="G3562" s="30">
        <v>0</v>
      </c>
    </row>
    <row r="3563" spans="1:7" x14ac:dyDescent="0.25">
      <c r="A3563" t="s">
        <v>112</v>
      </c>
      <c r="B3563" t="s">
        <v>113</v>
      </c>
      <c r="C3563" t="s">
        <v>81</v>
      </c>
      <c r="D3563">
        <v>7378390</v>
      </c>
      <c r="E3563" t="s">
        <v>53</v>
      </c>
      <c r="F3563" t="s">
        <v>49</v>
      </c>
      <c r="G3563" s="30">
        <v>284550.37233906903</v>
      </c>
    </row>
    <row r="3564" spans="1:7" x14ac:dyDescent="0.25">
      <c r="A3564" t="s">
        <v>112</v>
      </c>
      <c r="B3564" t="s">
        <v>113</v>
      </c>
      <c r="C3564" t="s">
        <v>81</v>
      </c>
      <c r="D3564">
        <v>7378657</v>
      </c>
      <c r="E3564" t="s">
        <v>53</v>
      </c>
      <c r="F3564" t="s">
        <v>49</v>
      </c>
      <c r="G3564" s="30">
        <v>87630.349320733003</v>
      </c>
    </row>
    <row r="3565" spans="1:7" x14ac:dyDescent="0.25">
      <c r="A3565" t="s">
        <v>45</v>
      </c>
      <c r="B3565" t="s">
        <v>46</v>
      </c>
      <c r="C3565" t="s">
        <v>47</v>
      </c>
      <c r="D3565">
        <v>7378843</v>
      </c>
      <c r="E3565" t="s">
        <v>48</v>
      </c>
      <c r="F3565" t="s">
        <v>49</v>
      </c>
      <c r="G3565" s="30">
        <v>0</v>
      </c>
    </row>
    <row r="3566" spans="1:7" x14ac:dyDescent="0.25">
      <c r="A3566" t="s">
        <v>118</v>
      </c>
      <c r="B3566" t="s">
        <v>119</v>
      </c>
      <c r="C3566" t="s">
        <v>56</v>
      </c>
      <c r="D3566">
        <v>7378857</v>
      </c>
      <c r="E3566" t="s">
        <v>53</v>
      </c>
      <c r="F3566" t="s">
        <v>49</v>
      </c>
      <c r="G3566" s="30">
        <v>33435.273719863901</v>
      </c>
    </row>
    <row r="3567" spans="1:7" x14ac:dyDescent="0.25">
      <c r="A3567" t="s">
        <v>76</v>
      </c>
      <c r="B3567" t="s">
        <v>77</v>
      </c>
      <c r="C3567" t="s">
        <v>78</v>
      </c>
      <c r="D3567">
        <v>7381109</v>
      </c>
      <c r="E3567" t="s">
        <v>53</v>
      </c>
      <c r="F3567" t="s">
        <v>49</v>
      </c>
      <c r="G3567" s="30">
        <v>391771.73342922499</v>
      </c>
    </row>
    <row r="3568" spans="1:7" x14ac:dyDescent="0.25">
      <c r="A3568" t="s">
        <v>106</v>
      </c>
      <c r="B3568" t="s">
        <v>107</v>
      </c>
      <c r="C3568" t="s">
        <v>56</v>
      </c>
      <c r="D3568">
        <v>7387088</v>
      </c>
      <c r="E3568" t="s">
        <v>53</v>
      </c>
      <c r="F3568" t="s">
        <v>49</v>
      </c>
      <c r="G3568" s="30">
        <v>80310.760142203406</v>
      </c>
    </row>
    <row r="3569" spans="1:7" x14ac:dyDescent="0.25">
      <c r="A3569" t="s">
        <v>45</v>
      </c>
      <c r="B3569" t="s">
        <v>46</v>
      </c>
      <c r="C3569" t="s">
        <v>47</v>
      </c>
      <c r="D3569">
        <v>7388072</v>
      </c>
      <c r="E3569" t="s">
        <v>48</v>
      </c>
      <c r="F3569" t="s">
        <v>49</v>
      </c>
      <c r="G3569" s="30">
        <v>0</v>
      </c>
    </row>
    <row r="3570" spans="1:7" x14ac:dyDescent="0.25">
      <c r="A3570" t="s">
        <v>86</v>
      </c>
      <c r="B3570" t="s">
        <v>87</v>
      </c>
      <c r="C3570" t="s">
        <v>78</v>
      </c>
      <c r="D3570">
        <v>7388961</v>
      </c>
      <c r="E3570" t="s">
        <v>53</v>
      </c>
      <c r="F3570" t="s">
        <v>49</v>
      </c>
      <c r="G3570" s="30">
        <v>777904.50139509398</v>
      </c>
    </row>
    <row r="3571" spans="1:7" x14ac:dyDescent="0.25">
      <c r="A3571" t="s">
        <v>50</v>
      </c>
      <c r="B3571" t="s">
        <v>51</v>
      </c>
      <c r="C3571" t="s">
        <v>52</v>
      </c>
      <c r="D3571">
        <v>7390805</v>
      </c>
      <c r="E3571" t="s">
        <v>53</v>
      </c>
      <c r="F3571" t="s">
        <v>49</v>
      </c>
      <c r="G3571" s="30">
        <v>909.44008164176398</v>
      </c>
    </row>
    <row r="3572" spans="1:7" x14ac:dyDescent="0.25">
      <c r="A3572" t="s">
        <v>74</v>
      </c>
      <c r="B3572" t="s">
        <v>75</v>
      </c>
      <c r="C3572" t="s">
        <v>67</v>
      </c>
      <c r="D3572">
        <v>7391542</v>
      </c>
      <c r="E3572" t="s">
        <v>48</v>
      </c>
      <c r="F3572" t="s">
        <v>49</v>
      </c>
      <c r="G3572" s="30">
        <v>10</v>
      </c>
    </row>
    <row r="3573" spans="1:7" x14ac:dyDescent="0.25">
      <c r="A3573" t="s">
        <v>50</v>
      </c>
      <c r="B3573" t="s">
        <v>51</v>
      </c>
      <c r="C3573" t="s">
        <v>52</v>
      </c>
      <c r="D3573">
        <v>7392133</v>
      </c>
      <c r="E3573" t="s">
        <v>48</v>
      </c>
      <c r="F3573" t="s">
        <v>49</v>
      </c>
      <c r="G3573" s="30">
        <v>0</v>
      </c>
    </row>
    <row r="3574" spans="1:7" x14ac:dyDescent="0.25">
      <c r="A3574" t="s">
        <v>76</v>
      </c>
      <c r="B3574" t="s">
        <v>77</v>
      </c>
      <c r="C3574" t="s">
        <v>78</v>
      </c>
      <c r="D3574">
        <v>7392194</v>
      </c>
      <c r="E3574" t="s">
        <v>53</v>
      </c>
      <c r="F3574" t="s">
        <v>49</v>
      </c>
      <c r="G3574" s="30">
        <v>29372.0522785924</v>
      </c>
    </row>
    <row r="3575" spans="1:7" x14ac:dyDescent="0.25">
      <c r="A3575" t="s">
        <v>45</v>
      </c>
      <c r="B3575" t="s">
        <v>46</v>
      </c>
      <c r="C3575" t="s">
        <v>47</v>
      </c>
      <c r="D3575">
        <v>7392756</v>
      </c>
      <c r="E3575" t="s">
        <v>48</v>
      </c>
      <c r="F3575" t="s">
        <v>49</v>
      </c>
      <c r="G3575" s="30">
        <v>0</v>
      </c>
    </row>
    <row r="3576" spans="1:7" x14ac:dyDescent="0.25">
      <c r="A3576" t="s">
        <v>45</v>
      </c>
      <c r="B3576" t="s">
        <v>46</v>
      </c>
      <c r="C3576" t="s">
        <v>47</v>
      </c>
      <c r="D3576">
        <v>7394882</v>
      </c>
      <c r="E3576" t="s">
        <v>48</v>
      </c>
      <c r="F3576" t="s">
        <v>49</v>
      </c>
      <c r="G3576" s="30">
        <v>0</v>
      </c>
    </row>
    <row r="3577" spans="1:7" x14ac:dyDescent="0.25">
      <c r="A3577" t="s">
        <v>45</v>
      </c>
      <c r="B3577" t="s">
        <v>46</v>
      </c>
      <c r="C3577" t="s">
        <v>47</v>
      </c>
      <c r="D3577">
        <v>7395809</v>
      </c>
      <c r="E3577" t="s">
        <v>48</v>
      </c>
      <c r="F3577" t="s">
        <v>49</v>
      </c>
      <c r="G3577" s="30">
        <v>0</v>
      </c>
    </row>
    <row r="3578" spans="1:7" x14ac:dyDescent="0.25">
      <c r="A3578" t="s">
        <v>118</v>
      </c>
      <c r="B3578" t="s">
        <v>119</v>
      </c>
      <c r="C3578" t="s">
        <v>56</v>
      </c>
      <c r="D3578">
        <v>7395862</v>
      </c>
      <c r="E3578" t="s">
        <v>53</v>
      </c>
      <c r="F3578" t="s">
        <v>49</v>
      </c>
      <c r="G3578" s="30">
        <v>45384.460245099399</v>
      </c>
    </row>
    <row r="3579" spans="1:7" x14ac:dyDescent="0.25">
      <c r="A3579" t="s">
        <v>118</v>
      </c>
      <c r="B3579" t="s">
        <v>119</v>
      </c>
      <c r="C3579" t="s">
        <v>56</v>
      </c>
      <c r="D3579">
        <v>7395979</v>
      </c>
      <c r="E3579" t="s">
        <v>53</v>
      </c>
      <c r="F3579" t="s">
        <v>49</v>
      </c>
      <c r="G3579" s="30">
        <v>1518712.8212041799</v>
      </c>
    </row>
    <row r="3580" spans="1:7" x14ac:dyDescent="0.25">
      <c r="A3580" t="s">
        <v>76</v>
      </c>
      <c r="B3580" t="s">
        <v>77</v>
      </c>
      <c r="C3580" t="s">
        <v>78</v>
      </c>
      <c r="D3580">
        <v>7398208</v>
      </c>
      <c r="E3580" t="s">
        <v>53</v>
      </c>
      <c r="F3580" t="s">
        <v>49</v>
      </c>
      <c r="G3580" s="30">
        <v>81285.227022046107</v>
      </c>
    </row>
    <row r="3581" spans="1:7" x14ac:dyDescent="0.25">
      <c r="A3581" t="s">
        <v>45</v>
      </c>
      <c r="B3581" t="s">
        <v>46</v>
      </c>
      <c r="C3581" t="s">
        <v>47</v>
      </c>
      <c r="D3581">
        <v>7410747</v>
      </c>
      <c r="E3581" t="s">
        <v>48</v>
      </c>
      <c r="F3581" t="s">
        <v>49</v>
      </c>
      <c r="G3581" s="30">
        <v>0</v>
      </c>
    </row>
    <row r="3582" spans="1:7" x14ac:dyDescent="0.25">
      <c r="A3582" t="s">
        <v>122</v>
      </c>
      <c r="B3582" t="s">
        <v>123</v>
      </c>
      <c r="C3582" t="s">
        <v>52</v>
      </c>
      <c r="D3582">
        <v>7413027</v>
      </c>
      <c r="E3582" t="s">
        <v>53</v>
      </c>
      <c r="F3582" t="s">
        <v>49</v>
      </c>
      <c r="G3582" s="30">
        <v>3000202.1217915001</v>
      </c>
    </row>
    <row r="3583" spans="1:7" x14ac:dyDescent="0.25">
      <c r="A3583" t="s">
        <v>45</v>
      </c>
      <c r="B3583" t="s">
        <v>46</v>
      </c>
      <c r="C3583" t="s">
        <v>47</v>
      </c>
      <c r="D3583">
        <v>7416768</v>
      </c>
      <c r="E3583" t="s">
        <v>53</v>
      </c>
      <c r="F3583" t="s">
        <v>49</v>
      </c>
      <c r="G3583" s="30">
        <v>52485.06</v>
      </c>
    </row>
    <row r="3584" spans="1:7" x14ac:dyDescent="0.25">
      <c r="A3584" t="s">
        <v>106</v>
      </c>
      <c r="B3584" t="s">
        <v>107</v>
      </c>
      <c r="C3584" t="s">
        <v>56</v>
      </c>
      <c r="D3584">
        <v>7417624</v>
      </c>
      <c r="E3584" t="s">
        <v>53</v>
      </c>
      <c r="F3584" t="s">
        <v>49</v>
      </c>
      <c r="G3584" s="30">
        <v>655589.485234375</v>
      </c>
    </row>
    <row r="3585" spans="1:7" x14ac:dyDescent="0.25">
      <c r="A3585" t="s">
        <v>65</v>
      </c>
      <c r="B3585" t="s">
        <v>66</v>
      </c>
      <c r="C3585" t="s">
        <v>67</v>
      </c>
      <c r="D3585">
        <v>7418126</v>
      </c>
      <c r="E3585" t="s">
        <v>53</v>
      </c>
      <c r="F3585" t="s">
        <v>49</v>
      </c>
      <c r="G3585" s="30">
        <v>6112713.67657902</v>
      </c>
    </row>
    <row r="3586" spans="1:7" x14ac:dyDescent="0.25">
      <c r="A3586" t="s">
        <v>54</v>
      </c>
      <c r="B3586" t="s">
        <v>55</v>
      </c>
      <c r="C3586" t="s">
        <v>56</v>
      </c>
      <c r="D3586">
        <v>7419988</v>
      </c>
      <c r="E3586" t="s">
        <v>48</v>
      </c>
      <c r="F3586" t="s">
        <v>49</v>
      </c>
      <c r="G3586" s="30">
        <v>0</v>
      </c>
    </row>
    <row r="3587" spans="1:7" x14ac:dyDescent="0.25">
      <c r="A3587" t="s">
        <v>61</v>
      </c>
      <c r="B3587" t="s">
        <v>62</v>
      </c>
      <c r="C3587" t="s">
        <v>56</v>
      </c>
      <c r="D3587">
        <v>7420725</v>
      </c>
      <c r="E3587" t="s">
        <v>48</v>
      </c>
      <c r="F3587" t="s">
        <v>49</v>
      </c>
      <c r="G3587" s="30">
        <v>0.96</v>
      </c>
    </row>
    <row r="3588" spans="1:7" x14ac:dyDescent="0.25">
      <c r="A3588" t="s">
        <v>112</v>
      </c>
      <c r="B3588" t="s">
        <v>113</v>
      </c>
      <c r="C3588" t="s">
        <v>81</v>
      </c>
      <c r="D3588">
        <v>7420877</v>
      </c>
      <c r="E3588" t="s">
        <v>53</v>
      </c>
      <c r="F3588" t="s">
        <v>49</v>
      </c>
      <c r="G3588" s="30">
        <v>437826.19523283199</v>
      </c>
    </row>
    <row r="3589" spans="1:7" x14ac:dyDescent="0.25">
      <c r="A3589" t="s">
        <v>54</v>
      </c>
      <c r="B3589" t="s">
        <v>55</v>
      </c>
      <c r="C3589" t="s">
        <v>56</v>
      </c>
      <c r="D3589">
        <v>7427059</v>
      </c>
      <c r="E3589" t="s">
        <v>48</v>
      </c>
      <c r="F3589" t="s">
        <v>49</v>
      </c>
      <c r="G3589" s="30">
        <v>0</v>
      </c>
    </row>
    <row r="3590" spans="1:7" x14ac:dyDescent="0.25">
      <c r="A3590" t="s">
        <v>118</v>
      </c>
      <c r="B3590" t="s">
        <v>119</v>
      </c>
      <c r="C3590" t="s">
        <v>56</v>
      </c>
      <c r="D3590">
        <v>7427832</v>
      </c>
      <c r="E3590" t="s">
        <v>53</v>
      </c>
      <c r="F3590" t="s">
        <v>49</v>
      </c>
      <c r="G3590" s="30">
        <v>215213.83709523999</v>
      </c>
    </row>
    <row r="3591" spans="1:7" x14ac:dyDescent="0.25">
      <c r="A3591" t="s">
        <v>54</v>
      </c>
      <c r="B3591" t="s">
        <v>55</v>
      </c>
      <c r="C3591" t="s">
        <v>56</v>
      </c>
      <c r="D3591">
        <v>7428184</v>
      </c>
      <c r="E3591" t="s">
        <v>53</v>
      </c>
      <c r="F3591" t="s">
        <v>49</v>
      </c>
      <c r="G3591" s="30">
        <v>19429.4862603644</v>
      </c>
    </row>
    <row r="3592" spans="1:7" x14ac:dyDescent="0.25">
      <c r="A3592" t="s">
        <v>88</v>
      </c>
      <c r="B3592" t="s">
        <v>89</v>
      </c>
      <c r="C3592" t="s">
        <v>78</v>
      </c>
      <c r="D3592">
        <v>7429034</v>
      </c>
      <c r="E3592" t="s">
        <v>53</v>
      </c>
      <c r="F3592" t="s">
        <v>49</v>
      </c>
      <c r="G3592" s="30">
        <v>164704.68543237</v>
      </c>
    </row>
    <row r="3593" spans="1:7" x14ac:dyDescent="0.25">
      <c r="A3593" t="s">
        <v>45</v>
      </c>
      <c r="B3593" t="s">
        <v>46</v>
      </c>
      <c r="C3593" t="s">
        <v>47</v>
      </c>
      <c r="D3593">
        <v>7429288</v>
      </c>
      <c r="E3593" t="s">
        <v>48</v>
      </c>
      <c r="F3593" t="s">
        <v>49</v>
      </c>
      <c r="G3593" s="30">
        <v>0</v>
      </c>
    </row>
    <row r="3594" spans="1:7" x14ac:dyDescent="0.25">
      <c r="A3594" t="s">
        <v>50</v>
      </c>
      <c r="B3594" t="s">
        <v>51</v>
      </c>
      <c r="C3594" t="s">
        <v>52</v>
      </c>
      <c r="D3594">
        <v>7435974</v>
      </c>
      <c r="E3594" t="s">
        <v>53</v>
      </c>
      <c r="F3594" t="s">
        <v>49</v>
      </c>
      <c r="G3594" s="30">
        <v>2106.8578076171898</v>
      </c>
    </row>
    <row r="3595" spans="1:7" x14ac:dyDescent="0.25">
      <c r="A3595" t="s">
        <v>104</v>
      </c>
      <c r="B3595" t="s">
        <v>105</v>
      </c>
      <c r="C3595" t="s">
        <v>78</v>
      </c>
      <c r="D3595">
        <v>7438006</v>
      </c>
      <c r="E3595" t="s">
        <v>53</v>
      </c>
      <c r="F3595" t="s">
        <v>49</v>
      </c>
      <c r="G3595" s="30">
        <v>8936.6299999999992</v>
      </c>
    </row>
    <row r="3596" spans="1:7" x14ac:dyDescent="0.25">
      <c r="A3596" t="s">
        <v>45</v>
      </c>
      <c r="B3596" t="s">
        <v>46</v>
      </c>
      <c r="C3596" t="s">
        <v>47</v>
      </c>
      <c r="D3596">
        <v>7438076</v>
      </c>
      <c r="E3596" t="s">
        <v>48</v>
      </c>
      <c r="F3596" t="s">
        <v>49</v>
      </c>
      <c r="G3596" s="30">
        <v>0</v>
      </c>
    </row>
    <row r="3597" spans="1:7" x14ac:dyDescent="0.25">
      <c r="A3597" t="s">
        <v>72</v>
      </c>
      <c r="B3597" t="s">
        <v>73</v>
      </c>
      <c r="C3597" t="s">
        <v>67</v>
      </c>
      <c r="D3597">
        <v>7438538</v>
      </c>
      <c r="E3597" t="s">
        <v>48</v>
      </c>
      <c r="F3597" t="s">
        <v>49</v>
      </c>
      <c r="G3597" s="30">
        <v>0</v>
      </c>
    </row>
    <row r="3598" spans="1:7" x14ac:dyDescent="0.25">
      <c r="A3598" t="s">
        <v>131</v>
      </c>
      <c r="B3598" t="s">
        <v>132</v>
      </c>
      <c r="C3598" t="s">
        <v>67</v>
      </c>
      <c r="D3598">
        <v>7445502</v>
      </c>
      <c r="E3598" t="s">
        <v>53</v>
      </c>
      <c r="F3598" t="s">
        <v>49</v>
      </c>
      <c r="G3598" s="30">
        <v>16428262.044319199</v>
      </c>
    </row>
    <row r="3599" spans="1:7" x14ac:dyDescent="0.25">
      <c r="A3599" t="s">
        <v>45</v>
      </c>
      <c r="B3599" t="s">
        <v>46</v>
      </c>
      <c r="C3599" t="s">
        <v>47</v>
      </c>
      <c r="D3599">
        <v>7445957</v>
      </c>
      <c r="E3599" t="s">
        <v>48</v>
      </c>
      <c r="F3599" t="s">
        <v>49</v>
      </c>
      <c r="G3599" s="30">
        <v>0</v>
      </c>
    </row>
    <row r="3600" spans="1:7" x14ac:dyDescent="0.25">
      <c r="A3600" t="s">
        <v>45</v>
      </c>
      <c r="B3600" t="s">
        <v>46</v>
      </c>
      <c r="C3600" t="s">
        <v>47</v>
      </c>
      <c r="D3600">
        <v>7449124</v>
      </c>
      <c r="E3600" t="s">
        <v>48</v>
      </c>
      <c r="F3600" t="s">
        <v>49</v>
      </c>
      <c r="G3600" s="30">
        <v>0</v>
      </c>
    </row>
    <row r="3601" spans="1:7" x14ac:dyDescent="0.25">
      <c r="A3601" t="s">
        <v>45</v>
      </c>
      <c r="B3601" t="s">
        <v>46</v>
      </c>
      <c r="C3601" t="s">
        <v>47</v>
      </c>
      <c r="D3601">
        <v>7450077</v>
      </c>
      <c r="E3601" t="s">
        <v>48</v>
      </c>
      <c r="F3601" t="s">
        <v>49</v>
      </c>
      <c r="G3601" s="30">
        <v>0</v>
      </c>
    </row>
    <row r="3602" spans="1:7" x14ac:dyDescent="0.25">
      <c r="A3602" t="s">
        <v>118</v>
      </c>
      <c r="B3602" t="s">
        <v>119</v>
      </c>
      <c r="C3602" t="s">
        <v>56</v>
      </c>
      <c r="D3602">
        <v>7454753</v>
      </c>
      <c r="E3602" t="s">
        <v>53</v>
      </c>
      <c r="F3602" t="s">
        <v>49</v>
      </c>
      <c r="G3602" s="30">
        <v>171790.05</v>
      </c>
    </row>
    <row r="3603" spans="1:7" x14ac:dyDescent="0.25">
      <c r="A3603" t="s">
        <v>50</v>
      </c>
      <c r="B3603" t="s">
        <v>51</v>
      </c>
      <c r="C3603" t="s">
        <v>52</v>
      </c>
      <c r="D3603">
        <v>7490539</v>
      </c>
      <c r="E3603" t="s">
        <v>53</v>
      </c>
      <c r="F3603" t="s">
        <v>49</v>
      </c>
      <c r="G3603" s="30">
        <v>136.44483275055299</v>
      </c>
    </row>
    <row r="3604" spans="1:7" x14ac:dyDescent="0.25">
      <c r="A3604" t="s">
        <v>79</v>
      </c>
      <c r="B3604" t="s">
        <v>80</v>
      </c>
      <c r="C3604" t="s">
        <v>81</v>
      </c>
      <c r="D3604">
        <v>7495015</v>
      </c>
      <c r="E3604" t="s">
        <v>53</v>
      </c>
      <c r="F3604" t="s">
        <v>49</v>
      </c>
      <c r="G3604" s="30">
        <v>7863.5994405320298</v>
      </c>
    </row>
    <row r="3605" spans="1:7" x14ac:dyDescent="0.25">
      <c r="A3605" t="s">
        <v>112</v>
      </c>
      <c r="B3605" t="s">
        <v>113</v>
      </c>
      <c r="C3605" t="s">
        <v>81</v>
      </c>
      <c r="D3605">
        <v>7499468</v>
      </c>
      <c r="E3605" t="s">
        <v>53</v>
      </c>
      <c r="F3605" t="s">
        <v>49</v>
      </c>
      <c r="G3605" s="30">
        <v>1227823.68681071</v>
      </c>
    </row>
    <row r="3606" spans="1:7" x14ac:dyDescent="0.25">
      <c r="A3606" t="s">
        <v>45</v>
      </c>
      <c r="B3606" t="s">
        <v>46</v>
      </c>
      <c r="C3606" t="s">
        <v>47</v>
      </c>
      <c r="D3606">
        <v>7500334</v>
      </c>
      <c r="E3606" t="s">
        <v>48</v>
      </c>
      <c r="F3606" t="s">
        <v>49</v>
      </c>
      <c r="G3606" s="30">
        <v>0</v>
      </c>
    </row>
    <row r="3607" spans="1:7" x14ac:dyDescent="0.25">
      <c r="A3607" t="s">
        <v>50</v>
      </c>
      <c r="B3607" t="s">
        <v>51</v>
      </c>
      <c r="C3607" t="s">
        <v>52</v>
      </c>
      <c r="D3607">
        <v>7507742</v>
      </c>
      <c r="E3607" t="s">
        <v>53</v>
      </c>
      <c r="F3607" t="s">
        <v>49</v>
      </c>
      <c r="G3607" s="30">
        <v>48609.9742501945</v>
      </c>
    </row>
    <row r="3608" spans="1:7" x14ac:dyDescent="0.25">
      <c r="A3608" t="s">
        <v>61</v>
      </c>
      <c r="B3608" t="s">
        <v>62</v>
      </c>
      <c r="C3608" t="s">
        <v>56</v>
      </c>
      <c r="D3608">
        <v>7511675</v>
      </c>
      <c r="E3608" t="s">
        <v>53</v>
      </c>
      <c r="F3608" t="s">
        <v>49</v>
      </c>
      <c r="G3608" s="30">
        <v>64279.837253707898</v>
      </c>
    </row>
    <row r="3609" spans="1:7" x14ac:dyDescent="0.25">
      <c r="A3609" t="s">
        <v>45</v>
      </c>
      <c r="B3609" t="s">
        <v>46</v>
      </c>
      <c r="C3609" t="s">
        <v>47</v>
      </c>
      <c r="D3609">
        <v>7512042</v>
      </c>
      <c r="E3609" t="s">
        <v>48</v>
      </c>
      <c r="F3609" t="s">
        <v>49</v>
      </c>
      <c r="G3609" s="30">
        <v>0</v>
      </c>
    </row>
    <row r="3610" spans="1:7" x14ac:dyDescent="0.25">
      <c r="A3610" t="s">
        <v>50</v>
      </c>
      <c r="B3610" t="s">
        <v>51</v>
      </c>
      <c r="C3610" t="s">
        <v>52</v>
      </c>
      <c r="D3610">
        <v>7517287</v>
      </c>
      <c r="E3610" t="s">
        <v>53</v>
      </c>
      <c r="F3610" t="s">
        <v>49</v>
      </c>
      <c r="G3610" s="30">
        <v>362.91051685106498</v>
      </c>
    </row>
    <row r="3611" spans="1:7" x14ac:dyDescent="0.25">
      <c r="A3611" t="s">
        <v>45</v>
      </c>
      <c r="B3611" t="s">
        <v>46</v>
      </c>
      <c r="C3611" t="s">
        <v>47</v>
      </c>
      <c r="D3611">
        <v>7517544</v>
      </c>
      <c r="E3611" t="s">
        <v>48</v>
      </c>
      <c r="F3611" t="s">
        <v>49</v>
      </c>
      <c r="G3611" s="30">
        <v>0</v>
      </c>
    </row>
    <row r="3612" spans="1:7" x14ac:dyDescent="0.25">
      <c r="A3612" t="s">
        <v>50</v>
      </c>
      <c r="B3612" t="s">
        <v>51</v>
      </c>
      <c r="C3612" t="s">
        <v>52</v>
      </c>
      <c r="D3612">
        <v>7517846</v>
      </c>
      <c r="E3612" t="s">
        <v>53</v>
      </c>
      <c r="F3612" t="s">
        <v>49</v>
      </c>
      <c r="G3612" s="30">
        <v>44960.068952516602</v>
      </c>
    </row>
    <row r="3613" spans="1:7" x14ac:dyDescent="0.25">
      <c r="A3613" t="s">
        <v>126</v>
      </c>
      <c r="B3613" t="s">
        <v>127</v>
      </c>
      <c r="C3613" t="s">
        <v>67</v>
      </c>
      <c r="D3613">
        <v>7529507</v>
      </c>
      <c r="E3613" t="s">
        <v>53</v>
      </c>
      <c r="F3613" t="s">
        <v>49</v>
      </c>
      <c r="G3613" s="30">
        <v>4890.9620796786103</v>
      </c>
    </row>
    <row r="3614" spans="1:7" x14ac:dyDescent="0.25">
      <c r="A3614" t="s">
        <v>92</v>
      </c>
      <c r="B3614" t="s">
        <v>93</v>
      </c>
      <c r="C3614" t="s">
        <v>81</v>
      </c>
      <c r="D3614">
        <v>7534969</v>
      </c>
      <c r="E3614" t="s">
        <v>53</v>
      </c>
      <c r="F3614" t="s">
        <v>49</v>
      </c>
      <c r="G3614" s="30">
        <v>1325.8</v>
      </c>
    </row>
    <row r="3615" spans="1:7" x14ac:dyDescent="0.25">
      <c r="A3615" t="s">
        <v>50</v>
      </c>
      <c r="B3615" t="s">
        <v>51</v>
      </c>
      <c r="C3615" t="s">
        <v>52</v>
      </c>
      <c r="D3615">
        <v>7535995</v>
      </c>
      <c r="E3615" t="s">
        <v>53</v>
      </c>
      <c r="F3615" t="s">
        <v>49</v>
      </c>
      <c r="G3615" s="30">
        <v>11.456638488769499</v>
      </c>
    </row>
    <row r="3616" spans="1:7" x14ac:dyDescent="0.25">
      <c r="A3616" t="s">
        <v>61</v>
      </c>
      <c r="B3616" t="s">
        <v>62</v>
      </c>
      <c r="C3616" t="s">
        <v>56</v>
      </c>
      <c r="D3616">
        <v>7538035</v>
      </c>
      <c r="E3616" t="s">
        <v>53</v>
      </c>
      <c r="F3616" t="s">
        <v>49</v>
      </c>
      <c r="G3616" s="30">
        <v>1021.94134946053</v>
      </c>
    </row>
    <row r="3617" spans="1:7" x14ac:dyDescent="0.25">
      <c r="A3617" t="s">
        <v>92</v>
      </c>
      <c r="B3617" t="s">
        <v>93</v>
      </c>
      <c r="C3617" t="s">
        <v>81</v>
      </c>
      <c r="D3617">
        <v>7544226</v>
      </c>
      <c r="E3617" t="s">
        <v>48</v>
      </c>
      <c r="F3617" t="s">
        <v>49</v>
      </c>
      <c r="G3617" s="30">
        <v>0</v>
      </c>
    </row>
    <row r="3618" spans="1:7" x14ac:dyDescent="0.25">
      <c r="A3618" t="s">
        <v>45</v>
      </c>
      <c r="B3618" t="s">
        <v>46</v>
      </c>
      <c r="C3618" t="s">
        <v>47</v>
      </c>
      <c r="D3618">
        <v>7551354</v>
      </c>
      <c r="E3618" t="s">
        <v>48</v>
      </c>
      <c r="F3618" t="s">
        <v>49</v>
      </c>
      <c r="G3618" s="30">
        <v>0</v>
      </c>
    </row>
    <row r="3619" spans="1:7" x14ac:dyDescent="0.25">
      <c r="A3619" t="s">
        <v>65</v>
      </c>
      <c r="B3619" t="s">
        <v>66</v>
      </c>
      <c r="C3619" t="s">
        <v>67</v>
      </c>
      <c r="D3619">
        <v>7565504</v>
      </c>
      <c r="E3619" t="s">
        <v>53</v>
      </c>
      <c r="F3619" t="s">
        <v>49</v>
      </c>
      <c r="G3619" s="30">
        <v>878075.88798383402</v>
      </c>
    </row>
    <row r="3620" spans="1:7" x14ac:dyDescent="0.25">
      <c r="A3620" t="s">
        <v>90</v>
      </c>
      <c r="B3620" t="s">
        <v>91</v>
      </c>
      <c r="C3620" t="s">
        <v>81</v>
      </c>
      <c r="D3620">
        <v>7578778</v>
      </c>
      <c r="E3620" t="s">
        <v>53</v>
      </c>
      <c r="F3620" t="s">
        <v>49</v>
      </c>
      <c r="G3620" s="30">
        <v>320795.981709663</v>
      </c>
    </row>
    <row r="3621" spans="1:7" x14ac:dyDescent="0.25">
      <c r="A3621" t="s">
        <v>102</v>
      </c>
      <c r="B3621" t="s">
        <v>103</v>
      </c>
      <c r="C3621" t="s">
        <v>47</v>
      </c>
      <c r="D3621">
        <v>7579968</v>
      </c>
      <c r="E3621" t="s">
        <v>53</v>
      </c>
      <c r="F3621" t="s">
        <v>49</v>
      </c>
      <c r="G3621" s="30">
        <v>110239.52470933599</v>
      </c>
    </row>
    <row r="3622" spans="1:7" x14ac:dyDescent="0.25">
      <c r="A3622" t="s">
        <v>45</v>
      </c>
      <c r="B3622" t="s">
        <v>46</v>
      </c>
      <c r="C3622" t="s">
        <v>47</v>
      </c>
      <c r="D3622">
        <v>7582016</v>
      </c>
      <c r="E3622" t="s">
        <v>53</v>
      </c>
      <c r="F3622" t="s">
        <v>49</v>
      </c>
      <c r="G3622" s="30">
        <v>56.727729025332401</v>
      </c>
    </row>
    <row r="3623" spans="1:7" x14ac:dyDescent="0.25">
      <c r="A3623" t="s">
        <v>45</v>
      </c>
      <c r="B3623" t="s">
        <v>46</v>
      </c>
      <c r="C3623" t="s">
        <v>47</v>
      </c>
      <c r="D3623">
        <v>7589290</v>
      </c>
      <c r="E3623" t="s">
        <v>53</v>
      </c>
      <c r="F3623" t="s">
        <v>49</v>
      </c>
      <c r="G3623" s="30">
        <v>12961.7899991021</v>
      </c>
    </row>
    <row r="3624" spans="1:7" x14ac:dyDescent="0.25">
      <c r="A3624" t="s">
        <v>50</v>
      </c>
      <c r="B3624" t="s">
        <v>51</v>
      </c>
      <c r="C3624" t="s">
        <v>52</v>
      </c>
      <c r="D3624">
        <v>7589850</v>
      </c>
      <c r="E3624" t="s">
        <v>53</v>
      </c>
      <c r="F3624" t="s">
        <v>49</v>
      </c>
      <c r="G3624" s="30">
        <v>16997.748389906301</v>
      </c>
    </row>
    <row r="3625" spans="1:7" x14ac:dyDescent="0.25">
      <c r="A3625" t="s">
        <v>54</v>
      </c>
      <c r="B3625" t="s">
        <v>55</v>
      </c>
      <c r="C3625" t="s">
        <v>56</v>
      </c>
      <c r="D3625">
        <v>7590356</v>
      </c>
      <c r="E3625" t="s">
        <v>53</v>
      </c>
      <c r="F3625" t="s">
        <v>49</v>
      </c>
      <c r="G3625" s="30">
        <v>160650.414099838</v>
      </c>
    </row>
    <row r="3626" spans="1:7" x14ac:dyDescent="0.25">
      <c r="A3626" t="s">
        <v>45</v>
      </c>
      <c r="B3626" t="s">
        <v>46</v>
      </c>
      <c r="C3626" t="s">
        <v>47</v>
      </c>
      <c r="D3626">
        <v>7590702</v>
      </c>
      <c r="E3626" t="s">
        <v>48</v>
      </c>
      <c r="F3626" t="s">
        <v>49</v>
      </c>
      <c r="G3626" s="30">
        <v>0</v>
      </c>
    </row>
    <row r="3627" spans="1:7" x14ac:dyDescent="0.25">
      <c r="A3627" t="s">
        <v>112</v>
      </c>
      <c r="B3627" t="s">
        <v>113</v>
      </c>
      <c r="C3627" t="s">
        <v>81</v>
      </c>
      <c r="D3627">
        <v>7591371</v>
      </c>
      <c r="E3627" t="s">
        <v>53</v>
      </c>
      <c r="F3627" t="s">
        <v>49</v>
      </c>
      <c r="G3627" s="30">
        <v>503573.25</v>
      </c>
    </row>
    <row r="3628" spans="1:7" x14ac:dyDescent="0.25">
      <c r="A3628" t="s">
        <v>45</v>
      </c>
      <c r="B3628" t="s">
        <v>46</v>
      </c>
      <c r="C3628" t="s">
        <v>47</v>
      </c>
      <c r="D3628">
        <v>7592479</v>
      </c>
      <c r="E3628" t="s">
        <v>48</v>
      </c>
      <c r="F3628" t="s">
        <v>49</v>
      </c>
      <c r="G3628" s="30">
        <v>0</v>
      </c>
    </row>
    <row r="3629" spans="1:7" x14ac:dyDescent="0.25">
      <c r="A3629" t="s">
        <v>114</v>
      </c>
      <c r="B3629" t="s">
        <v>115</v>
      </c>
      <c r="C3629" t="s">
        <v>56</v>
      </c>
      <c r="D3629">
        <v>7597055</v>
      </c>
      <c r="E3629" t="s">
        <v>53</v>
      </c>
      <c r="F3629" t="s">
        <v>49</v>
      </c>
      <c r="G3629" s="30">
        <v>1543.02536751549</v>
      </c>
    </row>
    <row r="3630" spans="1:7" x14ac:dyDescent="0.25">
      <c r="A3630" t="s">
        <v>92</v>
      </c>
      <c r="B3630" t="s">
        <v>93</v>
      </c>
      <c r="C3630" t="s">
        <v>81</v>
      </c>
      <c r="D3630">
        <v>7597187</v>
      </c>
      <c r="E3630" t="s">
        <v>53</v>
      </c>
      <c r="F3630" t="s">
        <v>49</v>
      </c>
      <c r="G3630" s="30">
        <v>101392.483594769</v>
      </c>
    </row>
    <row r="3631" spans="1:7" x14ac:dyDescent="0.25">
      <c r="A3631" t="s">
        <v>118</v>
      </c>
      <c r="B3631" t="s">
        <v>119</v>
      </c>
      <c r="C3631" t="s">
        <v>56</v>
      </c>
      <c r="D3631">
        <v>7599374</v>
      </c>
      <c r="E3631" t="s">
        <v>53</v>
      </c>
      <c r="F3631" t="s">
        <v>49</v>
      </c>
      <c r="G3631" s="30">
        <v>43179.5087595394</v>
      </c>
    </row>
    <row r="3632" spans="1:7" x14ac:dyDescent="0.25">
      <c r="A3632" t="s">
        <v>54</v>
      </c>
      <c r="B3632" t="s">
        <v>55</v>
      </c>
      <c r="C3632" t="s">
        <v>56</v>
      </c>
      <c r="D3632">
        <v>7600424</v>
      </c>
      <c r="E3632" t="s">
        <v>53</v>
      </c>
      <c r="F3632" t="s">
        <v>49</v>
      </c>
      <c r="G3632" s="30">
        <v>796773.27752479899</v>
      </c>
    </row>
    <row r="3633" spans="1:7" x14ac:dyDescent="0.25">
      <c r="A3633" t="s">
        <v>88</v>
      </c>
      <c r="B3633" t="s">
        <v>89</v>
      </c>
      <c r="C3633" t="s">
        <v>78</v>
      </c>
      <c r="D3633">
        <v>7601410</v>
      </c>
      <c r="E3633" t="s">
        <v>53</v>
      </c>
      <c r="F3633" t="s">
        <v>49</v>
      </c>
      <c r="G3633" s="30">
        <v>1207.34679190661</v>
      </c>
    </row>
    <row r="3634" spans="1:7" x14ac:dyDescent="0.25">
      <c r="A3634" t="s">
        <v>88</v>
      </c>
      <c r="B3634" t="s">
        <v>89</v>
      </c>
      <c r="C3634" t="s">
        <v>78</v>
      </c>
      <c r="D3634">
        <v>7601617</v>
      </c>
      <c r="E3634" t="s">
        <v>53</v>
      </c>
      <c r="F3634" t="s">
        <v>49</v>
      </c>
      <c r="G3634" s="30">
        <v>99750.466319819607</v>
      </c>
    </row>
    <row r="3635" spans="1:7" x14ac:dyDescent="0.25">
      <c r="A3635" t="s">
        <v>65</v>
      </c>
      <c r="B3635" t="s">
        <v>66</v>
      </c>
      <c r="C3635" t="s">
        <v>67</v>
      </c>
      <c r="D3635">
        <v>7601631</v>
      </c>
      <c r="E3635" t="s">
        <v>53</v>
      </c>
      <c r="F3635" t="s">
        <v>49</v>
      </c>
      <c r="G3635" s="30">
        <v>16529.62</v>
      </c>
    </row>
    <row r="3636" spans="1:7" x14ac:dyDescent="0.25">
      <c r="A3636" t="s">
        <v>45</v>
      </c>
      <c r="B3636" t="s">
        <v>46</v>
      </c>
      <c r="C3636" t="s">
        <v>47</v>
      </c>
      <c r="D3636">
        <v>7607279</v>
      </c>
      <c r="E3636" t="s">
        <v>48</v>
      </c>
      <c r="F3636" t="s">
        <v>49</v>
      </c>
      <c r="G3636" s="30">
        <v>0</v>
      </c>
    </row>
    <row r="3637" spans="1:7" x14ac:dyDescent="0.25">
      <c r="A3637" t="s">
        <v>50</v>
      </c>
      <c r="B3637" t="s">
        <v>51</v>
      </c>
      <c r="C3637" t="s">
        <v>52</v>
      </c>
      <c r="D3637">
        <v>7608721</v>
      </c>
      <c r="E3637" t="s">
        <v>53</v>
      </c>
      <c r="F3637" t="s">
        <v>49</v>
      </c>
      <c r="G3637" s="30">
        <v>59223.09</v>
      </c>
    </row>
    <row r="3638" spans="1:7" x14ac:dyDescent="0.25">
      <c r="A3638" t="s">
        <v>50</v>
      </c>
      <c r="B3638" t="s">
        <v>51</v>
      </c>
      <c r="C3638" t="s">
        <v>52</v>
      </c>
      <c r="D3638">
        <v>7609400</v>
      </c>
      <c r="E3638" t="s">
        <v>53</v>
      </c>
      <c r="F3638" t="s">
        <v>49</v>
      </c>
      <c r="G3638" s="30">
        <v>19897.1172094063</v>
      </c>
    </row>
    <row r="3639" spans="1:7" x14ac:dyDescent="0.25">
      <c r="A3639" t="s">
        <v>118</v>
      </c>
      <c r="B3639" t="s">
        <v>119</v>
      </c>
      <c r="C3639" t="s">
        <v>56</v>
      </c>
      <c r="D3639">
        <v>7613012</v>
      </c>
      <c r="E3639" t="s">
        <v>53</v>
      </c>
      <c r="F3639" t="s">
        <v>49</v>
      </c>
      <c r="G3639" s="30">
        <v>175751.78072964799</v>
      </c>
    </row>
    <row r="3640" spans="1:7" x14ac:dyDescent="0.25">
      <c r="A3640" t="s">
        <v>61</v>
      </c>
      <c r="B3640" t="s">
        <v>62</v>
      </c>
      <c r="C3640" t="s">
        <v>56</v>
      </c>
      <c r="D3640">
        <v>7615304</v>
      </c>
      <c r="E3640" t="s">
        <v>53</v>
      </c>
      <c r="F3640" t="s">
        <v>49</v>
      </c>
      <c r="G3640" s="30">
        <v>324627.765412357</v>
      </c>
    </row>
    <row r="3641" spans="1:7" x14ac:dyDescent="0.25">
      <c r="A3641" t="s">
        <v>90</v>
      </c>
      <c r="B3641" t="s">
        <v>91</v>
      </c>
      <c r="C3641" t="s">
        <v>81</v>
      </c>
      <c r="D3641">
        <v>7615470</v>
      </c>
      <c r="E3641" t="s">
        <v>48</v>
      </c>
      <c r="F3641" t="s">
        <v>49</v>
      </c>
      <c r="G3641" s="30">
        <v>0</v>
      </c>
    </row>
    <row r="3642" spans="1:7" x14ac:dyDescent="0.25">
      <c r="A3642" t="s">
        <v>116</v>
      </c>
      <c r="B3642" t="s">
        <v>117</v>
      </c>
      <c r="C3642" t="s">
        <v>47</v>
      </c>
      <c r="D3642">
        <v>7618652</v>
      </c>
      <c r="E3642" t="s">
        <v>53</v>
      </c>
      <c r="F3642" t="s">
        <v>49</v>
      </c>
      <c r="G3642" s="30">
        <v>143467.16</v>
      </c>
    </row>
    <row r="3643" spans="1:7" x14ac:dyDescent="0.25">
      <c r="A3643" t="s">
        <v>116</v>
      </c>
      <c r="B3643" t="s">
        <v>117</v>
      </c>
      <c r="C3643" t="s">
        <v>47</v>
      </c>
      <c r="D3643">
        <v>7619084</v>
      </c>
      <c r="E3643" t="s">
        <v>53</v>
      </c>
      <c r="F3643" t="s">
        <v>49</v>
      </c>
      <c r="G3643" s="30">
        <v>3606795.5106250001</v>
      </c>
    </row>
    <row r="3644" spans="1:7" x14ac:dyDescent="0.25">
      <c r="A3644" t="s">
        <v>45</v>
      </c>
      <c r="B3644" t="s">
        <v>46</v>
      </c>
      <c r="C3644" t="s">
        <v>47</v>
      </c>
      <c r="D3644">
        <v>7619259</v>
      </c>
      <c r="E3644" t="s">
        <v>48</v>
      </c>
      <c r="F3644" t="s">
        <v>49</v>
      </c>
      <c r="G3644" s="30">
        <v>0</v>
      </c>
    </row>
    <row r="3645" spans="1:7" x14ac:dyDescent="0.25">
      <c r="A3645" t="s">
        <v>45</v>
      </c>
      <c r="B3645" t="s">
        <v>46</v>
      </c>
      <c r="C3645" t="s">
        <v>47</v>
      </c>
      <c r="D3645">
        <v>7619738</v>
      </c>
      <c r="E3645" t="s">
        <v>48</v>
      </c>
      <c r="F3645" t="s">
        <v>49</v>
      </c>
      <c r="G3645" s="30">
        <v>0</v>
      </c>
    </row>
    <row r="3646" spans="1:7" x14ac:dyDescent="0.25">
      <c r="A3646" t="s">
        <v>50</v>
      </c>
      <c r="B3646" t="s">
        <v>51</v>
      </c>
      <c r="C3646" t="s">
        <v>52</v>
      </c>
      <c r="D3646">
        <v>7624243</v>
      </c>
      <c r="E3646" t="s">
        <v>53</v>
      </c>
      <c r="F3646" t="s">
        <v>49</v>
      </c>
      <c r="G3646" s="30">
        <v>7.28</v>
      </c>
    </row>
    <row r="3647" spans="1:7" x14ac:dyDescent="0.25">
      <c r="A3647" t="s">
        <v>68</v>
      </c>
      <c r="B3647" t="s">
        <v>69</v>
      </c>
      <c r="C3647" t="s">
        <v>56</v>
      </c>
      <c r="D3647">
        <v>7628041</v>
      </c>
      <c r="E3647" t="s">
        <v>53</v>
      </c>
      <c r="F3647" t="s">
        <v>49</v>
      </c>
      <c r="G3647" s="30">
        <v>1149.07776098759</v>
      </c>
    </row>
    <row r="3648" spans="1:7" x14ac:dyDescent="0.25">
      <c r="A3648" t="s">
        <v>68</v>
      </c>
      <c r="B3648" t="s">
        <v>69</v>
      </c>
      <c r="C3648" t="s">
        <v>56</v>
      </c>
      <c r="D3648">
        <v>7629066</v>
      </c>
      <c r="E3648" t="s">
        <v>53</v>
      </c>
      <c r="F3648" t="s">
        <v>49</v>
      </c>
      <c r="G3648" s="30">
        <v>2000</v>
      </c>
    </row>
    <row r="3649" spans="1:7" x14ac:dyDescent="0.25">
      <c r="A3649" t="s">
        <v>124</v>
      </c>
      <c r="B3649" t="s">
        <v>125</v>
      </c>
      <c r="C3649" t="s">
        <v>78</v>
      </c>
      <c r="D3649">
        <v>7631109</v>
      </c>
      <c r="E3649" t="s">
        <v>53</v>
      </c>
      <c r="F3649" t="s">
        <v>49</v>
      </c>
      <c r="G3649" s="30">
        <v>491861.96010326903</v>
      </c>
    </row>
    <row r="3650" spans="1:7" x14ac:dyDescent="0.25">
      <c r="A3650" t="s">
        <v>57</v>
      </c>
      <c r="B3650" t="s">
        <v>58</v>
      </c>
      <c r="C3650" t="s">
        <v>56</v>
      </c>
      <c r="D3650">
        <v>7632302</v>
      </c>
      <c r="E3650" t="s">
        <v>48</v>
      </c>
      <c r="F3650" t="s">
        <v>49</v>
      </c>
      <c r="G3650" s="30">
        <v>0</v>
      </c>
    </row>
    <row r="3651" spans="1:7" x14ac:dyDescent="0.25">
      <c r="A3651" t="s">
        <v>94</v>
      </c>
      <c r="B3651" t="s">
        <v>95</v>
      </c>
      <c r="C3651" t="s">
        <v>78</v>
      </c>
      <c r="D3651">
        <v>7636355</v>
      </c>
      <c r="E3651" t="s">
        <v>53</v>
      </c>
      <c r="F3651" t="s">
        <v>49</v>
      </c>
      <c r="G3651" s="30">
        <v>179355.79121086601</v>
      </c>
    </row>
    <row r="3652" spans="1:7" x14ac:dyDescent="0.25">
      <c r="A3652" t="s">
        <v>59</v>
      </c>
      <c r="B3652" t="s">
        <v>60</v>
      </c>
      <c r="C3652" t="s">
        <v>56</v>
      </c>
      <c r="D3652">
        <v>7636693</v>
      </c>
      <c r="E3652" t="s">
        <v>53</v>
      </c>
      <c r="F3652" t="s">
        <v>49</v>
      </c>
      <c r="G3652" s="30">
        <v>4025107.9599941499</v>
      </c>
    </row>
    <row r="3653" spans="1:7" x14ac:dyDescent="0.25">
      <c r="A3653" t="s">
        <v>45</v>
      </c>
      <c r="B3653" t="s">
        <v>46</v>
      </c>
      <c r="C3653" t="s">
        <v>47</v>
      </c>
      <c r="D3653">
        <v>7637644</v>
      </c>
      <c r="E3653" t="s">
        <v>48</v>
      </c>
      <c r="F3653" t="s">
        <v>49</v>
      </c>
      <c r="G3653" s="30">
        <v>0</v>
      </c>
    </row>
    <row r="3654" spans="1:7" x14ac:dyDescent="0.25">
      <c r="A3654" t="s">
        <v>102</v>
      </c>
      <c r="B3654" t="s">
        <v>103</v>
      </c>
      <c r="C3654" t="s">
        <v>47</v>
      </c>
      <c r="D3654">
        <v>7637973</v>
      </c>
      <c r="E3654" t="s">
        <v>53</v>
      </c>
      <c r="F3654" t="s">
        <v>49</v>
      </c>
      <c r="G3654" s="30">
        <v>2.45362218176691E-2</v>
      </c>
    </row>
    <row r="3655" spans="1:7" x14ac:dyDescent="0.25">
      <c r="A3655" t="s">
        <v>45</v>
      </c>
      <c r="B3655" t="s">
        <v>46</v>
      </c>
      <c r="C3655" t="s">
        <v>47</v>
      </c>
      <c r="D3655">
        <v>7638013</v>
      </c>
      <c r="E3655" t="s">
        <v>53</v>
      </c>
      <c r="F3655" t="s">
        <v>49</v>
      </c>
      <c r="G3655" s="30">
        <v>37061.602793626</v>
      </c>
    </row>
    <row r="3656" spans="1:7" x14ac:dyDescent="0.25">
      <c r="A3656" t="s">
        <v>118</v>
      </c>
      <c r="B3656" t="s">
        <v>119</v>
      </c>
      <c r="C3656" t="s">
        <v>56</v>
      </c>
      <c r="D3656">
        <v>7639895</v>
      </c>
      <c r="E3656" t="s">
        <v>53</v>
      </c>
      <c r="F3656" t="s">
        <v>49</v>
      </c>
      <c r="G3656" s="30">
        <v>7683.8785424506796</v>
      </c>
    </row>
    <row r="3657" spans="1:7" x14ac:dyDescent="0.25">
      <c r="A3657" t="s">
        <v>88</v>
      </c>
      <c r="B3657" t="s">
        <v>89</v>
      </c>
      <c r="C3657" t="s">
        <v>78</v>
      </c>
      <c r="D3657">
        <v>7641516</v>
      </c>
      <c r="E3657" t="s">
        <v>53</v>
      </c>
      <c r="F3657" t="s">
        <v>49</v>
      </c>
      <c r="G3657" s="30">
        <v>466551.66876935703</v>
      </c>
    </row>
    <row r="3658" spans="1:7" x14ac:dyDescent="0.25">
      <c r="A3658" t="s">
        <v>45</v>
      </c>
      <c r="B3658" t="s">
        <v>46</v>
      </c>
      <c r="C3658" t="s">
        <v>47</v>
      </c>
      <c r="D3658">
        <v>7641600</v>
      </c>
      <c r="E3658" t="s">
        <v>53</v>
      </c>
      <c r="F3658" t="s">
        <v>49</v>
      </c>
      <c r="G3658" s="30">
        <v>230857.31552451599</v>
      </c>
    </row>
    <row r="3659" spans="1:7" x14ac:dyDescent="0.25">
      <c r="A3659" t="s">
        <v>118</v>
      </c>
      <c r="B3659" t="s">
        <v>119</v>
      </c>
      <c r="C3659" t="s">
        <v>56</v>
      </c>
      <c r="D3659">
        <v>7645228</v>
      </c>
      <c r="E3659" t="s">
        <v>53</v>
      </c>
      <c r="F3659" t="s">
        <v>49</v>
      </c>
      <c r="G3659" s="30">
        <v>38427.791665850302</v>
      </c>
    </row>
    <row r="3660" spans="1:7" x14ac:dyDescent="0.25">
      <c r="A3660" t="s">
        <v>45</v>
      </c>
      <c r="B3660" t="s">
        <v>46</v>
      </c>
      <c r="C3660" t="s">
        <v>47</v>
      </c>
      <c r="D3660">
        <v>7646836</v>
      </c>
      <c r="E3660" t="s">
        <v>48</v>
      </c>
      <c r="F3660" t="s">
        <v>49</v>
      </c>
      <c r="G3660" s="30">
        <v>0</v>
      </c>
    </row>
    <row r="3661" spans="1:7" x14ac:dyDescent="0.25">
      <c r="A3661" t="s">
        <v>61</v>
      </c>
      <c r="B3661" t="s">
        <v>62</v>
      </c>
      <c r="C3661" t="s">
        <v>56</v>
      </c>
      <c r="D3661">
        <v>7647410</v>
      </c>
      <c r="E3661" t="s">
        <v>53</v>
      </c>
      <c r="F3661" t="s">
        <v>49</v>
      </c>
      <c r="G3661" s="30">
        <v>-208.78</v>
      </c>
    </row>
    <row r="3662" spans="1:7" x14ac:dyDescent="0.25">
      <c r="A3662" t="s">
        <v>106</v>
      </c>
      <c r="B3662" t="s">
        <v>107</v>
      </c>
      <c r="C3662" t="s">
        <v>56</v>
      </c>
      <c r="D3662">
        <v>7650199</v>
      </c>
      <c r="E3662" t="s">
        <v>48</v>
      </c>
      <c r="F3662" t="s">
        <v>49</v>
      </c>
      <c r="G3662" s="30">
        <v>0</v>
      </c>
    </row>
    <row r="3663" spans="1:7" x14ac:dyDescent="0.25">
      <c r="A3663" t="s">
        <v>50</v>
      </c>
      <c r="B3663" t="s">
        <v>51</v>
      </c>
      <c r="C3663" t="s">
        <v>52</v>
      </c>
      <c r="D3663">
        <v>7656282</v>
      </c>
      <c r="E3663" t="s">
        <v>53</v>
      </c>
      <c r="F3663" t="s">
        <v>49</v>
      </c>
      <c r="G3663" s="30">
        <v>64855.995388978801</v>
      </c>
    </row>
    <row r="3664" spans="1:7" x14ac:dyDescent="0.25">
      <c r="A3664" t="s">
        <v>61</v>
      </c>
      <c r="B3664" t="s">
        <v>62</v>
      </c>
      <c r="C3664" t="s">
        <v>56</v>
      </c>
      <c r="D3664">
        <v>7659032</v>
      </c>
      <c r="E3664" t="s">
        <v>48</v>
      </c>
      <c r="F3664" t="s">
        <v>49</v>
      </c>
      <c r="G3664" s="30">
        <v>0</v>
      </c>
    </row>
    <row r="3665" spans="1:7" x14ac:dyDescent="0.25">
      <c r="A3665" t="s">
        <v>45</v>
      </c>
      <c r="B3665" t="s">
        <v>46</v>
      </c>
      <c r="C3665" t="s">
        <v>47</v>
      </c>
      <c r="D3665">
        <v>7662539</v>
      </c>
      <c r="E3665" t="s">
        <v>48</v>
      </c>
      <c r="F3665" t="s">
        <v>49</v>
      </c>
      <c r="G3665" s="30">
        <v>0</v>
      </c>
    </row>
    <row r="3666" spans="1:7" x14ac:dyDescent="0.25">
      <c r="A3666" t="s">
        <v>45</v>
      </c>
      <c r="B3666" t="s">
        <v>46</v>
      </c>
      <c r="C3666" t="s">
        <v>47</v>
      </c>
      <c r="D3666">
        <v>7663312</v>
      </c>
      <c r="E3666" t="s">
        <v>48</v>
      </c>
      <c r="F3666" t="s">
        <v>49</v>
      </c>
      <c r="G3666" s="30">
        <v>0</v>
      </c>
    </row>
    <row r="3667" spans="1:7" x14ac:dyDescent="0.25">
      <c r="A3667" t="s">
        <v>45</v>
      </c>
      <c r="B3667" t="s">
        <v>46</v>
      </c>
      <c r="C3667" t="s">
        <v>47</v>
      </c>
      <c r="D3667">
        <v>7665324</v>
      </c>
      <c r="E3667" t="s">
        <v>48</v>
      </c>
      <c r="F3667" t="s">
        <v>49</v>
      </c>
      <c r="G3667" s="30">
        <v>0</v>
      </c>
    </row>
    <row r="3668" spans="1:7" x14ac:dyDescent="0.25">
      <c r="A3668" t="s">
        <v>116</v>
      </c>
      <c r="B3668" t="s">
        <v>117</v>
      </c>
      <c r="C3668" t="s">
        <v>47</v>
      </c>
      <c r="D3668">
        <v>7668640</v>
      </c>
      <c r="E3668" t="s">
        <v>53</v>
      </c>
      <c r="F3668" t="s">
        <v>49</v>
      </c>
      <c r="G3668" s="30">
        <v>10547439.92</v>
      </c>
    </row>
    <row r="3669" spans="1:7" x14ac:dyDescent="0.25">
      <c r="A3669" t="s">
        <v>54</v>
      </c>
      <c r="B3669" t="s">
        <v>55</v>
      </c>
      <c r="C3669" t="s">
        <v>56</v>
      </c>
      <c r="D3669">
        <v>7671380</v>
      </c>
      <c r="E3669" t="s">
        <v>53</v>
      </c>
      <c r="F3669" t="s">
        <v>49</v>
      </c>
      <c r="G3669" s="30">
        <v>28882.6231800477</v>
      </c>
    </row>
    <row r="3670" spans="1:7" x14ac:dyDescent="0.25">
      <c r="A3670" t="s">
        <v>45</v>
      </c>
      <c r="B3670" t="s">
        <v>46</v>
      </c>
      <c r="C3670" t="s">
        <v>47</v>
      </c>
      <c r="D3670">
        <v>7674493</v>
      </c>
      <c r="E3670" t="s">
        <v>53</v>
      </c>
      <c r="F3670" t="s">
        <v>49</v>
      </c>
      <c r="G3670" s="30">
        <v>12349.1078571867</v>
      </c>
    </row>
    <row r="3671" spans="1:7" x14ac:dyDescent="0.25">
      <c r="A3671" t="s">
        <v>50</v>
      </c>
      <c r="B3671" t="s">
        <v>51</v>
      </c>
      <c r="C3671" t="s">
        <v>52</v>
      </c>
      <c r="D3671">
        <v>7675772</v>
      </c>
      <c r="E3671" t="s">
        <v>53</v>
      </c>
      <c r="F3671" t="s">
        <v>49</v>
      </c>
      <c r="G3671" s="30">
        <v>616.34897653219105</v>
      </c>
    </row>
    <row r="3672" spans="1:7" x14ac:dyDescent="0.25">
      <c r="A3672" t="s">
        <v>88</v>
      </c>
      <c r="B3672" t="s">
        <v>89</v>
      </c>
      <c r="C3672" t="s">
        <v>78</v>
      </c>
      <c r="D3672">
        <v>7676165</v>
      </c>
      <c r="E3672" t="s">
        <v>53</v>
      </c>
      <c r="F3672" t="s">
        <v>49</v>
      </c>
      <c r="G3672" s="30">
        <v>201569.74079287201</v>
      </c>
    </row>
    <row r="3673" spans="1:7" x14ac:dyDescent="0.25">
      <c r="A3673" t="s">
        <v>45</v>
      </c>
      <c r="B3673" t="s">
        <v>46</v>
      </c>
      <c r="C3673" t="s">
        <v>47</v>
      </c>
      <c r="D3673">
        <v>7687796</v>
      </c>
      <c r="E3673" t="s">
        <v>48</v>
      </c>
      <c r="F3673" t="s">
        <v>49</v>
      </c>
      <c r="G3673" s="30">
        <v>20.68</v>
      </c>
    </row>
    <row r="3674" spans="1:7" x14ac:dyDescent="0.25">
      <c r="A3674" t="s">
        <v>50</v>
      </c>
      <c r="B3674" t="s">
        <v>51</v>
      </c>
      <c r="C3674" t="s">
        <v>52</v>
      </c>
      <c r="D3674">
        <v>7690733</v>
      </c>
      <c r="E3674" t="s">
        <v>53</v>
      </c>
      <c r="F3674" t="s">
        <v>49</v>
      </c>
      <c r="G3674" s="30">
        <v>1651.93</v>
      </c>
    </row>
    <row r="3675" spans="1:7" x14ac:dyDescent="0.25">
      <c r="A3675" t="s">
        <v>50</v>
      </c>
      <c r="B3675" t="s">
        <v>51</v>
      </c>
      <c r="C3675" t="s">
        <v>52</v>
      </c>
      <c r="D3675">
        <v>7701349</v>
      </c>
      <c r="E3675" t="s">
        <v>53</v>
      </c>
      <c r="F3675" t="s">
        <v>49</v>
      </c>
      <c r="G3675" s="30">
        <v>73602.314453125</v>
      </c>
    </row>
    <row r="3676" spans="1:7" x14ac:dyDescent="0.25">
      <c r="A3676" t="s">
        <v>72</v>
      </c>
      <c r="B3676" t="s">
        <v>73</v>
      </c>
      <c r="C3676" t="s">
        <v>67</v>
      </c>
      <c r="D3676">
        <v>7710463</v>
      </c>
      <c r="E3676" t="s">
        <v>53</v>
      </c>
      <c r="F3676" t="s">
        <v>49</v>
      </c>
      <c r="G3676" s="30">
        <v>3579386.5665484602</v>
      </c>
    </row>
    <row r="3677" spans="1:7" x14ac:dyDescent="0.25">
      <c r="A3677" t="s">
        <v>50</v>
      </c>
      <c r="B3677" t="s">
        <v>51</v>
      </c>
      <c r="C3677" t="s">
        <v>52</v>
      </c>
      <c r="D3677">
        <v>7711626</v>
      </c>
      <c r="E3677" t="s">
        <v>53</v>
      </c>
      <c r="F3677" t="s">
        <v>49</v>
      </c>
      <c r="G3677" s="30">
        <v>6241.07</v>
      </c>
    </row>
    <row r="3678" spans="1:7" x14ac:dyDescent="0.25">
      <c r="A3678" t="s">
        <v>45</v>
      </c>
      <c r="B3678" t="s">
        <v>46</v>
      </c>
      <c r="C3678" t="s">
        <v>47</v>
      </c>
      <c r="D3678">
        <v>7734511</v>
      </c>
      <c r="E3678" t="s">
        <v>48</v>
      </c>
      <c r="F3678" t="s">
        <v>49</v>
      </c>
      <c r="G3678" s="30">
        <v>0</v>
      </c>
    </row>
    <row r="3679" spans="1:7" x14ac:dyDescent="0.25">
      <c r="A3679" t="s">
        <v>45</v>
      </c>
      <c r="B3679" t="s">
        <v>46</v>
      </c>
      <c r="C3679" t="s">
        <v>47</v>
      </c>
      <c r="D3679">
        <v>7740084</v>
      </c>
      <c r="E3679" t="s">
        <v>48</v>
      </c>
      <c r="F3679" t="s">
        <v>49</v>
      </c>
      <c r="G3679" s="30">
        <v>0</v>
      </c>
    </row>
    <row r="3680" spans="1:7" x14ac:dyDescent="0.25">
      <c r="A3680" t="s">
        <v>50</v>
      </c>
      <c r="B3680" t="s">
        <v>51</v>
      </c>
      <c r="C3680" t="s">
        <v>52</v>
      </c>
      <c r="D3680">
        <v>7740104</v>
      </c>
      <c r="E3680" t="s">
        <v>53</v>
      </c>
      <c r="F3680" t="s">
        <v>49</v>
      </c>
      <c r="G3680" s="30">
        <v>3050.7352401053299</v>
      </c>
    </row>
    <row r="3681" spans="1:7" x14ac:dyDescent="0.25">
      <c r="A3681" t="s">
        <v>50</v>
      </c>
      <c r="B3681" t="s">
        <v>51</v>
      </c>
      <c r="C3681" t="s">
        <v>52</v>
      </c>
      <c r="D3681">
        <v>7740238</v>
      </c>
      <c r="E3681" t="s">
        <v>53</v>
      </c>
      <c r="F3681" t="s">
        <v>49</v>
      </c>
      <c r="G3681" s="30">
        <v>634.10249423457299</v>
      </c>
    </row>
    <row r="3682" spans="1:7" x14ac:dyDescent="0.25">
      <c r="A3682" t="s">
        <v>50</v>
      </c>
      <c r="B3682" t="s">
        <v>51</v>
      </c>
      <c r="C3682" t="s">
        <v>52</v>
      </c>
      <c r="D3682">
        <v>7740575</v>
      </c>
      <c r="E3682" t="s">
        <v>53</v>
      </c>
      <c r="F3682" t="s">
        <v>49</v>
      </c>
      <c r="G3682" s="30">
        <v>36954.722600823297</v>
      </c>
    </row>
    <row r="3683" spans="1:7" x14ac:dyDescent="0.25">
      <c r="A3683" t="s">
        <v>65</v>
      </c>
      <c r="B3683" t="s">
        <v>66</v>
      </c>
      <c r="C3683" t="s">
        <v>67</v>
      </c>
      <c r="D3683">
        <v>7745554</v>
      </c>
      <c r="E3683" t="s">
        <v>53</v>
      </c>
      <c r="F3683" t="s">
        <v>49</v>
      </c>
      <c r="G3683" s="30">
        <v>1876111.9785666501</v>
      </c>
    </row>
    <row r="3684" spans="1:7" x14ac:dyDescent="0.25">
      <c r="A3684" t="s">
        <v>45</v>
      </c>
      <c r="B3684" t="s">
        <v>46</v>
      </c>
      <c r="C3684" t="s">
        <v>47</v>
      </c>
      <c r="D3684">
        <v>7749002</v>
      </c>
      <c r="E3684" t="s">
        <v>48</v>
      </c>
      <c r="F3684" t="s">
        <v>49</v>
      </c>
      <c r="G3684" s="30">
        <v>0</v>
      </c>
    </row>
    <row r="3685" spans="1:7" x14ac:dyDescent="0.25">
      <c r="A3685" t="s">
        <v>102</v>
      </c>
      <c r="B3685" t="s">
        <v>103</v>
      </c>
      <c r="C3685" t="s">
        <v>47</v>
      </c>
      <c r="D3685">
        <v>7749607</v>
      </c>
      <c r="E3685" t="s">
        <v>53</v>
      </c>
      <c r="F3685" t="s">
        <v>49</v>
      </c>
      <c r="G3685" s="30">
        <v>157743.43960001101</v>
      </c>
    </row>
    <row r="3686" spans="1:7" x14ac:dyDescent="0.25">
      <c r="A3686" t="s">
        <v>72</v>
      </c>
      <c r="B3686" t="s">
        <v>73</v>
      </c>
      <c r="C3686" t="s">
        <v>67</v>
      </c>
      <c r="D3686">
        <v>7749854</v>
      </c>
      <c r="E3686" t="s">
        <v>53</v>
      </c>
      <c r="F3686" t="s">
        <v>49</v>
      </c>
      <c r="G3686" s="30">
        <v>1373845.7003124999</v>
      </c>
    </row>
    <row r="3687" spans="1:7" x14ac:dyDescent="0.25">
      <c r="A3687" t="s">
        <v>50</v>
      </c>
      <c r="B3687" t="s">
        <v>51</v>
      </c>
      <c r="C3687" t="s">
        <v>52</v>
      </c>
      <c r="D3687">
        <v>7749859</v>
      </c>
      <c r="E3687" t="s">
        <v>53</v>
      </c>
      <c r="F3687" t="s">
        <v>49</v>
      </c>
      <c r="G3687" s="30">
        <v>77249.555462007804</v>
      </c>
    </row>
    <row r="3688" spans="1:7" x14ac:dyDescent="0.25">
      <c r="A3688" t="s">
        <v>45</v>
      </c>
      <c r="B3688" t="s">
        <v>46</v>
      </c>
      <c r="C3688" t="s">
        <v>47</v>
      </c>
      <c r="D3688">
        <v>7754852</v>
      </c>
      <c r="E3688" t="s">
        <v>48</v>
      </c>
      <c r="F3688" t="s">
        <v>49</v>
      </c>
      <c r="G3688" s="30">
        <v>0</v>
      </c>
    </row>
    <row r="3689" spans="1:7" x14ac:dyDescent="0.25">
      <c r="A3689" t="s">
        <v>118</v>
      </c>
      <c r="B3689" t="s">
        <v>119</v>
      </c>
      <c r="C3689" t="s">
        <v>56</v>
      </c>
      <c r="D3689">
        <v>7755920</v>
      </c>
      <c r="E3689" t="s">
        <v>53</v>
      </c>
      <c r="F3689" t="s">
        <v>49</v>
      </c>
      <c r="G3689" s="30">
        <v>3163.3684325649401</v>
      </c>
    </row>
    <row r="3690" spans="1:7" x14ac:dyDescent="0.25">
      <c r="A3690" t="s">
        <v>45</v>
      </c>
      <c r="B3690" t="s">
        <v>46</v>
      </c>
      <c r="C3690" t="s">
        <v>47</v>
      </c>
      <c r="D3690">
        <v>7757175</v>
      </c>
      <c r="E3690" t="s">
        <v>53</v>
      </c>
      <c r="F3690" t="s">
        <v>49</v>
      </c>
      <c r="G3690" s="30">
        <v>12414.0306174003</v>
      </c>
    </row>
    <row r="3691" spans="1:7" x14ac:dyDescent="0.25">
      <c r="A3691" t="s">
        <v>50</v>
      </c>
      <c r="B3691" t="s">
        <v>51</v>
      </c>
      <c r="C3691" t="s">
        <v>52</v>
      </c>
      <c r="D3691">
        <v>7759122</v>
      </c>
      <c r="E3691" t="s">
        <v>53</v>
      </c>
      <c r="F3691" t="s">
        <v>49</v>
      </c>
      <c r="G3691" s="30">
        <v>65433.2718628191</v>
      </c>
    </row>
    <row r="3692" spans="1:7" x14ac:dyDescent="0.25">
      <c r="A3692" t="s">
        <v>50</v>
      </c>
      <c r="B3692" t="s">
        <v>51</v>
      </c>
      <c r="C3692" t="s">
        <v>52</v>
      </c>
      <c r="D3692">
        <v>7768109</v>
      </c>
      <c r="E3692" t="s">
        <v>53</v>
      </c>
      <c r="F3692" t="s">
        <v>49</v>
      </c>
      <c r="G3692" s="30">
        <v>18016.8190028024</v>
      </c>
    </row>
    <row r="3693" spans="1:7" x14ac:dyDescent="0.25">
      <c r="A3693" t="s">
        <v>45</v>
      </c>
      <c r="B3693" t="s">
        <v>46</v>
      </c>
      <c r="C3693" t="s">
        <v>47</v>
      </c>
      <c r="D3693">
        <v>7771407</v>
      </c>
      <c r="E3693" t="s">
        <v>48</v>
      </c>
      <c r="F3693" t="s">
        <v>49</v>
      </c>
      <c r="G3693" s="30">
        <v>0</v>
      </c>
    </row>
    <row r="3694" spans="1:7" x14ac:dyDescent="0.25">
      <c r="A3694" t="s">
        <v>98</v>
      </c>
      <c r="B3694" t="s">
        <v>99</v>
      </c>
      <c r="C3694" t="s">
        <v>81</v>
      </c>
      <c r="D3694">
        <v>7772029</v>
      </c>
      <c r="E3694" t="s">
        <v>53</v>
      </c>
      <c r="F3694" t="s">
        <v>49</v>
      </c>
      <c r="G3694" s="30">
        <v>135.47</v>
      </c>
    </row>
    <row r="3695" spans="1:7" x14ac:dyDescent="0.25">
      <c r="A3695" t="s">
        <v>45</v>
      </c>
      <c r="B3695" t="s">
        <v>46</v>
      </c>
      <c r="C3695" t="s">
        <v>47</v>
      </c>
      <c r="D3695">
        <v>7773906</v>
      </c>
      <c r="E3695" t="s">
        <v>48</v>
      </c>
      <c r="F3695" t="s">
        <v>49</v>
      </c>
      <c r="G3695" s="30">
        <v>0</v>
      </c>
    </row>
    <row r="3696" spans="1:7" x14ac:dyDescent="0.25">
      <c r="A3696" t="s">
        <v>90</v>
      </c>
      <c r="B3696" t="s">
        <v>91</v>
      </c>
      <c r="C3696" t="s">
        <v>81</v>
      </c>
      <c r="D3696">
        <v>7775562</v>
      </c>
      <c r="E3696" t="s">
        <v>53</v>
      </c>
      <c r="F3696" t="s">
        <v>49</v>
      </c>
      <c r="G3696" s="30">
        <v>2953252.7041581399</v>
      </c>
    </row>
    <row r="3697" spans="1:7" x14ac:dyDescent="0.25">
      <c r="A3697" t="s">
        <v>90</v>
      </c>
      <c r="B3697" t="s">
        <v>91</v>
      </c>
      <c r="C3697" t="s">
        <v>81</v>
      </c>
      <c r="D3697">
        <v>7775646</v>
      </c>
      <c r="E3697" t="s">
        <v>53</v>
      </c>
      <c r="F3697" t="s">
        <v>49</v>
      </c>
      <c r="G3697" s="30">
        <v>105108.845646842</v>
      </c>
    </row>
    <row r="3698" spans="1:7" x14ac:dyDescent="0.25">
      <c r="A3698" t="s">
        <v>82</v>
      </c>
      <c r="B3698" t="s">
        <v>83</v>
      </c>
      <c r="C3698" t="s">
        <v>56</v>
      </c>
      <c r="D3698">
        <v>7778404</v>
      </c>
      <c r="E3698" t="s">
        <v>53</v>
      </c>
      <c r="F3698" t="s">
        <v>49</v>
      </c>
      <c r="G3698" s="30">
        <v>200816.13479602599</v>
      </c>
    </row>
    <row r="3699" spans="1:7" x14ac:dyDescent="0.25">
      <c r="A3699" t="s">
        <v>45</v>
      </c>
      <c r="B3699" t="s">
        <v>46</v>
      </c>
      <c r="C3699" t="s">
        <v>47</v>
      </c>
      <c r="D3699">
        <v>7778971</v>
      </c>
      <c r="E3699" t="s">
        <v>48</v>
      </c>
      <c r="F3699" t="s">
        <v>49</v>
      </c>
      <c r="G3699" s="30">
        <v>0</v>
      </c>
    </row>
    <row r="3700" spans="1:7" x14ac:dyDescent="0.25">
      <c r="A3700" t="s">
        <v>50</v>
      </c>
      <c r="B3700" t="s">
        <v>51</v>
      </c>
      <c r="C3700" t="s">
        <v>52</v>
      </c>
      <c r="D3700">
        <v>7779277</v>
      </c>
      <c r="E3700" t="s">
        <v>53</v>
      </c>
      <c r="F3700" t="s">
        <v>49</v>
      </c>
      <c r="G3700" s="30">
        <v>196.855411588907</v>
      </c>
    </row>
    <row r="3701" spans="1:7" x14ac:dyDescent="0.25">
      <c r="A3701" t="s">
        <v>45</v>
      </c>
      <c r="B3701" t="s">
        <v>46</v>
      </c>
      <c r="C3701" t="s">
        <v>47</v>
      </c>
      <c r="D3701">
        <v>7783666</v>
      </c>
      <c r="E3701" t="s">
        <v>48</v>
      </c>
      <c r="F3701" t="s">
        <v>49</v>
      </c>
      <c r="G3701" s="30">
        <v>0</v>
      </c>
    </row>
    <row r="3702" spans="1:7" x14ac:dyDescent="0.25">
      <c r="A3702" t="s">
        <v>68</v>
      </c>
      <c r="B3702" t="s">
        <v>69</v>
      </c>
      <c r="C3702" t="s">
        <v>56</v>
      </c>
      <c r="D3702">
        <v>7801407</v>
      </c>
      <c r="E3702" t="s">
        <v>53</v>
      </c>
      <c r="F3702" t="s">
        <v>49</v>
      </c>
      <c r="G3702" s="30">
        <v>48430.92</v>
      </c>
    </row>
    <row r="3703" spans="1:7" x14ac:dyDescent="0.25">
      <c r="A3703" t="s">
        <v>118</v>
      </c>
      <c r="B3703" t="s">
        <v>119</v>
      </c>
      <c r="C3703" t="s">
        <v>56</v>
      </c>
      <c r="D3703">
        <v>7803925</v>
      </c>
      <c r="E3703" t="s">
        <v>53</v>
      </c>
      <c r="F3703" t="s">
        <v>49</v>
      </c>
      <c r="G3703" s="30">
        <v>233599.03312205599</v>
      </c>
    </row>
    <row r="3704" spans="1:7" x14ac:dyDescent="0.25">
      <c r="A3704" t="s">
        <v>45</v>
      </c>
      <c r="B3704" t="s">
        <v>46</v>
      </c>
      <c r="C3704" t="s">
        <v>47</v>
      </c>
      <c r="D3704">
        <v>7804625</v>
      </c>
      <c r="E3704" t="s">
        <v>48</v>
      </c>
      <c r="F3704" t="s">
        <v>49</v>
      </c>
      <c r="G3704" s="30">
        <v>59.71</v>
      </c>
    </row>
    <row r="3705" spans="1:7" x14ac:dyDescent="0.25">
      <c r="A3705" t="s">
        <v>50</v>
      </c>
      <c r="B3705" t="s">
        <v>51</v>
      </c>
      <c r="C3705" t="s">
        <v>52</v>
      </c>
      <c r="D3705">
        <v>7805557</v>
      </c>
      <c r="E3705" t="s">
        <v>53</v>
      </c>
      <c r="F3705" t="s">
        <v>49</v>
      </c>
      <c r="G3705" s="30">
        <v>3558.7998046875</v>
      </c>
    </row>
    <row r="3706" spans="1:7" x14ac:dyDescent="0.25">
      <c r="A3706" t="s">
        <v>146</v>
      </c>
      <c r="B3706" t="s">
        <v>147</v>
      </c>
      <c r="C3706" t="s">
        <v>56</v>
      </c>
      <c r="D3706">
        <v>7811042</v>
      </c>
      <c r="E3706" t="s">
        <v>53</v>
      </c>
      <c r="F3706" t="s">
        <v>49</v>
      </c>
      <c r="G3706" s="30">
        <v>240113.665826107</v>
      </c>
    </row>
    <row r="3707" spans="1:7" x14ac:dyDescent="0.25">
      <c r="A3707" t="s">
        <v>118</v>
      </c>
      <c r="B3707" t="s">
        <v>119</v>
      </c>
      <c r="C3707" t="s">
        <v>56</v>
      </c>
      <c r="D3707">
        <v>7812471</v>
      </c>
      <c r="E3707" t="s">
        <v>53</v>
      </c>
      <c r="F3707" t="s">
        <v>49</v>
      </c>
      <c r="G3707" s="30">
        <v>20862.9542065807</v>
      </c>
    </row>
    <row r="3708" spans="1:7" x14ac:dyDescent="0.25">
      <c r="A3708" t="s">
        <v>50</v>
      </c>
      <c r="B3708" t="s">
        <v>51</v>
      </c>
      <c r="C3708" t="s">
        <v>52</v>
      </c>
      <c r="D3708">
        <v>7813990</v>
      </c>
      <c r="E3708" t="s">
        <v>53</v>
      </c>
      <c r="F3708" t="s">
        <v>49</v>
      </c>
      <c r="G3708" s="30">
        <v>72333.960769228303</v>
      </c>
    </row>
    <row r="3709" spans="1:7" x14ac:dyDescent="0.25">
      <c r="A3709" t="s">
        <v>50</v>
      </c>
      <c r="B3709" t="s">
        <v>51</v>
      </c>
      <c r="C3709" t="s">
        <v>52</v>
      </c>
      <c r="D3709">
        <v>7814795</v>
      </c>
      <c r="E3709" t="s">
        <v>53</v>
      </c>
      <c r="F3709" t="s">
        <v>49</v>
      </c>
      <c r="G3709" s="30">
        <v>92842.589485406206</v>
      </c>
    </row>
    <row r="3710" spans="1:7" x14ac:dyDescent="0.25">
      <c r="A3710" t="s">
        <v>45</v>
      </c>
      <c r="B3710" t="s">
        <v>46</v>
      </c>
      <c r="C3710" t="s">
        <v>47</v>
      </c>
      <c r="D3710">
        <v>7815842</v>
      </c>
      <c r="E3710" t="s">
        <v>48</v>
      </c>
      <c r="F3710" t="s">
        <v>49</v>
      </c>
      <c r="G3710" s="30">
        <v>0</v>
      </c>
    </row>
    <row r="3711" spans="1:7" x14ac:dyDescent="0.25">
      <c r="A3711" t="s">
        <v>45</v>
      </c>
      <c r="B3711" t="s">
        <v>46</v>
      </c>
      <c r="C3711" t="s">
        <v>47</v>
      </c>
      <c r="D3711">
        <v>7819077</v>
      </c>
      <c r="E3711" t="s">
        <v>53</v>
      </c>
      <c r="F3711" t="s">
        <v>49</v>
      </c>
      <c r="G3711" s="30">
        <v>981.67881210999303</v>
      </c>
    </row>
    <row r="3712" spans="1:7" x14ac:dyDescent="0.25">
      <c r="A3712" t="s">
        <v>45</v>
      </c>
      <c r="B3712" t="s">
        <v>46</v>
      </c>
      <c r="C3712" t="s">
        <v>47</v>
      </c>
      <c r="D3712">
        <v>7820040</v>
      </c>
      <c r="E3712" t="s">
        <v>48</v>
      </c>
      <c r="F3712" t="s">
        <v>49</v>
      </c>
      <c r="G3712" s="30">
        <v>0</v>
      </c>
    </row>
    <row r="3713" spans="1:7" x14ac:dyDescent="0.25">
      <c r="A3713" t="s">
        <v>92</v>
      </c>
      <c r="B3713" t="s">
        <v>93</v>
      </c>
      <c r="C3713" t="s">
        <v>81</v>
      </c>
      <c r="D3713">
        <v>7821331</v>
      </c>
      <c r="E3713" t="s">
        <v>53</v>
      </c>
      <c r="F3713" t="s">
        <v>49</v>
      </c>
      <c r="G3713" s="30">
        <v>12249.97</v>
      </c>
    </row>
    <row r="3714" spans="1:7" x14ac:dyDescent="0.25">
      <c r="A3714" t="s">
        <v>90</v>
      </c>
      <c r="B3714" t="s">
        <v>91</v>
      </c>
      <c r="C3714" t="s">
        <v>81</v>
      </c>
      <c r="D3714">
        <v>7829192</v>
      </c>
      <c r="E3714" t="s">
        <v>53</v>
      </c>
      <c r="F3714" t="s">
        <v>49</v>
      </c>
      <c r="G3714" s="30">
        <v>167150.81100002801</v>
      </c>
    </row>
    <row r="3715" spans="1:7" x14ac:dyDescent="0.25">
      <c r="A3715" t="s">
        <v>45</v>
      </c>
      <c r="B3715" t="s">
        <v>46</v>
      </c>
      <c r="C3715" t="s">
        <v>47</v>
      </c>
      <c r="D3715">
        <v>7832166</v>
      </c>
      <c r="E3715" t="s">
        <v>48</v>
      </c>
      <c r="F3715" t="s">
        <v>49</v>
      </c>
      <c r="G3715" s="30">
        <v>0</v>
      </c>
    </row>
    <row r="3716" spans="1:7" x14ac:dyDescent="0.25">
      <c r="A3716" t="s">
        <v>50</v>
      </c>
      <c r="B3716" t="s">
        <v>51</v>
      </c>
      <c r="C3716" t="s">
        <v>52</v>
      </c>
      <c r="D3716">
        <v>7833982</v>
      </c>
      <c r="E3716" t="s">
        <v>48</v>
      </c>
      <c r="F3716" t="s">
        <v>49</v>
      </c>
      <c r="G3716" s="30">
        <v>0</v>
      </c>
    </row>
    <row r="3717" spans="1:7" x14ac:dyDescent="0.25">
      <c r="A3717" t="s">
        <v>92</v>
      </c>
      <c r="B3717" t="s">
        <v>93</v>
      </c>
      <c r="C3717" t="s">
        <v>81</v>
      </c>
      <c r="D3717">
        <v>7839958</v>
      </c>
      <c r="E3717" t="s">
        <v>53</v>
      </c>
      <c r="F3717" t="s">
        <v>49</v>
      </c>
      <c r="G3717" s="30">
        <v>159.80000000000001</v>
      </c>
    </row>
    <row r="3718" spans="1:7" x14ac:dyDescent="0.25">
      <c r="A3718" t="s">
        <v>90</v>
      </c>
      <c r="B3718" t="s">
        <v>91</v>
      </c>
      <c r="C3718" t="s">
        <v>81</v>
      </c>
      <c r="D3718">
        <v>7842456</v>
      </c>
      <c r="E3718" t="s">
        <v>53</v>
      </c>
      <c r="F3718" t="s">
        <v>49</v>
      </c>
      <c r="G3718" s="30">
        <v>944769.624963857</v>
      </c>
    </row>
    <row r="3719" spans="1:7" x14ac:dyDescent="0.25">
      <c r="A3719" t="s">
        <v>45</v>
      </c>
      <c r="B3719" t="s">
        <v>46</v>
      </c>
      <c r="C3719" t="s">
        <v>47</v>
      </c>
      <c r="D3719">
        <v>7842610</v>
      </c>
      <c r="E3719" t="s">
        <v>48</v>
      </c>
      <c r="F3719" t="s">
        <v>49</v>
      </c>
      <c r="G3719" s="30">
        <v>0</v>
      </c>
    </row>
    <row r="3720" spans="1:7" x14ac:dyDescent="0.25">
      <c r="A3720" t="s">
        <v>94</v>
      </c>
      <c r="B3720" t="s">
        <v>95</v>
      </c>
      <c r="C3720" t="s">
        <v>78</v>
      </c>
      <c r="D3720">
        <v>7842662</v>
      </c>
      <c r="E3720" t="s">
        <v>53</v>
      </c>
      <c r="F3720" t="s">
        <v>49</v>
      </c>
      <c r="G3720" s="30">
        <v>159576.53603421801</v>
      </c>
    </row>
    <row r="3721" spans="1:7" x14ac:dyDescent="0.25">
      <c r="A3721" t="s">
        <v>45</v>
      </c>
      <c r="B3721" t="s">
        <v>46</v>
      </c>
      <c r="C3721" t="s">
        <v>47</v>
      </c>
      <c r="D3721">
        <v>7843065</v>
      </c>
      <c r="E3721" t="s">
        <v>48</v>
      </c>
      <c r="F3721" t="s">
        <v>49</v>
      </c>
      <c r="G3721" s="30">
        <v>0</v>
      </c>
    </row>
    <row r="3722" spans="1:7" x14ac:dyDescent="0.25">
      <c r="A3722" t="s">
        <v>45</v>
      </c>
      <c r="B3722" t="s">
        <v>46</v>
      </c>
      <c r="C3722" t="s">
        <v>47</v>
      </c>
      <c r="D3722">
        <v>7843547</v>
      </c>
      <c r="E3722" t="s">
        <v>53</v>
      </c>
      <c r="F3722" t="s">
        <v>49</v>
      </c>
      <c r="G3722" s="30">
        <v>13046.6357421875</v>
      </c>
    </row>
    <row r="3723" spans="1:7" x14ac:dyDescent="0.25">
      <c r="A3723" t="s">
        <v>45</v>
      </c>
      <c r="B3723" t="s">
        <v>46</v>
      </c>
      <c r="C3723" t="s">
        <v>47</v>
      </c>
      <c r="D3723">
        <v>7845750</v>
      </c>
      <c r="E3723" t="s">
        <v>53</v>
      </c>
      <c r="F3723" t="s">
        <v>49</v>
      </c>
      <c r="G3723" s="30">
        <v>82678.214651980699</v>
      </c>
    </row>
    <row r="3724" spans="1:7" x14ac:dyDescent="0.25">
      <c r="A3724" t="s">
        <v>50</v>
      </c>
      <c r="B3724" t="s">
        <v>51</v>
      </c>
      <c r="C3724" t="s">
        <v>52</v>
      </c>
      <c r="D3724">
        <v>7846814</v>
      </c>
      <c r="E3724" t="s">
        <v>53</v>
      </c>
      <c r="F3724" t="s">
        <v>49</v>
      </c>
      <c r="G3724" s="30">
        <v>71.244943654621693</v>
      </c>
    </row>
    <row r="3725" spans="1:7" x14ac:dyDescent="0.25">
      <c r="A3725" t="s">
        <v>50</v>
      </c>
      <c r="B3725" t="s">
        <v>51</v>
      </c>
      <c r="C3725" t="s">
        <v>52</v>
      </c>
      <c r="D3725">
        <v>7846871</v>
      </c>
      <c r="E3725" t="s">
        <v>53</v>
      </c>
      <c r="F3725" t="s">
        <v>49</v>
      </c>
      <c r="G3725" s="30">
        <v>1690.7486077504</v>
      </c>
    </row>
    <row r="3726" spans="1:7" x14ac:dyDescent="0.25">
      <c r="A3726" t="s">
        <v>45</v>
      </c>
      <c r="B3726" t="s">
        <v>46</v>
      </c>
      <c r="C3726" t="s">
        <v>47</v>
      </c>
      <c r="D3726">
        <v>7848577</v>
      </c>
      <c r="E3726" t="s">
        <v>48</v>
      </c>
      <c r="F3726" t="s">
        <v>49</v>
      </c>
      <c r="G3726" s="30">
        <v>0</v>
      </c>
    </row>
    <row r="3727" spans="1:7" x14ac:dyDescent="0.25">
      <c r="A3727" t="s">
        <v>45</v>
      </c>
      <c r="B3727" t="s">
        <v>46</v>
      </c>
      <c r="C3727" t="s">
        <v>47</v>
      </c>
      <c r="D3727">
        <v>7850892</v>
      </c>
      <c r="E3727" t="s">
        <v>48</v>
      </c>
      <c r="F3727" t="s">
        <v>49</v>
      </c>
      <c r="G3727" s="30">
        <v>0</v>
      </c>
    </row>
    <row r="3728" spans="1:7" x14ac:dyDescent="0.25">
      <c r="A3728" t="s">
        <v>45</v>
      </c>
      <c r="B3728" t="s">
        <v>46</v>
      </c>
      <c r="C3728" t="s">
        <v>47</v>
      </c>
      <c r="D3728">
        <v>7850934</v>
      </c>
      <c r="E3728" t="s">
        <v>53</v>
      </c>
      <c r="F3728" t="s">
        <v>49</v>
      </c>
      <c r="G3728" s="30">
        <v>849.73314414081199</v>
      </c>
    </row>
    <row r="3729" spans="1:7" x14ac:dyDescent="0.25">
      <c r="A3729" t="s">
        <v>45</v>
      </c>
      <c r="B3729" t="s">
        <v>46</v>
      </c>
      <c r="C3729" t="s">
        <v>47</v>
      </c>
      <c r="D3729">
        <v>7852984</v>
      </c>
      <c r="E3729" t="s">
        <v>48</v>
      </c>
      <c r="F3729" t="s">
        <v>49</v>
      </c>
      <c r="G3729" s="30">
        <v>0</v>
      </c>
    </row>
    <row r="3730" spans="1:7" x14ac:dyDescent="0.25">
      <c r="A3730" t="s">
        <v>45</v>
      </c>
      <c r="B3730" t="s">
        <v>46</v>
      </c>
      <c r="C3730" t="s">
        <v>47</v>
      </c>
      <c r="D3730">
        <v>7853383</v>
      </c>
      <c r="E3730" t="s">
        <v>53</v>
      </c>
      <c r="F3730" t="s">
        <v>49</v>
      </c>
      <c r="G3730" s="30">
        <v>123548.3634528</v>
      </c>
    </row>
    <row r="3731" spans="1:7" x14ac:dyDescent="0.25">
      <c r="A3731" t="s">
        <v>74</v>
      </c>
      <c r="B3731" t="s">
        <v>75</v>
      </c>
      <c r="C3731" t="s">
        <v>67</v>
      </c>
      <c r="D3731">
        <v>7853949</v>
      </c>
      <c r="E3731" t="s">
        <v>48</v>
      </c>
      <c r="F3731" t="s">
        <v>49</v>
      </c>
      <c r="G3731" s="30">
        <v>0</v>
      </c>
    </row>
    <row r="3732" spans="1:7" x14ac:dyDescent="0.25">
      <c r="A3732" t="s">
        <v>50</v>
      </c>
      <c r="B3732" t="s">
        <v>51</v>
      </c>
      <c r="C3732" t="s">
        <v>52</v>
      </c>
      <c r="D3732">
        <v>7854396</v>
      </c>
      <c r="E3732" t="s">
        <v>48</v>
      </c>
      <c r="F3732" t="s">
        <v>49</v>
      </c>
      <c r="G3732" s="30">
        <v>0</v>
      </c>
    </row>
    <row r="3733" spans="1:7" x14ac:dyDescent="0.25">
      <c r="A3733" t="s">
        <v>45</v>
      </c>
      <c r="B3733" t="s">
        <v>46</v>
      </c>
      <c r="C3733" t="s">
        <v>47</v>
      </c>
      <c r="D3733">
        <v>7854944</v>
      </c>
      <c r="E3733" t="s">
        <v>53</v>
      </c>
      <c r="F3733" t="s">
        <v>49</v>
      </c>
      <c r="G3733" s="30">
        <v>114552.996778046</v>
      </c>
    </row>
    <row r="3734" spans="1:7" x14ac:dyDescent="0.25">
      <c r="A3734" t="s">
        <v>45</v>
      </c>
      <c r="B3734" t="s">
        <v>46</v>
      </c>
      <c r="C3734" t="s">
        <v>47</v>
      </c>
      <c r="D3734">
        <v>7856476</v>
      </c>
      <c r="E3734" t="s">
        <v>48</v>
      </c>
      <c r="F3734" t="s">
        <v>49</v>
      </c>
      <c r="G3734" s="30">
        <v>0</v>
      </c>
    </row>
    <row r="3735" spans="1:7" x14ac:dyDescent="0.25">
      <c r="A3735" t="s">
        <v>50</v>
      </c>
      <c r="B3735" t="s">
        <v>51</v>
      </c>
      <c r="C3735" t="s">
        <v>52</v>
      </c>
      <c r="D3735">
        <v>7856531</v>
      </c>
      <c r="E3735" t="s">
        <v>53</v>
      </c>
      <c r="F3735" t="s">
        <v>49</v>
      </c>
      <c r="G3735" s="30">
        <v>11977.0185546875</v>
      </c>
    </row>
    <row r="3736" spans="1:7" x14ac:dyDescent="0.25">
      <c r="A3736" t="s">
        <v>45</v>
      </c>
      <c r="B3736" t="s">
        <v>46</v>
      </c>
      <c r="C3736" t="s">
        <v>47</v>
      </c>
      <c r="D3736">
        <v>7866433</v>
      </c>
      <c r="E3736" t="s">
        <v>53</v>
      </c>
      <c r="F3736" t="s">
        <v>49</v>
      </c>
      <c r="G3736" s="30">
        <v>289.17852176501202</v>
      </c>
    </row>
    <row r="3737" spans="1:7" x14ac:dyDescent="0.25">
      <c r="A3737" t="s">
        <v>45</v>
      </c>
      <c r="B3737" t="s">
        <v>46</v>
      </c>
      <c r="C3737" t="s">
        <v>47</v>
      </c>
      <c r="D3737">
        <v>7867052</v>
      </c>
      <c r="E3737" t="s">
        <v>48</v>
      </c>
      <c r="F3737" t="s">
        <v>49</v>
      </c>
      <c r="G3737" s="30">
        <v>0</v>
      </c>
    </row>
    <row r="3738" spans="1:7" x14ac:dyDescent="0.25">
      <c r="A3738" t="s">
        <v>54</v>
      </c>
      <c r="B3738" t="s">
        <v>55</v>
      </c>
      <c r="C3738" t="s">
        <v>56</v>
      </c>
      <c r="D3738">
        <v>7867481</v>
      </c>
      <c r="E3738" t="s">
        <v>53</v>
      </c>
      <c r="F3738" t="s">
        <v>49</v>
      </c>
      <c r="G3738" s="30">
        <v>113356.736222812</v>
      </c>
    </row>
    <row r="3739" spans="1:7" x14ac:dyDescent="0.25">
      <c r="A3739" t="s">
        <v>45</v>
      </c>
      <c r="B3739" t="s">
        <v>46</v>
      </c>
      <c r="C3739" t="s">
        <v>47</v>
      </c>
      <c r="D3739">
        <v>7867612</v>
      </c>
      <c r="E3739" t="s">
        <v>48</v>
      </c>
      <c r="F3739" t="s">
        <v>49</v>
      </c>
      <c r="G3739" s="30">
        <v>0</v>
      </c>
    </row>
    <row r="3740" spans="1:7" x14ac:dyDescent="0.25">
      <c r="A3740" t="s">
        <v>50</v>
      </c>
      <c r="B3740" t="s">
        <v>51</v>
      </c>
      <c r="C3740" t="s">
        <v>52</v>
      </c>
      <c r="D3740">
        <v>7868868</v>
      </c>
      <c r="E3740" t="s">
        <v>53</v>
      </c>
      <c r="F3740" t="s">
        <v>49</v>
      </c>
      <c r="G3740" s="30">
        <v>9068.6755483013694</v>
      </c>
    </row>
    <row r="3741" spans="1:7" x14ac:dyDescent="0.25">
      <c r="A3741" t="s">
        <v>118</v>
      </c>
      <c r="B3741" t="s">
        <v>119</v>
      </c>
      <c r="C3741" t="s">
        <v>56</v>
      </c>
      <c r="D3741">
        <v>7868910</v>
      </c>
      <c r="E3741" t="s">
        <v>53</v>
      </c>
      <c r="F3741" t="s">
        <v>49</v>
      </c>
      <c r="G3741" s="30">
        <v>193208.890377567</v>
      </c>
    </row>
    <row r="3742" spans="1:7" x14ac:dyDescent="0.25">
      <c r="A3742" t="s">
        <v>90</v>
      </c>
      <c r="B3742" t="s">
        <v>91</v>
      </c>
      <c r="C3742" t="s">
        <v>81</v>
      </c>
      <c r="D3742">
        <v>7871561</v>
      </c>
      <c r="E3742" t="s">
        <v>53</v>
      </c>
      <c r="F3742" t="s">
        <v>49</v>
      </c>
      <c r="G3742" s="30">
        <v>1076267.1921875</v>
      </c>
    </row>
    <row r="3743" spans="1:7" x14ac:dyDescent="0.25">
      <c r="A3743" t="s">
        <v>50</v>
      </c>
      <c r="B3743" t="s">
        <v>51</v>
      </c>
      <c r="C3743" t="s">
        <v>52</v>
      </c>
      <c r="D3743">
        <v>7872650</v>
      </c>
      <c r="E3743" t="s">
        <v>48</v>
      </c>
      <c r="F3743" t="s">
        <v>49</v>
      </c>
      <c r="G3743" s="30">
        <v>0</v>
      </c>
    </row>
    <row r="3744" spans="1:7" x14ac:dyDescent="0.25">
      <c r="A3744" t="s">
        <v>45</v>
      </c>
      <c r="B3744" t="s">
        <v>46</v>
      </c>
      <c r="C3744" t="s">
        <v>47</v>
      </c>
      <c r="D3744">
        <v>7873772</v>
      </c>
      <c r="E3744" t="s">
        <v>48</v>
      </c>
      <c r="F3744" t="s">
        <v>49</v>
      </c>
      <c r="G3744" s="30">
        <v>0</v>
      </c>
    </row>
    <row r="3745" spans="1:7" x14ac:dyDescent="0.25">
      <c r="A3745" t="s">
        <v>45</v>
      </c>
      <c r="B3745" t="s">
        <v>46</v>
      </c>
      <c r="C3745" t="s">
        <v>47</v>
      </c>
      <c r="D3745">
        <v>7878033</v>
      </c>
      <c r="E3745" t="s">
        <v>53</v>
      </c>
      <c r="F3745" t="s">
        <v>49</v>
      </c>
      <c r="G3745" s="30">
        <v>15916.439037100499</v>
      </c>
    </row>
    <row r="3746" spans="1:7" x14ac:dyDescent="0.25">
      <c r="A3746" t="s">
        <v>45</v>
      </c>
      <c r="B3746" t="s">
        <v>46</v>
      </c>
      <c r="C3746" t="s">
        <v>47</v>
      </c>
      <c r="D3746">
        <v>7878487</v>
      </c>
      <c r="E3746" t="s">
        <v>48</v>
      </c>
      <c r="F3746" t="s">
        <v>49</v>
      </c>
      <c r="G3746" s="30">
        <v>0</v>
      </c>
    </row>
    <row r="3747" spans="1:7" x14ac:dyDescent="0.25">
      <c r="A3747" t="s">
        <v>45</v>
      </c>
      <c r="B3747" t="s">
        <v>46</v>
      </c>
      <c r="C3747" t="s">
        <v>47</v>
      </c>
      <c r="D3747">
        <v>7879068</v>
      </c>
      <c r="E3747" t="s">
        <v>48</v>
      </c>
      <c r="F3747" t="s">
        <v>49</v>
      </c>
      <c r="G3747" s="30">
        <v>0</v>
      </c>
    </row>
    <row r="3748" spans="1:7" x14ac:dyDescent="0.25">
      <c r="A3748" t="s">
        <v>50</v>
      </c>
      <c r="B3748" t="s">
        <v>51</v>
      </c>
      <c r="C3748" t="s">
        <v>52</v>
      </c>
      <c r="D3748">
        <v>7879124</v>
      </c>
      <c r="E3748" t="s">
        <v>53</v>
      </c>
      <c r="F3748" t="s">
        <v>49</v>
      </c>
      <c r="G3748" s="30">
        <v>1135.53099705352</v>
      </c>
    </row>
    <row r="3749" spans="1:7" x14ac:dyDescent="0.25">
      <c r="A3749" t="s">
        <v>112</v>
      </c>
      <c r="B3749" t="s">
        <v>113</v>
      </c>
      <c r="C3749" t="s">
        <v>81</v>
      </c>
      <c r="D3749">
        <v>7880049</v>
      </c>
      <c r="E3749" t="s">
        <v>53</v>
      </c>
      <c r="F3749" t="s">
        <v>49</v>
      </c>
      <c r="G3749" s="30">
        <v>519950.54477267503</v>
      </c>
    </row>
    <row r="3750" spans="1:7" x14ac:dyDescent="0.25">
      <c r="A3750" t="s">
        <v>50</v>
      </c>
      <c r="B3750" t="s">
        <v>51</v>
      </c>
      <c r="C3750" t="s">
        <v>52</v>
      </c>
      <c r="D3750">
        <v>7880862</v>
      </c>
      <c r="E3750" t="s">
        <v>53</v>
      </c>
      <c r="F3750" t="s">
        <v>49</v>
      </c>
      <c r="G3750" s="30">
        <v>29672.186801112199</v>
      </c>
    </row>
    <row r="3751" spans="1:7" x14ac:dyDescent="0.25">
      <c r="A3751" t="s">
        <v>50</v>
      </c>
      <c r="B3751" t="s">
        <v>51</v>
      </c>
      <c r="C3751" t="s">
        <v>52</v>
      </c>
      <c r="D3751">
        <v>7882280</v>
      </c>
      <c r="E3751" t="s">
        <v>53</v>
      </c>
      <c r="F3751" t="s">
        <v>49</v>
      </c>
      <c r="G3751" s="30">
        <v>524.5</v>
      </c>
    </row>
    <row r="3752" spans="1:7" x14ac:dyDescent="0.25">
      <c r="A3752" t="s">
        <v>50</v>
      </c>
      <c r="B3752" t="s">
        <v>51</v>
      </c>
      <c r="C3752" t="s">
        <v>52</v>
      </c>
      <c r="D3752">
        <v>7883437</v>
      </c>
      <c r="E3752" t="s">
        <v>48</v>
      </c>
      <c r="F3752" t="s">
        <v>49</v>
      </c>
      <c r="G3752" s="30">
        <v>0</v>
      </c>
    </row>
    <row r="3753" spans="1:7" x14ac:dyDescent="0.25">
      <c r="A3753" t="s">
        <v>54</v>
      </c>
      <c r="B3753" t="s">
        <v>55</v>
      </c>
      <c r="C3753" t="s">
        <v>56</v>
      </c>
      <c r="D3753">
        <v>7883797</v>
      </c>
      <c r="E3753" t="s">
        <v>53</v>
      </c>
      <c r="F3753" t="s">
        <v>49</v>
      </c>
      <c r="G3753" s="30">
        <v>78770.581455170803</v>
      </c>
    </row>
    <row r="3754" spans="1:7" x14ac:dyDescent="0.25">
      <c r="A3754" t="s">
        <v>104</v>
      </c>
      <c r="B3754" t="s">
        <v>105</v>
      </c>
      <c r="C3754" t="s">
        <v>78</v>
      </c>
      <c r="D3754">
        <v>7886179</v>
      </c>
      <c r="E3754" t="s">
        <v>53</v>
      </c>
      <c r="F3754" t="s">
        <v>49</v>
      </c>
      <c r="G3754" s="30">
        <v>125393.25390625</v>
      </c>
    </row>
    <row r="3755" spans="1:7" x14ac:dyDescent="0.25">
      <c r="A3755" t="s">
        <v>90</v>
      </c>
      <c r="B3755" t="s">
        <v>91</v>
      </c>
      <c r="C3755" t="s">
        <v>81</v>
      </c>
      <c r="D3755">
        <v>7886960</v>
      </c>
      <c r="E3755" t="s">
        <v>53</v>
      </c>
      <c r="F3755" t="s">
        <v>49</v>
      </c>
      <c r="G3755" s="30">
        <v>96579.685947275604</v>
      </c>
    </row>
    <row r="3756" spans="1:7" x14ac:dyDescent="0.25">
      <c r="A3756" t="s">
        <v>50</v>
      </c>
      <c r="B3756" t="s">
        <v>51</v>
      </c>
      <c r="C3756" t="s">
        <v>52</v>
      </c>
      <c r="D3756">
        <v>7887189</v>
      </c>
      <c r="E3756" t="s">
        <v>48</v>
      </c>
      <c r="F3756" t="s">
        <v>49</v>
      </c>
      <c r="G3756" s="30">
        <v>9.48</v>
      </c>
    </row>
    <row r="3757" spans="1:7" x14ac:dyDescent="0.25">
      <c r="A3757" t="s">
        <v>112</v>
      </c>
      <c r="B3757" t="s">
        <v>113</v>
      </c>
      <c r="C3757" t="s">
        <v>81</v>
      </c>
      <c r="D3757">
        <v>7892197</v>
      </c>
      <c r="E3757" t="s">
        <v>53</v>
      </c>
      <c r="F3757" t="s">
        <v>49</v>
      </c>
      <c r="G3757" s="30">
        <v>117330.69873303099</v>
      </c>
    </row>
    <row r="3758" spans="1:7" x14ac:dyDescent="0.25">
      <c r="A3758" t="s">
        <v>45</v>
      </c>
      <c r="B3758" t="s">
        <v>46</v>
      </c>
      <c r="C3758" t="s">
        <v>47</v>
      </c>
      <c r="D3758">
        <v>7894012</v>
      </c>
      <c r="E3758" t="s">
        <v>48</v>
      </c>
      <c r="F3758" t="s">
        <v>49</v>
      </c>
      <c r="G3758" s="30">
        <v>0</v>
      </c>
    </row>
    <row r="3759" spans="1:7" x14ac:dyDescent="0.25">
      <c r="A3759" t="s">
        <v>116</v>
      </c>
      <c r="B3759" t="s">
        <v>117</v>
      </c>
      <c r="C3759" t="s">
        <v>47</v>
      </c>
      <c r="D3759">
        <v>7894618</v>
      </c>
      <c r="E3759" t="s">
        <v>53</v>
      </c>
      <c r="F3759" t="s">
        <v>49</v>
      </c>
      <c r="G3759" s="30">
        <v>217643.498796417</v>
      </c>
    </row>
    <row r="3760" spans="1:7" x14ac:dyDescent="0.25">
      <c r="A3760" t="s">
        <v>88</v>
      </c>
      <c r="B3760" t="s">
        <v>89</v>
      </c>
      <c r="C3760" t="s">
        <v>78</v>
      </c>
      <c r="D3760">
        <v>7897253</v>
      </c>
      <c r="E3760" t="s">
        <v>53</v>
      </c>
      <c r="F3760" t="s">
        <v>49</v>
      </c>
      <c r="G3760" s="30">
        <v>117367.29321299899</v>
      </c>
    </row>
    <row r="3761" spans="1:7" x14ac:dyDescent="0.25">
      <c r="A3761" t="s">
        <v>90</v>
      </c>
      <c r="B3761" t="s">
        <v>91</v>
      </c>
      <c r="C3761" t="s">
        <v>81</v>
      </c>
      <c r="D3761">
        <v>7897307</v>
      </c>
      <c r="E3761" t="s">
        <v>53</v>
      </c>
      <c r="F3761" t="s">
        <v>49</v>
      </c>
      <c r="G3761" s="30">
        <v>1455668.0026414101</v>
      </c>
    </row>
    <row r="3762" spans="1:7" x14ac:dyDescent="0.25">
      <c r="A3762" t="s">
        <v>45</v>
      </c>
      <c r="B3762" t="s">
        <v>46</v>
      </c>
      <c r="C3762" t="s">
        <v>47</v>
      </c>
      <c r="D3762">
        <v>7897331</v>
      </c>
      <c r="E3762" t="s">
        <v>48</v>
      </c>
      <c r="F3762" t="s">
        <v>49</v>
      </c>
      <c r="G3762" s="30">
        <v>0</v>
      </c>
    </row>
    <row r="3763" spans="1:7" x14ac:dyDescent="0.25">
      <c r="A3763" t="s">
        <v>98</v>
      </c>
      <c r="B3763" t="s">
        <v>99</v>
      </c>
      <c r="C3763" t="s">
        <v>81</v>
      </c>
      <c r="D3763">
        <v>7898777</v>
      </c>
      <c r="E3763" t="s">
        <v>53</v>
      </c>
      <c r="F3763" t="s">
        <v>49</v>
      </c>
      <c r="G3763" s="30">
        <v>43.16</v>
      </c>
    </row>
    <row r="3764" spans="1:7" x14ac:dyDescent="0.25">
      <c r="A3764" t="s">
        <v>50</v>
      </c>
      <c r="B3764" t="s">
        <v>51</v>
      </c>
      <c r="C3764" t="s">
        <v>52</v>
      </c>
      <c r="D3764">
        <v>7900251</v>
      </c>
      <c r="E3764" t="s">
        <v>53</v>
      </c>
      <c r="F3764" t="s">
        <v>49</v>
      </c>
      <c r="G3764" s="30">
        <v>41622.974589843798</v>
      </c>
    </row>
    <row r="3765" spans="1:7" x14ac:dyDescent="0.25">
      <c r="A3765" t="s">
        <v>96</v>
      </c>
      <c r="B3765" t="s">
        <v>97</v>
      </c>
      <c r="C3765" t="s">
        <v>81</v>
      </c>
      <c r="D3765">
        <v>7901433</v>
      </c>
      <c r="E3765" t="s">
        <v>48</v>
      </c>
      <c r="F3765" t="s">
        <v>49</v>
      </c>
      <c r="G3765" s="30">
        <v>0</v>
      </c>
    </row>
    <row r="3766" spans="1:7" x14ac:dyDescent="0.25">
      <c r="A3766" t="s">
        <v>96</v>
      </c>
      <c r="B3766" t="s">
        <v>97</v>
      </c>
      <c r="C3766" t="s">
        <v>81</v>
      </c>
      <c r="D3766">
        <v>7901852</v>
      </c>
      <c r="E3766" t="s">
        <v>53</v>
      </c>
      <c r="F3766" t="s">
        <v>49</v>
      </c>
      <c r="G3766" s="30">
        <v>648.584226891301</v>
      </c>
    </row>
    <row r="3767" spans="1:7" x14ac:dyDescent="0.25">
      <c r="A3767" t="s">
        <v>50</v>
      </c>
      <c r="B3767" t="s">
        <v>51</v>
      </c>
      <c r="C3767" t="s">
        <v>52</v>
      </c>
      <c r="D3767">
        <v>7903178</v>
      </c>
      <c r="E3767" t="s">
        <v>53</v>
      </c>
      <c r="F3767" t="s">
        <v>49</v>
      </c>
      <c r="G3767" s="30">
        <v>85.304604399224303</v>
      </c>
    </row>
    <row r="3768" spans="1:7" x14ac:dyDescent="0.25">
      <c r="A3768" t="s">
        <v>50</v>
      </c>
      <c r="B3768" t="s">
        <v>51</v>
      </c>
      <c r="C3768" t="s">
        <v>52</v>
      </c>
      <c r="D3768">
        <v>7908505</v>
      </c>
      <c r="E3768" t="s">
        <v>48</v>
      </c>
      <c r="F3768" t="s">
        <v>49</v>
      </c>
      <c r="G3768" s="30">
        <v>0</v>
      </c>
    </row>
    <row r="3769" spans="1:7" x14ac:dyDescent="0.25">
      <c r="A3769" t="s">
        <v>50</v>
      </c>
      <c r="B3769" t="s">
        <v>51</v>
      </c>
      <c r="C3769" t="s">
        <v>52</v>
      </c>
      <c r="D3769">
        <v>7909052</v>
      </c>
      <c r="E3769" t="s">
        <v>53</v>
      </c>
      <c r="F3769" t="s">
        <v>49</v>
      </c>
      <c r="G3769" s="30">
        <v>38685.873061489197</v>
      </c>
    </row>
    <row r="3770" spans="1:7" x14ac:dyDescent="0.25">
      <c r="A3770" t="s">
        <v>45</v>
      </c>
      <c r="B3770" t="s">
        <v>46</v>
      </c>
      <c r="C3770" t="s">
        <v>47</v>
      </c>
      <c r="D3770">
        <v>7910982</v>
      </c>
      <c r="E3770" t="s">
        <v>48</v>
      </c>
      <c r="F3770" t="s">
        <v>49</v>
      </c>
      <c r="G3770" s="30">
        <v>0</v>
      </c>
    </row>
    <row r="3771" spans="1:7" x14ac:dyDescent="0.25">
      <c r="A3771" t="s">
        <v>45</v>
      </c>
      <c r="B3771" t="s">
        <v>46</v>
      </c>
      <c r="C3771" t="s">
        <v>47</v>
      </c>
      <c r="D3771">
        <v>7915970</v>
      </c>
      <c r="E3771" t="s">
        <v>48</v>
      </c>
      <c r="F3771" t="s">
        <v>49</v>
      </c>
      <c r="G3771" s="30">
        <v>0</v>
      </c>
    </row>
    <row r="3772" spans="1:7" x14ac:dyDescent="0.25">
      <c r="A3772" t="s">
        <v>61</v>
      </c>
      <c r="B3772" t="s">
        <v>62</v>
      </c>
      <c r="C3772" t="s">
        <v>56</v>
      </c>
      <c r="D3772">
        <v>7922797</v>
      </c>
      <c r="G3772" s="30">
        <v>0</v>
      </c>
    </row>
    <row r="3773" spans="1:7" x14ac:dyDescent="0.25">
      <c r="A3773" t="s">
        <v>45</v>
      </c>
      <c r="B3773" t="s">
        <v>46</v>
      </c>
      <c r="C3773" t="s">
        <v>47</v>
      </c>
      <c r="D3773">
        <v>7926143</v>
      </c>
      <c r="E3773" t="s">
        <v>48</v>
      </c>
      <c r="F3773" t="s">
        <v>49</v>
      </c>
      <c r="G3773" s="30">
        <v>0</v>
      </c>
    </row>
    <row r="3774" spans="1:7" x14ac:dyDescent="0.25">
      <c r="A3774" t="s">
        <v>102</v>
      </c>
      <c r="B3774" t="s">
        <v>103</v>
      </c>
      <c r="C3774" t="s">
        <v>47</v>
      </c>
      <c r="D3774">
        <v>7926723</v>
      </c>
      <c r="E3774" t="s">
        <v>53</v>
      </c>
      <c r="F3774" t="s">
        <v>49</v>
      </c>
      <c r="G3774" s="30">
        <v>204862.98220858499</v>
      </c>
    </row>
    <row r="3775" spans="1:7" x14ac:dyDescent="0.25">
      <c r="A3775" t="s">
        <v>50</v>
      </c>
      <c r="B3775" t="s">
        <v>51</v>
      </c>
      <c r="C3775" t="s">
        <v>52</v>
      </c>
      <c r="D3775">
        <v>7928249</v>
      </c>
      <c r="E3775" t="s">
        <v>53</v>
      </c>
      <c r="F3775" t="s">
        <v>49</v>
      </c>
      <c r="G3775" s="30">
        <v>29090.450659443501</v>
      </c>
    </row>
    <row r="3776" spans="1:7" x14ac:dyDescent="0.25">
      <c r="A3776" t="s">
        <v>45</v>
      </c>
      <c r="B3776" t="s">
        <v>46</v>
      </c>
      <c r="C3776" t="s">
        <v>47</v>
      </c>
      <c r="D3776">
        <v>7928300</v>
      </c>
      <c r="E3776" t="s">
        <v>53</v>
      </c>
      <c r="F3776" t="s">
        <v>49</v>
      </c>
      <c r="G3776" s="30">
        <v>1807.72278410526</v>
      </c>
    </row>
    <row r="3777" spans="1:7" x14ac:dyDescent="0.25">
      <c r="A3777" t="s">
        <v>112</v>
      </c>
      <c r="B3777" t="s">
        <v>113</v>
      </c>
      <c r="C3777" t="s">
        <v>81</v>
      </c>
      <c r="D3777">
        <v>7928301</v>
      </c>
      <c r="E3777" t="s">
        <v>53</v>
      </c>
      <c r="F3777" t="s">
        <v>49</v>
      </c>
      <c r="G3777" s="30">
        <v>1075367.24661276</v>
      </c>
    </row>
    <row r="3778" spans="1:7" x14ac:dyDescent="0.25">
      <c r="A3778" t="s">
        <v>57</v>
      </c>
      <c r="B3778" t="s">
        <v>58</v>
      </c>
      <c r="C3778" t="s">
        <v>56</v>
      </c>
      <c r="D3778">
        <v>7928624</v>
      </c>
      <c r="E3778" t="s">
        <v>53</v>
      </c>
      <c r="F3778" t="s">
        <v>49</v>
      </c>
      <c r="G3778" s="30">
        <v>5438.548828125</v>
      </c>
    </row>
    <row r="3779" spans="1:7" x14ac:dyDescent="0.25">
      <c r="A3779" t="s">
        <v>45</v>
      </c>
      <c r="B3779" t="s">
        <v>46</v>
      </c>
      <c r="C3779" t="s">
        <v>47</v>
      </c>
      <c r="D3779">
        <v>7929469</v>
      </c>
      <c r="E3779" t="s">
        <v>48</v>
      </c>
      <c r="F3779" t="s">
        <v>49</v>
      </c>
      <c r="G3779" s="30">
        <v>0</v>
      </c>
    </row>
    <row r="3780" spans="1:7" x14ac:dyDescent="0.25">
      <c r="A3780" t="s">
        <v>45</v>
      </c>
      <c r="B3780" t="s">
        <v>46</v>
      </c>
      <c r="C3780" t="s">
        <v>47</v>
      </c>
      <c r="D3780">
        <v>7929877</v>
      </c>
      <c r="E3780" t="s">
        <v>48</v>
      </c>
      <c r="F3780" t="s">
        <v>49</v>
      </c>
      <c r="G3780" s="30">
        <v>0</v>
      </c>
    </row>
    <row r="3781" spans="1:7" x14ac:dyDescent="0.25">
      <c r="A3781" t="s">
        <v>45</v>
      </c>
      <c r="B3781" t="s">
        <v>46</v>
      </c>
      <c r="C3781" t="s">
        <v>47</v>
      </c>
      <c r="D3781">
        <v>7933544</v>
      </c>
      <c r="E3781" t="s">
        <v>48</v>
      </c>
      <c r="F3781" t="s">
        <v>49</v>
      </c>
      <c r="G3781" s="30">
        <v>0</v>
      </c>
    </row>
    <row r="3782" spans="1:7" x14ac:dyDescent="0.25">
      <c r="A3782" t="s">
        <v>45</v>
      </c>
      <c r="B3782" t="s">
        <v>46</v>
      </c>
      <c r="C3782" t="s">
        <v>47</v>
      </c>
      <c r="D3782">
        <v>7935795</v>
      </c>
      <c r="E3782" t="s">
        <v>48</v>
      </c>
      <c r="F3782" t="s">
        <v>49</v>
      </c>
      <c r="G3782" s="30">
        <v>0</v>
      </c>
    </row>
    <row r="3783" spans="1:7" x14ac:dyDescent="0.25">
      <c r="A3783" t="s">
        <v>50</v>
      </c>
      <c r="B3783" t="s">
        <v>51</v>
      </c>
      <c r="C3783" t="s">
        <v>52</v>
      </c>
      <c r="D3783">
        <v>7936843</v>
      </c>
      <c r="E3783" t="s">
        <v>53</v>
      </c>
      <c r="F3783" t="s">
        <v>49</v>
      </c>
      <c r="G3783" s="30">
        <v>2756.0591740988302</v>
      </c>
    </row>
    <row r="3784" spans="1:7" x14ac:dyDescent="0.25">
      <c r="A3784" t="s">
        <v>70</v>
      </c>
      <c r="B3784" t="s">
        <v>71</v>
      </c>
      <c r="C3784" t="s">
        <v>47</v>
      </c>
      <c r="D3784">
        <v>7938512</v>
      </c>
      <c r="E3784" t="s">
        <v>53</v>
      </c>
      <c r="F3784" t="s">
        <v>49</v>
      </c>
      <c r="G3784" s="30">
        <v>816210.63241018006</v>
      </c>
    </row>
    <row r="3785" spans="1:7" x14ac:dyDescent="0.25">
      <c r="A3785" t="s">
        <v>65</v>
      </c>
      <c r="B3785" t="s">
        <v>66</v>
      </c>
      <c r="C3785" t="s">
        <v>67</v>
      </c>
      <c r="D3785">
        <v>7942498</v>
      </c>
      <c r="E3785" t="s">
        <v>53</v>
      </c>
      <c r="F3785" t="s">
        <v>49</v>
      </c>
      <c r="G3785" s="30">
        <v>23279.082685278099</v>
      </c>
    </row>
    <row r="3786" spans="1:7" x14ac:dyDescent="0.25">
      <c r="A3786" t="s">
        <v>45</v>
      </c>
      <c r="B3786" t="s">
        <v>46</v>
      </c>
      <c r="C3786" t="s">
        <v>47</v>
      </c>
      <c r="D3786">
        <v>7943494</v>
      </c>
      <c r="E3786" t="s">
        <v>48</v>
      </c>
      <c r="F3786" t="s">
        <v>49</v>
      </c>
      <c r="G3786" s="30">
        <v>0</v>
      </c>
    </row>
    <row r="3787" spans="1:7" x14ac:dyDescent="0.25">
      <c r="A3787" t="s">
        <v>70</v>
      </c>
      <c r="B3787" t="s">
        <v>71</v>
      </c>
      <c r="C3787" t="s">
        <v>47</v>
      </c>
      <c r="D3787">
        <v>7963504</v>
      </c>
      <c r="E3787" t="s">
        <v>53</v>
      </c>
      <c r="F3787" t="s">
        <v>49</v>
      </c>
      <c r="G3787" s="30">
        <v>2254896.11</v>
      </c>
    </row>
    <row r="3788" spans="1:7" x14ac:dyDescent="0.25">
      <c r="A3788" t="s">
        <v>65</v>
      </c>
      <c r="B3788" t="s">
        <v>66</v>
      </c>
      <c r="C3788" t="s">
        <v>67</v>
      </c>
      <c r="D3788">
        <v>7966182</v>
      </c>
      <c r="E3788" t="s">
        <v>53</v>
      </c>
      <c r="F3788" t="s">
        <v>49</v>
      </c>
      <c r="G3788" s="30">
        <v>1686797.3485810501</v>
      </c>
    </row>
    <row r="3789" spans="1:7" x14ac:dyDescent="0.25">
      <c r="A3789" t="s">
        <v>45</v>
      </c>
      <c r="B3789" t="s">
        <v>46</v>
      </c>
      <c r="C3789" t="s">
        <v>47</v>
      </c>
      <c r="D3789">
        <v>7978612</v>
      </c>
      <c r="E3789" t="s">
        <v>48</v>
      </c>
      <c r="F3789" t="s">
        <v>49</v>
      </c>
      <c r="G3789" s="30">
        <v>0.45</v>
      </c>
    </row>
    <row r="3790" spans="1:7" x14ac:dyDescent="0.25">
      <c r="A3790" t="s">
        <v>102</v>
      </c>
      <c r="B3790" t="s">
        <v>103</v>
      </c>
      <c r="C3790" t="s">
        <v>47</v>
      </c>
      <c r="D3790">
        <v>7980325</v>
      </c>
      <c r="E3790" t="s">
        <v>53</v>
      </c>
      <c r="F3790" t="s">
        <v>49</v>
      </c>
      <c r="G3790" s="30">
        <v>196206.400126302</v>
      </c>
    </row>
    <row r="3791" spans="1:7" x14ac:dyDescent="0.25">
      <c r="A3791" t="s">
        <v>96</v>
      </c>
      <c r="B3791" t="s">
        <v>97</v>
      </c>
      <c r="C3791" t="s">
        <v>81</v>
      </c>
      <c r="D3791">
        <v>7981377</v>
      </c>
      <c r="E3791" t="s">
        <v>53</v>
      </c>
      <c r="F3791" t="s">
        <v>49</v>
      </c>
      <c r="G3791" s="30">
        <v>322152.66628949798</v>
      </c>
    </row>
    <row r="3792" spans="1:7" x14ac:dyDescent="0.25">
      <c r="A3792" t="s">
        <v>45</v>
      </c>
      <c r="B3792" t="s">
        <v>46</v>
      </c>
      <c r="C3792" t="s">
        <v>47</v>
      </c>
      <c r="D3792">
        <v>7986580</v>
      </c>
      <c r="E3792" t="s">
        <v>48</v>
      </c>
      <c r="F3792" t="s">
        <v>49</v>
      </c>
      <c r="G3792" s="30">
        <v>0</v>
      </c>
    </row>
    <row r="3793" spans="1:7" x14ac:dyDescent="0.25">
      <c r="A3793" t="s">
        <v>112</v>
      </c>
      <c r="B3793" t="s">
        <v>113</v>
      </c>
      <c r="C3793" t="s">
        <v>81</v>
      </c>
      <c r="D3793">
        <v>7997265</v>
      </c>
      <c r="E3793" t="s">
        <v>48</v>
      </c>
      <c r="F3793" t="s">
        <v>49</v>
      </c>
      <c r="G3793" s="30">
        <v>0</v>
      </c>
    </row>
    <row r="3794" spans="1:7" x14ac:dyDescent="0.25">
      <c r="A3794" t="s">
        <v>59</v>
      </c>
      <c r="B3794" t="s">
        <v>60</v>
      </c>
      <c r="C3794" t="s">
        <v>56</v>
      </c>
      <c r="D3794">
        <v>7999073</v>
      </c>
      <c r="E3794" t="s">
        <v>53</v>
      </c>
      <c r="F3794" t="s">
        <v>49</v>
      </c>
      <c r="G3794" s="30">
        <v>85527.365911306595</v>
      </c>
    </row>
    <row r="3795" spans="1:7" x14ac:dyDescent="0.25">
      <c r="A3795" t="s">
        <v>90</v>
      </c>
      <c r="B3795" t="s">
        <v>91</v>
      </c>
      <c r="C3795" t="s">
        <v>81</v>
      </c>
      <c r="D3795">
        <v>7999735</v>
      </c>
      <c r="E3795" t="s">
        <v>53</v>
      </c>
      <c r="F3795" t="s">
        <v>49</v>
      </c>
      <c r="G3795" s="30">
        <v>222.29</v>
      </c>
    </row>
    <row r="3796" spans="1:7" x14ac:dyDescent="0.25">
      <c r="A3796" t="s">
        <v>45</v>
      </c>
      <c r="B3796" t="s">
        <v>46</v>
      </c>
      <c r="C3796" t="s">
        <v>47</v>
      </c>
      <c r="D3796">
        <v>8000062</v>
      </c>
      <c r="E3796" t="s">
        <v>48</v>
      </c>
      <c r="F3796" t="s">
        <v>49</v>
      </c>
      <c r="G3796" s="30">
        <v>0</v>
      </c>
    </row>
    <row r="3797" spans="1:7" x14ac:dyDescent="0.25">
      <c r="A3797" t="s">
        <v>45</v>
      </c>
      <c r="B3797" t="s">
        <v>46</v>
      </c>
      <c r="C3797" t="s">
        <v>47</v>
      </c>
      <c r="D3797">
        <v>8001840</v>
      </c>
      <c r="E3797" t="s">
        <v>48</v>
      </c>
      <c r="F3797" t="s">
        <v>49</v>
      </c>
      <c r="G3797" s="30">
        <v>0</v>
      </c>
    </row>
    <row r="3798" spans="1:7" x14ac:dyDescent="0.25">
      <c r="A3798" t="s">
        <v>50</v>
      </c>
      <c r="B3798" t="s">
        <v>51</v>
      </c>
      <c r="C3798" t="s">
        <v>52</v>
      </c>
      <c r="D3798">
        <v>8001876</v>
      </c>
      <c r="E3798" t="s">
        <v>53</v>
      </c>
      <c r="F3798" t="s">
        <v>49</v>
      </c>
      <c r="G3798" s="30">
        <v>218.93093865143399</v>
      </c>
    </row>
    <row r="3799" spans="1:7" x14ac:dyDescent="0.25">
      <c r="A3799" t="s">
        <v>50</v>
      </c>
      <c r="B3799" t="s">
        <v>51</v>
      </c>
      <c r="C3799" t="s">
        <v>52</v>
      </c>
      <c r="D3799">
        <v>8011500</v>
      </c>
      <c r="E3799" t="s">
        <v>53</v>
      </c>
      <c r="F3799" t="s">
        <v>49</v>
      </c>
      <c r="G3799" s="30">
        <v>45247.764424308298</v>
      </c>
    </row>
    <row r="3800" spans="1:7" x14ac:dyDescent="0.25">
      <c r="A3800" t="s">
        <v>112</v>
      </c>
      <c r="B3800" t="s">
        <v>113</v>
      </c>
      <c r="C3800" t="s">
        <v>81</v>
      </c>
      <c r="D3800">
        <v>8012022</v>
      </c>
      <c r="E3800" t="s">
        <v>53</v>
      </c>
      <c r="F3800" t="s">
        <v>49</v>
      </c>
      <c r="G3800" s="30">
        <v>201816.177396877</v>
      </c>
    </row>
    <row r="3801" spans="1:7" x14ac:dyDescent="0.25">
      <c r="A3801" t="s">
        <v>124</v>
      </c>
      <c r="B3801" t="s">
        <v>125</v>
      </c>
      <c r="C3801" t="s">
        <v>78</v>
      </c>
      <c r="D3801">
        <v>8015237</v>
      </c>
      <c r="E3801" t="s">
        <v>53</v>
      </c>
      <c r="F3801" t="s">
        <v>49</v>
      </c>
      <c r="G3801" s="30">
        <v>899997.41850214195</v>
      </c>
    </row>
    <row r="3802" spans="1:7" x14ac:dyDescent="0.25">
      <c r="A3802" t="s">
        <v>102</v>
      </c>
      <c r="B3802" t="s">
        <v>103</v>
      </c>
      <c r="C3802" t="s">
        <v>47</v>
      </c>
      <c r="D3802">
        <v>8019537</v>
      </c>
      <c r="E3802" t="s">
        <v>53</v>
      </c>
      <c r="F3802" t="s">
        <v>49</v>
      </c>
      <c r="G3802" s="30">
        <v>120722.024443494</v>
      </c>
    </row>
    <row r="3803" spans="1:7" x14ac:dyDescent="0.25">
      <c r="A3803" t="s">
        <v>45</v>
      </c>
      <c r="B3803" t="s">
        <v>46</v>
      </c>
      <c r="C3803" t="s">
        <v>47</v>
      </c>
      <c r="D3803">
        <v>8020036</v>
      </c>
      <c r="E3803" t="s">
        <v>48</v>
      </c>
      <c r="F3803" t="s">
        <v>49</v>
      </c>
      <c r="G3803" s="30">
        <v>0</v>
      </c>
    </row>
    <row r="3804" spans="1:7" x14ac:dyDescent="0.25">
      <c r="A3804" t="s">
        <v>70</v>
      </c>
      <c r="B3804" t="s">
        <v>71</v>
      </c>
      <c r="C3804" t="s">
        <v>47</v>
      </c>
      <c r="D3804">
        <v>8020225</v>
      </c>
      <c r="E3804" t="s">
        <v>53</v>
      </c>
      <c r="F3804" t="s">
        <v>49</v>
      </c>
      <c r="G3804" s="30">
        <v>456584.75173182401</v>
      </c>
    </row>
    <row r="3805" spans="1:7" x14ac:dyDescent="0.25">
      <c r="A3805" t="s">
        <v>112</v>
      </c>
      <c r="B3805" t="s">
        <v>113</v>
      </c>
      <c r="C3805" t="s">
        <v>81</v>
      </c>
      <c r="D3805">
        <v>8021311</v>
      </c>
      <c r="E3805" t="s">
        <v>53</v>
      </c>
      <c r="F3805" t="s">
        <v>49</v>
      </c>
      <c r="G3805" s="30">
        <v>292327.571318665</v>
      </c>
    </row>
    <row r="3806" spans="1:7" x14ac:dyDescent="0.25">
      <c r="A3806" t="s">
        <v>50</v>
      </c>
      <c r="B3806" t="s">
        <v>51</v>
      </c>
      <c r="C3806" t="s">
        <v>52</v>
      </c>
      <c r="D3806">
        <v>8023747</v>
      </c>
      <c r="E3806" t="s">
        <v>53</v>
      </c>
      <c r="F3806" t="s">
        <v>49</v>
      </c>
      <c r="G3806" s="30">
        <v>17308.9258179772</v>
      </c>
    </row>
    <row r="3807" spans="1:7" x14ac:dyDescent="0.25">
      <c r="A3807" t="s">
        <v>45</v>
      </c>
      <c r="B3807" t="s">
        <v>46</v>
      </c>
      <c r="C3807" t="s">
        <v>47</v>
      </c>
      <c r="D3807">
        <v>8030657</v>
      </c>
      <c r="E3807" t="s">
        <v>53</v>
      </c>
      <c r="F3807" t="s">
        <v>49</v>
      </c>
      <c r="G3807" s="30">
        <v>93157.881572767001</v>
      </c>
    </row>
    <row r="3808" spans="1:7" x14ac:dyDescent="0.25">
      <c r="A3808" t="s">
        <v>118</v>
      </c>
      <c r="B3808" t="s">
        <v>119</v>
      </c>
      <c r="C3808" t="s">
        <v>56</v>
      </c>
      <c r="D3808">
        <v>8032342</v>
      </c>
      <c r="E3808" t="s">
        <v>53</v>
      </c>
      <c r="F3808" t="s">
        <v>49</v>
      </c>
      <c r="G3808" s="30">
        <v>3087.0316194113698</v>
      </c>
    </row>
    <row r="3809" spans="1:7" x14ac:dyDescent="0.25">
      <c r="A3809" t="s">
        <v>94</v>
      </c>
      <c r="B3809" t="s">
        <v>95</v>
      </c>
      <c r="C3809" t="s">
        <v>78</v>
      </c>
      <c r="D3809">
        <v>8041709</v>
      </c>
      <c r="E3809" t="s">
        <v>53</v>
      </c>
      <c r="F3809" t="s">
        <v>49</v>
      </c>
      <c r="G3809" s="30">
        <v>2206057.0900781201</v>
      </c>
    </row>
    <row r="3810" spans="1:7" x14ac:dyDescent="0.25">
      <c r="A3810" t="s">
        <v>45</v>
      </c>
      <c r="B3810" t="s">
        <v>46</v>
      </c>
      <c r="C3810" t="s">
        <v>47</v>
      </c>
      <c r="D3810">
        <v>8042779</v>
      </c>
      <c r="E3810" t="s">
        <v>48</v>
      </c>
      <c r="F3810" t="s">
        <v>49</v>
      </c>
      <c r="G3810" s="30">
        <v>0</v>
      </c>
    </row>
    <row r="3811" spans="1:7" x14ac:dyDescent="0.25">
      <c r="A3811" t="s">
        <v>50</v>
      </c>
      <c r="B3811" t="s">
        <v>51</v>
      </c>
      <c r="C3811" t="s">
        <v>52</v>
      </c>
      <c r="D3811">
        <v>8043186</v>
      </c>
      <c r="E3811" t="s">
        <v>48</v>
      </c>
      <c r="F3811" t="s">
        <v>49</v>
      </c>
      <c r="G3811" s="30">
        <v>0</v>
      </c>
    </row>
    <row r="3812" spans="1:7" x14ac:dyDescent="0.25">
      <c r="A3812" t="s">
        <v>45</v>
      </c>
      <c r="B3812" t="s">
        <v>46</v>
      </c>
      <c r="C3812" t="s">
        <v>47</v>
      </c>
      <c r="D3812">
        <v>8056189</v>
      </c>
      <c r="E3812" t="s">
        <v>48</v>
      </c>
      <c r="F3812" t="s">
        <v>49</v>
      </c>
      <c r="G3812" s="30">
        <v>0</v>
      </c>
    </row>
    <row r="3813" spans="1:7" x14ac:dyDescent="0.25">
      <c r="A3813" t="s">
        <v>45</v>
      </c>
      <c r="B3813" t="s">
        <v>46</v>
      </c>
      <c r="C3813" t="s">
        <v>47</v>
      </c>
      <c r="D3813">
        <v>8064278</v>
      </c>
      <c r="E3813" t="s">
        <v>48</v>
      </c>
      <c r="F3813" t="s">
        <v>49</v>
      </c>
      <c r="G3813" s="30">
        <v>0</v>
      </c>
    </row>
    <row r="3814" spans="1:7" x14ac:dyDescent="0.25">
      <c r="A3814" t="s">
        <v>50</v>
      </c>
      <c r="B3814" t="s">
        <v>51</v>
      </c>
      <c r="C3814" t="s">
        <v>52</v>
      </c>
      <c r="D3814">
        <v>8064898</v>
      </c>
      <c r="E3814" t="s">
        <v>53</v>
      </c>
      <c r="F3814" t="s">
        <v>49</v>
      </c>
      <c r="G3814" s="30">
        <v>47444.971201101602</v>
      </c>
    </row>
    <row r="3815" spans="1:7" x14ac:dyDescent="0.25">
      <c r="A3815" t="s">
        <v>45</v>
      </c>
      <c r="B3815" t="s">
        <v>46</v>
      </c>
      <c r="C3815" t="s">
        <v>47</v>
      </c>
      <c r="D3815">
        <v>8065105</v>
      </c>
      <c r="E3815" t="s">
        <v>48</v>
      </c>
      <c r="F3815" t="s">
        <v>49</v>
      </c>
      <c r="G3815" s="30">
        <v>0</v>
      </c>
    </row>
    <row r="3816" spans="1:7" x14ac:dyDescent="0.25">
      <c r="A3816" t="s">
        <v>50</v>
      </c>
      <c r="B3816" t="s">
        <v>51</v>
      </c>
      <c r="C3816" t="s">
        <v>52</v>
      </c>
      <c r="D3816">
        <v>8065582</v>
      </c>
      <c r="E3816" t="s">
        <v>53</v>
      </c>
      <c r="F3816" t="s">
        <v>49</v>
      </c>
      <c r="G3816" s="30">
        <v>58612.753125000003</v>
      </c>
    </row>
    <row r="3817" spans="1:7" x14ac:dyDescent="0.25">
      <c r="A3817" t="s">
        <v>45</v>
      </c>
      <c r="B3817" t="s">
        <v>46</v>
      </c>
      <c r="C3817" t="s">
        <v>47</v>
      </c>
      <c r="D3817">
        <v>8067582</v>
      </c>
      <c r="E3817" t="s">
        <v>53</v>
      </c>
      <c r="F3817" t="s">
        <v>49</v>
      </c>
      <c r="G3817" s="30">
        <v>62759.113882067402</v>
      </c>
    </row>
    <row r="3818" spans="1:7" x14ac:dyDescent="0.25">
      <c r="A3818" t="s">
        <v>50</v>
      </c>
      <c r="B3818" t="s">
        <v>51</v>
      </c>
      <c r="C3818" t="s">
        <v>52</v>
      </c>
      <c r="D3818">
        <v>8068648</v>
      </c>
      <c r="E3818" t="s">
        <v>53</v>
      </c>
      <c r="F3818" t="s">
        <v>49</v>
      </c>
      <c r="G3818" s="30">
        <v>13876.754618266399</v>
      </c>
    </row>
    <row r="3819" spans="1:7" x14ac:dyDescent="0.25">
      <c r="A3819" t="s">
        <v>57</v>
      </c>
      <c r="B3819" t="s">
        <v>58</v>
      </c>
      <c r="C3819" t="s">
        <v>56</v>
      </c>
      <c r="D3819">
        <v>8068995</v>
      </c>
      <c r="E3819" t="s">
        <v>53</v>
      </c>
      <c r="F3819" t="s">
        <v>49</v>
      </c>
      <c r="G3819" s="30">
        <v>106921.70879537299</v>
      </c>
    </row>
    <row r="3820" spans="1:7" x14ac:dyDescent="0.25">
      <c r="A3820" t="s">
        <v>118</v>
      </c>
      <c r="B3820" t="s">
        <v>119</v>
      </c>
      <c r="C3820" t="s">
        <v>56</v>
      </c>
      <c r="D3820">
        <v>8069187</v>
      </c>
      <c r="E3820" t="s">
        <v>53</v>
      </c>
      <c r="F3820" t="s">
        <v>49</v>
      </c>
      <c r="G3820" s="30">
        <v>139605.53872894301</v>
      </c>
    </row>
    <row r="3821" spans="1:7" x14ac:dyDescent="0.25">
      <c r="A3821" t="s">
        <v>76</v>
      </c>
      <c r="B3821" t="s">
        <v>77</v>
      </c>
      <c r="C3821" t="s">
        <v>78</v>
      </c>
      <c r="D3821">
        <v>8071359</v>
      </c>
      <c r="E3821" t="s">
        <v>53</v>
      </c>
      <c r="F3821" t="s">
        <v>49</v>
      </c>
      <c r="G3821" s="30">
        <v>197530.86116611099</v>
      </c>
    </row>
    <row r="3822" spans="1:7" x14ac:dyDescent="0.25">
      <c r="A3822" t="s">
        <v>135</v>
      </c>
      <c r="B3822" t="s">
        <v>136</v>
      </c>
      <c r="C3822" t="s">
        <v>56</v>
      </c>
      <c r="D3822">
        <v>8079849</v>
      </c>
      <c r="E3822" t="s">
        <v>53</v>
      </c>
      <c r="F3822" t="s">
        <v>49</v>
      </c>
      <c r="G3822" s="30">
        <v>1651481.38246023</v>
      </c>
    </row>
    <row r="3823" spans="1:7" x14ac:dyDescent="0.25">
      <c r="A3823" t="s">
        <v>45</v>
      </c>
      <c r="B3823" t="s">
        <v>46</v>
      </c>
      <c r="C3823" t="s">
        <v>47</v>
      </c>
      <c r="D3823">
        <v>8081453</v>
      </c>
      <c r="E3823" t="s">
        <v>53</v>
      </c>
      <c r="F3823" t="s">
        <v>49</v>
      </c>
      <c r="G3823" s="30">
        <v>289.22201857460499</v>
      </c>
    </row>
    <row r="3824" spans="1:7" x14ac:dyDescent="0.25">
      <c r="A3824" t="s">
        <v>50</v>
      </c>
      <c r="B3824" t="s">
        <v>51</v>
      </c>
      <c r="C3824" t="s">
        <v>52</v>
      </c>
      <c r="D3824">
        <v>8082507</v>
      </c>
      <c r="E3824" t="s">
        <v>53</v>
      </c>
      <c r="F3824" t="s">
        <v>49</v>
      </c>
      <c r="G3824" s="30">
        <v>19910.207745520998</v>
      </c>
    </row>
    <row r="3825" spans="1:7" x14ac:dyDescent="0.25">
      <c r="A3825" t="s">
        <v>90</v>
      </c>
      <c r="B3825" t="s">
        <v>91</v>
      </c>
      <c r="C3825" t="s">
        <v>81</v>
      </c>
      <c r="D3825">
        <v>8082633</v>
      </c>
      <c r="E3825" t="s">
        <v>48</v>
      </c>
      <c r="F3825" t="s">
        <v>49</v>
      </c>
      <c r="G3825" s="30">
        <v>0</v>
      </c>
    </row>
    <row r="3826" spans="1:7" x14ac:dyDescent="0.25">
      <c r="A3826" t="s">
        <v>45</v>
      </c>
      <c r="B3826" t="s">
        <v>46</v>
      </c>
      <c r="C3826" t="s">
        <v>47</v>
      </c>
      <c r="D3826">
        <v>8082939</v>
      </c>
      <c r="E3826" t="s">
        <v>48</v>
      </c>
      <c r="F3826" t="s">
        <v>49</v>
      </c>
      <c r="G3826" s="30">
        <v>0</v>
      </c>
    </row>
    <row r="3827" spans="1:7" x14ac:dyDescent="0.25">
      <c r="A3827" t="s">
        <v>165</v>
      </c>
      <c r="B3827" t="s">
        <v>166</v>
      </c>
      <c r="C3827" t="s">
        <v>143</v>
      </c>
      <c r="D3827">
        <v>8083612</v>
      </c>
      <c r="E3827" t="s">
        <v>48</v>
      </c>
      <c r="F3827" t="s">
        <v>49</v>
      </c>
      <c r="G3827" s="30">
        <v>0</v>
      </c>
    </row>
    <row r="3828" spans="1:7" x14ac:dyDescent="0.25">
      <c r="A3828" t="s">
        <v>45</v>
      </c>
      <c r="B3828" t="s">
        <v>46</v>
      </c>
      <c r="C3828" t="s">
        <v>47</v>
      </c>
      <c r="D3828">
        <v>8084077</v>
      </c>
      <c r="E3828" t="s">
        <v>53</v>
      </c>
      <c r="F3828" t="s">
        <v>49</v>
      </c>
      <c r="G3828" s="30">
        <v>133047.85583319</v>
      </c>
    </row>
    <row r="3829" spans="1:7" x14ac:dyDescent="0.25">
      <c r="A3829" t="s">
        <v>74</v>
      </c>
      <c r="B3829" t="s">
        <v>75</v>
      </c>
      <c r="C3829" t="s">
        <v>67</v>
      </c>
      <c r="D3829">
        <v>8087897</v>
      </c>
      <c r="E3829" t="s">
        <v>48</v>
      </c>
      <c r="F3829" t="s">
        <v>49</v>
      </c>
      <c r="G3829" s="30">
        <v>0</v>
      </c>
    </row>
    <row r="3830" spans="1:7" x14ac:dyDescent="0.25">
      <c r="A3830" t="s">
        <v>50</v>
      </c>
      <c r="B3830" t="s">
        <v>51</v>
      </c>
      <c r="C3830" t="s">
        <v>52</v>
      </c>
      <c r="D3830">
        <v>8088815</v>
      </c>
      <c r="E3830" t="s">
        <v>53</v>
      </c>
      <c r="F3830" t="s">
        <v>49</v>
      </c>
      <c r="G3830" s="30">
        <v>37400.335066867803</v>
      </c>
    </row>
    <row r="3831" spans="1:7" x14ac:dyDescent="0.25">
      <c r="A3831" t="s">
        <v>45</v>
      </c>
      <c r="B3831" t="s">
        <v>46</v>
      </c>
      <c r="C3831" t="s">
        <v>47</v>
      </c>
      <c r="D3831">
        <v>8089101</v>
      </c>
      <c r="E3831" t="s">
        <v>48</v>
      </c>
      <c r="F3831" t="s">
        <v>49</v>
      </c>
      <c r="G3831" s="30">
        <v>0</v>
      </c>
    </row>
    <row r="3832" spans="1:7" x14ac:dyDescent="0.25">
      <c r="A3832" t="s">
        <v>50</v>
      </c>
      <c r="B3832" t="s">
        <v>51</v>
      </c>
      <c r="C3832" t="s">
        <v>52</v>
      </c>
      <c r="D3832">
        <v>8089822</v>
      </c>
      <c r="E3832" t="s">
        <v>53</v>
      </c>
      <c r="F3832" t="s">
        <v>49</v>
      </c>
      <c r="G3832" s="30">
        <v>39948.526404138101</v>
      </c>
    </row>
    <row r="3833" spans="1:7" x14ac:dyDescent="0.25">
      <c r="A3833" t="s">
        <v>45</v>
      </c>
      <c r="B3833" t="s">
        <v>46</v>
      </c>
      <c r="C3833" t="s">
        <v>47</v>
      </c>
      <c r="D3833">
        <v>8090305</v>
      </c>
      <c r="E3833" t="s">
        <v>48</v>
      </c>
      <c r="F3833" t="s">
        <v>49</v>
      </c>
      <c r="G3833" s="30">
        <v>0</v>
      </c>
    </row>
    <row r="3834" spans="1:7" x14ac:dyDescent="0.25">
      <c r="A3834" t="s">
        <v>45</v>
      </c>
      <c r="B3834" t="s">
        <v>46</v>
      </c>
      <c r="C3834" t="s">
        <v>47</v>
      </c>
      <c r="D3834">
        <v>8093133</v>
      </c>
      <c r="E3834" t="s">
        <v>53</v>
      </c>
      <c r="F3834" t="s">
        <v>49</v>
      </c>
      <c r="G3834" s="30">
        <v>2062.8112663145198</v>
      </c>
    </row>
    <row r="3835" spans="1:7" x14ac:dyDescent="0.25">
      <c r="A3835" t="s">
        <v>45</v>
      </c>
      <c r="B3835" t="s">
        <v>46</v>
      </c>
      <c r="C3835" t="s">
        <v>47</v>
      </c>
      <c r="D3835">
        <v>8093152</v>
      </c>
      <c r="E3835" t="s">
        <v>53</v>
      </c>
      <c r="F3835" t="s">
        <v>49</v>
      </c>
      <c r="G3835" s="30">
        <v>113.843116593853</v>
      </c>
    </row>
    <row r="3836" spans="1:7" x14ac:dyDescent="0.25">
      <c r="A3836" t="s">
        <v>45</v>
      </c>
      <c r="B3836" t="s">
        <v>46</v>
      </c>
      <c r="C3836" t="s">
        <v>47</v>
      </c>
      <c r="D3836">
        <v>8094125</v>
      </c>
      <c r="E3836" t="s">
        <v>48</v>
      </c>
      <c r="F3836" t="s">
        <v>49</v>
      </c>
      <c r="G3836" s="30">
        <v>0</v>
      </c>
    </row>
    <row r="3837" spans="1:7" x14ac:dyDescent="0.25">
      <c r="A3837" t="s">
        <v>82</v>
      </c>
      <c r="B3837" t="s">
        <v>83</v>
      </c>
      <c r="C3837" t="s">
        <v>56</v>
      </c>
      <c r="D3837">
        <v>8095626</v>
      </c>
      <c r="E3837" t="s">
        <v>48</v>
      </c>
      <c r="F3837" t="s">
        <v>49</v>
      </c>
      <c r="G3837" s="30">
        <v>0.81</v>
      </c>
    </row>
    <row r="3838" spans="1:7" x14ac:dyDescent="0.25">
      <c r="A3838" t="s">
        <v>82</v>
      </c>
      <c r="B3838" t="s">
        <v>83</v>
      </c>
      <c r="C3838" t="s">
        <v>56</v>
      </c>
      <c r="D3838">
        <v>8095696</v>
      </c>
      <c r="E3838" t="s">
        <v>53</v>
      </c>
      <c r="F3838" t="s">
        <v>49</v>
      </c>
      <c r="G3838" s="30">
        <v>5140.4500168053901</v>
      </c>
    </row>
    <row r="3839" spans="1:7" x14ac:dyDescent="0.25">
      <c r="A3839" t="s">
        <v>45</v>
      </c>
      <c r="B3839" t="s">
        <v>46</v>
      </c>
      <c r="C3839" t="s">
        <v>47</v>
      </c>
      <c r="D3839">
        <v>8096241</v>
      </c>
      <c r="E3839" t="s">
        <v>48</v>
      </c>
      <c r="F3839" t="s">
        <v>49</v>
      </c>
      <c r="G3839" s="30">
        <v>0</v>
      </c>
    </row>
    <row r="3840" spans="1:7" x14ac:dyDescent="0.25">
      <c r="A3840" t="s">
        <v>104</v>
      </c>
      <c r="B3840" t="s">
        <v>105</v>
      </c>
      <c r="C3840" t="s">
        <v>78</v>
      </c>
      <c r="D3840">
        <v>8098085</v>
      </c>
      <c r="E3840" t="s">
        <v>53</v>
      </c>
      <c r="F3840" t="s">
        <v>49</v>
      </c>
      <c r="G3840" s="30">
        <v>-240.52</v>
      </c>
    </row>
    <row r="3841" spans="1:7" x14ac:dyDescent="0.25">
      <c r="A3841" t="s">
        <v>59</v>
      </c>
      <c r="B3841" t="s">
        <v>60</v>
      </c>
      <c r="C3841" t="s">
        <v>56</v>
      </c>
      <c r="D3841">
        <v>8100379</v>
      </c>
      <c r="E3841" t="s">
        <v>48</v>
      </c>
      <c r="F3841" t="s">
        <v>49</v>
      </c>
      <c r="G3841" s="30">
        <v>0</v>
      </c>
    </row>
    <row r="3842" spans="1:7" x14ac:dyDescent="0.25">
      <c r="A3842" t="s">
        <v>118</v>
      </c>
      <c r="B3842" t="s">
        <v>119</v>
      </c>
      <c r="C3842" t="s">
        <v>56</v>
      </c>
      <c r="D3842">
        <v>8101427</v>
      </c>
      <c r="E3842" t="s">
        <v>53</v>
      </c>
      <c r="F3842" t="s">
        <v>49</v>
      </c>
      <c r="G3842" s="30">
        <v>22505.537433594302</v>
      </c>
    </row>
    <row r="3843" spans="1:7" x14ac:dyDescent="0.25">
      <c r="A3843" t="s">
        <v>116</v>
      </c>
      <c r="B3843" t="s">
        <v>117</v>
      </c>
      <c r="C3843" t="s">
        <v>47</v>
      </c>
      <c r="D3843">
        <v>8102828</v>
      </c>
      <c r="E3843" t="s">
        <v>48</v>
      </c>
      <c r="F3843" t="s">
        <v>49</v>
      </c>
      <c r="G3843" s="30">
        <v>0</v>
      </c>
    </row>
    <row r="3844" spans="1:7" x14ac:dyDescent="0.25">
      <c r="A3844" t="s">
        <v>45</v>
      </c>
      <c r="B3844" t="s">
        <v>46</v>
      </c>
      <c r="C3844" t="s">
        <v>47</v>
      </c>
      <c r="D3844">
        <v>8103998</v>
      </c>
      <c r="E3844" t="s">
        <v>48</v>
      </c>
      <c r="F3844" t="s">
        <v>49</v>
      </c>
      <c r="G3844" s="30">
        <v>0</v>
      </c>
    </row>
    <row r="3845" spans="1:7" x14ac:dyDescent="0.25">
      <c r="A3845" t="s">
        <v>112</v>
      </c>
      <c r="B3845" t="s">
        <v>113</v>
      </c>
      <c r="C3845" t="s">
        <v>81</v>
      </c>
      <c r="D3845">
        <v>8105423</v>
      </c>
      <c r="E3845" t="s">
        <v>53</v>
      </c>
      <c r="F3845" t="s">
        <v>49</v>
      </c>
      <c r="G3845" s="30">
        <v>58583.452150618898</v>
      </c>
    </row>
    <row r="3846" spans="1:7" x14ac:dyDescent="0.25">
      <c r="A3846" t="s">
        <v>45</v>
      </c>
      <c r="B3846" t="s">
        <v>46</v>
      </c>
      <c r="C3846" t="s">
        <v>47</v>
      </c>
      <c r="D3846">
        <v>8106103</v>
      </c>
      <c r="E3846" t="s">
        <v>48</v>
      </c>
      <c r="F3846" t="s">
        <v>49</v>
      </c>
      <c r="G3846" s="30">
        <v>0</v>
      </c>
    </row>
    <row r="3847" spans="1:7" x14ac:dyDescent="0.25">
      <c r="A3847" t="s">
        <v>45</v>
      </c>
      <c r="B3847" t="s">
        <v>46</v>
      </c>
      <c r="C3847" t="s">
        <v>47</v>
      </c>
      <c r="D3847">
        <v>8106838</v>
      </c>
      <c r="E3847" t="s">
        <v>48</v>
      </c>
      <c r="F3847" t="s">
        <v>49</v>
      </c>
      <c r="G3847" s="30">
        <v>0</v>
      </c>
    </row>
    <row r="3848" spans="1:7" x14ac:dyDescent="0.25">
      <c r="A3848" t="s">
        <v>104</v>
      </c>
      <c r="B3848" t="s">
        <v>105</v>
      </c>
      <c r="C3848" t="s">
        <v>78</v>
      </c>
      <c r="D3848">
        <v>8108274</v>
      </c>
      <c r="E3848" t="s">
        <v>53</v>
      </c>
      <c r="F3848" t="s">
        <v>49</v>
      </c>
      <c r="G3848" s="30">
        <v>102836.38268120099</v>
      </c>
    </row>
    <row r="3849" spans="1:7" x14ac:dyDescent="0.25">
      <c r="A3849" t="s">
        <v>45</v>
      </c>
      <c r="B3849" t="s">
        <v>46</v>
      </c>
      <c r="C3849" t="s">
        <v>47</v>
      </c>
      <c r="D3849">
        <v>8110613</v>
      </c>
      <c r="E3849" t="s">
        <v>48</v>
      </c>
      <c r="F3849" t="s">
        <v>49</v>
      </c>
      <c r="G3849" s="30">
        <v>0</v>
      </c>
    </row>
    <row r="3850" spans="1:7" x14ac:dyDescent="0.25">
      <c r="A3850" t="s">
        <v>45</v>
      </c>
      <c r="B3850" t="s">
        <v>46</v>
      </c>
      <c r="C3850" t="s">
        <v>47</v>
      </c>
      <c r="D3850">
        <v>8114612</v>
      </c>
      <c r="E3850" t="s">
        <v>48</v>
      </c>
      <c r="F3850" t="s">
        <v>49</v>
      </c>
      <c r="G3850" s="30">
        <v>0</v>
      </c>
    </row>
    <row r="3851" spans="1:7" x14ac:dyDescent="0.25">
      <c r="A3851" t="s">
        <v>45</v>
      </c>
      <c r="B3851" t="s">
        <v>46</v>
      </c>
      <c r="C3851" t="s">
        <v>47</v>
      </c>
      <c r="D3851">
        <v>8115222</v>
      </c>
      <c r="E3851" t="s">
        <v>48</v>
      </c>
      <c r="F3851" t="s">
        <v>49</v>
      </c>
      <c r="G3851" s="30">
        <v>0</v>
      </c>
    </row>
    <row r="3852" spans="1:7" x14ac:dyDescent="0.25">
      <c r="A3852" t="s">
        <v>45</v>
      </c>
      <c r="B3852" t="s">
        <v>46</v>
      </c>
      <c r="C3852" t="s">
        <v>47</v>
      </c>
      <c r="D3852">
        <v>8115268</v>
      </c>
      <c r="E3852" t="s">
        <v>48</v>
      </c>
      <c r="F3852" t="s">
        <v>49</v>
      </c>
      <c r="G3852" s="30">
        <v>0</v>
      </c>
    </row>
    <row r="3853" spans="1:7" x14ac:dyDescent="0.25">
      <c r="A3853" t="s">
        <v>74</v>
      </c>
      <c r="B3853" t="s">
        <v>75</v>
      </c>
      <c r="C3853" t="s">
        <v>67</v>
      </c>
      <c r="D3853">
        <v>8121999</v>
      </c>
      <c r="E3853" t="s">
        <v>48</v>
      </c>
      <c r="F3853" t="s">
        <v>49</v>
      </c>
      <c r="G3853" s="30">
        <v>0</v>
      </c>
    </row>
    <row r="3854" spans="1:7" x14ac:dyDescent="0.25">
      <c r="A3854" t="s">
        <v>45</v>
      </c>
      <c r="B3854" t="s">
        <v>46</v>
      </c>
      <c r="C3854" t="s">
        <v>47</v>
      </c>
      <c r="D3854">
        <v>8122310</v>
      </c>
      <c r="E3854" t="s">
        <v>48</v>
      </c>
      <c r="F3854" t="s">
        <v>49</v>
      </c>
      <c r="G3854" s="30">
        <v>0</v>
      </c>
    </row>
    <row r="3855" spans="1:7" x14ac:dyDescent="0.25">
      <c r="A3855" t="s">
        <v>45</v>
      </c>
      <c r="B3855" t="s">
        <v>46</v>
      </c>
      <c r="C3855" t="s">
        <v>47</v>
      </c>
      <c r="D3855">
        <v>8124835</v>
      </c>
      <c r="E3855" t="s">
        <v>48</v>
      </c>
      <c r="F3855" t="s">
        <v>49</v>
      </c>
      <c r="G3855" s="30">
        <v>0</v>
      </c>
    </row>
    <row r="3856" spans="1:7" x14ac:dyDescent="0.25">
      <c r="A3856" t="s">
        <v>45</v>
      </c>
      <c r="B3856" t="s">
        <v>46</v>
      </c>
      <c r="C3856" t="s">
        <v>47</v>
      </c>
      <c r="D3856">
        <v>8126557</v>
      </c>
      <c r="E3856" t="s">
        <v>48</v>
      </c>
      <c r="F3856" t="s">
        <v>49</v>
      </c>
      <c r="G3856" s="30">
        <v>0</v>
      </c>
    </row>
    <row r="3857" spans="1:7" x14ac:dyDescent="0.25">
      <c r="A3857" t="s">
        <v>61</v>
      </c>
      <c r="B3857" t="s">
        <v>62</v>
      </c>
      <c r="C3857" t="s">
        <v>56</v>
      </c>
      <c r="D3857">
        <v>8129070</v>
      </c>
      <c r="E3857" t="s">
        <v>48</v>
      </c>
      <c r="F3857" t="s">
        <v>49</v>
      </c>
      <c r="G3857" s="30">
        <v>0</v>
      </c>
    </row>
    <row r="3858" spans="1:7" x14ac:dyDescent="0.25">
      <c r="A3858" t="s">
        <v>45</v>
      </c>
      <c r="B3858" t="s">
        <v>46</v>
      </c>
      <c r="C3858" t="s">
        <v>47</v>
      </c>
      <c r="D3858">
        <v>8129092</v>
      </c>
      <c r="E3858" t="s">
        <v>48</v>
      </c>
      <c r="F3858" t="s">
        <v>49</v>
      </c>
      <c r="G3858" s="30">
        <v>0</v>
      </c>
    </row>
    <row r="3859" spans="1:7" x14ac:dyDescent="0.25">
      <c r="A3859" t="s">
        <v>45</v>
      </c>
      <c r="B3859" t="s">
        <v>46</v>
      </c>
      <c r="C3859" t="s">
        <v>47</v>
      </c>
      <c r="D3859">
        <v>8132461</v>
      </c>
      <c r="E3859" t="s">
        <v>48</v>
      </c>
      <c r="F3859" t="s">
        <v>49</v>
      </c>
      <c r="G3859" s="30">
        <v>0</v>
      </c>
    </row>
    <row r="3860" spans="1:7" x14ac:dyDescent="0.25">
      <c r="A3860" t="s">
        <v>50</v>
      </c>
      <c r="B3860" t="s">
        <v>51</v>
      </c>
      <c r="C3860" t="s">
        <v>52</v>
      </c>
      <c r="D3860">
        <v>8134970</v>
      </c>
      <c r="E3860" t="s">
        <v>53</v>
      </c>
      <c r="F3860" t="s">
        <v>49</v>
      </c>
      <c r="G3860" s="30">
        <v>54.1023474673243</v>
      </c>
    </row>
    <row r="3861" spans="1:7" x14ac:dyDescent="0.25">
      <c r="A3861" t="s">
        <v>45</v>
      </c>
      <c r="B3861" t="s">
        <v>46</v>
      </c>
      <c r="C3861" t="s">
        <v>47</v>
      </c>
      <c r="D3861">
        <v>8136944</v>
      </c>
      <c r="E3861" t="s">
        <v>48</v>
      </c>
      <c r="F3861" t="s">
        <v>49</v>
      </c>
      <c r="G3861" s="30">
        <v>0</v>
      </c>
    </row>
    <row r="3862" spans="1:7" x14ac:dyDescent="0.25">
      <c r="A3862" t="s">
        <v>102</v>
      </c>
      <c r="B3862" t="s">
        <v>103</v>
      </c>
      <c r="C3862" t="s">
        <v>47</v>
      </c>
      <c r="D3862">
        <v>8137984</v>
      </c>
      <c r="E3862" t="s">
        <v>53</v>
      </c>
      <c r="F3862" t="s">
        <v>49</v>
      </c>
      <c r="G3862" s="30">
        <v>28832.907049943002</v>
      </c>
    </row>
    <row r="3863" spans="1:7" x14ac:dyDescent="0.25">
      <c r="A3863" t="s">
        <v>45</v>
      </c>
      <c r="B3863" t="s">
        <v>46</v>
      </c>
      <c r="C3863" t="s">
        <v>47</v>
      </c>
      <c r="D3863">
        <v>8139414</v>
      </c>
      <c r="E3863" t="s">
        <v>48</v>
      </c>
      <c r="F3863" t="s">
        <v>49</v>
      </c>
      <c r="G3863" s="30">
        <v>0</v>
      </c>
    </row>
    <row r="3864" spans="1:7" x14ac:dyDescent="0.25">
      <c r="A3864" t="s">
        <v>116</v>
      </c>
      <c r="B3864" t="s">
        <v>117</v>
      </c>
      <c r="C3864" t="s">
        <v>47</v>
      </c>
      <c r="D3864">
        <v>8140641</v>
      </c>
      <c r="E3864" t="s">
        <v>53</v>
      </c>
      <c r="F3864" t="s">
        <v>49</v>
      </c>
      <c r="G3864" s="30">
        <v>93523.565233727903</v>
      </c>
    </row>
    <row r="3865" spans="1:7" x14ac:dyDescent="0.25">
      <c r="A3865" t="s">
        <v>50</v>
      </c>
      <c r="B3865" t="s">
        <v>51</v>
      </c>
      <c r="C3865" t="s">
        <v>52</v>
      </c>
      <c r="D3865">
        <v>8141467</v>
      </c>
      <c r="E3865" t="s">
        <v>53</v>
      </c>
      <c r="F3865" t="s">
        <v>49</v>
      </c>
      <c r="G3865" s="30">
        <v>715.96981232863698</v>
      </c>
    </row>
    <row r="3866" spans="1:7" x14ac:dyDescent="0.25">
      <c r="A3866" t="s">
        <v>50</v>
      </c>
      <c r="B3866" t="s">
        <v>51</v>
      </c>
      <c r="C3866" t="s">
        <v>52</v>
      </c>
      <c r="D3866">
        <v>8143807</v>
      </c>
      <c r="E3866" t="s">
        <v>53</v>
      </c>
      <c r="F3866" t="s">
        <v>49</v>
      </c>
      <c r="G3866" s="30">
        <v>1274.7414157641399</v>
      </c>
    </row>
    <row r="3867" spans="1:7" x14ac:dyDescent="0.25">
      <c r="A3867" t="s">
        <v>72</v>
      </c>
      <c r="B3867" t="s">
        <v>73</v>
      </c>
      <c r="C3867" t="s">
        <v>67</v>
      </c>
      <c r="D3867">
        <v>8143912</v>
      </c>
      <c r="E3867" t="s">
        <v>48</v>
      </c>
      <c r="F3867" t="s">
        <v>49</v>
      </c>
      <c r="G3867" s="30">
        <v>0</v>
      </c>
    </row>
    <row r="3868" spans="1:7" x14ac:dyDescent="0.25">
      <c r="A3868" t="s">
        <v>45</v>
      </c>
      <c r="B3868" t="s">
        <v>46</v>
      </c>
      <c r="C3868" t="s">
        <v>47</v>
      </c>
      <c r="D3868">
        <v>8146144</v>
      </c>
      <c r="E3868" t="s">
        <v>53</v>
      </c>
      <c r="F3868" t="s">
        <v>49</v>
      </c>
      <c r="G3868" s="30">
        <v>40902.998849534502</v>
      </c>
    </row>
    <row r="3869" spans="1:7" x14ac:dyDescent="0.25">
      <c r="A3869" t="s">
        <v>45</v>
      </c>
      <c r="B3869" t="s">
        <v>46</v>
      </c>
      <c r="C3869" t="s">
        <v>47</v>
      </c>
      <c r="D3869">
        <v>8156502</v>
      </c>
      <c r="E3869" t="s">
        <v>48</v>
      </c>
      <c r="F3869" t="s">
        <v>49</v>
      </c>
      <c r="G3869" s="30">
        <v>0</v>
      </c>
    </row>
    <row r="3870" spans="1:7" x14ac:dyDescent="0.25">
      <c r="A3870" t="s">
        <v>45</v>
      </c>
      <c r="B3870" t="s">
        <v>46</v>
      </c>
      <c r="C3870" t="s">
        <v>47</v>
      </c>
      <c r="D3870">
        <v>8156582</v>
      </c>
      <c r="E3870" t="s">
        <v>48</v>
      </c>
      <c r="F3870" t="s">
        <v>49</v>
      </c>
      <c r="G3870" s="30">
        <v>0</v>
      </c>
    </row>
    <row r="3871" spans="1:7" x14ac:dyDescent="0.25">
      <c r="A3871" t="s">
        <v>45</v>
      </c>
      <c r="B3871" t="s">
        <v>46</v>
      </c>
      <c r="C3871" t="s">
        <v>47</v>
      </c>
      <c r="D3871">
        <v>8157360</v>
      </c>
      <c r="E3871" t="s">
        <v>48</v>
      </c>
      <c r="F3871" t="s">
        <v>49</v>
      </c>
      <c r="G3871" s="30">
        <v>0</v>
      </c>
    </row>
    <row r="3872" spans="1:7" x14ac:dyDescent="0.25">
      <c r="A3872" t="s">
        <v>70</v>
      </c>
      <c r="B3872" t="s">
        <v>71</v>
      </c>
      <c r="C3872" t="s">
        <v>47</v>
      </c>
      <c r="D3872">
        <v>8157373</v>
      </c>
      <c r="E3872" t="s">
        <v>53</v>
      </c>
      <c r="F3872" t="s">
        <v>49</v>
      </c>
      <c r="G3872" s="30">
        <v>225801.69508211801</v>
      </c>
    </row>
    <row r="3873" spans="1:7" x14ac:dyDescent="0.25">
      <c r="A3873" t="s">
        <v>45</v>
      </c>
      <c r="B3873" t="s">
        <v>46</v>
      </c>
      <c r="C3873" t="s">
        <v>47</v>
      </c>
      <c r="D3873">
        <v>8162217</v>
      </c>
      <c r="E3873" t="s">
        <v>48</v>
      </c>
      <c r="F3873" t="s">
        <v>49</v>
      </c>
      <c r="G3873" s="30">
        <v>0</v>
      </c>
    </row>
    <row r="3874" spans="1:7" x14ac:dyDescent="0.25">
      <c r="A3874" t="s">
        <v>96</v>
      </c>
      <c r="B3874" t="s">
        <v>97</v>
      </c>
      <c r="C3874" t="s">
        <v>81</v>
      </c>
      <c r="D3874">
        <v>8163172</v>
      </c>
      <c r="E3874" t="s">
        <v>53</v>
      </c>
      <c r="F3874" t="s">
        <v>49</v>
      </c>
      <c r="G3874" s="30">
        <v>268044.19725174201</v>
      </c>
    </row>
    <row r="3875" spans="1:7" x14ac:dyDescent="0.25">
      <c r="A3875" t="s">
        <v>45</v>
      </c>
      <c r="B3875" t="s">
        <v>46</v>
      </c>
      <c r="C3875" t="s">
        <v>47</v>
      </c>
      <c r="D3875">
        <v>8164217</v>
      </c>
      <c r="E3875" t="s">
        <v>48</v>
      </c>
      <c r="F3875" t="s">
        <v>49</v>
      </c>
      <c r="G3875" s="30">
        <v>0</v>
      </c>
    </row>
    <row r="3876" spans="1:7" x14ac:dyDescent="0.25">
      <c r="A3876" t="s">
        <v>50</v>
      </c>
      <c r="B3876" t="s">
        <v>51</v>
      </c>
      <c r="C3876" t="s">
        <v>52</v>
      </c>
      <c r="D3876">
        <v>8164837</v>
      </c>
      <c r="E3876" t="s">
        <v>53</v>
      </c>
      <c r="F3876" t="s">
        <v>49</v>
      </c>
      <c r="G3876" s="30">
        <v>39815.456344389597</v>
      </c>
    </row>
    <row r="3877" spans="1:7" x14ac:dyDescent="0.25">
      <c r="A3877" t="s">
        <v>45</v>
      </c>
      <c r="B3877" t="s">
        <v>46</v>
      </c>
      <c r="C3877" t="s">
        <v>47</v>
      </c>
      <c r="D3877">
        <v>8165103</v>
      </c>
      <c r="E3877" t="s">
        <v>48</v>
      </c>
      <c r="F3877" t="s">
        <v>49</v>
      </c>
      <c r="G3877" s="30">
        <v>0</v>
      </c>
    </row>
    <row r="3878" spans="1:7" x14ac:dyDescent="0.25">
      <c r="A3878" t="s">
        <v>45</v>
      </c>
      <c r="B3878" t="s">
        <v>46</v>
      </c>
      <c r="C3878" t="s">
        <v>47</v>
      </c>
      <c r="D3878">
        <v>8166467</v>
      </c>
      <c r="E3878" t="s">
        <v>48</v>
      </c>
      <c r="F3878" t="s">
        <v>49</v>
      </c>
      <c r="G3878" s="30">
        <v>0</v>
      </c>
    </row>
    <row r="3879" spans="1:7" x14ac:dyDescent="0.25">
      <c r="A3879" t="s">
        <v>50</v>
      </c>
      <c r="B3879" t="s">
        <v>51</v>
      </c>
      <c r="C3879" t="s">
        <v>52</v>
      </c>
      <c r="D3879">
        <v>8167375</v>
      </c>
      <c r="E3879" t="s">
        <v>53</v>
      </c>
      <c r="F3879" t="s">
        <v>49</v>
      </c>
      <c r="G3879" s="30">
        <v>21133.02390625</v>
      </c>
    </row>
    <row r="3880" spans="1:7" x14ac:dyDescent="0.25">
      <c r="A3880" t="s">
        <v>50</v>
      </c>
      <c r="B3880" t="s">
        <v>51</v>
      </c>
      <c r="C3880" t="s">
        <v>52</v>
      </c>
      <c r="D3880">
        <v>8167654</v>
      </c>
      <c r="E3880" t="s">
        <v>53</v>
      </c>
      <c r="F3880" t="s">
        <v>49</v>
      </c>
      <c r="G3880" s="30">
        <v>35.369999999999997</v>
      </c>
    </row>
    <row r="3881" spans="1:7" x14ac:dyDescent="0.25">
      <c r="A3881" t="s">
        <v>45</v>
      </c>
      <c r="B3881" t="s">
        <v>46</v>
      </c>
      <c r="C3881" t="s">
        <v>47</v>
      </c>
      <c r="D3881">
        <v>8168592</v>
      </c>
      <c r="E3881" t="s">
        <v>48</v>
      </c>
      <c r="F3881" t="s">
        <v>49</v>
      </c>
      <c r="G3881" s="30">
        <v>0</v>
      </c>
    </row>
    <row r="3882" spans="1:7" x14ac:dyDescent="0.25">
      <c r="A3882" t="s">
        <v>45</v>
      </c>
      <c r="B3882" t="s">
        <v>46</v>
      </c>
      <c r="C3882" t="s">
        <v>47</v>
      </c>
      <c r="D3882">
        <v>8171150</v>
      </c>
      <c r="E3882" t="s">
        <v>48</v>
      </c>
      <c r="F3882" t="s">
        <v>49</v>
      </c>
      <c r="G3882" s="30">
        <v>0</v>
      </c>
    </row>
    <row r="3883" spans="1:7" x14ac:dyDescent="0.25">
      <c r="A3883" t="s">
        <v>45</v>
      </c>
      <c r="B3883" t="s">
        <v>46</v>
      </c>
      <c r="C3883" t="s">
        <v>47</v>
      </c>
      <c r="D3883">
        <v>8171599</v>
      </c>
      <c r="E3883" t="s">
        <v>48</v>
      </c>
      <c r="F3883" t="s">
        <v>49</v>
      </c>
      <c r="G3883" s="30">
        <v>0</v>
      </c>
    </row>
    <row r="3884" spans="1:7" x14ac:dyDescent="0.25">
      <c r="A3884" t="s">
        <v>45</v>
      </c>
      <c r="B3884" t="s">
        <v>46</v>
      </c>
      <c r="C3884" t="s">
        <v>47</v>
      </c>
      <c r="D3884">
        <v>8171937</v>
      </c>
      <c r="E3884" t="s">
        <v>48</v>
      </c>
      <c r="F3884" t="s">
        <v>49</v>
      </c>
      <c r="G3884" s="30">
        <v>0</v>
      </c>
    </row>
    <row r="3885" spans="1:7" x14ac:dyDescent="0.25">
      <c r="A3885" t="s">
        <v>45</v>
      </c>
      <c r="B3885" t="s">
        <v>46</v>
      </c>
      <c r="C3885" t="s">
        <v>47</v>
      </c>
      <c r="D3885">
        <v>8172636</v>
      </c>
      <c r="E3885" t="s">
        <v>48</v>
      </c>
      <c r="F3885" t="s">
        <v>49</v>
      </c>
      <c r="G3885" s="30">
        <v>0</v>
      </c>
    </row>
    <row r="3886" spans="1:7" x14ac:dyDescent="0.25">
      <c r="A3886" t="s">
        <v>133</v>
      </c>
      <c r="B3886" t="s">
        <v>134</v>
      </c>
      <c r="C3886" t="s">
        <v>47</v>
      </c>
      <c r="D3886">
        <v>8172699</v>
      </c>
      <c r="E3886" t="s">
        <v>53</v>
      </c>
      <c r="F3886" t="s">
        <v>49</v>
      </c>
      <c r="G3886" s="30">
        <v>152741.45838369601</v>
      </c>
    </row>
    <row r="3887" spans="1:7" x14ac:dyDescent="0.25">
      <c r="A3887" t="s">
        <v>54</v>
      </c>
      <c r="B3887" t="s">
        <v>55</v>
      </c>
      <c r="C3887" t="s">
        <v>56</v>
      </c>
      <c r="D3887">
        <v>8173323</v>
      </c>
      <c r="E3887" t="s">
        <v>53</v>
      </c>
      <c r="F3887" t="s">
        <v>49</v>
      </c>
      <c r="G3887" s="30">
        <v>27957.972997107699</v>
      </c>
    </row>
    <row r="3888" spans="1:7" x14ac:dyDescent="0.25">
      <c r="A3888" t="s">
        <v>45</v>
      </c>
      <c r="B3888" t="s">
        <v>46</v>
      </c>
      <c r="C3888" t="s">
        <v>47</v>
      </c>
      <c r="D3888">
        <v>8174276</v>
      </c>
      <c r="E3888" t="s">
        <v>48</v>
      </c>
      <c r="F3888" t="s">
        <v>49</v>
      </c>
      <c r="G3888" s="30">
        <v>0</v>
      </c>
    </row>
    <row r="3889" spans="1:7" x14ac:dyDescent="0.25">
      <c r="A3889" t="s">
        <v>50</v>
      </c>
      <c r="B3889" t="s">
        <v>51</v>
      </c>
      <c r="C3889" t="s">
        <v>52</v>
      </c>
      <c r="D3889">
        <v>8174529</v>
      </c>
      <c r="E3889" t="s">
        <v>53</v>
      </c>
      <c r="F3889" t="s">
        <v>49</v>
      </c>
      <c r="G3889" s="30">
        <v>600.5</v>
      </c>
    </row>
    <row r="3890" spans="1:7" x14ac:dyDescent="0.25">
      <c r="A3890" t="s">
        <v>96</v>
      </c>
      <c r="B3890" t="s">
        <v>97</v>
      </c>
      <c r="C3890" t="s">
        <v>81</v>
      </c>
      <c r="D3890">
        <v>8174612</v>
      </c>
      <c r="E3890" t="s">
        <v>53</v>
      </c>
      <c r="F3890" t="s">
        <v>49</v>
      </c>
      <c r="G3890" s="30">
        <v>221986.93065837899</v>
      </c>
    </row>
    <row r="3891" spans="1:7" x14ac:dyDescent="0.25">
      <c r="A3891" t="s">
        <v>45</v>
      </c>
      <c r="B3891" t="s">
        <v>46</v>
      </c>
      <c r="C3891" t="s">
        <v>47</v>
      </c>
      <c r="D3891">
        <v>8175805</v>
      </c>
      <c r="E3891" t="s">
        <v>48</v>
      </c>
      <c r="F3891" t="s">
        <v>49</v>
      </c>
      <c r="G3891" s="30">
        <v>0</v>
      </c>
    </row>
    <row r="3892" spans="1:7" x14ac:dyDescent="0.25">
      <c r="A3892" t="s">
        <v>45</v>
      </c>
      <c r="B3892" t="s">
        <v>46</v>
      </c>
      <c r="C3892" t="s">
        <v>47</v>
      </c>
      <c r="D3892">
        <v>8177461</v>
      </c>
      <c r="E3892" t="s">
        <v>48</v>
      </c>
      <c r="F3892" t="s">
        <v>49</v>
      </c>
      <c r="G3892" s="30">
        <v>0</v>
      </c>
    </row>
    <row r="3893" spans="1:7" x14ac:dyDescent="0.25">
      <c r="A3893" t="s">
        <v>45</v>
      </c>
      <c r="B3893" t="s">
        <v>46</v>
      </c>
      <c r="C3893" t="s">
        <v>47</v>
      </c>
      <c r="D3893">
        <v>8178410</v>
      </c>
      <c r="E3893" t="s">
        <v>48</v>
      </c>
      <c r="F3893" t="s">
        <v>49</v>
      </c>
      <c r="G3893" s="30">
        <v>0</v>
      </c>
    </row>
    <row r="3894" spans="1:7" x14ac:dyDescent="0.25">
      <c r="A3894" t="s">
        <v>118</v>
      </c>
      <c r="B3894" t="s">
        <v>119</v>
      </c>
      <c r="C3894" t="s">
        <v>56</v>
      </c>
      <c r="D3894">
        <v>8180079</v>
      </c>
      <c r="E3894" t="s">
        <v>53</v>
      </c>
      <c r="F3894" t="s">
        <v>49</v>
      </c>
      <c r="G3894" s="30">
        <v>125355.524338913</v>
      </c>
    </row>
    <row r="3895" spans="1:7" x14ac:dyDescent="0.25">
      <c r="A3895" t="s">
        <v>54</v>
      </c>
      <c r="B3895" t="s">
        <v>55</v>
      </c>
      <c r="C3895" t="s">
        <v>56</v>
      </c>
      <c r="D3895">
        <v>8181771</v>
      </c>
      <c r="E3895" t="s">
        <v>53</v>
      </c>
      <c r="F3895" t="s">
        <v>49</v>
      </c>
      <c r="G3895" s="30">
        <v>929630.93971259799</v>
      </c>
    </row>
    <row r="3896" spans="1:7" x14ac:dyDescent="0.25">
      <c r="A3896" t="s">
        <v>50</v>
      </c>
      <c r="B3896" t="s">
        <v>51</v>
      </c>
      <c r="C3896" t="s">
        <v>52</v>
      </c>
      <c r="D3896">
        <v>8182732</v>
      </c>
      <c r="E3896" t="s">
        <v>53</v>
      </c>
      <c r="F3896" t="s">
        <v>49</v>
      </c>
      <c r="G3896" s="30">
        <v>2462.04774642335</v>
      </c>
    </row>
    <row r="3897" spans="1:7" x14ac:dyDescent="0.25">
      <c r="A3897" t="s">
        <v>45</v>
      </c>
      <c r="B3897" t="s">
        <v>46</v>
      </c>
      <c r="C3897" t="s">
        <v>47</v>
      </c>
      <c r="D3897">
        <v>8183395</v>
      </c>
      <c r="E3897" t="s">
        <v>53</v>
      </c>
      <c r="F3897" t="s">
        <v>49</v>
      </c>
      <c r="G3897" s="30">
        <v>3916.2131135166801</v>
      </c>
    </row>
    <row r="3898" spans="1:7" x14ac:dyDescent="0.25">
      <c r="A3898" t="s">
        <v>133</v>
      </c>
      <c r="B3898" t="s">
        <v>134</v>
      </c>
      <c r="C3898" t="s">
        <v>47</v>
      </c>
      <c r="D3898">
        <v>8186850</v>
      </c>
      <c r="E3898" t="s">
        <v>53</v>
      </c>
      <c r="F3898" t="s">
        <v>49</v>
      </c>
      <c r="G3898" s="30">
        <v>313938.34339484299</v>
      </c>
    </row>
    <row r="3899" spans="1:7" x14ac:dyDescent="0.25">
      <c r="A3899" t="s">
        <v>82</v>
      </c>
      <c r="B3899" t="s">
        <v>83</v>
      </c>
      <c r="C3899" t="s">
        <v>56</v>
      </c>
      <c r="D3899">
        <v>8188869</v>
      </c>
      <c r="E3899" t="s">
        <v>53</v>
      </c>
      <c r="F3899" t="s">
        <v>49</v>
      </c>
      <c r="G3899" s="30">
        <v>1113164.0390717001</v>
      </c>
    </row>
    <row r="3900" spans="1:7" x14ac:dyDescent="0.25">
      <c r="A3900" t="s">
        <v>45</v>
      </c>
      <c r="B3900" t="s">
        <v>46</v>
      </c>
      <c r="C3900" t="s">
        <v>47</v>
      </c>
      <c r="D3900">
        <v>8192456</v>
      </c>
      <c r="E3900" t="s">
        <v>48</v>
      </c>
      <c r="F3900" t="s">
        <v>49</v>
      </c>
      <c r="G3900" s="30">
        <v>0</v>
      </c>
    </row>
    <row r="3901" spans="1:7" x14ac:dyDescent="0.25">
      <c r="A3901" t="s">
        <v>50</v>
      </c>
      <c r="B3901" t="s">
        <v>51</v>
      </c>
      <c r="C3901" t="s">
        <v>52</v>
      </c>
      <c r="D3901">
        <v>8196273</v>
      </c>
      <c r="E3901" t="s">
        <v>53</v>
      </c>
      <c r="F3901" t="s">
        <v>49</v>
      </c>
      <c r="G3901" s="30">
        <v>22499.209549531799</v>
      </c>
    </row>
    <row r="3902" spans="1:7" x14ac:dyDescent="0.25">
      <c r="A3902" t="s">
        <v>61</v>
      </c>
      <c r="B3902" t="s">
        <v>62</v>
      </c>
      <c r="C3902" t="s">
        <v>56</v>
      </c>
      <c r="D3902">
        <v>8201546</v>
      </c>
      <c r="E3902" t="s">
        <v>48</v>
      </c>
      <c r="F3902" t="s">
        <v>49</v>
      </c>
      <c r="G3902" s="30">
        <v>0</v>
      </c>
    </row>
    <row r="3903" spans="1:7" x14ac:dyDescent="0.25">
      <c r="A3903" t="s">
        <v>45</v>
      </c>
      <c r="B3903" t="s">
        <v>46</v>
      </c>
      <c r="C3903" t="s">
        <v>47</v>
      </c>
      <c r="D3903">
        <v>8203753</v>
      </c>
      <c r="E3903" t="s">
        <v>48</v>
      </c>
      <c r="F3903" t="s">
        <v>49</v>
      </c>
      <c r="G3903" s="30">
        <v>0</v>
      </c>
    </row>
    <row r="3904" spans="1:7" x14ac:dyDescent="0.25">
      <c r="A3904" t="s">
        <v>45</v>
      </c>
      <c r="B3904" t="s">
        <v>46</v>
      </c>
      <c r="C3904" t="s">
        <v>47</v>
      </c>
      <c r="D3904">
        <v>8203936</v>
      </c>
      <c r="E3904" t="s">
        <v>48</v>
      </c>
      <c r="F3904" t="s">
        <v>49</v>
      </c>
      <c r="G3904" s="30">
        <v>0</v>
      </c>
    </row>
    <row r="3905" spans="1:7" x14ac:dyDescent="0.25">
      <c r="A3905" t="s">
        <v>79</v>
      </c>
      <c r="B3905" t="s">
        <v>80</v>
      </c>
      <c r="C3905" t="s">
        <v>81</v>
      </c>
      <c r="D3905">
        <v>8204780</v>
      </c>
      <c r="E3905" t="s">
        <v>53</v>
      </c>
      <c r="F3905" t="s">
        <v>49</v>
      </c>
      <c r="G3905" s="30">
        <v>47005.3438138005</v>
      </c>
    </row>
    <row r="3906" spans="1:7" x14ac:dyDescent="0.25">
      <c r="A3906" t="s">
        <v>45</v>
      </c>
      <c r="B3906" t="s">
        <v>46</v>
      </c>
      <c r="C3906" t="s">
        <v>47</v>
      </c>
      <c r="D3906">
        <v>8205160</v>
      </c>
      <c r="E3906" t="s">
        <v>53</v>
      </c>
      <c r="F3906" t="s">
        <v>49</v>
      </c>
      <c r="G3906" s="30">
        <v>1000</v>
      </c>
    </row>
    <row r="3907" spans="1:7" x14ac:dyDescent="0.25">
      <c r="A3907" t="s">
        <v>96</v>
      </c>
      <c r="B3907" t="s">
        <v>97</v>
      </c>
      <c r="C3907" t="s">
        <v>81</v>
      </c>
      <c r="D3907">
        <v>8205412</v>
      </c>
      <c r="E3907" t="s">
        <v>48</v>
      </c>
      <c r="F3907" t="s">
        <v>49</v>
      </c>
      <c r="G3907" s="30">
        <v>0</v>
      </c>
    </row>
    <row r="3908" spans="1:7" x14ac:dyDescent="0.25">
      <c r="A3908" t="s">
        <v>45</v>
      </c>
      <c r="B3908" t="s">
        <v>46</v>
      </c>
      <c r="C3908" t="s">
        <v>47</v>
      </c>
      <c r="D3908">
        <v>8208022</v>
      </c>
      <c r="E3908" t="s">
        <v>53</v>
      </c>
      <c r="F3908" t="s">
        <v>49</v>
      </c>
      <c r="G3908" s="30">
        <v>8945.2404016476503</v>
      </c>
    </row>
    <row r="3909" spans="1:7" x14ac:dyDescent="0.25">
      <c r="A3909" t="s">
        <v>54</v>
      </c>
      <c r="B3909" t="s">
        <v>55</v>
      </c>
      <c r="C3909" t="s">
        <v>56</v>
      </c>
      <c r="D3909">
        <v>8212518</v>
      </c>
      <c r="E3909" t="s">
        <v>53</v>
      </c>
      <c r="F3909" t="s">
        <v>49</v>
      </c>
      <c r="G3909" s="30">
        <v>186640.96186880901</v>
      </c>
    </row>
    <row r="3910" spans="1:7" x14ac:dyDescent="0.25">
      <c r="A3910" t="s">
        <v>50</v>
      </c>
      <c r="B3910" t="s">
        <v>51</v>
      </c>
      <c r="C3910" t="s">
        <v>52</v>
      </c>
      <c r="D3910">
        <v>8213731</v>
      </c>
      <c r="E3910" t="s">
        <v>53</v>
      </c>
      <c r="F3910" t="s">
        <v>49</v>
      </c>
      <c r="G3910" s="30">
        <v>660.211235633059</v>
      </c>
    </row>
    <row r="3911" spans="1:7" x14ac:dyDescent="0.25">
      <c r="A3911" t="s">
        <v>118</v>
      </c>
      <c r="B3911" t="s">
        <v>119</v>
      </c>
      <c r="C3911" t="s">
        <v>56</v>
      </c>
      <c r="D3911">
        <v>8213793</v>
      </c>
      <c r="E3911" t="s">
        <v>53</v>
      </c>
      <c r="F3911" t="s">
        <v>49</v>
      </c>
      <c r="G3911" s="30">
        <v>26052.219031093398</v>
      </c>
    </row>
    <row r="3912" spans="1:7" x14ac:dyDescent="0.25">
      <c r="A3912" t="s">
        <v>118</v>
      </c>
      <c r="B3912" t="s">
        <v>119</v>
      </c>
      <c r="C3912" t="s">
        <v>56</v>
      </c>
      <c r="D3912">
        <v>8213834</v>
      </c>
      <c r="E3912" t="s">
        <v>53</v>
      </c>
      <c r="F3912" t="s">
        <v>49</v>
      </c>
      <c r="G3912" s="30">
        <v>673473.09903139598</v>
      </c>
    </row>
    <row r="3913" spans="1:7" x14ac:dyDescent="0.25">
      <c r="A3913" t="s">
        <v>45</v>
      </c>
      <c r="B3913" t="s">
        <v>46</v>
      </c>
      <c r="C3913" t="s">
        <v>47</v>
      </c>
      <c r="D3913">
        <v>8215036</v>
      </c>
      <c r="E3913" t="s">
        <v>53</v>
      </c>
      <c r="F3913" t="s">
        <v>167</v>
      </c>
      <c r="G3913" s="30">
        <v>100</v>
      </c>
    </row>
    <row r="3914" spans="1:7" x14ac:dyDescent="0.25">
      <c r="A3914" t="s">
        <v>88</v>
      </c>
      <c r="B3914" t="s">
        <v>89</v>
      </c>
      <c r="C3914" t="s">
        <v>78</v>
      </c>
      <c r="D3914">
        <v>8218753</v>
      </c>
      <c r="E3914" t="s">
        <v>53</v>
      </c>
      <c r="F3914" t="s">
        <v>49</v>
      </c>
      <c r="G3914" s="30">
        <v>168165.91355088199</v>
      </c>
    </row>
    <row r="3915" spans="1:7" x14ac:dyDescent="0.25">
      <c r="A3915" t="s">
        <v>45</v>
      </c>
      <c r="B3915" t="s">
        <v>46</v>
      </c>
      <c r="C3915" t="s">
        <v>47</v>
      </c>
      <c r="D3915">
        <v>8220043</v>
      </c>
      <c r="E3915" t="s">
        <v>48</v>
      </c>
      <c r="F3915" t="s">
        <v>49</v>
      </c>
      <c r="G3915" s="30">
        <v>0</v>
      </c>
    </row>
    <row r="3916" spans="1:7" x14ac:dyDescent="0.25">
      <c r="A3916" t="s">
        <v>45</v>
      </c>
      <c r="B3916" t="s">
        <v>46</v>
      </c>
      <c r="C3916" t="s">
        <v>47</v>
      </c>
      <c r="D3916">
        <v>8221202</v>
      </c>
      <c r="E3916" t="s">
        <v>53</v>
      </c>
      <c r="F3916" t="s">
        <v>49</v>
      </c>
      <c r="G3916" s="30">
        <v>73.312369232290294</v>
      </c>
    </row>
    <row r="3917" spans="1:7" x14ac:dyDescent="0.25">
      <c r="A3917" t="s">
        <v>45</v>
      </c>
      <c r="B3917" t="s">
        <v>46</v>
      </c>
      <c r="C3917" t="s">
        <v>47</v>
      </c>
      <c r="D3917">
        <v>8221799</v>
      </c>
      <c r="E3917" t="s">
        <v>53</v>
      </c>
      <c r="F3917" t="s">
        <v>49</v>
      </c>
      <c r="G3917" s="30">
        <v>1089.9000000000001</v>
      </c>
    </row>
    <row r="3918" spans="1:7" x14ac:dyDescent="0.25">
      <c r="A3918" t="s">
        <v>45</v>
      </c>
      <c r="B3918" t="s">
        <v>46</v>
      </c>
      <c r="C3918" t="s">
        <v>47</v>
      </c>
      <c r="D3918">
        <v>8222025</v>
      </c>
      <c r="E3918" t="s">
        <v>48</v>
      </c>
      <c r="F3918" t="s">
        <v>49</v>
      </c>
      <c r="G3918" s="30">
        <v>0</v>
      </c>
    </row>
    <row r="3919" spans="1:7" x14ac:dyDescent="0.25">
      <c r="A3919" t="s">
        <v>94</v>
      </c>
      <c r="B3919" t="s">
        <v>95</v>
      </c>
      <c r="C3919" t="s">
        <v>78</v>
      </c>
      <c r="D3919">
        <v>8224149</v>
      </c>
      <c r="E3919" t="s">
        <v>53</v>
      </c>
      <c r="F3919" t="s">
        <v>49</v>
      </c>
      <c r="G3919" s="30">
        <v>466676.06197691202</v>
      </c>
    </row>
    <row r="3920" spans="1:7" x14ac:dyDescent="0.25">
      <c r="A3920" t="s">
        <v>45</v>
      </c>
      <c r="B3920" t="s">
        <v>46</v>
      </c>
      <c r="C3920" t="s">
        <v>47</v>
      </c>
      <c r="D3920">
        <v>8225205</v>
      </c>
      <c r="E3920" t="s">
        <v>48</v>
      </c>
      <c r="F3920" t="s">
        <v>49</v>
      </c>
      <c r="G3920" s="30">
        <v>0</v>
      </c>
    </row>
    <row r="3921" spans="1:7" x14ac:dyDescent="0.25">
      <c r="A3921" t="s">
        <v>50</v>
      </c>
      <c r="B3921" t="s">
        <v>51</v>
      </c>
      <c r="C3921" t="s">
        <v>52</v>
      </c>
      <c r="D3921">
        <v>8227433</v>
      </c>
      <c r="E3921" t="s">
        <v>53</v>
      </c>
      <c r="F3921" t="s">
        <v>49</v>
      </c>
      <c r="G3921" s="30">
        <v>28192.7949100353</v>
      </c>
    </row>
    <row r="3922" spans="1:7" x14ac:dyDescent="0.25">
      <c r="A3922" t="s">
        <v>118</v>
      </c>
      <c r="B3922" t="s">
        <v>119</v>
      </c>
      <c r="C3922" t="s">
        <v>56</v>
      </c>
      <c r="D3922">
        <v>8228767</v>
      </c>
      <c r="E3922" t="s">
        <v>53</v>
      </c>
      <c r="F3922" t="s">
        <v>49</v>
      </c>
      <c r="G3922" s="30">
        <v>43000.294952170698</v>
      </c>
    </row>
    <row r="3923" spans="1:7" x14ac:dyDescent="0.25">
      <c r="A3923" t="s">
        <v>118</v>
      </c>
      <c r="B3923" t="s">
        <v>119</v>
      </c>
      <c r="C3923" t="s">
        <v>56</v>
      </c>
      <c r="D3923">
        <v>8228825</v>
      </c>
      <c r="E3923" t="s">
        <v>48</v>
      </c>
      <c r="F3923" t="s">
        <v>49</v>
      </c>
      <c r="G3923" s="30">
        <v>0</v>
      </c>
    </row>
    <row r="3924" spans="1:7" x14ac:dyDescent="0.25">
      <c r="A3924" t="s">
        <v>50</v>
      </c>
      <c r="B3924" t="s">
        <v>51</v>
      </c>
      <c r="C3924" t="s">
        <v>52</v>
      </c>
      <c r="D3924">
        <v>8230280</v>
      </c>
      <c r="E3924" t="s">
        <v>53</v>
      </c>
      <c r="F3924" t="s">
        <v>49</v>
      </c>
      <c r="G3924" s="30">
        <v>245.262535948059</v>
      </c>
    </row>
    <row r="3925" spans="1:7" x14ac:dyDescent="0.25">
      <c r="A3925" t="s">
        <v>65</v>
      </c>
      <c r="B3925" t="s">
        <v>66</v>
      </c>
      <c r="C3925" t="s">
        <v>67</v>
      </c>
      <c r="D3925">
        <v>8230475</v>
      </c>
      <c r="E3925" t="s">
        <v>53</v>
      </c>
      <c r="F3925" t="s">
        <v>49</v>
      </c>
      <c r="G3925" s="30">
        <v>655859.11921875097</v>
      </c>
    </row>
    <row r="3926" spans="1:7" x14ac:dyDescent="0.25">
      <c r="A3926" t="s">
        <v>102</v>
      </c>
      <c r="B3926" t="s">
        <v>103</v>
      </c>
      <c r="C3926" t="s">
        <v>47</v>
      </c>
      <c r="D3926">
        <v>8231103</v>
      </c>
      <c r="E3926" t="s">
        <v>53</v>
      </c>
      <c r="F3926" t="s">
        <v>49</v>
      </c>
      <c r="G3926" s="30">
        <v>53283.4981203262</v>
      </c>
    </row>
    <row r="3927" spans="1:7" x14ac:dyDescent="0.25">
      <c r="A3927" t="s">
        <v>45</v>
      </c>
      <c r="B3927" t="s">
        <v>46</v>
      </c>
      <c r="C3927" t="s">
        <v>47</v>
      </c>
      <c r="D3927">
        <v>8231832</v>
      </c>
      <c r="E3927" t="s">
        <v>53</v>
      </c>
      <c r="F3927" t="s">
        <v>49</v>
      </c>
      <c r="G3927" s="30">
        <v>25704.816884765602</v>
      </c>
    </row>
    <row r="3928" spans="1:7" x14ac:dyDescent="0.25">
      <c r="A3928" t="s">
        <v>50</v>
      </c>
      <c r="B3928" t="s">
        <v>51</v>
      </c>
      <c r="C3928" t="s">
        <v>52</v>
      </c>
      <c r="D3928">
        <v>8232841</v>
      </c>
      <c r="E3928" t="s">
        <v>53</v>
      </c>
      <c r="F3928" t="s">
        <v>49</v>
      </c>
      <c r="G3928" s="30">
        <v>65086.9852609843</v>
      </c>
    </row>
    <row r="3929" spans="1:7" x14ac:dyDescent="0.25">
      <c r="A3929" t="s">
        <v>45</v>
      </c>
      <c r="B3929" t="s">
        <v>46</v>
      </c>
      <c r="C3929" t="s">
        <v>47</v>
      </c>
      <c r="D3929">
        <v>8233373</v>
      </c>
      <c r="E3929" t="s">
        <v>48</v>
      </c>
      <c r="F3929" t="s">
        <v>49</v>
      </c>
      <c r="G3929" s="30">
        <v>0</v>
      </c>
    </row>
    <row r="3930" spans="1:7" x14ac:dyDescent="0.25">
      <c r="A3930" t="s">
        <v>45</v>
      </c>
      <c r="B3930" t="s">
        <v>46</v>
      </c>
      <c r="C3930" t="s">
        <v>47</v>
      </c>
      <c r="D3930">
        <v>8236274</v>
      </c>
      <c r="E3930" t="s">
        <v>48</v>
      </c>
      <c r="F3930" t="s">
        <v>49</v>
      </c>
      <c r="G3930" s="30">
        <v>0</v>
      </c>
    </row>
    <row r="3931" spans="1:7" x14ac:dyDescent="0.25">
      <c r="A3931" t="s">
        <v>45</v>
      </c>
      <c r="B3931" t="s">
        <v>46</v>
      </c>
      <c r="C3931" t="s">
        <v>47</v>
      </c>
      <c r="D3931">
        <v>8239070</v>
      </c>
      <c r="E3931" t="s">
        <v>48</v>
      </c>
      <c r="F3931" t="s">
        <v>49</v>
      </c>
      <c r="G3931" s="30">
        <v>0</v>
      </c>
    </row>
    <row r="3932" spans="1:7" x14ac:dyDescent="0.25">
      <c r="A3932" t="s">
        <v>45</v>
      </c>
      <c r="B3932" t="s">
        <v>46</v>
      </c>
      <c r="C3932" t="s">
        <v>47</v>
      </c>
      <c r="D3932">
        <v>8319297</v>
      </c>
      <c r="E3932" t="s">
        <v>53</v>
      </c>
      <c r="F3932" t="s">
        <v>49</v>
      </c>
      <c r="G3932" s="30">
        <v>194781.54277020699</v>
      </c>
    </row>
    <row r="3933" spans="1:7" x14ac:dyDescent="0.25">
      <c r="A3933" t="s">
        <v>133</v>
      </c>
      <c r="B3933" t="s">
        <v>134</v>
      </c>
      <c r="C3933" t="s">
        <v>47</v>
      </c>
      <c r="D3933">
        <v>8324478</v>
      </c>
      <c r="E3933" t="s">
        <v>53</v>
      </c>
      <c r="F3933" t="s">
        <v>49</v>
      </c>
      <c r="G3933" s="30">
        <v>144.31</v>
      </c>
    </row>
    <row r="3934" spans="1:7" x14ac:dyDescent="0.25">
      <c r="A3934" t="s">
        <v>82</v>
      </c>
      <c r="B3934" t="s">
        <v>83</v>
      </c>
      <c r="C3934" t="s">
        <v>56</v>
      </c>
      <c r="D3934">
        <v>8324681</v>
      </c>
      <c r="E3934" t="s">
        <v>53</v>
      </c>
      <c r="F3934" t="s">
        <v>49</v>
      </c>
      <c r="G3934" s="30">
        <v>126.87609201423</v>
      </c>
    </row>
    <row r="3935" spans="1:7" x14ac:dyDescent="0.25">
      <c r="A3935" t="s">
        <v>45</v>
      </c>
      <c r="B3935" t="s">
        <v>46</v>
      </c>
      <c r="C3935" t="s">
        <v>47</v>
      </c>
      <c r="D3935">
        <v>8329039</v>
      </c>
      <c r="E3935" t="s">
        <v>48</v>
      </c>
      <c r="F3935" t="s">
        <v>49</v>
      </c>
      <c r="G3935" s="30">
        <v>0</v>
      </c>
    </row>
    <row r="3936" spans="1:7" x14ac:dyDescent="0.25">
      <c r="A3936" t="s">
        <v>45</v>
      </c>
      <c r="B3936" t="s">
        <v>46</v>
      </c>
      <c r="C3936" t="s">
        <v>47</v>
      </c>
      <c r="D3936">
        <v>8330315</v>
      </c>
      <c r="E3936" t="s">
        <v>48</v>
      </c>
      <c r="F3936" t="s">
        <v>49</v>
      </c>
      <c r="G3936" s="30">
        <v>0</v>
      </c>
    </row>
    <row r="3937" spans="1:7" x14ac:dyDescent="0.25">
      <c r="A3937" t="s">
        <v>45</v>
      </c>
      <c r="B3937" t="s">
        <v>46</v>
      </c>
      <c r="C3937" t="s">
        <v>47</v>
      </c>
      <c r="D3937">
        <v>8332162</v>
      </c>
      <c r="E3937" t="s">
        <v>48</v>
      </c>
      <c r="F3937" t="s">
        <v>49</v>
      </c>
      <c r="G3937" s="30">
        <v>0</v>
      </c>
    </row>
    <row r="3938" spans="1:7" x14ac:dyDescent="0.25">
      <c r="A3938" t="s">
        <v>116</v>
      </c>
      <c r="B3938" t="s">
        <v>117</v>
      </c>
      <c r="C3938" t="s">
        <v>47</v>
      </c>
      <c r="D3938">
        <v>8332607</v>
      </c>
      <c r="E3938" t="s">
        <v>53</v>
      </c>
      <c r="F3938" t="s">
        <v>49</v>
      </c>
      <c r="G3938" s="30">
        <v>626208.25659179699</v>
      </c>
    </row>
    <row r="3939" spans="1:7" x14ac:dyDescent="0.25">
      <c r="A3939" t="s">
        <v>68</v>
      </c>
      <c r="B3939" t="s">
        <v>69</v>
      </c>
      <c r="C3939" t="s">
        <v>56</v>
      </c>
      <c r="D3939">
        <v>8333958</v>
      </c>
      <c r="E3939" t="s">
        <v>53</v>
      </c>
      <c r="F3939" t="s">
        <v>49</v>
      </c>
      <c r="G3939" s="30">
        <v>11527.7095727539</v>
      </c>
    </row>
    <row r="3940" spans="1:7" x14ac:dyDescent="0.25">
      <c r="A3940" t="s">
        <v>118</v>
      </c>
      <c r="B3940" t="s">
        <v>119</v>
      </c>
      <c r="C3940" t="s">
        <v>56</v>
      </c>
      <c r="D3940">
        <v>8334148</v>
      </c>
      <c r="E3940" t="s">
        <v>53</v>
      </c>
      <c r="F3940" t="s">
        <v>49</v>
      </c>
      <c r="G3940" s="30">
        <v>17442.610669381302</v>
      </c>
    </row>
    <row r="3941" spans="1:7" x14ac:dyDescent="0.25">
      <c r="A3941" t="s">
        <v>118</v>
      </c>
      <c r="B3941" t="s">
        <v>119</v>
      </c>
      <c r="C3941" t="s">
        <v>56</v>
      </c>
      <c r="D3941">
        <v>8337500</v>
      </c>
      <c r="E3941" t="s">
        <v>53</v>
      </c>
      <c r="F3941" t="s">
        <v>49</v>
      </c>
      <c r="G3941" s="30">
        <v>81028.090019592593</v>
      </c>
    </row>
    <row r="3942" spans="1:7" x14ac:dyDescent="0.25">
      <c r="A3942" t="s">
        <v>45</v>
      </c>
      <c r="B3942" t="s">
        <v>46</v>
      </c>
      <c r="C3942" t="s">
        <v>47</v>
      </c>
      <c r="D3942">
        <v>8338229</v>
      </c>
      <c r="E3942" t="s">
        <v>48</v>
      </c>
      <c r="F3942" t="s">
        <v>49</v>
      </c>
      <c r="G3942" s="30">
        <v>74.75</v>
      </c>
    </row>
    <row r="3943" spans="1:7" x14ac:dyDescent="0.25">
      <c r="A3943" t="s">
        <v>45</v>
      </c>
      <c r="B3943" t="s">
        <v>46</v>
      </c>
      <c r="C3943" t="s">
        <v>47</v>
      </c>
      <c r="D3943">
        <v>8355637</v>
      </c>
      <c r="E3943" t="s">
        <v>48</v>
      </c>
      <c r="F3943" t="s">
        <v>49</v>
      </c>
      <c r="G3943" s="30">
        <v>0</v>
      </c>
    </row>
    <row r="3944" spans="1:7" x14ac:dyDescent="0.25">
      <c r="A3944" t="s">
        <v>45</v>
      </c>
      <c r="B3944" t="s">
        <v>46</v>
      </c>
      <c r="C3944" t="s">
        <v>47</v>
      </c>
      <c r="D3944">
        <v>8356460</v>
      </c>
      <c r="E3944" t="s">
        <v>48</v>
      </c>
      <c r="F3944" t="s">
        <v>49</v>
      </c>
      <c r="G3944" s="30">
        <v>0</v>
      </c>
    </row>
    <row r="3945" spans="1:7" x14ac:dyDescent="0.25">
      <c r="A3945" t="s">
        <v>118</v>
      </c>
      <c r="B3945" t="s">
        <v>119</v>
      </c>
      <c r="C3945" t="s">
        <v>56</v>
      </c>
      <c r="D3945">
        <v>8357855</v>
      </c>
      <c r="E3945" t="s">
        <v>53</v>
      </c>
      <c r="F3945" t="s">
        <v>49</v>
      </c>
      <c r="G3945" s="30">
        <v>363129.42603407701</v>
      </c>
    </row>
    <row r="3946" spans="1:7" x14ac:dyDescent="0.25">
      <c r="A3946" t="s">
        <v>90</v>
      </c>
      <c r="B3946" t="s">
        <v>91</v>
      </c>
      <c r="C3946" t="s">
        <v>81</v>
      </c>
      <c r="D3946">
        <v>8358415</v>
      </c>
      <c r="E3946" t="s">
        <v>48</v>
      </c>
      <c r="F3946" t="s">
        <v>49</v>
      </c>
      <c r="G3946" s="30">
        <v>0</v>
      </c>
    </row>
    <row r="3947" spans="1:7" x14ac:dyDescent="0.25">
      <c r="A3947" t="s">
        <v>45</v>
      </c>
      <c r="B3947" t="s">
        <v>46</v>
      </c>
      <c r="C3947" t="s">
        <v>47</v>
      </c>
      <c r="D3947">
        <v>8358715</v>
      </c>
      <c r="E3947" t="s">
        <v>53</v>
      </c>
      <c r="F3947" t="s">
        <v>49</v>
      </c>
      <c r="G3947" s="30">
        <v>201.27</v>
      </c>
    </row>
    <row r="3948" spans="1:7" x14ac:dyDescent="0.25">
      <c r="A3948" t="s">
        <v>50</v>
      </c>
      <c r="B3948" t="s">
        <v>51</v>
      </c>
      <c r="C3948" t="s">
        <v>52</v>
      </c>
      <c r="D3948">
        <v>8360384</v>
      </c>
      <c r="E3948" t="s">
        <v>53</v>
      </c>
      <c r="F3948" t="s">
        <v>49</v>
      </c>
      <c r="G3948" s="30">
        <v>15976.56</v>
      </c>
    </row>
    <row r="3949" spans="1:7" x14ac:dyDescent="0.25">
      <c r="A3949" t="s">
        <v>92</v>
      </c>
      <c r="B3949" t="s">
        <v>93</v>
      </c>
      <c r="C3949" t="s">
        <v>81</v>
      </c>
      <c r="D3949">
        <v>8364293</v>
      </c>
      <c r="E3949" t="s">
        <v>53</v>
      </c>
      <c r="F3949" t="s">
        <v>49</v>
      </c>
      <c r="G3949" s="30">
        <v>23825.56</v>
      </c>
    </row>
    <row r="3950" spans="1:7" x14ac:dyDescent="0.25">
      <c r="A3950" t="s">
        <v>116</v>
      </c>
      <c r="B3950" t="s">
        <v>117</v>
      </c>
      <c r="C3950" t="s">
        <v>47</v>
      </c>
      <c r="D3950">
        <v>8365643</v>
      </c>
      <c r="E3950" t="s">
        <v>53</v>
      </c>
      <c r="F3950" t="s">
        <v>49</v>
      </c>
      <c r="G3950" s="30">
        <v>467820.269148427</v>
      </c>
    </row>
    <row r="3951" spans="1:7" x14ac:dyDescent="0.25">
      <c r="A3951" t="s">
        <v>61</v>
      </c>
      <c r="B3951" t="s">
        <v>62</v>
      </c>
      <c r="C3951" t="s">
        <v>56</v>
      </c>
      <c r="D3951">
        <v>8366466</v>
      </c>
      <c r="E3951" t="s">
        <v>53</v>
      </c>
      <c r="F3951" t="s">
        <v>49</v>
      </c>
      <c r="G3951" s="30">
        <v>131514.40601252901</v>
      </c>
    </row>
    <row r="3952" spans="1:7" x14ac:dyDescent="0.25">
      <c r="A3952" t="s">
        <v>50</v>
      </c>
      <c r="B3952" t="s">
        <v>51</v>
      </c>
      <c r="C3952" t="s">
        <v>52</v>
      </c>
      <c r="D3952">
        <v>8370503</v>
      </c>
      <c r="E3952" t="s">
        <v>53</v>
      </c>
      <c r="F3952" t="s">
        <v>49</v>
      </c>
      <c r="G3952" s="30">
        <v>103.01</v>
      </c>
    </row>
    <row r="3953" spans="1:7" x14ac:dyDescent="0.25">
      <c r="A3953" t="s">
        <v>45</v>
      </c>
      <c r="B3953" t="s">
        <v>46</v>
      </c>
      <c r="C3953" t="s">
        <v>47</v>
      </c>
      <c r="D3953">
        <v>8378524</v>
      </c>
      <c r="E3953" t="s">
        <v>48</v>
      </c>
      <c r="F3953" t="s">
        <v>49</v>
      </c>
      <c r="G3953" s="30">
        <v>0</v>
      </c>
    </row>
    <row r="3954" spans="1:7" x14ac:dyDescent="0.25">
      <c r="A3954" t="s">
        <v>114</v>
      </c>
      <c r="B3954" t="s">
        <v>115</v>
      </c>
      <c r="C3954" t="s">
        <v>56</v>
      </c>
      <c r="D3954">
        <v>8382509</v>
      </c>
      <c r="E3954" t="s">
        <v>48</v>
      </c>
      <c r="F3954" t="s">
        <v>49</v>
      </c>
      <c r="G3954" s="30">
        <v>0</v>
      </c>
    </row>
    <row r="3955" spans="1:7" x14ac:dyDescent="0.25">
      <c r="A3955" t="s">
        <v>45</v>
      </c>
      <c r="B3955" t="s">
        <v>46</v>
      </c>
      <c r="C3955" t="s">
        <v>47</v>
      </c>
      <c r="D3955">
        <v>8391234</v>
      </c>
      <c r="E3955" t="s">
        <v>53</v>
      </c>
      <c r="F3955" t="s">
        <v>49</v>
      </c>
      <c r="G3955" s="30">
        <v>125084.09137604</v>
      </c>
    </row>
    <row r="3956" spans="1:7" x14ac:dyDescent="0.25">
      <c r="A3956" t="s">
        <v>50</v>
      </c>
      <c r="B3956" t="s">
        <v>51</v>
      </c>
      <c r="C3956" t="s">
        <v>52</v>
      </c>
      <c r="D3956">
        <v>8392541</v>
      </c>
      <c r="E3956" t="s">
        <v>53</v>
      </c>
      <c r="F3956" t="s">
        <v>49</v>
      </c>
      <c r="G3956" s="30">
        <v>117.97</v>
      </c>
    </row>
    <row r="3957" spans="1:7" x14ac:dyDescent="0.25">
      <c r="A3957" t="s">
        <v>116</v>
      </c>
      <c r="B3957" t="s">
        <v>117</v>
      </c>
      <c r="C3957" t="s">
        <v>47</v>
      </c>
      <c r="D3957">
        <v>8393868</v>
      </c>
      <c r="E3957" t="s">
        <v>53</v>
      </c>
      <c r="F3957" t="s">
        <v>49</v>
      </c>
      <c r="G3957" s="30">
        <v>471264.78991076403</v>
      </c>
    </row>
    <row r="3958" spans="1:7" x14ac:dyDescent="0.25">
      <c r="A3958" t="s">
        <v>54</v>
      </c>
      <c r="B3958" t="s">
        <v>55</v>
      </c>
      <c r="C3958" t="s">
        <v>56</v>
      </c>
      <c r="D3958">
        <v>8394115</v>
      </c>
      <c r="E3958" t="s">
        <v>53</v>
      </c>
      <c r="F3958" t="s">
        <v>49</v>
      </c>
      <c r="G3958" s="30">
        <v>621880.42064718599</v>
      </c>
    </row>
    <row r="3959" spans="1:7" x14ac:dyDescent="0.25">
      <c r="A3959" t="s">
        <v>50</v>
      </c>
      <c r="B3959" t="s">
        <v>51</v>
      </c>
      <c r="C3959" t="s">
        <v>52</v>
      </c>
      <c r="D3959">
        <v>8394474</v>
      </c>
      <c r="E3959" t="s">
        <v>48</v>
      </c>
      <c r="F3959" t="s">
        <v>49</v>
      </c>
      <c r="G3959" s="30">
        <v>0</v>
      </c>
    </row>
    <row r="3960" spans="1:7" x14ac:dyDescent="0.25">
      <c r="A3960" t="s">
        <v>50</v>
      </c>
      <c r="B3960" t="s">
        <v>51</v>
      </c>
      <c r="C3960" t="s">
        <v>52</v>
      </c>
      <c r="D3960">
        <v>8396405</v>
      </c>
      <c r="E3960" t="s">
        <v>48</v>
      </c>
      <c r="F3960" t="s">
        <v>49</v>
      </c>
      <c r="G3960" s="30">
        <v>0</v>
      </c>
    </row>
    <row r="3961" spans="1:7" x14ac:dyDescent="0.25">
      <c r="A3961" t="s">
        <v>50</v>
      </c>
      <c r="B3961" t="s">
        <v>51</v>
      </c>
      <c r="C3961" t="s">
        <v>52</v>
      </c>
      <c r="D3961">
        <v>8399509</v>
      </c>
      <c r="E3961" t="s">
        <v>53</v>
      </c>
      <c r="F3961" t="s">
        <v>49</v>
      </c>
      <c r="G3961" s="30">
        <v>1168.50839266872</v>
      </c>
    </row>
    <row r="3962" spans="1:7" x14ac:dyDescent="0.25">
      <c r="A3962" t="s">
        <v>68</v>
      </c>
      <c r="B3962" t="s">
        <v>69</v>
      </c>
      <c r="C3962" t="s">
        <v>56</v>
      </c>
      <c r="D3962">
        <v>8401669</v>
      </c>
      <c r="E3962" t="s">
        <v>53</v>
      </c>
      <c r="F3962" t="s">
        <v>49</v>
      </c>
      <c r="G3962" s="30">
        <v>64308.043801586602</v>
      </c>
    </row>
    <row r="3963" spans="1:7" x14ac:dyDescent="0.25">
      <c r="A3963" t="s">
        <v>116</v>
      </c>
      <c r="B3963" t="s">
        <v>117</v>
      </c>
      <c r="C3963" t="s">
        <v>47</v>
      </c>
      <c r="D3963">
        <v>8406437</v>
      </c>
      <c r="E3963" t="s">
        <v>53</v>
      </c>
      <c r="F3963" t="s">
        <v>49</v>
      </c>
      <c r="G3963" s="30">
        <v>629466.02320312499</v>
      </c>
    </row>
    <row r="3964" spans="1:7" x14ac:dyDescent="0.25">
      <c r="A3964" t="s">
        <v>50</v>
      </c>
      <c r="B3964" t="s">
        <v>51</v>
      </c>
      <c r="C3964" t="s">
        <v>52</v>
      </c>
      <c r="D3964">
        <v>8410641</v>
      </c>
      <c r="E3964" t="s">
        <v>48</v>
      </c>
      <c r="F3964" t="s">
        <v>49</v>
      </c>
      <c r="G3964" s="30">
        <v>0</v>
      </c>
    </row>
    <row r="3965" spans="1:7" x14ac:dyDescent="0.25">
      <c r="A3965" t="s">
        <v>61</v>
      </c>
      <c r="B3965" t="s">
        <v>62</v>
      </c>
      <c r="C3965" t="s">
        <v>56</v>
      </c>
      <c r="D3965">
        <v>8412698</v>
      </c>
      <c r="E3965" t="s">
        <v>48</v>
      </c>
      <c r="F3965" t="s">
        <v>49</v>
      </c>
      <c r="G3965" s="30">
        <v>0.44</v>
      </c>
    </row>
    <row r="3966" spans="1:7" x14ac:dyDescent="0.25">
      <c r="A3966" t="s">
        <v>50</v>
      </c>
      <c r="B3966" t="s">
        <v>51</v>
      </c>
      <c r="C3966" t="s">
        <v>52</v>
      </c>
      <c r="D3966">
        <v>8413495</v>
      </c>
      <c r="E3966" t="s">
        <v>53</v>
      </c>
      <c r="F3966" t="s">
        <v>49</v>
      </c>
      <c r="G3966" s="30">
        <v>39805.306076612404</v>
      </c>
    </row>
    <row r="3967" spans="1:7" x14ac:dyDescent="0.25">
      <c r="A3967" t="s">
        <v>118</v>
      </c>
      <c r="B3967" t="s">
        <v>119</v>
      </c>
      <c r="C3967" t="s">
        <v>56</v>
      </c>
      <c r="D3967">
        <v>8414026</v>
      </c>
      <c r="E3967" t="s">
        <v>53</v>
      </c>
      <c r="F3967" t="s">
        <v>49</v>
      </c>
      <c r="G3967" s="30">
        <v>122592.507364433</v>
      </c>
    </row>
    <row r="3968" spans="1:7" x14ac:dyDescent="0.25">
      <c r="A3968" t="s">
        <v>118</v>
      </c>
      <c r="B3968" t="s">
        <v>119</v>
      </c>
      <c r="C3968" t="s">
        <v>56</v>
      </c>
      <c r="D3968">
        <v>8414043</v>
      </c>
      <c r="E3968" t="s">
        <v>53</v>
      </c>
      <c r="F3968" t="s">
        <v>49</v>
      </c>
      <c r="G3968" s="30">
        <v>108537.578321465</v>
      </c>
    </row>
    <row r="3969" spans="1:7" x14ac:dyDescent="0.25">
      <c r="A3969" t="s">
        <v>86</v>
      </c>
      <c r="B3969" t="s">
        <v>87</v>
      </c>
      <c r="C3969" t="s">
        <v>78</v>
      </c>
      <c r="D3969">
        <v>8414463</v>
      </c>
      <c r="E3969" t="s">
        <v>53</v>
      </c>
      <c r="F3969" t="s">
        <v>49</v>
      </c>
      <c r="G3969" s="30">
        <v>281394.76993496902</v>
      </c>
    </row>
    <row r="3970" spans="1:7" x14ac:dyDescent="0.25">
      <c r="A3970" t="s">
        <v>104</v>
      </c>
      <c r="B3970" t="s">
        <v>105</v>
      </c>
      <c r="C3970" t="s">
        <v>78</v>
      </c>
      <c r="D3970">
        <v>8414590</v>
      </c>
      <c r="E3970" t="s">
        <v>53</v>
      </c>
      <c r="F3970" t="s">
        <v>49</v>
      </c>
      <c r="G3970" s="30">
        <v>108408.12094989201</v>
      </c>
    </row>
    <row r="3971" spans="1:7" x14ac:dyDescent="0.25">
      <c r="A3971" t="s">
        <v>45</v>
      </c>
      <c r="B3971" t="s">
        <v>46</v>
      </c>
      <c r="C3971" t="s">
        <v>47</v>
      </c>
      <c r="D3971">
        <v>8414650</v>
      </c>
      <c r="E3971" t="s">
        <v>53</v>
      </c>
      <c r="F3971" t="s">
        <v>49</v>
      </c>
      <c r="G3971" s="30">
        <v>8829.0464068374004</v>
      </c>
    </row>
    <row r="3972" spans="1:7" x14ac:dyDescent="0.25">
      <c r="A3972" t="s">
        <v>88</v>
      </c>
      <c r="B3972" t="s">
        <v>89</v>
      </c>
      <c r="C3972" t="s">
        <v>78</v>
      </c>
      <c r="D3972">
        <v>8416902</v>
      </c>
      <c r="E3972" t="s">
        <v>53</v>
      </c>
      <c r="F3972" t="s">
        <v>49</v>
      </c>
      <c r="G3972" s="30">
        <v>145465.88576719799</v>
      </c>
    </row>
    <row r="3973" spans="1:7" x14ac:dyDescent="0.25">
      <c r="A3973" t="s">
        <v>45</v>
      </c>
      <c r="B3973" t="s">
        <v>46</v>
      </c>
      <c r="C3973" t="s">
        <v>47</v>
      </c>
      <c r="D3973">
        <v>8417303</v>
      </c>
      <c r="E3973" t="s">
        <v>48</v>
      </c>
      <c r="F3973" t="s">
        <v>49</v>
      </c>
      <c r="G3973" s="30">
        <v>0</v>
      </c>
    </row>
    <row r="3974" spans="1:7" x14ac:dyDescent="0.25">
      <c r="A3974" t="s">
        <v>45</v>
      </c>
      <c r="B3974" t="s">
        <v>46</v>
      </c>
      <c r="C3974" t="s">
        <v>47</v>
      </c>
      <c r="D3974">
        <v>8417890</v>
      </c>
      <c r="E3974" t="s">
        <v>48</v>
      </c>
      <c r="F3974" t="s">
        <v>49</v>
      </c>
      <c r="G3974" s="30">
        <v>0</v>
      </c>
    </row>
    <row r="3975" spans="1:7" x14ac:dyDescent="0.25">
      <c r="A3975" t="s">
        <v>90</v>
      </c>
      <c r="B3975" t="s">
        <v>91</v>
      </c>
      <c r="C3975" t="s">
        <v>81</v>
      </c>
      <c r="D3975">
        <v>8418837</v>
      </c>
      <c r="E3975" t="s">
        <v>48</v>
      </c>
      <c r="F3975" t="s">
        <v>49</v>
      </c>
      <c r="G3975" s="30">
        <v>10</v>
      </c>
    </row>
    <row r="3976" spans="1:7" x14ac:dyDescent="0.25">
      <c r="A3976" t="s">
        <v>50</v>
      </c>
      <c r="B3976" t="s">
        <v>51</v>
      </c>
      <c r="C3976" t="s">
        <v>52</v>
      </c>
      <c r="D3976">
        <v>8419709</v>
      </c>
      <c r="E3976" t="s">
        <v>53</v>
      </c>
      <c r="F3976" t="s">
        <v>49</v>
      </c>
      <c r="G3976" s="30">
        <v>55801.906847129801</v>
      </c>
    </row>
    <row r="3977" spans="1:7" x14ac:dyDescent="0.25">
      <c r="A3977" t="s">
        <v>94</v>
      </c>
      <c r="B3977" t="s">
        <v>95</v>
      </c>
      <c r="C3977" t="s">
        <v>78</v>
      </c>
      <c r="D3977">
        <v>8419861</v>
      </c>
      <c r="E3977" t="s">
        <v>53</v>
      </c>
      <c r="F3977" t="s">
        <v>49</v>
      </c>
      <c r="G3977" s="30">
        <v>454659.29880143801</v>
      </c>
    </row>
    <row r="3978" spans="1:7" x14ac:dyDescent="0.25">
      <c r="A3978" t="s">
        <v>61</v>
      </c>
      <c r="B3978" t="s">
        <v>62</v>
      </c>
      <c r="C3978" t="s">
        <v>56</v>
      </c>
      <c r="D3978">
        <v>8422372</v>
      </c>
      <c r="E3978" t="s">
        <v>53</v>
      </c>
      <c r="F3978" t="s">
        <v>49</v>
      </c>
      <c r="G3978" s="30">
        <v>19881.463100000001</v>
      </c>
    </row>
    <row r="3979" spans="1:7" x14ac:dyDescent="0.25">
      <c r="A3979" t="s">
        <v>45</v>
      </c>
      <c r="B3979" t="s">
        <v>46</v>
      </c>
      <c r="C3979" t="s">
        <v>47</v>
      </c>
      <c r="D3979">
        <v>8423397</v>
      </c>
      <c r="E3979" t="s">
        <v>48</v>
      </c>
      <c r="F3979" t="s">
        <v>49</v>
      </c>
      <c r="G3979" s="30">
        <v>0</v>
      </c>
    </row>
    <row r="3980" spans="1:7" x14ac:dyDescent="0.25">
      <c r="A3980" t="s">
        <v>50</v>
      </c>
      <c r="B3980" t="s">
        <v>51</v>
      </c>
      <c r="C3980" t="s">
        <v>52</v>
      </c>
      <c r="D3980">
        <v>8423827</v>
      </c>
      <c r="E3980" t="s">
        <v>53</v>
      </c>
      <c r="F3980" t="s">
        <v>49</v>
      </c>
      <c r="G3980" s="30">
        <v>68895.352950776505</v>
      </c>
    </row>
    <row r="3981" spans="1:7" x14ac:dyDescent="0.25">
      <c r="A3981" t="s">
        <v>45</v>
      </c>
      <c r="B3981" t="s">
        <v>46</v>
      </c>
      <c r="C3981" t="s">
        <v>47</v>
      </c>
      <c r="D3981">
        <v>8424441</v>
      </c>
      <c r="E3981" t="s">
        <v>48</v>
      </c>
      <c r="F3981" t="s">
        <v>49</v>
      </c>
      <c r="G3981" s="30">
        <v>0</v>
      </c>
    </row>
    <row r="3982" spans="1:7" x14ac:dyDescent="0.25">
      <c r="A3982" t="s">
        <v>50</v>
      </c>
      <c r="B3982" t="s">
        <v>51</v>
      </c>
      <c r="C3982" t="s">
        <v>52</v>
      </c>
      <c r="D3982">
        <v>8424772</v>
      </c>
      <c r="E3982" t="s">
        <v>53</v>
      </c>
      <c r="F3982" t="s">
        <v>49</v>
      </c>
      <c r="G3982" s="30">
        <v>17190.2818805264</v>
      </c>
    </row>
    <row r="3983" spans="1:7" x14ac:dyDescent="0.25">
      <c r="A3983" t="s">
        <v>45</v>
      </c>
      <c r="B3983" t="s">
        <v>46</v>
      </c>
      <c r="C3983" t="s">
        <v>47</v>
      </c>
      <c r="D3983">
        <v>8430685</v>
      </c>
      <c r="E3983" t="s">
        <v>48</v>
      </c>
      <c r="F3983" t="s">
        <v>49</v>
      </c>
      <c r="G3983" s="30">
        <v>0.09</v>
      </c>
    </row>
    <row r="3984" spans="1:7" x14ac:dyDescent="0.25">
      <c r="A3984" t="s">
        <v>94</v>
      </c>
      <c r="B3984" t="s">
        <v>95</v>
      </c>
      <c r="C3984" t="s">
        <v>78</v>
      </c>
      <c r="D3984">
        <v>8430975</v>
      </c>
      <c r="E3984" t="s">
        <v>53</v>
      </c>
      <c r="F3984" t="s">
        <v>49</v>
      </c>
      <c r="G3984" s="30">
        <v>200135.00302078601</v>
      </c>
    </row>
    <row r="3985" spans="1:7" x14ac:dyDescent="0.25">
      <c r="A3985" t="s">
        <v>45</v>
      </c>
      <c r="B3985" t="s">
        <v>46</v>
      </c>
      <c r="C3985" t="s">
        <v>47</v>
      </c>
      <c r="D3985">
        <v>8435915</v>
      </c>
      <c r="E3985" t="s">
        <v>53</v>
      </c>
      <c r="F3985" t="s">
        <v>49</v>
      </c>
      <c r="G3985" s="30">
        <v>25686.583534532001</v>
      </c>
    </row>
    <row r="3986" spans="1:7" x14ac:dyDescent="0.25">
      <c r="A3986" t="s">
        <v>45</v>
      </c>
      <c r="B3986" t="s">
        <v>46</v>
      </c>
      <c r="C3986" t="s">
        <v>47</v>
      </c>
      <c r="D3986">
        <v>8439114</v>
      </c>
      <c r="E3986" t="s">
        <v>48</v>
      </c>
      <c r="F3986" t="s">
        <v>49</v>
      </c>
      <c r="G3986" s="30">
        <v>0</v>
      </c>
    </row>
    <row r="3987" spans="1:7" x14ac:dyDescent="0.25">
      <c r="A3987" t="s">
        <v>45</v>
      </c>
      <c r="B3987" t="s">
        <v>46</v>
      </c>
      <c r="C3987" t="s">
        <v>47</v>
      </c>
      <c r="D3987">
        <v>8441240</v>
      </c>
      <c r="E3987" t="s">
        <v>48</v>
      </c>
      <c r="F3987" t="s">
        <v>49</v>
      </c>
      <c r="G3987" s="30">
        <v>0</v>
      </c>
    </row>
    <row r="3988" spans="1:7" x14ac:dyDescent="0.25">
      <c r="A3988" t="s">
        <v>45</v>
      </c>
      <c r="B3988" t="s">
        <v>46</v>
      </c>
      <c r="C3988" t="s">
        <v>47</v>
      </c>
      <c r="D3988">
        <v>8441417</v>
      </c>
      <c r="E3988" t="s">
        <v>48</v>
      </c>
      <c r="F3988" t="s">
        <v>49</v>
      </c>
      <c r="G3988" s="30">
        <v>0</v>
      </c>
    </row>
    <row r="3989" spans="1:7" x14ac:dyDescent="0.25">
      <c r="A3989" t="s">
        <v>45</v>
      </c>
      <c r="B3989" t="s">
        <v>46</v>
      </c>
      <c r="C3989" t="s">
        <v>47</v>
      </c>
      <c r="D3989">
        <v>8443207</v>
      </c>
      <c r="E3989" t="s">
        <v>48</v>
      </c>
      <c r="F3989" t="s">
        <v>49</v>
      </c>
      <c r="G3989" s="30">
        <v>0</v>
      </c>
    </row>
    <row r="3990" spans="1:7" x14ac:dyDescent="0.25">
      <c r="A3990" t="s">
        <v>45</v>
      </c>
      <c r="B3990" t="s">
        <v>46</v>
      </c>
      <c r="C3990" t="s">
        <v>47</v>
      </c>
      <c r="D3990">
        <v>8443354</v>
      </c>
      <c r="E3990" t="s">
        <v>48</v>
      </c>
      <c r="F3990" t="s">
        <v>49</v>
      </c>
      <c r="G3990" s="30">
        <v>0</v>
      </c>
    </row>
    <row r="3991" spans="1:7" x14ac:dyDescent="0.25">
      <c r="A3991" t="s">
        <v>116</v>
      </c>
      <c r="B3991" t="s">
        <v>117</v>
      </c>
      <c r="C3991" t="s">
        <v>47</v>
      </c>
      <c r="D3991">
        <v>8444621</v>
      </c>
      <c r="E3991" t="s">
        <v>53</v>
      </c>
      <c r="F3991" t="s">
        <v>49</v>
      </c>
      <c r="G3991" s="30">
        <v>592637.24767724902</v>
      </c>
    </row>
    <row r="3992" spans="1:7" x14ac:dyDescent="0.25">
      <c r="A3992" t="s">
        <v>45</v>
      </c>
      <c r="B3992" t="s">
        <v>46</v>
      </c>
      <c r="C3992" t="s">
        <v>47</v>
      </c>
      <c r="D3992">
        <v>8445241</v>
      </c>
      <c r="E3992" t="s">
        <v>48</v>
      </c>
      <c r="F3992" t="s">
        <v>49</v>
      </c>
      <c r="G3992" s="30">
        <v>0</v>
      </c>
    </row>
    <row r="3993" spans="1:7" x14ac:dyDescent="0.25">
      <c r="A3993" t="s">
        <v>45</v>
      </c>
      <c r="B3993" t="s">
        <v>46</v>
      </c>
      <c r="C3993" t="s">
        <v>47</v>
      </c>
      <c r="D3993">
        <v>8445390</v>
      </c>
      <c r="E3993" t="s">
        <v>48</v>
      </c>
      <c r="F3993" t="s">
        <v>49</v>
      </c>
      <c r="G3993" s="30">
        <v>0</v>
      </c>
    </row>
    <row r="3994" spans="1:7" x14ac:dyDescent="0.25">
      <c r="A3994" t="s">
        <v>106</v>
      </c>
      <c r="B3994" t="s">
        <v>107</v>
      </c>
      <c r="C3994" t="s">
        <v>56</v>
      </c>
      <c r="D3994">
        <v>8445994</v>
      </c>
      <c r="E3994" t="s">
        <v>53</v>
      </c>
      <c r="F3994" t="s">
        <v>49</v>
      </c>
      <c r="G3994" s="30">
        <v>461382.66796875</v>
      </c>
    </row>
    <row r="3995" spans="1:7" x14ac:dyDescent="0.25">
      <c r="A3995" t="s">
        <v>45</v>
      </c>
      <c r="B3995" t="s">
        <v>46</v>
      </c>
      <c r="C3995" t="s">
        <v>47</v>
      </c>
      <c r="D3995">
        <v>8446054</v>
      </c>
      <c r="E3995" t="s">
        <v>48</v>
      </c>
      <c r="F3995" t="s">
        <v>49</v>
      </c>
      <c r="G3995" s="30">
        <v>0</v>
      </c>
    </row>
    <row r="3996" spans="1:7" x14ac:dyDescent="0.25">
      <c r="A3996" t="s">
        <v>45</v>
      </c>
      <c r="B3996" t="s">
        <v>46</v>
      </c>
      <c r="C3996" t="s">
        <v>47</v>
      </c>
      <c r="D3996">
        <v>8446574</v>
      </c>
      <c r="E3996" t="s">
        <v>48</v>
      </c>
      <c r="F3996" t="s">
        <v>49</v>
      </c>
      <c r="G3996" s="30">
        <v>0</v>
      </c>
    </row>
    <row r="3997" spans="1:7" x14ac:dyDescent="0.25">
      <c r="A3997" t="s">
        <v>54</v>
      </c>
      <c r="B3997" t="s">
        <v>55</v>
      </c>
      <c r="C3997" t="s">
        <v>56</v>
      </c>
      <c r="D3997">
        <v>8446994</v>
      </c>
      <c r="E3997" t="s">
        <v>53</v>
      </c>
      <c r="F3997" t="s">
        <v>49</v>
      </c>
      <c r="G3997" s="30">
        <v>5772.9541642828599</v>
      </c>
    </row>
    <row r="3998" spans="1:7" x14ac:dyDescent="0.25">
      <c r="A3998" t="s">
        <v>45</v>
      </c>
      <c r="B3998" t="s">
        <v>46</v>
      </c>
      <c r="C3998" t="s">
        <v>47</v>
      </c>
      <c r="D3998">
        <v>8448511</v>
      </c>
      <c r="E3998" t="s">
        <v>48</v>
      </c>
      <c r="F3998" t="s">
        <v>49</v>
      </c>
      <c r="G3998" s="30">
        <v>0</v>
      </c>
    </row>
    <row r="3999" spans="1:7" x14ac:dyDescent="0.25">
      <c r="A3999" t="s">
        <v>45</v>
      </c>
      <c r="B3999" t="s">
        <v>46</v>
      </c>
      <c r="C3999" t="s">
        <v>47</v>
      </c>
      <c r="D3999">
        <v>8449059</v>
      </c>
      <c r="E3999" t="s">
        <v>48</v>
      </c>
      <c r="F3999" t="s">
        <v>49</v>
      </c>
      <c r="G3999" s="30">
        <v>0</v>
      </c>
    </row>
    <row r="4000" spans="1:7" x14ac:dyDescent="0.25">
      <c r="A4000" t="s">
        <v>45</v>
      </c>
      <c r="B4000" t="s">
        <v>46</v>
      </c>
      <c r="C4000" t="s">
        <v>47</v>
      </c>
      <c r="D4000">
        <v>8449109</v>
      </c>
      <c r="E4000" t="s">
        <v>48</v>
      </c>
      <c r="F4000" t="s">
        <v>49</v>
      </c>
      <c r="G4000" s="30">
        <v>59.36</v>
      </c>
    </row>
    <row r="4001" spans="1:7" x14ac:dyDescent="0.25">
      <c r="A4001" t="s">
        <v>65</v>
      </c>
      <c r="B4001" t="s">
        <v>66</v>
      </c>
      <c r="C4001" t="s">
        <v>67</v>
      </c>
      <c r="D4001">
        <v>8451123</v>
      </c>
      <c r="E4001" t="s">
        <v>53</v>
      </c>
      <c r="F4001" t="s">
        <v>49</v>
      </c>
      <c r="G4001" s="30">
        <v>695635.90360063303</v>
      </c>
    </row>
    <row r="4002" spans="1:7" x14ac:dyDescent="0.25">
      <c r="A4002" t="s">
        <v>45</v>
      </c>
      <c r="B4002" t="s">
        <v>46</v>
      </c>
      <c r="C4002" t="s">
        <v>47</v>
      </c>
      <c r="D4002">
        <v>8452660</v>
      </c>
      <c r="E4002" t="s">
        <v>48</v>
      </c>
      <c r="F4002" t="s">
        <v>49</v>
      </c>
      <c r="G4002" s="30">
        <v>0</v>
      </c>
    </row>
    <row r="4003" spans="1:7" x14ac:dyDescent="0.25">
      <c r="A4003" t="s">
        <v>45</v>
      </c>
      <c r="B4003" t="s">
        <v>46</v>
      </c>
      <c r="C4003" t="s">
        <v>47</v>
      </c>
      <c r="D4003">
        <v>8455611</v>
      </c>
      <c r="E4003" t="s">
        <v>48</v>
      </c>
      <c r="F4003" t="s">
        <v>49</v>
      </c>
      <c r="G4003" s="30">
        <v>0</v>
      </c>
    </row>
    <row r="4004" spans="1:7" x14ac:dyDescent="0.25">
      <c r="A4004" t="s">
        <v>50</v>
      </c>
      <c r="B4004" t="s">
        <v>51</v>
      </c>
      <c r="C4004" t="s">
        <v>52</v>
      </c>
      <c r="D4004">
        <v>8459142</v>
      </c>
      <c r="E4004" t="s">
        <v>53</v>
      </c>
      <c r="F4004" t="s">
        <v>49</v>
      </c>
      <c r="G4004" s="30">
        <v>2287.6262498448</v>
      </c>
    </row>
    <row r="4005" spans="1:7" x14ac:dyDescent="0.25">
      <c r="A4005" t="s">
        <v>45</v>
      </c>
      <c r="B4005" t="s">
        <v>46</v>
      </c>
      <c r="C4005" t="s">
        <v>47</v>
      </c>
      <c r="D4005">
        <v>8460139</v>
      </c>
      <c r="E4005" t="s">
        <v>48</v>
      </c>
      <c r="F4005" t="s">
        <v>49</v>
      </c>
      <c r="G4005" s="30">
        <v>0</v>
      </c>
    </row>
    <row r="4006" spans="1:7" x14ac:dyDescent="0.25">
      <c r="A4006" t="s">
        <v>45</v>
      </c>
      <c r="B4006" t="s">
        <v>46</v>
      </c>
      <c r="C4006" t="s">
        <v>47</v>
      </c>
      <c r="D4006">
        <v>8460605</v>
      </c>
      <c r="E4006" t="s">
        <v>53</v>
      </c>
      <c r="F4006" t="s">
        <v>49</v>
      </c>
      <c r="G4006" s="30">
        <v>19267.605898437501</v>
      </c>
    </row>
    <row r="4007" spans="1:7" x14ac:dyDescent="0.25">
      <c r="A4007" t="s">
        <v>68</v>
      </c>
      <c r="B4007" t="s">
        <v>69</v>
      </c>
      <c r="C4007" t="s">
        <v>56</v>
      </c>
      <c r="D4007">
        <v>8460827</v>
      </c>
      <c r="E4007" t="s">
        <v>53</v>
      </c>
      <c r="F4007" t="s">
        <v>49</v>
      </c>
      <c r="G4007" s="30">
        <v>28358.292421875001</v>
      </c>
    </row>
    <row r="4008" spans="1:7" x14ac:dyDescent="0.25">
      <c r="A4008" t="s">
        <v>50</v>
      </c>
      <c r="B4008" t="s">
        <v>51</v>
      </c>
      <c r="C4008" t="s">
        <v>52</v>
      </c>
      <c r="D4008">
        <v>8462348</v>
      </c>
      <c r="E4008" t="s">
        <v>53</v>
      </c>
      <c r="F4008" t="s">
        <v>49</v>
      </c>
      <c r="G4008" s="30">
        <v>46986.770761153297</v>
      </c>
    </row>
    <row r="4009" spans="1:7" x14ac:dyDescent="0.25">
      <c r="A4009" t="s">
        <v>45</v>
      </c>
      <c r="B4009" t="s">
        <v>46</v>
      </c>
      <c r="C4009" t="s">
        <v>47</v>
      </c>
      <c r="D4009">
        <v>8464735</v>
      </c>
      <c r="E4009" t="s">
        <v>48</v>
      </c>
      <c r="F4009" t="s">
        <v>49</v>
      </c>
      <c r="G4009" s="30">
        <v>0</v>
      </c>
    </row>
    <row r="4010" spans="1:7" x14ac:dyDescent="0.25">
      <c r="A4010" t="s">
        <v>50</v>
      </c>
      <c r="B4010" t="s">
        <v>51</v>
      </c>
      <c r="C4010" t="s">
        <v>52</v>
      </c>
      <c r="D4010">
        <v>8469196</v>
      </c>
      <c r="E4010" t="s">
        <v>53</v>
      </c>
      <c r="F4010" t="s">
        <v>49</v>
      </c>
      <c r="G4010" s="30">
        <v>20532.9279785156</v>
      </c>
    </row>
    <row r="4011" spans="1:7" x14ac:dyDescent="0.25">
      <c r="A4011" t="s">
        <v>50</v>
      </c>
      <c r="B4011" t="s">
        <v>51</v>
      </c>
      <c r="C4011" t="s">
        <v>52</v>
      </c>
      <c r="D4011">
        <v>8471174</v>
      </c>
      <c r="E4011" t="s">
        <v>53</v>
      </c>
      <c r="F4011" t="s">
        <v>49</v>
      </c>
      <c r="G4011" s="30">
        <v>1416.83068667819</v>
      </c>
    </row>
    <row r="4012" spans="1:7" x14ac:dyDescent="0.25">
      <c r="A4012" t="s">
        <v>50</v>
      </c>
      <c r="B4012" t="s">
        <v>51</v>
      </c>
      <c r="C4012" t="s">
        <v>52</v>
      </c>
      <c r="D4012">
        <v>8473190</v>
      </c>
      <c r="E4012" t="s">
        <v>53</v>
      </c>
      <c r="F4012" t="s">
        <v>49</v>
      </c>
      <c r="G4012" s="30">
        <v>18073.9911682809</v>
      </c>
    </row>
    <row r="4013" spans="1:7" x14ac:dyDescent="0.25">
      <c r="A4013" t="s">
        <v>50</v>
      </c>
      <c r="B4013" t="s">
        <v>51</v>
      </c>
      <c r="C4013" t="s">
        <v>52</v>
      </c>
      <c r="D4013">
        <v>8475322</v>
      </c>
      <c r="E4013" t="s">
        <v>53</v>
      </c>
      <c r="F4013" t="s">
        <v>49</v>
      </c>
      <c r="G4013" s="30">
        <v>75150.979283095105</v>
      </c>
    </row>
    <row r="4014" spans="1:7" x14ac:dyDescent="0.25">
      <c r="A4014" t="s">
        <v>104</v>
      </c>
      <c r="B4014" t="s">
        <v>105</v>
      </c>
      <c r="C4014" t="s">
        <v>78</v>
      </c>
      <c r="D4014">
        <v>8475656</v>
      </c>
      <c r="E4014" t="s">
        <v>53</v>
      </c>
      <c r="F4014" t="s">
        <v>49</v>
      </c>
      <c r="G4014" s="30">
        <v>60691.334184570303</v>
      </c>
    </row>
    <row r="4015" spans="1:7" x14ac:dyDescent="0.25">
      <c r="A4015" t="s">
        <v>50</v>
      </c>
      <c r="B4015" t="s">
        <v>51</v>
      </c>
      <c r="C4015" t="s">
        <v>52</v>
      </c>
      <c r="D4015">
        <v>8476229</v>
      </c>
      <c r="E4015" t="s">
        <v>53</v>
      </c>
      <c r="F4015" t="s">
        <v>49</v>
      </c>
      <c r="G4015" s="30">
        <v>12302.538708694399</v>
      </c>
    </row>
    <row r="4016" spans="1:7" x14ac:dyDescent="0.25">
      <c r="A4016" t="s">
        <v>116</v>
      </c>
      <c r="B4016" t="s">
        <v>117</v>
      </c>
      <c r="C4016" t="s">
        <v>47</v>
      </c>
      <c r="D4016">
        <v>8478297</v>
      </c>
      <c r="E4016" t="s">
        <v>53</v>
      </c>
      <c r="F4016" t="s">
        <v>49</v>
      </c>
      <c r="G4016" s="30">
        <v>371526.33189076302</v>
      </c>
    </row>
    <row r="4017" spans="1:7" x14ac:dyDescent="0.25">
      <c r="A4017" t="s">
        <v>50</v>
      </c>
      <c r="B4017" t="s">
        <v>51</v>
      </c>
      <c r="C4017" t="s">
        <v>52</v>
      </c>
      <c r="D4017">
        <v>8478526</v>
      </c>
      <c r="E4017" t="s">
        <v>53</v>
      </c>
      <c r="F4017" t="s">
        <v>49</v>
      </c>
      <c r="G4017" s="30">
        <v>5108.62983611038</v>
      </c>
    </row>
    <row r="4018" spans="1:7" x14ac:dyDescent="0.25">
      <c r="A4018" t="s">
        <v>45</v>
      </c>
      <c r="B4018" t="s">
        <v>46</v>
      </c>
      <c r="C4018" t="s">
        <v>47</v>
      </c>
      <c r="D4018">
        <v>8478563</v>
      </c>
      <c r="E4018" t="s">
        <v>48</v>
      </c>
      <c r="F4018" t="s">
        <v>49</v>
      </c>
      <c r="G4018" s="30">
        <v>0</v>
      </c>
    </row>
    <row r="4019" spans="1:7" x14ac:dyDescent="0.25">
      <c r="A4019" t="s">
        <v>72</v>
      </c>
      <c r="B4019" t="s">
        <v>73</v>
      </c>
      <c r="C4019" t="s">
        <v>67</v>
      </c>
      <c r="D4019">
        <v>8478755</v>
      </c>
      <c r="E4019" t="s">
        <v>53</v>
      </c>
      <c r="F4019" t="s">
        <v>49</v>
      </c>
      <c r="G4019" s="30">
        <v>137403.23467450801</v>
      </c>
    </row>
    <row r="4020" spans="1:7" x14ac:dyDescent="0.25">
      <c r="A4020" t="s">
        <v>45</v>
      </c>
      <c r="B4020" t="s">
        <v>46</v>
      </c>
      <c r="C4020" t="s">
        <v>47</v>
      </c>
      <c r="D4020">
        <v>8479571</v>
      </c>
      <c r="E4020" t="s">
        <v>48</v>
      </c>
      <c r="F4020" t="s">
        <v>49</v>
      </c>
      <c r="G4020" s="30">
        <v>0</v>
      </c>
    </row>
    <row r="4021" spans="1:7" x14ac:dyDescent="0.25">
      <c r="A4021" t="s">
        <v>45</v>
      </c>
      <c r="B4021" t="s">
        <v>46</v>
      </c>
      <c r="C4021" t="s">
        <v>47</v>
      </c>
      <c r="D4021">
        <v>8479786</v>
      </c>
      <c r="E4021" t="s">
        <v>53</v>
      </c>
      <c r="F4021" t="s">
        <v>49</v>
      </c>
      <c r="G4021" s="30">
        <v>2191.2055831085599</v>
      </c>
    </row>
    <row r="4022" spans="1:7" x14ac:dyDescent="0.25">
      <c r="A4022" t="s">
        <v>112</v>
      </c>
      <c r="B4022" t="s">
        <v>113</v>
      </c>
      <c r="C4022" t="s">
        <v>81</v>
      </c>
      <c r="D4022">
        <v>8489092</v>
      </c>
      <c r="E4022" t="s">
        <v>53</v>
      </c>
      <c r="F4022" t="s">
        <v>49</v>
      </c>
      <c r="G4022" s="30">
        <v>2488769.3981193001</v>
      </c>
    </row>
    <row r="4023" spans="1:7" x14ac:dyDescent="0.25">
      <c r="A4023" t="s">
        <v>45</v>
      </c>
      <c r="B4023" t="s">
        <v>46</v>
      </c>
      <c r="C4023" t="s">
        <v>47</v>
      </c>
      <c r="D4023">
        <v>8489662</v>
      </c>
      <c r="E4023" t="s">
        <v>48</v>
      </c>
      <c r="F4023" t="s">
        <v>49</v>
      </c>
      <c r="G4023" s="30">
        <v>0</v>
      </c>
    </row>
    <row r="4024" spans="1:7" x14ac:dyDescent="0.25">
      <c r="A4024" t="s">
        <v>116</v>
      </c>
      <c r="B4024" t="s">
        <v>117</v>
      </c>
      <c r="C4024" t="s">
        <v>47</v>
      </c>
      <c r="D4024">
        <v>8492098</v>
      </c>
      <c r="E4024" t="s">
        <v>53</v>
      </c>
      <c r="F4024" t="s">
        <v>49</v>
      </c>
      <c r="G4024" s="30">
        <v>2678737.58053309</v>
      </c>
    </row>
    <row r="4025" spans="1:7" x14ac:dyDescent="0.25">
      <c r="A4025" t="s">
        <v>102</v>
      </c>
      <c r="B4025" t="s">
        <v>103</v>
      </c>
      <c r="C4025" t="s">
        <v>47</v>
      </c>
      <c r="D4025">
        <v>8492846</v>
      </c>
      <c r="E4025" t="s">
        <v>48</v>
      </c>
      <c r="F4025" t="s">
        <v>49</v>
      </c>
      <c r="G4025" s="30">
        <v>0</v>
      </c>
    </row>
    <row r="4026" spans="1:7" x14ac:dyDescent="0.25">
      <c r="A4026" t="s">
        <v>63</v>
      </c>
      <c r="B4026" t="s">
        <v>64</v>
      </c>
      <c r="C4026" t="s">
        <v>56</v>
      </c>
      <c r="D4026">
        <v>8494450</v>
      </c>
      <c r="E4026" t="s">
        <v>48</v>
      </c>
      <c r="F4026" t="s">
        <v>49</v>
      </c>
      <c r="G4026" s="30">
        <v>0</v>
      </c>
    </row>
    <row r="4027" spans="1:7" x14ac:dyDescent="0.25">
      <c r="A4027" t="s">
        <v>45</v>
      </c>
      <c r="B4027" t="s">
        <v>46</v>
      </c>
      <c r="C4027" t="s">
        <v>47</v>
      </c>
      <c r="D4027">
        <v>8495369</v>
      </c>
      <c r="E4027" t="s">
        <v>48</v>
      </c>
      <c r="F4027" t="s">
        <v>49</v>
      </c>
      <c r="G4027" s="30">
        <v>0</v>
      </c>
    </row>
    <row r="4028" spans="1:7" x14ac:dyDescent="0.25">
      <c r="A4028" t="s">
        <v>133</v>
      </c>
      <c r="B4028" t="s">
        <v>134</v>
      </c>
      <c r="C4028" t="s">
        <v>47</v>
      </c>
      <c r="D4028">
        <v>8496604</v>
      </c>
      <c r="E4028" t="s">
        <v>53</v>
      </c>
      <c r="F4028" t="s">
        <v>49</v>
      </c>
      <c r="G4028" s="30">
        <v>299581.69584972598</v>
      </c>
    </row>
    <row r="4029" spans="1:7" x14ac:dyDescent="0.25">
      <c r="A4029" t="s">
        <v>82</v>
      </c>
      <c r="B4029" t="s">
        <v>83</v>
      </c>
      <c r="C4029" t="s">
        <v>56</v>
      </c>
      <c r="D4029">
        <v>8498825</v>
      </c>
      <c r="E4029" t="s">
        <v>53</v>
      </c>
      <c r="F4029" t="s">
        <v>49</v>
      </c>
      <c r="G4029" s="30">
        <v>371850.54070364701</v>
      </c>
    </row>
    <row r="4030" spans="1:7" x14ac:dyDescent="0.25">
      <c r="A4030" t="s">
        <v>45</v>
      </c>
      <c r="B4030" t="s">
        <v>46</v>
      </c>
      <c r="C4030" t="s">
        <v>47</v>
      </c>
      <c r="D4030">
        <v>8499737</v>
      </c>
      <c r="E4030" t="s">
        <v>48</v>
      </c>
      <c r="F4030" t="s">
        <v>49</v>
      </c>
      <c r="G4030" s="30">
        <v>8.1199999999999992</v>
      </c>
    </row>
    <row r="4031" spans="1:7" x14ac:dyDescent="0.25">
      <c r="A4031" t="s">
        <v>50</v>
      </c>
      <c r="B4031" t="s">
        <v>51</v>
      </c>
      <c r="C4031" t="s">
        <v>52</v>
      </c>
      <c r="D4031">
        <v>8500249</v>
      </c>
      <c r="E4031" t="s">
        <v>53</v>
      </c>
      <c r="F4031" t="s">
        <v>49</v>
      </c>
      <c r="G4031" s="30">
        <v>1217.58</v>
      </c>
    </row>
    <row r="4032" spans="1:7" x14ac:dyDescent="0.25">
      <c r="A4032" t="s">
        <v>50</v>
      </c>
      <c r="B4032" t="s">
        <v>51</v>
      </c>
      <c r="C4032" t="s">
        <v>52</v>
      </c>
      <c r="D4032">
        <v>8507410</v>
      </c>
      <c r="E4032" t="s">
        <v>53</v>
      </c>
      <c r="F4032" t="s">
        <v>49</v>
      </c>
      <c r="G4032" s="30">
        <v>13664.9120805029</v>
      </c>
    </row>
    <row r="4033" spans="1:7" x14ac:dyDescent="0.25">
      <c r="A4033" t="s">
        <v>45</v>
      </c>
      <c r="B4033" t="s">
        <v>46</v>
      </c>
      <c r="C4033" t="s">
        <v>47</v>
      </c>
      <c r="D4033">
        <v>8510812</v>
      </c>
      <c r="E4033" t="s">
        <v>48</v>
      </c>
      <c r="F4033" t="s">
        <v>49</v>
      </c>
      <c r="G4033" s="30">
        <v>0</v>
      </c>
    </row>
    <row r="4034" spans="1:7" x14ac:dyDescent="0.25">
      <c r="A4034" t="s">
        <v>118</v>
      </c>
      <c r="B4034" t="s">
        <v>119</v>
      </c>
      <c r="C4034" t="s">
        <v>56</v>
      </c>
      <c r="D4034">
        <v>8511235</v>
      </c>
      <c r="E4034" t="s">
        <v>53</v>
      </c>
      <c r="F4034" t="s">
        <v>49</v>
      </c>
      <c r="G4034" s="30">
        <v>188462.762460937</v>
      </c>
    </row>
    <row r="4035" spans="1:7" x14ac:dyDescent="0.25">
      <c r="A4035" t="s">
        <v>45</v>
      </c>
      <c r="B4035" t="s">
        <v>46</v>
      </c>
      <c r="C4035" t="s">
        <v>47</v>
      </c>
      <c r="D4035">
        <v>8511627</v>
      </c>
      <c r="E4035" t="s">
        <v>48</v>
      </c>
      <c r="F4035" t="s">
        <v>49</v>
      </c>
      <c r="G4035" s="30">
        <v>40.69</v>
      </c>
    </row>
    <row r="4036" spans="1:7" x14ac:dyDescent="0.25">
      <c r="A4036" t="s">
        <v>45</v>
      </c>
      <c r="B4036" t="s">
        <v>46</v>
      </c>
      <c r="C4036" t="s">
        <v>47</v>
      </c>
      <c r="D4036">
        <v>8513146</v>
      </c>
      <c r="E4036" t="s">
        <v>48</v>
      </c>
      <c r="F4036" t="s">
        <v>49</v>
      </c>
      <c r="G4036" s="30">
        <v>0</v>
      </c>
    </row>
    <row r="4037" spans="1:7" x14ac:dyDescent="0.25">
      <c r="A4037" t="s">
        <v>90</v>
      </c>
      <c r="B4037" t="s">
        <v>91</v>
      </c>
      <c r="C4037" t="s">
        <v>81</v>
      </c>
      <c r="D4037">
        <v>8513264</v>
      </c>
      <c r="E4037" t="s">
        <v>48</v>
      </c>
      <c r="F4037" t="s">
        <v>49</v>
      </c>
      <c r="G4037" s="30">
        <v>0</v>
      </c>
    </row>
    <row r="4038" spans="1:7" x14ac:dyDescent="0.25">
      <c r="A4038" t="s">
        <v>45</v>
      </c>
      <c r="B4038" t="s">
        <v>46</v>
      </c>
      <c r="C4038" t="s">
        <v>47</v>
      </c>
      <c r="D4038">
        <v>8515975</v>
      </c>
      <c r="E4038" t="s">
        <v>48</v>
      </c>
      <c r="F4038" t="s">
        <v>49</v>
      </c>
      <c r="G4038" s="30">
        <v>0</v>
      </c>
    </row>
    <row r="4039" spans="1:7" x14ac:dyDescent="0.25">
      <c r="A4039" t="s">
        <v>116</v>
      </c>
      <c r="B4039" t="s">
        <v>117</v>
      </c>
      <c r="C4039" t="s">
        <v>47</v>
      </c>
      <c r="D4039">
        <v>8516496</v>
      </c>
      <c r="E4039" t="s">
        <v>53</v>
      </c>
      <c r="F4039" t="s">
        <v>49</v>
      </c>
      <c r="G4039" s="30">
        <v>423284.44753089902</v>
      </c>
    </row>
    <row r="4040" spans="1:7" x14ac:dyDescent="0.25">
      <c r="A4040" t="s">
        <v>45</v>
      </c>
      <c r="B4040" t="s">
        <v>46</v>
      </c>
      <c r="C4040" t="s">
        <v>47</v>
      </c>
      <c r="D4040">
        <v>8517299</v>
      </c>
      <c r="E4040" t="s">
        <v>48</v>
      </c>
      <c r="F4040" t="s">
        <v>49</v>
      </c>
      <c r="G4040" s="30">
        <v>0</v>
      </c>
    </row>
    <row r="4041" spans="1:7" x14ac:dyDescent="0.25">
      <c r="A4041" t="s">
        <v>45</v>
      </c>
      <c r="B4041" t="s">
        <v>46</v>
      </c>
      <c r="C4041" t="s">
        <v>47</v>
      </c>
      <c r="D4041">
        <v>8517832</v>
      </c>
      <c r="E4041" t="s">
        <v>48</v>
      </c>
      <c r="F4041" t="s">
        <v>49</v>
      </c>
      <c r="G4041" s="30">
        <v>0</v>
      </c>
    </row>
    <row r="4042" spans="1:7" x14ac:dyDescent="0.25">
      <c r="A4042" t="s">
        <v>50</v>
      </c>
      <c r="B4042" t="s">
        <v>51</v>
      </c>
      <c r="C4042" t="s">
        <v>52</v>
      </c>
      <c r="D4042">
        <v>8518310</v>
      </c>
      <c r="E4042" t="s">
        <v>53</v>
      </c>
      <c r="F4042" t="s">
        <v>49</v>
      </c>
      <c r="G4042" s="30">
        <v>33126.94</v>
      </c>
    </row>
    <row r="4043" spans="1:7" x14ac:dyDescent="0.25">
      <c r="A4043" t="s">
        <v>79</v>
      </c>
      <c r="B4043" t="s">
        <v>80</v>
      </c>
      <c r="C4043" t="s">
        <v>81</v>
      </c>
      <c r="D4043">
        <v>8518944</v>
      </c>
      <c r="E4043" t="s">
        <v>53</v>
      </c>
      <c r="F4043" t="s">
        <v>49</v>
      </c>
      <c r="G4043" s="30">
        <v>63213.244242492801</v>
      </c>
    </row>
    <row r="4044" spans="1:7" x14ac:dyDescent="0.25">
      <c r="A4044" t="s">
        <v>45</v>
      </c>
      <c r="B4044" t="s">
        <v>46</v>
      </c>
      <c r="C4044" t="s">
        <v>47</v>
      </c>
      <c r="D4044">
        <v>8519003</v>
      </c>
      <c r="E4044" t="s">
        <v>48</v>
      </c>
      <c r="F4044" t="s">
        <v>49</v>
      </c>
      <c r="G4044" s="30">
        <v>0</v>
      </c>
    </row>
    <row r="4045" spans="1:7" x14ac:dyDescent="0.25">
      <c r="A4045" t="s">
        <v>92</v>
      </c>
      <c r="B4045" t="s">
        <v>93</v>
      </c>
      <c r="C4045" t="s">
        <v>81</v>
      </c>
      <c r="D4045">
        <v>8519031</v>
      </c>
      <c r="E4045" t="s">
        <v>53</v>
      </c>
      <c r="F4045" t="s">
        <v>49</v>
      </c>
      <c r="G4045" s="30">
        <v>21570.858823163799</v>
      </c>
    </row>
    <row r="4046" spans="1:7" x14ac:dyDescent="0.25">
      <c r="A4046" t="s">
        <v>45</v>
      </c>
      <c r="B4046" t="s">
        <v>46</v>
      </c>
      <c r="C4046" t="s">
        <v>47</v>
      </c>
      <c r="D4046">
        <v>8521205</v>
      </c>
      <c r="E4046" t="s">
        <v>48</v>
      </c>
      <c r="F4046" t="s">
        <v>49</v>
      </c>
      <c r="G4046" s="30">
        <v>0</v>
      </c>
    </row>
    <row r="4047" spans="1:7" x14ac:dyDescent="0.25">
      <c r="A4047" t="s">
        <v>45</v>
      </c>
      <c r="B4047" t="s">
        <v>46</v>
      </c>
      <c r="C4047" t="s">
        <v>47</v>
      </c>
      <c r="D4047">
        <v>8522060</v>
      </c>
      <c r="E4047" t="s">
        <v>48</v>
      </c>
      <c r="F4047" t="s">
        <v>49</v>
      </c>
      <c r="G4047" s="30">
        <v>0</v>
      </c>
    </row>
    <row r="4048" spans="1:7" x14ac:dyDescent="0.25">
      <c r="A4048" t="s">
        <v>118</v>
      </c>
      <c r="B4048" t="s">
        <v>119</v>
      </c>
      <c r="C4048" t="s">
        <v>56</v>
      </c>
      <c r="D4048">
        <v>8522769</v>
      </c>
      <c r="E4048" t="s">
        <v>53</v>
      </c>
      <c r="F4048" t="s">
        <v>49</v>
      </c>
      <c r="G4048" s="30">
        <v>699521.58939503296</v>
      </c>
    </row>
    <row r="4049" spans="1:7" x14ac:dyDescent="0.25">
      <c r="A4049" t="s">
        <v>45</v>
      </c>
      <c r="B4049" t="s">
        <v>46</v>
      </c>
      <c r="C4049" t="s">
        <v>47</v>
      </c>
      <c r="D4049">
        <v>8524403</v>
      </c>
      <c r="E4049" t="s">
        <v>48</v>
      </c>
      <c r="F4049" t="s">
        <v>49</v>
      </c>
      <c r="G4049" s="30">
        <v>0</v>
      </c>
    </row>
    <row r="4050" spans="1:7" x14ac:dyDescent="0.25">
      <c r="A4050" t="s">
        <v>45</v>
      </c>
      <c r="B4050" t="s">
        <v>46</v>
      </c>
      <c r="C4050" t="s">
        <v>47</v>
      </c>
      <c r="D4050">
        <v>8524479</v>
      </c>
      <c r="E4050" t="s">
        <v>53</v>
      </c>
      <c r="F4050" t="s">
        <v>49</v>
      </c>
      <c r="G4050" s="30">
        <v>23359.143686890198</v>
      </c>
    </row>
    <row r="4051" spans="1:7" x14ac:dyDescent="0.25">
      <c r="A4051" t="s">
        <v>45</v>
      </c>
      <c r="B4051" t="s">
        <v>46</v>
      </c>
      <c r="C4051" t="s">
        <v>47</v>
      </c>
      <c r="D4051">
        <v>8526153</v>
      </c>
      <c r="E4051" t="s">
        <v>53</v>
      </c>
      <c r="F4051" t="s">
        <v>49</v>
      </c>
      <c r="G4051" s="30">
        <v>151523.174825436</v>
      </c>
    </row>
    <row r="4052" spans="1:7" x14ac:dyDescent="0.25">
      <c r="A4052" t="s">
        <v>45</v>
      </c>
      <c r="B4052" t="s">
        <v>46</v>
      </c>
      <c r="C4052" t="s">
        <v>47</v>
      </c>
      <c r="D4052">
        <v>8528988</v>
      </c>
      <c r="E4052" t="s">
        <v>48</v>
      </c>
      <c r="F4052" t="s">
        <v>49</v>
      </c>
      <c r="G4052" s="30">
        <v>0</v>
      </c>
    </row>
    <row r="4053" spans="1:7" x14ac:dyDescent="0.25">
      <c r="A4053" t="s">
        <v>45</v>
      </c>
      <c r="B4053" t="s">
        <v>46</v>
      </c>
      <c r="C4053" t="s">
        <v>47</v>
      </c>
      <c r="D4053">
        <v>8530314</v>
      </c>
      <c r="E4053" t="s">
        <v>48</v>
      </c>
      <c r="F4053" t="s">
        <v>49</v>
      </c>
      <c r="G4053" s="30">
        <v>0</v>
      </c>
    </row>
    <row r="4054" spans="1:7" x14ac:dyDescent="0.25">
      <c r="A4054" t="s">
        <v>68</v>
      </c>
      <c r="B4054" t="s">
        <v>69</v>
      </c>
      <c r="C4054" t="s">
        <v>56</v>
      </c>
      <c r="D4054">
        <v>8530570</v>
      </c>
      <c r="E4054" t="s">
        <v>48</v>
      </c>
      <c r="F4054" t="s">
        <v>49</v>
      </c>
      <c r="G4054" s="30">
        <v>0</v>
      </c>
    </row>
    <row r="4055" spans="1:7" x14ac:dyDescent="0.25">
      <c r="A4055" t="s">
        <v>45</v>
      </c>
      <c r="B4055" t="s">
        <v>46</v>
      </c>
      <c r="C4055" t="s">
        <v>47</v>
      </c>
      <c r="D4055">
        <v>8535691</v>
      </c>
      <c r="E4055" t="s">
        <v>48</v>
      </c>
      <c r="F4055" t="s">
        <v>49</v>
      </c>
      <c r="G4055" s="30">
        <v>0</v>
      </c>
    </row>
    <row r="4056" spans="1:7" x14ac:dyDescent="0.25">
      <c r="A4056" t="s">
        <v>45</v>
      </c>
      <c r="B4056" t="s">
        <v>46</v>
      </c>
      <c r="C4056" t="s">
        <v>47</v>
      </c>
      <c r="D4056">
        <v>8535935</v>
      </c>
      <c r="E4056" t="s">
        <v>48</v>
      </c>
      <c r="F4056" t="s">
        <v>49</v>
      </c>
      <c r="G4056" s="30">
        <v>0</v>
      </c>
    </row>
    <row r="4057" spans="1:7" x14ac:dyDescent="0.25">
      <c r="A4057" t="s">
        <v>50</v>
      </c>
      <c r="B4057" t="s">
        <v>51</v>
      </c>
      <c r="C4057" t="s">
        <v>52</v>
      </c>
      <c r="D4057">
        <v>8537724</v>
      </c>
      <c r="E4057" t="s">
        <v>53</v>
      </c>
      <c r="F4057" t="s">
        <v>49</v>
      </c>
      <c r="G4057" s="30">
        <v>300.60696061188003</v>
      </c>
    </row>
    <row r="4058" spans="1:7" x14ac:dyDescent="0.25">
      <c r="A4058" t="s">
        <v>50</v>
      </c>
      <c r="B4058" t="s">
        <v>51</v>
      </c>
      <c r="C4058" t="s">
        <v>52</v>
      </c>
      <c r="D4058">
        <v>8540182</v>
      </c>
      <c r="E4058" t="s">
        <v>53</v>
      </c>
      <c r="F4058" t="s">
        <v>49</v>
      </c>
      <c r="G4058" s="30">
        <v>941.89</v>
      </c>
    </row>
    <row r="4059" spans="1:7" x14ac:dyDescent="0.25">
      <c r="A4059" t="s">
        <v>82</v>
      </c>
      <c r="B4059" t="s">
        <v>83</v>
      </c>
      <c r="C4059" t="s">
        <v>56</v>
      </c>
      <c r="D4059">
        <v>8540276</v>
      </c>
      <c r="E4059" t="s">
        <v>48</v>
      </c>
      <c r="F4059" t="s">
        <v>49</v>
      </c>
      <c r="G4059" s="30">
        <v>0</v>
      </c>
    </row>
    <row r="4060" spans="1:7" x14ac:dyDescent="0.25">
      <c r="A4060" t="s">
        <v>50</v>
      </c>
      <c r="B4060" t="s">
        <v>51</v>
      </c>
      <c r="C4060" t="s">
        <v>52</v>
      </c>
      <c r="D4060">
        <v>8541333</v>
      </c>
      <c r="E4060" t="s">
        <v>53</v>
      </c>
      <c r="F4060" t="s">
        <v>49</v>
      </c>
      <c r="G4060" s="30">
        <v>61152.831326097803</v>
      </c>
    </row>
    <row r="4061" spans="1:7" x14ac:dyDescent="0.25">
      <c r="A4061" t="s">
        <v>59</v>
      </c>
      <c r="B4061" t="s">
        <v>60</v>
      </c>
      <c r="C4061" t="s">
        <v>56</v>
      </c>
      <c r="D4061">
        <v>8541438</v>
      </c>
      <c r="E4061" t="s">
        <v>53</v>
      </c>
      <c r="F4061" t="s">
        <v>49</v>
      </c>
      <c r="G4061" s="30">
        <v>863313.97436204297</v>
      </c>
    </row>
    <row r="4062" spans="1:7" x14ac:dyDescent="0.25">
      <c r="A4062" t="s">
        <v>45</v>
      </c>
      <c r="B4062" t="s">
        <v>46</v>
      </c>
      <c r="C4062" t="s">
        <v>47</v>
      </c>
      <c r="D4062">
        <v>8568030</v>
      </c>
      <c r="E4062" t="s">
        <v>48</v>
      </c>
      <c r="F4062" t="s">
        <v>49</v>
      </c>
      <c r="G4062" s="30">
        <v>0</v>
      </c>
    </row>
    <row r="4063" spans="1:7" x14ac:dyDescent="0.25">
      <c r="A4063" t="s">
        <v>45</v>
      </c>
      <c r="B4063" t="s">
        <v>46</v>
      </c>
      <c r="C4063" t="s">
        <v>47</v>
      </c>
      <c r="D4063">
        <v>8569992</v>
      </c>
      <c r="E4063" t="s">
        <v>48</v>
      </c>
      <c r="F4063" t="s">
        <v>49</v>
      </c>
      <c r="G4063" s="30">
        <v>50</v>
      </c>
    </row>
    <row r="4064" spans="1:7" x14ac:dyDescent="0.25">
      <c r="A4064" t="s">
        <v>45</v>
      </c>
      <c r="B4064" t="s">
        <v>46</v>
      </c>
      <c r="C4064" t="s">
        <v>47</v>
      </c>
      <c r="D4064">
        <v>8574624</v>
      </c>
      <c r="E4064" t="s">
        <v>48</v>
      </c>
      <c r="F4064" t="s">
        <v>49</v>
      </c>
      <c r="G4064" s="30">
        <v>0</v>
      </c>
    </row>
    <row r="4065" spans="1:7" x14ac:dyDescent="0.25">
      <c r="A4065" t="s">
        <v>45</v>
      </c>
      <c r="B4065" t="s">
        <v>46</v>
      </c>
      <c r="C4065" t="s">
        <v>47</v>
      </c>
      <c r="D4065">
        <v>8574781</v>
      </c>
      <c r="E4065" t="s">
        <v>48</v>
      </c>
      <c r="F4065" t="s">
        <v>49</v>
      </c>
      <c r="G4065" s="30">
        <v>0</v>
      </c>
    </row>
    <row r="4066" spans="1:7" x14ac:dyDescent="0.25">
      <c r="A4066" t="s">
        <v>45</v>
      </c>
      <c r="B4066" t="s">
        <v>46</v>
      </c>
      <c r="C4066" t="s">
        <v>47</v>
      </c>
      <c r="D4066">
        <v>8576027</v>
      </c>
      <c r="E4066" t="s">
        <v>48</v>
      </c>
      <c r="F4066" t="s">
        <v>49</v>
      </c>
      <c r="G4066" s="30">
        <v>0</v>
      </c>
    </row>
    <row r="4067" spans="1:7" x14ac:dyDescent="0.25">
      <c r="A4067" t="s">
        <v>45</v>
      </c>
      <c r="B4067" t="s">
        <v>46</v>
      </c>
      <c r="C4067" t="s">
        <v>47</v>
      </c>
      <c r="D4067">
        <v>8576537</v>
      </c>
      <c r="E4067" t="s">
        <v>48</v>
      </c>
      <c r="F4067" t="s">
        <v>49</v>
      </c>
      <c r="G4067" s="30">
        <v>0</v>
      </c>
    </row>
    <row r="4068" spans="1:7" x14ac:dyDescent="0.25">
      <c r="A4068" t="s">
        <v>45</v>
      </c>
      <c r="B4068" t="s">
        <v>46</v>
      </c>
      <c r="C4068" t="s">
        <v>47</v>
      </c>
      <c r="D4068">
        <v>8578418</v>
      </c>
      <c r="E4068" t="s">
        <v>48</v>
      </c>
      <c r="F4068" t="s">
        <v>49</v>
      </c>
      <c r="G4068" s="30">
        <v>0</v>
      </c>
    </row>
    <row r="4069" spans="1:7" x14ac:dyDescent="0.25">
      <c r="A4069" t="s">
        <v>106</v>
      </c>
      <c r="B4069" t="s">
        <v>107</v>
      </c>
      <c r="C4069" t="s">
        <v>56</v>
      </c>
      <c r="D4069">
        <v>8579125</v>
      </c>
      <c r="E4069" t="s">
        <v>53</v>
      </c>
      <c r="F4069" t="s">
        <v>49</v>
      </c>
      <c r="G4069" s="30">
        <v>1071630.61942011</v>
      </c>
    </row>
    <row r="4070" spans="1:7" x14ac:dyDescent="0.25">
      <c r="A4070" t="s">
        <v>45</v>
      </c>
      <c r="B4070" t="s">
        <v>46</v>
      </c>
      <c r="C4070" t="s">
        <v>47</v>
      </c>
      <c r="D4070">
        <v>8579494</v>
      </c>
      <c r="E4070" t="s">
        <v>48</v>
      </c>
      <c r="F4070" t="s">
        <v>49</v>
      </c>
      <c r="G4070" s="30">
        <v>0</v>
      </c>
    </row>
    <row r="4071" spans="1:7" x14ac:dyDescent="0.25">
      <c r="A4071" t="s">
        <v>45</v>
      </c>
      <c r="B4071" t="s">
        <v>46</v>
      </c>
      <c r="C4071" t="s">
        <v>47</v>
      </c>
      <c r="D4071">
        <v>8579532</v>
      </c>
      <c r="E4071" t="s">
        <v>48</v>
      </c>
      <c r="F4071" t="s">
        <v>49</v>
      </c>
      <c r="G4071" s="30">
        <v>0</v>
      </c>
    </row>
    <row r="4072" spans="1:7" x14ac:dyDescent="0.25">
      <c r="A4072" t="s">
        <v>45</v>
      </c>
      <c r="B4072" t="s">
        <v>46</v>
      </c>
      <c r="C4072" t="s">
        <v>47</v>
      </c>
      <c r="D4072">
        <v>8580107</v>
      </c>
      <c r="E4072" t="s">
        <v>48</v>
      </c>
      <c r="F4072" t="s">
        <v>49</v>
      </c>
      <c r="G4072" s="30">
        <v>0</v>
      </c>
    </row>
    <row r="4073" spans="1:7" x14ac:dyDescent="0.25">
      <c r="A4073" t="s">
        <v>45</v>
      </c>
      <c r="B4073" t="s">
        <v>46</v>
      </c>
      <c r="C4073" t="s">
        <v>47</v>
      </c>
      <c r="D4073">
        <v>8581122</v>
      </c>
      <c r="E4073" t="s">
        <v>48</v>
      </c>
      <c r="F4073" t="s">
        <v>49</v>
      </c>
      <c r="G4073" s="30">
        <v>0</v>
      </c>
    </row>
    <row r="4074" spans="1:7" x14ac:dyDescent="0.25">
      <c r="A4074" t="s">
        <v>45</v>
      </c>
      <c r="B4074" t="s">
        <v>46</v>
      </c>
      <c r="C4074" t="s">
        <v>47</v>
      </c>
      <c r="D4074">
        <v>8582637</v>
      </c>
      <c r="E4074" t="s">
        <v>48</v>
      </c>
      <c r="F4074" t="s">
        <v>49</v>
      </c>
      <c r="G4074" s="30">
        <v>0</v>
      </c>
    </row>
    <row r="4075" spans="1:7" x14ac:dyDescent="0.25">
      <c r="A4075" t="s">
        <v>124</v>
      </c>
      <c r="B4075" t="s">
        <v>125</v>
      </c>
      <c r="C4075" t="s">
        <v>78</v>
      </c>
      <c r="D4075">
        <v>8583436</v>
      </c>
      <c r="E4075" t="s">
        <v>53</v>
      </c>
      <c r="F4075" t="s">
        <v>49</v>
      </c>
      <c r="G4075" s="30">
        <v>149162.781197559</v>
      </c>
    </row>
    <row r="4076" spans="1:7" x14ac:dyDescent="0.25">
      <c r="A4076" t="s">
        <v>45</v>
      </c>
      <c r="B4076" t="s">
        <v>46</v>
      </c>
      <c r="C4076" t="s">
        <v>47</v>
      </c>
      <c r="D4076">
        <v>8587466</v>
      </c>
      <c r="E4076" t="s">
        <v>48</v>
      </c>
      <c r="F4076" t="s">
        <v>49</v>
      </c>
      <c r="G4076" s="30">
        <v>0</v>
      </c>
    </row>
    <row r="4077" spans="1:7" x14ac:dyDescent="0.25">
      <c r="A4077" t="s">
        <v>54</v>
      </c>
      <c r="B4077" t="s">
        <v>55</v>
      </c>
      <c r="C4077" t="s">
        <v>56</v>
      </c>
      <c r="D4077">
        <v>8589263</v>
      </c>
      <c r="E4077" t="s">
        <v>53</v>
      </c>
      <c r="F4077" t="s">
        <v>49</v>
      </c>
      <c r="G4077" s="30">
        <v>151835.81938765099</v>
      </c>
    </row>
    <row r="4078" spans="1:7" x14ac:dyDescent="0.25">
      <c r="A4078" t="s">
        <v>63</v>
      </c>
      <c r="B4078" t="s">
        <v>64</v>
      </c>
      <c r="C4078" t="s">
        <v>56</v>
      </c>
      <c r="D4078">
        <v>8589332</v>
      </c>
      <c r="E4078" t="s">
        <v>53</v>
      </c>
      <c r="F4078" t="s">
        <v>49</v>
      </c>
      <c r="G4078" s="30">
        <v>69289.223357566603</v>
      </c>
    </row>
    <row r="4079" spans="1:7" x14ac:dyDescent="0.25">
      <c r="A4079" t="s">
        <v>128</v>
      </c>
      <c r="B4079" t="s">
        <v>129</v>
      </c>
      <c r="C4079" t="s">
        <v>130</v>
      </c>
      <c r="D4079">
        <v>8593155</v>
      </c>
      <c r="E4079" t="s">
        <v>53</v>
      </c>
      <c r="F4079" t="s">
        <v>49</v>
      </c>
      <c r="G4079" s="30">
        <v>4599853.9149384303</v>
      </c>
    </row>
    <row r="4080" spans="1:7" x14ac:dyDescent="0.25">
      <c r="A4080" t="s">
        <v>59</v>
      </c>
      <c r="B4080" t="s">
        <v>60</v>
      </c>
      <c r="C4080" t="s">
        <v>56</v>
      </c>
      <c r="D4080">
        <v>8594508</v>
      </c>
      <c r="E4080" t="s">
        <v>53</v>
      </c>
      <c r="F4080" t="s">
        <v>49</v>
      </c>
      <c r="G4080" s="30">
        <v>3313258.8568945299</v>
      </c>
    </row>
    <row r="4081" spans="1:7" x14ac:dyDescent="0.25">
      <c r="A4081" t="s">
        <v>45</v>
      </c>
      <c r="B4081" t="s">
        <v>46</v>
      </c>
      <c r="C4081" t="s">
        <v>47</v>
      </c>
      <c r="D4081">
        <v>8594760</v>
      </c>
      <c r="E4081" t="s">
        <v>48</v>
      </c>
      <c r="F4081" t="s">
        <v>49</v>
      </c>
      <c r="G4081" s="30">
        <v>0</v>
      </c>
    </row>
    <row r="4082" spans="1:7" x14ac:dyDescent="0.25">
      <c r="A4082" t="s">
        <v>45</v>
      </c>
      <c r="B4082" t="s">
        <v>46</v>
      </c>
      <c r="C4082" t="s">
        <v>47</v>
      </c>
      <c r="D4082">
        <v>8599010</v>
      </c>
      <c r="E4082" t="s">
        <v>48</v>
      </c>
      <c r="F4082" t="s">
        <v>49</v>
      </c>
      <c r="G4082" s="30">
        <v>0</v>
      </c>
    </row>
    <row r="4083" spans="1:7" x14ac:dyDescent="0.25">
      <c r="A4083" t="s">
        <v>45</v>
      </c>
      <c r="B4083" t="s">
        <v>46</v>
      </c>
      <c r="C4083" t="s">
        <v>47</v>
      </c>
      <c r="D4083">
        <v>8599079</v>
      </c>
      <c r="E4083" t="s">
        <v>48</v>
      </c>
      <c r="F4083" t="s">
        <v>49</v>
      </c>
      <c r="G4083" s="30">
        <v>0</v>
      </c>
    </row>
    <row r="4084" spans="1:7" x14ac:dyDescent="0.25">
      <c r="A4084" t="s">
        <v>45</v>
      </c>
      <c r="B4084" t="s">
        <v>46</v>
      </c>
      <c r="C4084" t="s">
        <v>47</v>
      </c>
      <c r="D4084">
        <v>8600161</v>
      </c>
      <c r="E4084" t="s">
        <v>48</v>
      </c>
      <c r="F4084" t="s">
        <v>49</v>
      </c>
      <c r="G4084" s="30">
        <v>0</v>
      </c>
    </row>
    <row r="4085" spans="1:7" x14ac:dyDescent="0.25">
      <c r="A4085" t="s">
        <v>59</v>
      </c>
      <c r="B4085" t="s">
        <v>60</v>
      </c>
      <c r="C4085" t="s">
        <v>56</v>
      </c>
      <c r="D4085">
        <v>8601481</v>
      </c>
      <c r="E4085" t="s">
        <v>53</v>
      </c>
      <c r="F4085" t="s">
        <v>49</v>
      </c>
      <c r="G4085" s="30">
        <v>1713.07</v>
      </c>
    </row>
    <row r="4086" spans="1:7" x14ac:dyDescent="0.25">
      <c r="A4086" t="s">
        <v>63</v>
      </c>
      <c r="B4086" t="s">
        <v>64</v>
      </c>
      <c r="C4086" t="s">
        <v>56</v>
      </c>
      <c r="D4086">
        <v>8601948</v>
      </c>
      <c r="E4086" t="s">
        <v>48</v>
      </c>
      <c r="F4086" t="s">
        <v>49</v>
      </c>
      <c r="G4086" s="30">
        <v>0</v>
      </c>
    </row>
    <row r="4087" spans="1:7" x14ac:dyDescent="0.25">
      <c r="A4087" t="s">
        <v>102</v>
      </c>
      <c r="B4087" t="s">
        <v>103</v>
      </c>
      <c r="C4087" t="s">
        <v>47</v>
      </c>
      <c r="D4087">
        <v>8601977</v>
      </c>
      <c r="E4087" t="s">
        <v>53</v>
      </c>
      <c r="F4087" t="s">
        <v>49</v>
      </c>
      <c r="G4087" s="30">
        <v>192748.74198098801</v>
      </c>
    </row>
    <row r="4088" spans="1:7" x14ac:dyDescent="0.25">
      <c r="A4088" t="s">
        <v>118</v>
      </c>
      <c r="B4088" t="s">
        <v>119</v>
      </c>
      <c r="C4088" t="s">
        <v>56</v>
      </c>
      <c r="D4088">
        <v>8604129</v>
      </c>
      <c r="E4088" t="s">
        <v>53</v>
      </c>
      <c r="F4088" t="s">
        <v>49</v>
      </c>
      <c r="G4088" s="30">
        <v>202180.787265625</v>
      </c>
    </row>
    <row r="4089" spans="1:7" x14ac:dyDescent="0.25">
      <c r="A4089" t="s">
        <v>45</v>
      </c>
      <c r="B4089" t="s">
        <v>46</v>
      </c>
      <c r="C4089" t="s">
        <v>47</v>
      </c>
      <c r="D4089">
        <v>8607471</v>
      </c>
      <c r="E4089" t="s">
        <v>53</v>
      </c>
      <c r="F4089" t="s">
        <v>49</v>
      </c>
      <c r="G4089" s="30">
        <v>138.29137979717001</v>
      </c>
    </row>
    <row r="4090" spans="1:7" x14ac:dyDescent="0.25">
      <c r="A4090" t="s">
        <v>45</v>
      </c>
      <c r="B4090" t="s">
        <v>46</v>
      </c>
      <c r="C4090" t="s">
        <v>47</v>
      </c>
      <c r="D4090">
        <v>8609132</v>
      </c>
      <c r="E4090" t="s">
        <v>48</v>
      </c>
      <c r="F4090" t="s">
        <v>49</v>
      </c>
      <c r="G4090" s="30">
        <v>0.45</v>
      </c>
    </row>
    <row r="4091" spans="1:7" x14ac:dyDescent="0.25">
      <c r="A4091" t="s">
        <v>45</v>
      </c>
      <c r="B4091" t="s">
        <v>46</v>
      </c>
      <c r="C4091" t="s">
        <v>47</v>
      </c>
      <c r="D4091">
        <v>8611323</v>
      </c>
      <c r="E4091" t="s">
        <v>48</v>
      </c>
      <c r="F4091" t="s">
        <v>49</v>
      </c>
      <c r="G4091" s="30">
        <v>0</v>
      </c>
    </row>
    <row r="4092" spans="1:7" x14ac:dyDescent="0.25">
      <c r="A4092" t="s">
        <v>54</v>
      </c>
      <c r="B4092" t="s">
        <v>55</v>
      </c>
      <c r="C4092" t="s">
        <v>56</v>
      </c>
      <c r="D4092">
        <v>8612672</v>
      </c>
      <c r="E4092" t="s">
        <v>53</v>
      </c>
      <c r="F4092" t="s">
        <v>49</v>
      </c>
      <c r="G4092" s="30">
        <v>138125.109290122</v>
      </c>
    </row>
    <row r="4093" spans="1:7" x14ac:dyDescent="0.25">
      <c r="A4093" t="s">
        <v>50</v>
      </c>
      <c r="B4093" t="s">
        <v>51</v>
      </c>
      <c r="C4093" t="s">
        <v>52</v>
      </c>
      <c r="D4093">
        <v>8612685</v>
      </c>
      <c r="E4093" t="s">
        <v>48</v>
      </c>
      <c r="F4093" t="s">
        <v>49</v>
      </c>
      <c r="G4093" s="30">
        <v>0</v>
      </c>
    </row>
    <row r="4094" spans="1:7" x14ac:dyDescent="0.25">
      <c r="A4094" t="s">
        <v>65</v>
      </c>
      <c r="B4094" t="s">
        <v>66</v>
      </c>
      <c r="C4094" t="s">
        <v>67</v>
      </c>
      <c r="D4094">
        <v>8613364</v>
      </c>
      <c r="E4094" t="s">
        <v>53</v>
      </c>
      <c r="F4094" t="s">
        <v>49</v>
      </c>
      <c r="G4094" s="30">
        <v>216369.938660288</v>
      </c>
    </row>
    <row r="4095" spans="1:7" x14ac:dyDescent="0.25">
      <c r="A4095" t="s">
        <v>72</v>
      </c>
      <c r="B4095" t="s">
        <v>73</v>
      </c>
      <c r="C4095" t="s">
        <v>67</v>
      </c>
      <c r="D4095">
        <v>8613477</v>
      </c>
      <c r="E4095" t="s">
        <v>53</v>
      </c>
      <c r="F4095" t="s">
        <v>49</v>
      </c>
      <c r="G4095" s="30">
        <v>302063.274583233</v>
      </c>
    </row>
    <row r="4096" spans="1:7" x14ac:dyDescent="0.25">
      <c r="A4096" t="s">
        <v>45</v>
      </c>
      <c r="B4096" t="s">
        <v>46</v>
      </c>
      <c r="C4096" t="s">
        <v>47</v>
      </c>
      <c r="D4096">
        <v>8614295</v>
      </c>
      <c r="E4096" t="s">
        <v>48</v>
      </c>
      <c r="F4096" t="s">
        <v>49</v>
      </c>
      <c r="G4096" s="30">
        <v>0</v>
      </c>
    </row>
    <row r="4097" spans="1:7" x14ac:dyDescent="0.25">
      <c r="A4097" t="s">
        <v>90</v>
      </c>
      <c r="B4097" t="s">
        <v>91</v>
      </c>
      <c r="C4097" t="s">
        <v>81</v>
      </c>
      <c r="D4097">
        <v>8614942</v>
      </c>
      <c r="E4097" t="s">
        <v>53</v>
      </c>
      <c r="F4097" t="s">
        <v>49</v>
      </c>
      <c r="G4097" s="30">
        <v>17037.014127068302</v>
      </c>
    </row>
    <row r="4098" spans="1:7" x14ac:dyDescent="0.25">
      <c r="A4098" t="s">
        <v>50</v>
      </c>
      <c r="B4098" t="s">
        <v>51</v>
      </c>
      <c r="C4098" t="s">
        <v>52</v>
      </c>
      <c r="D4098">
        <v>8615164</v>
      </c>
      <c r="E4098" t="s">
        <v>53</v>
      </c>
      <c r="F4098" t="s">
        <v>49</v>
      </c>
      <c r="G4098" s="30">
        <v>22298.1525174163</v>
      </c>
    </row>
    <row r="4099" spans="1:7" x14ac:dyDescent="0.25">
      <c r="A4099" t="s">
        <v>45</v>
      </c>
      <c r="B4099" t="s">
        <v>46</v>
      </c>
      <c r="C4099" t="s">
        <v>47</v>
      </c>
      <c r="D4099">
        <v>8615353</v>
      </c>
      <c r="E4099" t="s">
        <v>53</v>
      </c>
      <c r="F4099" t="s">
        <v>49</v>
      </c>
      <c r="G4099" s="30">
        <v>590.21937500000001</v>
      </c>
    </row>
    <row r="4100" spans="1:7" x14ac:dyDescent="0.25">
      <c r="A4100" t="s">
        <v>50</v>
      </c>
      <c r="B4100" t="s">
        <v>51</v>
      </c>
      <c r="C4100" t="s">
        <v>52</v>
      </c>
      <c r="D4100">
        <v>8616650</v>
      </c>
      <c r="E4100" t="s">
        <v>48</v>
      </c>
      <c r="F4100" t="s">
        <v>49</v>
      </c>
      <c r="G4100" s="30">
        <v>0</v>
      </c>
    </row>
    <row r="4101" spans="1:7" x14ac:dyDescent="0.25">
      <c r="A4101" t="s">
        <v>50</v>
      </c>
      <c r="B4101" t="s">
        <v>51</v>
      </c>
      <c r="C4101" t="s">
        <v>52</v>
      </c>
      <c r="D4101">
        <v>8617113</v>
      </c>
      <c r="E4101" t="s">
        <v>48</v>
      </c>
      <c r="F4101" t="s">
        <v>49</v>
      </c>
      <c r="G4101" s="30">
        <v>0</v>
      </c>
    </row>
    <row r="4102" spans="1:7" x14ac:dyDescent="0.25">
      <c r="A4102" t="s">
        <v>59</v>
      </c>
      <c r="B4102" t="s">
        <v>60</v>
      </c>
      <c r="C4102" t="s">
        <v>56</v>
      </c>
      <c r="D4102">
        <v>8618252</v>
      </c>
      <c r="E4102" t="s">
        <v>48</v>
      </c>
      <c r="F4102" t="s">
        <v>49</v>
      </c>
      <c r="G4102" s="30">
        <v>0</v>
      </c>
    </row>
    <row r="4103" spans="1:7" x14ac:dyDescent="0.25">
      <c r="A4103" t="s">
        <v>112</v>
      </c>
      <c r="B4103" t="s">
        <v>113</v>
      </c>
      <c r="C4103" t="s">
        <v>81</v>
      </c>
      <c r="D4103">
        <v>8619284</v>
      </c>
      <c r="E4103" t="s">
        <v>53</v>
      </c>
      <c r="F4103" t="s">
        <v>49</v>
      </c>
      <c r="G4103" s="30">
        <v>65281.118590794198</v>
      </c>
    </row>
    <row r="4104" spans="1:7" x14ac:dyDescent="0.25">
      <c r="A4104" t="s">
        <v>45</v>
      </c>
      <c r="B4104" t="s">
        <v>46</v>
      </c>
      <c r="C4104" t="s">
        <v>47</v>
      </c>
      <c r="D4104">
        <v>8619998</v>
      </c>
      <c r="E4104" t="s">
        <v>48</v>
      </c>
      <c r="F4104" t="s">
        <v>49</v>
      </c>
      <c r="G4104" s="30">
        <v>0</v>
      </c>
    </row>
    <row r="4105" spans="1:7" x14ac:dyDescent="0.25">
      <c r="A4105" t="s">
        <v>86</v>
      </c>
      <c r="B4105" t="s">
        <v>87</v>
      </c>
      <c r="C4105" t="s">
        <v>78</v>
      </c>
      <c r="D4105">
        <v>8620519</v>
      </c>
      <c r="E4105" t="s">
        <v>53</v>
      </c>
      <c r="F4105" t="s">
        <v>49</v>
      </c>
      <c r="G4105" s="30">
        <v>326253.68436193099</v>
      </c>
    </row>
    <row r="4106" spans="1:7" x14ac:dyDescent="0.25">
      <c r="A4106" t="s">
        <v>96</v>
      </c>
      <c r="B4106" t="s">
        <v>97</v>
      </c>
      <c r="C4106" t="s">
        <v>81</v>
      </c>
      <c r="D4106">
        <v>8622723</v>
      </c>
      <c r="E4106" t="s">
        <v>53</v>
      </c>
      <c r="F4106" t="s">
        <v>49</v>
      </c>
      <c r="G4106" s="30">
        <v>901484.63886062696</v>
      </c>
    </row>
    <row r="4107" spans="1:7" x14ac:dyDescent="0.25">
      <c r="A4107" t="s">
        <v>112</v>
      </c>
      <c r="B4107" t="s">
        <v>113</v>
      </c>
      <c r="C4107" t="s">
        <v>81</v>
      </c>
      <c r="D4107">
        <v>8623062</v>
      </c>
      <c r="E4107" t="s">
        <v>53</v>
      </c>
      <c r="F4107" t="s">
        <v>49</v>
      </c>
      <c r="G4107" s="30">
        <v>9372270.9478753507</v>
      </c>
    </row>
    <row r="4108" spans="1:7" x14ac:dyDescent="0.25">
      <c r="A4108" t="s">
        <v>90</v>
      </c>
      <c r="B4108" t="s">
        <v>91</v>
      </c>
      <c r="C4108" t="s">
        <v>81</v>
      </c>
      <c r="D4108">
        <v>8623117</v>
      </c>
      <c r="E4108" t="s">
        <v>53</v>
      </c>
      <c r="F4108" t="s">
        <v>49</v>
      </c>
      <c r="G4108" s="30">
        <v>267183.98629613098</v>
      </c>
    </row>
    <row r="4109" spans="1:7" x14ac:dyDescent="0.25">
      <c r="A4109" t="s">
        <v>124</v>
      </c>
      <c r="B4109" t="s">
        <v>125</v>
      </c>
      <c r="C4109" t="s">
        <v>78</v>
      </c>
      <c r="D4109">
        <v>8623154</v>
      </c>
      <c r="E4109" t="s">
        <v>53</v>
      </c>
      <c r="F4109" t="s">
        <v>49</v>
      </c>
      <c r="G4109" s="30">
        <v>392604.13722127001</v>
      </c>
    </row>
    <row r="4110" spans="1:7" x14ac:dyDescent="0.25">
      <c r="A4110" t="s">
        <v>45</v>
      </c>
      <c r="B4110" t="s">
        <v>46</v>
      </c>
      <c r="C4110" t="s">
        <v>47</v>
      </c>
      <c r="D4110">
        <v>8623257</v>
      </c>
      <c r="E4110" t="s">
        <v>53</v>
      </c>
      <c r="F4110" t="s">
        <v>49</v>
      </c>
      <c r="G4110" s="30">
        <v>12902.798339843799</v>
      </c>
    </row>
    <row r="4111" spans="1:7" x14ac:dyDescent="0.25">
      <c r="A4111" t="s">
        <v>59</v>
      </c>
      <c r="B4111" t="s">
        <v>60</v>
      </c>
      <c r="C4111" t="s">
        <v>56</v>
      </c>
      <c r="D4111">
        <v>8623685</v>
      </c>
      <c r="E4111" t="s">
        <v>53</v>
      </c>
      <c r="F4111" t="s">
        <v>49</v>
      </c>
      <c r="G4111" s="30">
        <v>168409.76983886701</v>
      </c>
    </row>
    <row r="4112" spans="1:7" x14ac:dyDescent="0.25">
      <c r="A4112" t="s">
        <v>50</v>
      </c>
      <c r="B4112" t="s">
        <v>51</v>
      </c>
      <c r="C4112" t="s">
        <v>52</v>
      </c>
      <c r="D4112">
        <v>8623782</v>
      </c>
      <c r="E4112" t="s">
        <v>48</v>
      </c>
      <c r="F4112" t="s">
        <v>49</v>
      </c>
      <c r="G4112" s="30">
        <v>0</v>
      </c>
    </row>
    <row r="4113" spans="1:7" x14ac:dyDescent="0.25">
      <c r="A4113" t="s">
        <v>45</v>
      </c>
      <c r="B4113" t="s">
        <v>46</v>
      </c>
      <c r="C4113" t="s">
        <v>47</v>
      </c>
      <c r="D4113">
        <v>8624542</v>
      </c>
      <c r="E4113" t="s">
        <v>48</v>
      </c>
      <c r="F4113" t="s">
        <v>49</v>
      </c>
      <c r="G4113" s="30">
        <v>0</v>
      </c>
    </row>
    <row r="4114" spans="1:7" x14ac:dyDescent="0.25">
      <c r="A4114" t="s">
        <v>50</v>
      </c>
      <c r="B4114" t="s">
        <v>51</v>
      </c>
      <c r="C4114" t="s">
        <v>52</v>
      </c>
      <c r="D4114">
        <v>8625935</v>
      </c>
      <c r="E4114" t="s">
        <v>53</v>
      </c>
      <c r="F4114" t="s">
        <v>49</v>
      </c>
      <c r="G4114" s="30">
        <v>30340.054921874998</v>
      </c>
    </row>
    <row r="4115" spans="1:7" x14ac:dyDescent="0.25">
      <c r="A4115" t="s">
        <v>50</v>
      </c>
      <c r="B4115" t="s">
        <v>51</v>
      </c>
      <c r="C4115" t="s">
        <v>52</v>
      </c>
      <c r="D4115">
        <v>8627174</v>
      </c>
      <c r="E4115" t="s">
        <v>53</v>
      </c>
      <c r="F4115" t="s">
        <v>49</v>
      </c>
      <c r="G4115" s="30">
        <v>65346.15</v>
      </c>
    </row>
    <row r="4116" spans="1:7" x14ac:dyDescent="0.25">
      <c r="A4116" t="s">
        <v>116</v>
      </c>
      <c r="B4116" t="s">
        <v>117</v>
      </c>
      <c r="C4116" t="s">
        <v>47</v>
      </c>
      <c r="D4116">
        <v>8630815</v>
      </c>
      <c r="E4116" t="s">
        <v>53</v>
      </c>
      <c r="F4116" t="s">
        <v>49</v>
      </c>
      <c r="G4116" s="30">
        <v>291783.131519866</v>
      </c>
    </row>
    <row r="4117" spans="1:7" x14ac:dyDescent="0.25">
      <c r="A4117" t="s">
        <v>50</v>
      </c>
      <c r="B4117" t="s">
        <v>51</v>
      </c>
      <c r="C4117" t="s">
        <v>52</v>
      </c>
      <c r="D4117">
        <v>8631038</v>
      </c>
      <c r="E4117" t="s">
        <v>53</v>
      </c>
      <c r="F4117" t="s">
        <v>49</v>
      </c>
      <c r="G4117" s="30">
        <v>9200</v>
      </c>
    </row>
    <row r="4118" spans="1:7" x14ac:dyDescent="0.25">
      <c r="A4118" t="s">
        <v>128</v>
      </c>
      <c r="B4118" t="s">
        <v>129</v>
      </c>
      <c r="C4118" t="s">
        <v>130</v>
      </c>
      <c r="D4118">
        <v>8631275</v>
      </c>
      <c r="E4118" t="s">
        <v>53</v>
      </c>
      <c r="F4118" t="s">
        <v>49</v>
      </c>
      <c r="G4118" s="30">
        <v>1199443.2600739701</v>
      </c>
    </row>
    <row r="4119" spans="1:7" x14ac:dyDescent="0.25">
      <c r="A4119" t="s">
        <v>116</v>
      </c>
      <c r="B4119" t="s">
        <v>117</v>
      </c>
      <c r="C4119" t="s">
        <v>47</v>
      </c>
      <c r="D4119">
        <v>8631796</v>
      </c>
      <c r="E4119" t="s">
        <v>53</v>
      </c>
      <c r="F4119" t="s">
        <v>49</v>
      </c>
      <c r="G4119" s="30">
        <v>471312.50841720501</v>
      </c>
    </row>
    <row r="4120" spans="1:7" x14ac:dyDescent="0.25">
      <c r="A4120" t="s">
        <v>50</v>
      </c>
      <c r="B4120" t="s">
        <v>51</v>
      </c>
      <c r="C4120" t="s">
        <v>52</v>
      </c>
      <c r="D4120">
        <v>8647577</v>
      </c>
      <c r="E4120" t="s">
        <v>48</v>
      </c>
      <c r="F4120" t="s">
        <v>49</v>
      </c>
      <c r="G4120" s="30">
        <v>0</v>
      </c>
    </row>
    <row r="4121" spans="1:7" x14ac:dyDescent="0.25">
      <c r="A4121" t="s">
        <v>50</v>
      </c>
      <c r="B4121" t="s">
        <v>51</v>
      </c>
      <c r="C4121" t="s">
        <v>52</v>
      </c>
      <c r="D4121">
        <v>8647714</v>
      </c>
      <c r="E4121" t="s">
        <v>53</v>
      </c>
      <c r="F4121" t="s">
        <v>49</v>
      </c>
      <c r="G4121" s="30">
        <v>100</v>
      </c>
    </row>
    <row r="4122" spans="1:7" x14ac:dyDescent="0.25">
      <c r="A4122" t="s">
        <v>61</v>
      </c>
      <c r="B4122" t="s">
        <v>62</v>
      </c>
      <c r="C4122" t="s">
        <v>56</v>
      </c>
      <c r="D4122">
        <v>8648069</v>
      </c>
      <c r="E4122" t="s">
        <v>48</v>
      </c>
      <c r="F4122" t="s">
        <v>49</v>
      </c>
      <c r="G4122" s="30">
        <v>0</v>
      </c>
    </row>
    <row r="4123" spans="1:7" x14ac:dyDescent="0.25">
      <c r="A4123" t="s">
        <v>50</v>
      </c>
      <c r="B4123" t="s">
        <v>51</v>
      </c>
      <c r="C4123" t="s">
        <v>52</v>
      </c>
      <c r="D4123">
        <v>8648442</v>
      </c>
      <c r="E4123" t="s">
        <v>48</v>
      </c>
      <c r="F4123" t="s">
        <v>49</v>
      </c>
      <c r="G4123" s="30">
        <v>0</v>
      </c>
    </row>
    <row r="4124" spans="1:7" x14ac:dyDescent="0.25">
      <c r="A4124" t="s">
        <v>45</v>
      </c>
      <c r="B4124" t="s">
        <v>46</v>
      </c>
      <c r="C4124" t="s">
        <v>47</v>
      </c>
      <c r="D4124">
        <v>8649475</v>
      </c>
      <c r="E4124" t="s">
        <v>48</v>
      </c>
      <c r="F4124" t="s">
        <v>49</v>
      </c>
      <c r="G4124" s="30">
        <v>0</v>
      </c>
    </row>
    <row r="4125" spans="1:7" x14ac:dyDescent="0.25">
      <c r="A4125" t="s">
        <v>50</v>
      </c>
      <c r="B4125" t="s">
        <v>51</v>
      </c>
      <c r="C4125" t="s">
        <v>52</v>
      </c>
      <c r="D4125">
        <v>8659792</v>
      </c>
      <c r="E4125" t="s">
        <v>53</v>
      </c>
      <c r="F4125" t="s">
        <v>49</v>
      </c>
      <c r="G4125" s="30">
        <v>12763.721982789601</v>
      </c>
    </row>
    <row r="4126" spans="1:7" x14ac:dyDescent="0.25">
      <c r="A4126" t="s">
        <v>45</v>
      </c>
      <c r="B4126" t="s">
        <v>46</v>
      </c>
      <c r="C4126" t="s">
        <v>47</v>
      </c>
      <c r="D4126">
        <v>8659998</v>
      </c>
      <c r="E4126" t="s">
        <v>48</v>
      </c>
      <c r="F4126" t="s">
        <v>49</v>
      </c>
      <c r="G4126" s="30">
        <v>0</v>
      </c>
    </row>
    <row r="4127" spans="1:7" x14ac:dyDescent="0.25">
      <c r="A4127" t="s">
        <v>45</v>
      </c>
      <c r="B4127" t="s">
        <v>46</v>
      </c>
      <c r="C4127" t="s">
        <v>47</v>
      </c>
      <c r="D4127">
        <v>8660191</v>
      </c>
      <c r="E4127" t="s">
        <v>48</v>
      </c>
      <c r="F4127" t="s">
        <v>49</v>
      </c>
      <c r="G4127" s="30">
        <v>0</v>
      </c>
    </row>
    <row r="4128" spans="1:7" x14ac:dyDescent="0.25">
      <c r="A4128" t="s">
        <v>116</v>
      </c>
      <c r="B4128" t="s">
        <v>117</v>
      </c>
      <c r="C4128" t="s">
        <v>47</v>
      </c>
      <c r="D4128">
        <v>8660382</v>
      </c>
      <c r="E4128" t="s">
        <v>53</v>
      </c>
      <c r="F4128" t="s">
        <v>49</v>
      </c>
      <c r="G4128" s="30">
        <v>225460.570770302</v>
      </c>
    </row>
    <row r="4129" spans="1:7" x14ac:dyDescent="0.25">
      <c r="A4129" t="s">
        <v>128</v>
      </c>
      <c r="B4129" t="s">
        <v>129</v>
      </c>
      <c r="C4129" t="s">
        <v>130</v>
      </c>
      <c r="D4129">
        <v>8661372</v>
      </c>
      <c r="E4129" t="s">
        <v>53</v>
      </c>
      <c r="F4129" t="s">
        <v>49</v>
      </c>
      <c r="G4129" s="30">
        <v>763390.02390866703</v>
      </c>
    </row>
    <row r="4130" spans="1:7" x14ac:dyDescent="0.25">
      <c r="A4130" t="s">
        <v>45</v>
      </c>
      <c r="B4130" t="s">
        <v>46</v>
      </c>
      <c r="C4130" t="s">
        <v>47</v>
      </c>
      <c r="D4130">
        <v>8662395</v>
      </c>
      <c r="E4130" t="s">
        <v>53</v>
      </c>
      <c r="F4130" t="s">
        <v>49</v>
      </c>
      <c r="G4130" s="30">
        <v>100</v>
      </c>
    </row>
    <row r="4131" spans="1:7" x14ac:dyDescent="0.25">
      <c r="A4131" t="s">
        <v>45</v>
      </c>
      <c r="B4131" t="s">
        <v>46</v>
      </c>
      <c r="C4131" t="s">
        <v>47</v>
      </c>
      <c r="D4131">
        <v>8662456</v>
      </c>
      <c r="E4131" t="s">
        <v>48</v>
      </c>
      <c r="F4131" t="s">
        <v>49</v>
      </c>
      <c r="G4131" s="30">
        <v>0.02</v>
      </c>
    </row>
    <row r="4132" spans="1:7" x14ac:dyDescent="0.25">
      <c r="A4132" t="s">
        <v>45</v>
      </c>
      <c r="B4132" t="s">
        <v>46</v>
      </c>
      <c r="C4132" t="s">
        <v>47</v>
      </c>
      <c r="D4132">
        <v>8664287</v>
      </c>
      <c r="E4132" t="s">
        <v>48</v>
      </c>
      <c r="F4132" t="s">
        <v>49</v>
      </c>
      <c r="G4132" s="30">
        <v>0</v>
      </c>
    </row>
    <row r="4133" spans="1:7" x14ac:dyDescent="0.25">
      <c r="A4133" t="s">
        <v>45</v>
      </c>
      <c r="B4133" t="s">
        <v>46</v>
      </c>
      <c r="C4133" t="s">
        <v>47</v>
      </c>
      <c r="D4133">
        <v>8665730</v>
      </c>
      <c r="E4133" t="s">
        <v>48</v>
      </c>
      <c r="F4133" t="s">
        <v>49</v>
      </c>
      <c r="G4133" s="30">
        <v>0</v>
      </c>
    </row>
    <row r="4134" spans="1:7" x14ac:dyDescent="0.25">
      <c r="A4134" t="s">
        <v>118</v>
      </c>
      <c r="B4134" t="s">
        <v>119</v>
      </c>
      <c r="C4134" t="s">
        <v>56</v>
      </c>
      <c r="D4134">
        <v>8666004</v>
      </c>
      <c r="E4134" t="s">
        <v>53</v>
      </c>
      <c r="F4134" t="s">
        <v>49</v>
      </c>
      <c r="G4134" s="30">
        <v>713095.07685819198</v>
      </c>
    </row>
    <row r="4135" spans="1:7" x14ac:dyDescent="0.25">
      <c r="A4135" t="s">
        <v>45</v>
      </c>
      <c r="B4135" t="s">
        <v>46</v>
      </c>
      <c r="C4135" t="s">
        <v>47</v>
      </c>
      <c r="D4135">
        <v>8666865</v>
      </c>
      <c r="E4135" t="s">
        <v>53</v>
      </c>
      <c r="F4135" t="s">
        <v>49</v>
      </c>
      <c r="G4135" s="30">
        <v>11286.959902013499</v>
      </c>
    </row>
    <row r="4136" spans="1:7" x14ac:dyDescent="0.25">
      <c r="A4136" t="s">
        <v>45</v>
      </c>
      <c r="B4136" t="s">
        <v>46</v>
      </c>
      <c r="C4136" t="s">
        <v>47</v>
      </c>
      <c r="D4136">
        <v>8666939</v>
      </c>
      <c r="E4136" t="s">
        <v>48</v>
      </c>
      <c r="F4136" t="s">
        <v>49</v>
      </c>
      <c r="G4136" s="30">
        <v>0</v>
      </c>
    </row>
    <row r="4137" spans="1:7" x14ac:dyDescent="0.25">
      <c r="A4137" t="s">
        <v>45</v>
      </c>
      <c r="B4137" t="s">
        <v>46</v>
      </c>
      <c r="C4137" t="s">
        <v>47</v>
      </c>
      <c r="D4137">
        <v>8667191</v>
      </c>
      <c r="E4137" t="s">
        <v>48</v>
      </c>
      <c r="F4137" t="s">
        <v>49</v>
      </c>
      <c r="G4137" s="30">
        <v>0</v>
      </c>
    </row>
    <row r="4138" spans="1:7" x14ac:dyDescent="0.25">
      <c r="A4138" t="s">
        <v>50</v>
      </c>
      <c r="B4138" t="s">
        <v>51</v>
      </c>
      <c r="C4138" t="s">
        <v>52</v>
      </c>
      <c r="D4138">
        <v>8668647</v>
      </c>
      <c r="E4138" t="s">
        <v>48</v>
      </c>
      <c r="F4138" t="s">
        <v>49</v>
      </c>
      <c r="G4138" s="30">
        <v>0</v>
      </c>
    </row>
    <row r="4139" spans="1:7" x14ac:dyDescent="0.25">
      <c r="A4139" t="s">
        <v>59</v>
      </c>
      <c r="B4139" t="s">
        <v>60</v>
      </c>
      <c r="C4139" t="s">
        <v>56</v>
      </c>
      <c r="D4139">
        <v>8671951</v>
      </c>
      <c r="E4139" t="s">
        <v>53</v>
      </c>
      <c r="F4139" t="s">
        <v>49</v>
      </c>
      <c r="G4139" s="30">
        <v>761107.89613317605</v>
      </c>
    </row>
    <row r="4140" spans="1:7" x14ac:dyDescent="0.25">
      <c r="A4140" t="s">
        <v>45</v>
      </c>
      <c r="B4140" t="s">
        <v>46</v>
      </c>
      <c r="C4140" t="s">
        <v>47</v>
      </c>
      <c r="D4140">
        <v>8671965</v>
      </c>
      <c r="E4140" t="s">
        <v>48</v>
      </c>
      <c r="F4140" t="s">
        <v>49</v>
      </c>
      <c r="G4140" s="30">
        <v>0</v>
      </c>
    </row>
    <row r="4141" spans="1:7" x14ac:dyDescent="0.25">
      <c r="A4141" t="s">
        <v>114</v>
      </c>
      <c r="B4141" t="s">
        <v>115</v>
      </c>
      <c r="C4141" t="s">
        <v>56</v>
      </c>
      <c r="D4141">
        <v>8674215</v>
      </c>
      <c r="E4141" t="s">
        <v>53</v>
      </c>
      <c r="F4141" t="s">
        <v>49</v>
      </c>
      <c r="G4141" s="30">
        <v>12619.3916132827</v>
      </c>
    </row>
    <row r="4142" spans="1:7" x14ac:dyDescent="0.25">
      <c r="A4142" t="s">
        <v>50</v>
      </c>
      <c r="B4142" t="s">
        <v>51</v>
      </c>
      <c r="C4142" t="s">
        <v>52</v>
      </c>
      <c r="D4142">
        <v>8675373</v>
      </c>
      <c r="E4142" t="s">
        <v>53</v>
      </c>
      <c r="F4142" t="s">
        <v>49</v>
      </c>
      <c r="G4142" s="30">
        <v>4285.6178423585598</v>
      </c>
    </row>
    <row r="4143" spans="1:7" x14ac:dyDescent="0.25">
      <c r="A4143" t="s">
        <v>45</v>
      </c>
      <c r="B4143" t="s">
        <v>46</v>
      </c>
      <c r="C4143" t="s">
        <v>47</v>
      </c>
      <c r="D4143">
        <v>8676593</v>
      </c>
      <c r="E4143" t="s">
        <v>48</v>
      </c>
      <c r="F4143" t="s">
        <v>49</v>
      </c>
      <c r="G4143" s="30">
        <v>5.22</v>
      </c>
    </row>
    <row r="4144" spans="1:7" x14ac:dyDescent="0.25">
      <c r="A4144" t="s">
        <v>45</v>
      </c>
      <c r="B4144" t="s">
        <v>46</v>
      </c>
      <c r="C4144" t="s">
        <v>47</v>
      </c>
      <c r="D4144">
        <v>8678438</v>
      </c>
      <c r="E4144" t="s">
        <v>48</v>
      </c>
      <c r="F4144" t="s">
        <v>49</v>
      </c>
      <c r="G4144" s="30">
        <v>0</v>
      </c>
    </row>
    <row r="4145" spans="1:7" x14ac:dyDescent="0.25">
      <c r="A4145" t="s">
        <v>45</v>
      </c>
      <c r="B4145" t="s">
        <v>46</v>
      </c>
      <c r="C4145" t="s">
        <v>47</v>
      </c>
      <c r="D4145">
        <v>8679187</v>
      </c>
      <c r="E4145" t="s">
        <v>48</v>
      </c>
      <c r="F4145" t="s">
        <v>49</v>
      </c>
      <c r="G4145" s="30">
        <v>0</v>
      </c>
    </row>
    <row r="4146" spans="1:7" x14ac:dyDescent="0.25">
      <c r="A4146" t="s">
        <v>45</v>
      </c>
      <c r="B4146" t="s">
        <v>46</v>
      </c>
      <c r="C4146" t="s">
        <v>47</v>
      </c>
      <c r="D4146">
        <v>8680174</v>
      </c>
      <c r="E4146" t="s">
        <v>53</v>
      </c>
      <c r="F4146" t="s">
        <v>49</v>
      </c>
      <c r="G4146" s="30">
        <v>12238.9935105973</v>
      </c>
    </row>
    <row r="4147" spans="1:7" x14ac:dyDescent="0.25">
      <c r="A4147" t="s">
        <v>50</v>
      </c>
      <c r="B4147" t="s">
        <v>51</v>
      </c>
      <c r="C4147" t="s">
        <v>52</v>
      </c>
      <c r="D4147">
        <v>8680304</v>
      </c>
      <c r="E4147" t="s">
        <v>53</v>
      </c>
      <c r="F4147" t="s">
        <v>49</v>
      </c>
      <c r="G4147" s="30">
        <v>24941.427531984798</v>
      </c>
    </row>
    <row r="4148" spans="1:7" x14ac:dyDescent="0.25">
      <c r="A4148" t="s">
        <v>45</v>
      </c>
      <c r="B4148" t="s">
        <v>46</v>
      </c>
      <c r="C4148" t="s">
        <v>47</v>
      </c>
      <c r="D4148">
        <v>8683092</v>
      </c>
      <c r="E4148" t="s">
        <v>53</v>
      </c>
      <c r="F4148" t="s">
        <v>49</v>
      </c>
      <c r="G4148" s="30">
        <v>107003.96971355499</v>
      </c>
    </row>
    <row r="4149" spans="1:7" x14ac:dyDescent="0.25">
      <c r="A4149" t="s">
        <v>70</v>
      </c>
      <c r="B4149" t="s">
        <v>71</v>
      </c>
      <c r="C4149" t="s">
        <v>47</v>
      </c>
      <c r="D4149">
        <v>8685171</v>
      </c>
      <c r="E4149" t="s">
        <v>53</v>
      </c>
      <c r="F4149" t="s">
        <v>49</v>
      </c>
      <c r="G4149" s="30">
        <v>454076.59235657699</v>
      </c>
    </row>
    <row r="4150" spans="1:7" x14ac:dyDescent="0.25">
      <c r="A4150" t="s">
        <v>50</v>
      </c>
      <c r="B4150" t="s">
        <v>51</v>
      </c>
      <c r="C4150" t="s">
        <v>52</v>
      </c>
      <c r="D4150">
        <v>8686276</v>
      </c>
      <c r="E4150" t="s">
        <v>53</v>
      </c>
      <c r="F4150" t="s">
        <v>49</v>
      </c>
      <c r="G4150" s="30">
        <v>34625.226959264</v>
      </c>
    </row>
    <row r="4151" spans="1:7" x14ac:dyDescent="0.25">
      <c r="A4151" t="s">
        <v>45</v>
      </c>
      <c r="B4151" t="s">
        <v>46</v>
      </c>
      <c r="C4151" t="s">
        <v>47</v>
      </c>
      <c r="D4151">
        <v>8691608</v>
      </c>
      <c r="E4151" t="s">
        <v>48</v>
      </c>
      <c r="F4151" t="s">
        <v>49</v>
      </c>
      <c r="G4151" s="30">
        <v>0</v>
      </c>
    </row>
    <row r="4152" spans="1:7" x14ac:dyDescent="0.25">
      <c r="A4152" t="s">
        <v>102</v>
      </c>
      <c r="B4152" t="s">
        <v>103</v>
      </c>
      <c r="C4152" t="s">
        <v>47</v>
      </c>
      <c r="D4152">
        <v>8693033</v>
      </c>
      <c r="E4152" t="s">
        <v>53</v>
      </c>
      <c r="F4152" t="s">
        <v>49</v>
      </c>
      <c r="G4152" s="30">
        <v>52643.303121123601</v>
      </c>
    </row>
    <row r="4153" spans="1:7" x14ac:dyDescent="0.25">
      <c r="A4153" t="s">
        <v>50</v>
      </c>
      <c r="B4153" t="s">
        <v>51</v>
      </c>
      <c r="C4153" t="s">
        <v>52</v>
      </c>
      <c r="D4153">
        <v>8693595</v>
      </c>
      <c r="E4153" t="s">
        <v>53</v>
      </c>
      <c r="F4153" t="s">
        <v>49</v>
      </c>
      <c r="G4153" s="30">
        <v>58429.52</v>
      </c>
    </row>
    <row r="4154" spans="1:7" x14ac:dyDescent="0.25">
      <c r="A4154" t="s">
        <v>114</v>
      </c>
      <c r="B4154" t="s">
        <v>115</v>
      </c>
      <c r="C4154" t="s">
        <v>56</v>
      </c>
      <c r="D4154">
        <v>8694282</v>
      </c>
      <c r="E4154" t="s">
        <v>53</v>
      </c>
      <c r="F4154" t="s">
        <v>49</v>
      </c>
      <c r="G4154" s="30">
        <v>18034.0070079498</v>
      </c>
    </row>
    <row r="4155" spans="1:7" x14ac:dyDescent="0.25">
      <c r="A4155" t="s">
        <v>45</v>
      </c>
      <c r="B4155" t="s">
        <v>46</v>
      </c>
      <c r="C4155" t="s">
        <v>47</v>
      </c>
      <c r="D4155">
        <v>8697268</v>
      </c>
      <c r="E4155" t="s">
        <v>48</v>
      </c>
      <c r="F4155" t="s">
        <v>49</v>
      </c>
      <c r="G4155" s="30">
        <v>0</v>
      </c>
    </row>
    <row r="4156" spans="1:7" x14ac:dyDescent="0.25">
      <c r="A4156" t="s">
        <v>82</v>
      </c>
      <c r="B4156" t="s">
        <v>83</v>
      </c>
      <c r="C4156" t="s">
        <v>56</v>
      </c>
      <c r="D4156">
        <v>8701230</v>
      </c>
      <c r="E4156" t="s">
        <v>53</v>
      </c>
      <c r="F4156" t="s">
        <v>49</v>
      </c>
      <c r="G4156" s="30">
        <v>369946.49184121197</v>
      </c>
    </row>
    <row r="4157" spans="1:7" x14ac:dyDescent="0.25">
      <c r="A4157" t="s">
        <v>72</v>
      </c>
      <c r="B4157" t="s">
        <v>73</v>
      </c>
      <c r="C4157" t="s">
        <v>67</v>
      </c>
      <c r="D4157">
        <v>8703828</v>
      </c>
      <c r="E4157" t="s">
        <v>53</v>
      </c>
      <c r="F4157" t="s">
        <v>49</v>
      </c>
      <c r="G4157" s="30">
        <v>401063.84</v>
      </c>
    </row>
    <row r="4158" spans="1:7" x14ac:dyDescent="0.25">
      <c r="A4158" t="s">
        <v>50</v>
      </c>
      <c r="B4158" t="s">
        <v>51</v>
      </c>
      <c r="C4158" t="s">
        <v>52</v>
      </c>
      <c r="D4158">
        <v>8706092</v>
      </c>
      <c r="E4158" t="s">
        <v>53</v>
      </c>
      <c r="F4158" t="s">
        <v>49</v>
      </c>
      <c r="G4158" s="30">
        <v>107961.89575472999</v>
      </c>
    </row>
    <row r="4159" spans="1:7" x14ac:dyDescent="0.25">
      <c r="A4159" t="s">
        <v>102</v>
      </c>
      <c r="B4159" t="s">
        <v>103</v>
      </c>
      <c r="C4159" t="s">
        <v>47</v>
      </c>
      <c r="D4159">
        <v>8706878</v>
      </c>
      <c r="E4159" t="s">
        <v>53</v>
      </c>
      <c r="F4159" t="s">
        <v>49</v>
      </c>
      <c r="G4159" s="30">
        <v>119856.71770189999</v>
      </c>
    </row>
    <row r="4160" spans="1:7" x14ac:dyDescent="0.25">
      <c r="A4160" t="s">
        <v>45</v>
      </c>
      <c r="B4160" t="s">
        <v>46</v>
      </c>
      <c r="C4160" t="s">
        <v>47</v>
      </c>
      <c r="D4160">
        <v>8707155</v>
      </c>
      <c r="E4160" t="s">
        <v>48</v>
      </c>
      <c r="F4160" t="s">
        <v>49</v>
      </c>
      <c r="G4160" s="30">
        <v>0</v>
      </c>
    </row>
    <row r="4161" spans="1:7" x14ac:dyDescent="0.25">
      <c r="A4161" t="s">
        <v>102</v>
      </c>
      <c r="B4161" t="s">
        <v>103</v>
      </c>
      <c r="C4161" t="s">
        <v>47</v>
      </c>
      <c r="D4161">
        <v>8710649</v>
      </c>
      <c r="E4161" t="s">
        <v>53</v>
      </c>
      <c r="F4161" t="s">
        <v>49</v>
      </c>
      <c r="G4161" s="30">
        <v>34713.477665457802</v>
      </c>
    </row>
    <row r="4162" spans="1:7" x14ac:dyDescent="0.25">
      <c r="A4162" t="s">
        <v>102</v>
      </c>
      <c r="B4162" t="s">
        <v>103</v>
      </c>
      <c r="C4162" t="s">
        <v>47</v>
      </c>
      <c r="D4162">
        <v>8712108</v>
      </c>
      <c r="E4162" t="s">
        <v>53</v>
      </c>
      <c r="F4162" t="s">
        <v>49</v>
      </c>
      <c r="G4162" s="30">
        <v>65721.6313484204</v>
      </c>
    </row>
    <row r="4163" spans="1:7" x14ac:dyDescent="0.25">
      <c r="A4163" t="s">
        <v>63</v>
      </c>
      <c r="B4163" t="s">
        <v>64</v>
      </c>
      <c r="C4163" t="s">
        <v>56</v>
      </c>
      <c r="D4163">
        <v>8712337</v>
      </c>
      <c r="E4163" t="s">
        <v>53</v>
      </c>
      <c r="F4163" t="s">
        <v>49</v>
      </c>
      <c r="G4163" s="30">
        <v>26622.7603054832</v>
      </c>
    </row>
    <row r="4164" spans="1:7" x14ac:dyDescent="0.25">
      <c r="A4164" t="s">
        <v>45</v>
      </c>
      <c r="B4164" t="s">
        <v>46</v>
      </c>
      <c r="C4164" t="s">
        <v>47</v>
      </c>
      <c r="D4164">
        <v>8712550</v>
      </c>
      <c r="E4164" t="s">
        <v>53</v>
      </c>
      <c r="F4164" t="s">
        <v>49</v>
      </c>
      <c r="G4164" s="30">
        <v>21595.711288514402</v>
      </c>
    </row>
    <row r="4165" spans="1:7" x14ac:dyDescent="0.25">
      <c r="A4165" t="s">
        <v>45</v>
      </c>
      <c r="B4165" t="s">
        <v>46</v>
      </c>
      <c r="C4165" t="s">
        <v>47</v>
      </c>
      <c r="D4165">
        <v>8713450</v>
      </c>
      <c r="E4165" t="s">
        <v>48</v>
      </c>
      <c r="F4165" t="s">
        <v>49</v>
      </c>
      <c r="G4165" s="30">
        <v>0</v>
      </c>
    </row>
    <row r="4166" spans="1:7" x14ac:dyDescent="0.25">
      <c r="A4166" t="s">
        <v>50</v>
      </c>
      <c r="B4166" t="s">
        <v>51</v>
      </c>
      <c r="C4166" t="s">
        <v>52</v>
      </c>
      <c r="D4166">
        <v>8713983</v>
      </c>
      <c r="E4166" t="s">
        <v>53</v>
      </c>
      <c r="F4166" t="s">
        <v>49</v>
      </c>
      <c r="G4166" s="30">
        <v>7748.0738631476697</v>
      </c>
    </row>
    <row r="4167" spans="1:7" x14ac:dyDescent="0.25">
      <c r="A4167" t="s">
        <v>45</v>
      </c>
      <c r="B4167" t="s">
        <v>46</v>
      </c>
      <c r="C4167" t="s">
        <v>47</v>
      </c>
      <c r="D4167">
        <v>8714023</v>
      </c>
      <c r="E4167" t="s">
        <v>53</v>
      </c>
      <c r="F4167" t="s">
        <v>49</v>
      </c>
      <c r="G4167" s="30">
        <v>10558.9798607549</v>
      </c>
    </row>
    <row r="4168" spans="1:7" x14ac:dyDescent="0.25">
      <c r="A4168" t="s">
        <v>50</v>
      </c>
      <c r="B4168" t="s">
        <v>51</v>
      </c>
      <c r="C4168" t="s">
        <v>52</v>
      </c>
      <c r="D4168">
        <v>8714682</v>
      </c>
      <c r="E4168" t="s">
        <v>53</v>
      </c>
      <c r="F4168" t="s">
        <v>49</v>
      </c>
      <c r="G4168" s="30">
        <v>33374.409905319699</v>
      </c>
    </row>
    <row r="4169" spans="1:7" x14ac:dyDescent="0.25">
      <c r="A4169" t="s">
        <v>45</v>
      </c>
      <c r="B4169" t="s">
        <v>46</v>
      </c>
      <c r="C4169" t="s">
        <v>47</v>
      </c>
      <c r="D4169">
        <v>8716076</v>
      </c>
      <c r="E4169" t="s">
        <v>48</v>
      </c>
      <c r="F4169" t="s">
        <v>49</v>
      </c>
      <c r="G4169" s="30">
        <v>0</v>
      </c>
    </row>
    <row r="4170" spans="1:7" x14ac:dyDescent="0.25">
      <c r="A4170" t="s">
        <v>118</v>
      </c>
      <c r="B4170" t="s">
        <v>119</v>
      </c>
      <c r="C4170" t="s">
        <v>56</v>
      </c>
      <c r="D4170">
        <v>8716959</v>
      </c>
      <c r="E4170" t="s">
        <v>53</v>
      </c>
      <c r="F4170" t="s">
        <v>49</v>
      </c>
      <c r="G4170" s="30">
        <v>521528.92304426502</v>
      </c>
    </row>
    <row r="4171" spans="1:7" x14ac:dyDescent="0.25">
      <c r="A4171" t="s">
        <v>45</v>
      </c>
      <c r="B4171" t="s">
        <v>46</v>
      </c>
      <c r="C4171" t="s">
        <v>47</v>
      </c>
      <c r="D4171">
        <v>8717291</v>
      </c>
      <c r="E4171" t="s">
        <v>53</v>
      </c>
      <c r="F4171" t="s">
        <v>49</v>
      </c>
      <c r="G4171" s="30">
        <v>84990.4358591364</v>
      </c>
    </row>
    <row r="4172" spans="1:7" x14ac:dyDescent="0.25">
      <c r="A4172" t="s">
        <v>45</v>
      </c>
      <c r="B4172" t="s">
        <v>46</v>
      </c>
      <c r="C4172" t="s">
        <v>47</v>
      </c>
      <c r="D4172">
        <v>8717808</v>
      </c>
      <c r="E4172" t="s">
        <v>48</v>
      </c>
      <c r="F4172" t="s">
        <v>49</v>
      </c>
      <c r="G4172" s="30">
        <v>0</v>
      </c>
    </row>
    <row r="4173" spans="1:7" x14ac:dyDescent="0.25">
      <c r="A4173" t="s">
        <v>45</v>
      </c>
      <c r="B4173" t="s">
        <v>46</v>
      </c>
      <c r="C4173" t="s">
        <v>47</v>
      </c>
      <c r="D4173">
        <v>8718078</v>
      </c>
      <c r="E4173" t="s">
        <v>48</v>
      </c>
      <c r="F4173" t="s">
        <v>49</v>
      </c>
      <c r="G4173" s="30">
        <v>0</v>
      </c>
    </row>
    <row r="4174" spans="1:7" x14ac:dyDescent="0.25">
      <c r="A4174" t="s">
        <v>128</v>
      </c>
      <c r="B4174" t="s">
        <v>129</v>
      </c>
      <c r="C4174" t="s">
        <v>130</v>
      </c>
      <c r="D4174">
        <v>8718305</v>
      </c>
      <c r="E4174" t="s">
        <v>53</v>
      </c>
      <c r="F4174" t="s">
        <v>49</v>
      </c>
      <c r="G4174" s="30">
        <v>183233.33648862399</v>
      </c>
    </row>
    <row r="4175" spans="1:7" x14ac:dyDescent="0.25">
      <c r="A4175" t="s">
        <v>50</v>
      </c>
      <c r="B4175" t="s">
        <v>51</v>
      </c>
      <c r="C4175" t="s">
        <v>52</v>
      </c>
      <c r="D4175">
        <v>8718830</v>
      </c>
      <c r="E4175" t="s">
        <v>48</v>
      </c>
      <c r="F4175" t="s">
        <v>49</v>
      </c>
      <c r="G4175" s="30">
        <v>0</v>
      </c>
    </row>
    <row r="4176" spans="1:7" x14ac:dyDescent="0.25">
      <c r="A4176" t="s">
        <v>50</v>
      </c>
      <c r="B4176" t="s">
        <v>51</v>
      </c>
      <c r="C4176" t="s">
        <v>52</v>
      </c>
      <c r="D4176">
        <v>8721757</v>
      </c>
      <c r="E4176" t="s">
        <v>53</v>
      </c>
      <c r="F4176" t="s">
        <v>49</v>
      </c>
      <c r="G4176" s="30">
        <v>2118.2596961393801</v>
      </c>
    </row>
    <row r="4177" spans="1:7" x14ac:dyDescent="0.25">
      <c r="A4177" t="s">
        <v>45</v>
      </c>
      <c r="B4177" t="s">
        <v>46</v>
      </c>
      <c r="C4177" t="s">
        <v>47</v>
      </c>
      <c r="D4177">
        <v>8722418</v>
      </c>
      <c r="E4177" t="s">
        <v>48</v>
      </c>
      <c r="F4177" t="s">
        <v>49</v>
      </c>
      <c r="G4177" s="30">
        <v>0</v>
      </c>
    </row>
    <row r="4178" spans="1:7" x14ac:dyDescent="0.25">
      <c r="A4178" t="s">
        <v>96</v>
      </c>
      <c r="B4178" t="s">
        <v>97</v>
      </c>
      <c r="C4178" t="s">
        <v>81</v>
      </c>
      <c r="D4178">
        <v>8722496</v>
      </c>
      <c r="E4178" t="s">
        <v>53</v>
      </c>
      <c r="F4178" t="s">
        <v>49</v>
      </c>
      <c r="G4178" s="30">
        <v>4.88</v>
      </c>
    </row>
    <row r="4179" spans="1:7" x14ac:dyDescent="0.25">
      <c r="A4179" t="s">
        <v>118</v>
      </c>
      <c r="B4179" t="s">
        <v>119</v>
      </c>
      <c r="C4179" t="s">
        <v>56</v>
      </c>
      <c r="D4179">
        <v>8722652</v>
      </c>
      <c r="E4179" t="s">
        <v>53</v>
      </c>
      <c r="F4179" t="s">
        <v>49</v>
      </c>
      <c r="G4179" s="30">
        <v>101066.91245693099</v>
      </c>
    </row>
    <row r="4180" spans="1:7" x14ac:dyDescent="0.25">
      <c r="A4180" t="s">
        <v>50</v>
      </c>
      <c r="B4180" t="s">
        <v>51</v>
      </c>
      <c r="C4180" t="s">
        <v>52</v>
      </c>
      <c r="D4180">
        <v>8723225</v>
      </c>
      <c r="E4180" t="s">
        <v>53</v>
      </c>
      <c r="F4180" t="s">
        <v>49</v>
      </c>
      <c r="G4180" s="30">
        <v>19668.6986524973</v>
      </c>
    </row>
    <row r="4181" spans="1:7" x14ac:dyDescent="0.25">
      <c r="A4181" t="s">
        <v>54</v>
      </c>
      <c r="B4181" t="s">
        <v>55</v>
      </c>
      <c r="C4181" t="s">
        <v>56</v>
      </c>
      <c r="D4181">
        <v>8724224</v>
      </c>
      <c r="E4181" t="s">
        <v>53</v>
      </c>
      <c r="F4181" t="s">
        <v>49</v>
      </c>
      <c r="G4181" s="30">
        <v>7769.6597317367996</v>
      </c>
    </row>
    <row r="4182" spans="1:7" x14ac:dyDescent="0.25">
      <c r="A4182" t="s">
        <v>92</v>
      </c>
      <c r="B4182" t="s">
        <v>93</v>
      </c>
      <c r="C4182" t="s">
        <v>81</v>
      </c>
      <c r="D4182">
        <v>8727735</v>
      </c>
      <c r="E4182" t="s">
        <v>53</v>
      </c>
      <c r="F4182" t="s">
        <v>49</v>
      </c>
      <c r="G4182" s="30">
        <v>109277.18446524101</v>
      </c>
    </row>
    <row r="4183" spans="1:7" x14ac:dyDescent="0.25">
      <c r="A4183" t="s">
        <v>50</v>
      </c>
      <c r="B4183" t="s">
        <v>51</v>
      </c>
      <c r="C4183" t="s">
        <v>52</v>
      </c>
      <c r="D4183">
        <v>8727882</v>
      </c>
      <c r="E4183" t="s">
        <v>53</v>
      </c>
      <c r="F4183" t="s">
        <v>49</v>
      </c>
      <c r="G4183" s="30">
        <v>1.0316223057259599</v>
      </c>
    </row>
    <row r="4184" spans="1:7" x14ac:dyDescent="0.25">
      <c r="A4184" t="s">
        <v>120</v>
      </c>
      <c r="B4184" t="s">
        <v>121</v>
      </c>
      <c r="C4184" t="s">
        <v>67</v>
      </c>
      <c r="D4184">
        <v>8727910</v>
      </c>
      <c r="E4184" t="s">
        <v>53</v>
      </c>
      <c r="F4184" t="s">
        <v>49</v>
      </c>
      <c r="G4184" s="30">
        <v>103324.13245801</v>
      </c>
    </row>
    <row r="4185" spans="1:7" x14ac:dyDescent="0.25">
      <c r="A4185" t="s">
        <v>59</v>
      </c>
      <c r="B4185" t="s">
        <v>60</v>
      </c>
      <c r="C4185" t="s">
        <v>56</v>
      </c>
      <c r="D4185">
        <v>8727991</v>
      </c>
      <c r="E4185" t="s">
        <v>53</v>
      </c>
      <c r="F4185" t="s">
        <v>49</v>
      </c>
      <c r="G4185" s="30">
        <v>105899.67457748301</v>
      </c>
    </row>
    <row r="4186" spans="1:7" x14ac:dyDescent="0.25">
      <c r="A4186" t="s">
        <v>118</v>
      </c>
      <c r="B4186" t="s">
        <v>119</v>
      </c>
      <c r="C4186" t="s">
        <v>56</v>
      </c>
      <c r="D4186">
        <v>8729919</v>
      </c>
      <c r="E4186" t="s">
        <v>53</v>
      </c>
      <c r="F4186" t="s">
        <v>49</v>
      </c>
      <c r="G4186" s="30">
        <v>22176.276662169301</v>
      </c>
    </row>
    <row r="4187" spans="1:7" x14ac:dyDescent="0.25">
      <c r="A4187" t="s">
        <v>50</v>
      </c>
      <c r="B4187" t="s">
        <v>51</v>
      </c>
      <c r="C4187" t="s">
        <v>52</v>
      </c>
      <c r="D4187">
        <v>8730096</v>
      </c>
      <c r="E4187" t="s">
        <v>53</v>
      </c>
      <c r="F4187" t="s">
        <v>49</v>
      </c>
      <c r="G4187" s="30">
        <v>33618.592350745603</v>
      </c>
    </row>
    <row r="4188" spans="1:7" x14ac:dyDescent="0.25">
      <c r="A4188" t="s">
        <v>45</v>
      </c>
      <c r="B4188" t="s">
        <v>46</v>
      </c>
      <c r="C4188" t="s">
        <v>47</v>
      </c>
      <c r="D4188">
        <v>8731263</v>
      </c>
      <c r="E4188" t="s">
        <v>48</v>
      </c>
      <c r="F4188" t="s">
        <v>49</v>
      </c>
      <c r="G4188" s="30">
        <v>0</v>
      </c>
    </row>
    <row r="4189" spans="1:7" x14ac:dyDescent="0.25">
      <c r="A4189" t="s">
        <v>50</v>
      </c>
      <c r="B4189" t="s">
        <v>51</v>
      </c>
      <c r="C4189" t="s">
        <v>52</v>
      </c>
      <c r="D4189">
        <v>8731331</v>
      </c>
      <c r="E4189" t="s">
        <v>53</v>
      </c>
      <c r="F4189" t="s">
        <v>49</v>
      </c>
      <c r="G4189" s="30">
        <v>1463.9971067108399</v>
      </c>
    </row>
    <row r="4190" spans="1:7" x14ac:dyDescent="0.25">
      <c r="A4190" t="s">
        <v>45</v>
      </c>
      <c r="B4190" t="s">
        <v>46</v>
      </c>
      <c r="C4190" t="s">
        <v>47</v>
      </c>
      <c r="D4190">
        <v>8732090</v>
      </c>
      <c r="E4190" t="s">
        <v>53</v>
      </c>
      <c r="F4190" t="s">
        <v>49</v>
      </c>
      <c r="G4190" s="30">
        <v>3387.2613708560002</v>
      </c>
    </row>
    <row r="4191" spans="1:7" x14ac:dyDescent="0.25">
      <c r="A4191" t="s">
        <v>50</v>
      </c>
      <c r="B4191" t="s">
        <v>51</v>
      </c>
      <c r="C4191" t="s">
        <v>52</v>
      </c>
      <c r="D4191">
        <v>8736712</v>
      </c>
      <c r="E4191" t="s">
        <v>53</v>
      </c>
      <c r="F4191" t="s">
        <v>49</v>
      </c>
      <c r="G4191" s="30">
        <v>52303.111912821201</v>
      </c>
    </row>
    <row r="4192" spans="1:7" x14ac:dyDescent="0.25">
      <c r="A4192" t="s">
        <v>45</v>
      </c>
      <c r="B4192" t="s">
        <v>46</v>
      </c>
      <c r="C4192" t="s">
        <v>47</v>
      </c>
      <c r="D4192">
        <v>8737092</v>
      </c>
      <c r="E4192" t="s">
        <v>48</v>
      </c>
      <c r="F4192" t="s">
        <v>49</v>
      </c>
      <c r="G4192" s="30">
        <v>0</v>
      </c>
    </row>
    <row r="4193" spans="1:7" x14ac:dyDescent="0.25">
      <c r="A4193" t="s">
        <v>50</v>
      </c>
      <c r="B4193" t="s">
        <v>51</v>
      </c>
      <c r="C4193" t="s">
        <v>52</v>
      </c>
      <c r="D4193">
        <v>8737620</v>
      </c>
      <c r="E4193" t="s">
        <v>53</v>
      </c>
      <c r="F4193" t="s">
        <v>49</v>
      </c>
      <c r="G4193" s="30">
        <v>492.27112917731301</v>
      </c>
    </row>
    <row r="4194" spans="1:7" x14ac:dyDescent="0.25">
      <c r="A4194" t="s">
        <v>118</v>
      </c>
      <c r="B4194" t="s">
        <v>119</v>
      </c>
      <c r="C4194" t="s">
        <v>56</v>
      </c>
      <c r="D4194">
        <v>8737826</v>
      </c>
      <c r="E4194" t="s">
        <v>53</v>
      </c>
      <c r="F4194" t="s">
        <v>49</v>
      </c>
      <c r="G4194" s="30">
        <v>28596.8190234375</v>
      </c>
    </row>
    <row r="4195" spans="1:7" x14ac:dyDescent="0.25">
      <c r="A4195" t="s">
        <v>118</v>
      </c>
      <c r="B4195" t="s">
        <v>119</v>
      </c>
      <c r="C4195" t="s">
        <v>56</v>
      </c>
      <c r="D4195">
        <v>8738448</v>
      </c>
      <c r="E4195" t="s">
        <v>53</v>
      </c>
      <c r="F4195" t="s">
        <v>49</v>
      </c>
      <c r="G4195" s="30">
        <v>4774.7251574990596</v>
      </c>
    </row>
    <row r="4196" spans="1:7" x14ac:dyDescent="0.25">
      <c r="A4196" t="s">
        <v>94</v>
      </c>
      <c r="B4196" t="s">
        <v>95</v>
      </c>
      <c r="C4196" t="s">
        <v>78</v>
      </c>
      <c r="D4196">
        <v>8739045</v>
      </c>
      <c r="E4196" t="s">
        <v>53</v>
      </c>
      <c r="F4196" t="s">
        <v>49</v>
      </c>
      <c r="G4196" s="30">
        <v>745595.31880971196</v>
      </c>
    </row>
    <row r="4197" spans="1:7" x14ac:dyDescent="0.25">
      <c r="A4197" t="s">
        <v>59</v>
      </c>
      <c r="B4197" t="s">
        <v>60</v>
      </c>
      <c r="C4197" t="s">
        <v>56</v>
      </c>
      <c r="D4197">
        <v>8739153</v>
      </c>
      <c r="E4197" t="s">
        <v>53</v>
      </c>
      <c r="F4197" t="s">
        <v>49</v>
      </c>
      <c r="G4197" s="30">
        <v>464585.05078674201</v>
      </c>
    </row>
    <row r="4198" spans="1:7" x14ac:dyDescent="0.25">
      <c r="A4198" t="s">
        <v>45</v>
      </c>
      <c r="B4198" t="s">
        <v>46</v>
      </c>
      <c r="C4198" t="s">
        <v>47</v>
      </c>
      <c r="D4198">
        <v>8742309</v>
      </c>
      <c r="E4198" t="s">
        <v>53</v>
      </c>
      <c r="F4198" t="s">
        <v>49</v>
      </c>
      <c r="G4198" s="30">
        <v>115.5</v>
      </c>
    </row>
    <row r="4199" spans="1:7" x14ac:dyDescent="0.25">
      <c r="A4199" t="s">
        <v>50</v>
      </c>
      <c r="B4199" t="s">
        <v>51</v>
      </c>
      <c r="C4199" t="s">
        <v>52</v>
      </c>
      <c r="D4199">
        <v>8743025</v>
      </c>
      <c r="E4199" t="s">
        <v>53</v>
      </c>
      <c r="F4199" t="s">
        <v>49</v>
      </c>
      <c r="G4199" s="30">
        <v>26167.401589782599</v>
      </c>
    </row>
    <row r="4200" spans="1:7" x14ac:dyDescent="0.25">
      <c r="A4200" t="s">
        <v>45</v>
      </c>
      <c r="B4200" t="s">
        <v>46</v>
      </c>
      <c r="C4200" t="s">
        <v>47</v>
      </c>
      <c r="D4200">
        <v>8743892</v>
      </c>
      <c r="E4200" t="s">
        <v>53</v>
      </c>
      <c r="F4200" t="s">
        <v>49</v>
      </c>
      <c r="G4200" s="30">
        <v>33872.647519468803</v>
      </c>
    </row>
    <row r="4201" spans="1:7" x14ac:dyDescent="0.25">
      <c r="A4201" t="s">
        <v>50</v>
      </c>
      <c r="B4201" t="s">
        <v>51</v>
      </c>
      <c r="C4201" t="s">
        <v>52</v>
      </c>
      <c r="D4201">
        <v>8745853</v>
      </c>
      <c r="E4201" t="s">
        <v>53</v>
      </c>
      <c r="F4201" t="s">
        <v>49</v>
      </c>
      <c r="G4201" s="30">
        <v>49104.338917333902</v>
      </c>
    </row>
    <row r="4202" spans="1:7" x14ac:dyDescent="0.25">
      <c r="A4202" t="s">
        <v>50</v>
      </c>
      <c r="B4202" t="s">
        <v>51</v>
      </c>
      <c r="C4202" t="s">
        <v>52</v>
      </c>
      <c r="D4202">
        <v>8747871</v>
      </c>
      <c r="E4202" t="s">
        <v>53</v>
      </c>
      <c r="F4202" t="s">
        <v>49</v>
      </c>
      <c r="G4202" s="30">
        <v>28957.973521990301</v>
      </c>
    </row>
    <row r="4203" spans="1:7" x14ac:dyDescent="0.25">
      <c r="A4203" t="s">
        <v>50</v>
      </c>
      <c r="B4203" t="s">
        <v>51</v>
      </c>
      <c r="C4203" t="s">
        <v>52</v>
      </c>
      <c r="D4203">
        <v>8747878</v>
      </c>
      <c r="E4203" t="s">
        <v>53</v>
      </c>
      <c r="F4203" t="s">
        <v>49</v>
      </c>
      <c r="G4203" s="30">
        <v>7786.8477285872304</v>
      </c>
    </row>
    <row r="4204" spans="1:7" x14ac:dyDescent="0.25">
      <c r="A4204" t="s">
        <v>45</v>
      </c>
      <c r="B4204" t="s">
        <v>46</v>
      </c>
      <c r="C4204" t="s">
        <v>47</v>
      </c>
      <c r="D4204">
        <v>8748538</v>
      </c>
      <c r="E4204" t="s">
        <v>53</v>
      </c>
      <c r="F4204" t="s">
        <v>49</v>
      </c>
      <c r="G4204" s="30">
        <v>49933.130246759501</v>
      </c>
    </row>
    <row r="4205" spans="1:7" x14ac:dyDescent="0.25">
      <c r="A4205" t="s">
        <v>45</v>
      </c>
      <c r="B4205" t="s">
        <v>46</v>
      </c>
      <c r="C4205" t="s">
        <v>47</v>
      </c>
      <c r="D4205">
        <v>8749308</v>
      </c>
      <c r="E4205" t="s">
        <v>48</v>
      </c>
      <c r="F4205" t="s">
        <v>49</v>
      </c>
      <c r="G4205" s="30">
        <v>0</v>
      </c>
    </row>
    <row r="4206" spans="1:7" x14ac:dyDescent="0.25">
      <c r="A4206" t="s">
        <v>45</v>
      </c>
      <c r="B4206" t="s">
        <v>46</v>
      </c>
      <c r="C4206" t="s">
        <v>47</v>
      </c>
      <c r="D4206">
        <v>8749532</v>
      </c>
      <c r="E4206" t="s">
        <v>48</v>
      </c>
      <c r="F4206" t="s">
        <v>49</v>
      </c>
      <c r="G4206" s="30">
        <v>0</v>
      </c>
    </row>
    <row r="4207" spans="1:7" x14ac:dyDescent="0.25">
      <c r="A4207" t="s">
        <v>92</v>
      </c>
      <c r="B4207" t="s">
        <v>93</v>
      </c>
      <c r="C4207" t="s">
        <v>81</v>
      </c>
      <c r="D4207">
        <v>8749830</v>
      </c>
      <c r="E4207" t="s">
        <v>53</v>
      </c>
      <c r="F4207" t="s">
        <v>49</v>
      </c>
      <c r="G4207" s="30">
        <v>274226.633010766</v>
      </c>
    </row>
    <row r="4208" spans="1:7" x14ac:dyDescent="0.25">
      <c r="A4208" t="s">
        <v>45</v>
      </c>
      <c r="B4208" t="s">
        <v>46</v>
      </c>
      <c r="C4208" t="s">
        <v>47</v>
      </c>
      <c r="D4208">
        <v>8749854</v>
      </c>
      <c r="E4208" t="s">
        <v>48</v>
      </c>
      <c r="F4208" t="s">
        <v>49</v>
      </c>
      <c r="G4208" s="30">
        <v>0</v>
      </c>
    </row>
    <row r="4209" spans="1:7" x14ac:dyDescent="0.25">
      <c r="A4209" t="s">
        <v>45</v>
      </c>
      <c r="B4209" t="s">
        <v>46</v>
      </c>
      <c r="C4209" t="s">
        <v>47</v>
      </c>
      <c r="D4209">
        <v>8750030</v>
      </c>
      <c r="E4209" t="s">
        <v>53</v>
      </c>
      <c r="F4209" t="s">
        <v>49</v>
      </c>
      <c r="G4209" s="30">
        <v>55210.268701495799</v>
      </c>
    </row>
    <row r="4210" spans="1:7" x14ac:dyDescent="0.25">
      <c r="A4210" t="s">
        <v>50</v>
      </c>
      <c r="B4210" t="s">
        <v>51</v>
      </c>
      <c r="C4210" t="s">
        <v>52</v>
      </c>
      <c r="D4210">
        <v>8750265</v>
      </c>
      <c r="E4210" t="s">
        <v>53</v>
      </c>
      <c r="F4210" t="s">
        <v>49</v>
      </c>
      <c r="G4210" s="30">
        <v>60861.385426762601</v>
      </c>
    </row>
    <row r="4211" spans="1:7" x14ac:dyDescent="0.25">
      <c r="A4211" t="s">
        <v>45</v>
      </c>
      <c r="B4211" t="s">
        <v>46</v>
      </c>
      <c r="C4211" t="s">
        <v>47</v>
      </c>
      <c r="D4211">
        <v>8750661</v>
      </c>
      <c r="E4211" t="s">
        <v>53</v>
      </c>
      <c r="F4211" t="s">
        <v>49</v>
      </c>
      <c r="G4211" s="30">
        <v>12305.9197995744</v>
      </c>
    </row>
    <row r="4212" spans="1:7" x14ac:dyDescent="0.25">
      <c r="A4212" t="s">
        <v>45</v>
      </c>
      <c r="B4212" t="s">
        <v>46</v>
      </c>
      <c r="C4212" t="s">
        <v>47</v>
      </c>
      <c r="D4212">
        <v>8750889</v>
      </c>
      <c r="E4212" t="s">
        <v>48</v>
      </c>
      <c r="F4212" t="s">
        <v>49</v>
      </c>
      <c r="G4212" s="30">
        <v>0</v>
      </c>
    </row>
    <row r="4213" spans="1:7" x14ac:dyDescent="0.25">
      <c r="A4213" t="s">
        <v>50</v>
      </c>
      <c r="B4213" t="s">
        <v>51</v>
      </c>
      <c r="C4213" t="s">
        <v>52</v>
      </c>
      <c r="D4213">
        <v>8751030</v>
      </c>
      <c r="E4213" t="s">
        <v>53</v>
      </c>
      <c r="F4213" t="s">
        <v>49</v>
      </c>
      <c r="G4213" s="30">
        <v>28075.9675383633</v>
      </c>
    </row>
    <row r="4214" spans="1:7" x14ac:dyDescent="0.25">
      <c r="A4214" t="s">
        <v>45</v>
      </c>
      <c r="B4214" t="s">
        <v>46</v>
      </c>
      <c r="C4214" t="s">
        <v>47</v>
      </c>
      <c r="D4214">
        <v>8751242</v>
      </c>
      <c r="E4214" t="s">
        <v>48</v>
      </c>
      <c r="F4214" t="s">
        <v>49</v>
      </c>
      <c r="G4214" s="30">
        <v>0</v>
      </c>
    </row>
    <row r="4215" spans="1:7" x14ac:dyDescent="0.25">
      <c r="A4215" t="s">
        <v>50</v>
      </c>
      <c r="B4215" t="s">
        <v>51</v>
      </c>
      <c r="C4215" t="s">
        <v>52</v>
      </c>
      <c r="D4215">
        <v>8751522</v>
      </c>
      <c r="E4215" t="s">
        <v>53</v>
      </c>
      <c r="F4215" t="s">
        <v>49</v>
      </c>
      <c r="G4215" s="30">
        <v>77309.720693070703</v>
      </c>
    </row>
    <row r="4216" spans="1:7" x14ac:dyDescent="0.25">
      <c r="A4216" t="s">
        <v>45</v>
      </c>
      <c r="B4216" t="s">
        <v>46</v>
      </c>
      <c r="C4216" t="s">
        <v>47</v>
      </c>
      <c r="D4216">
        <v>8752006</v>
      </c>
      <c r="E4216" t="s">
        <v>48</v>
      </c>
      <c r="F4216" t="s">
        <v>49</v>
      </c>
      <c r="G4216" s="30">
        <v>0</v>
      </c>
    </row>
    <row r="4217" spans="1:7" x14ac:dyDescent="0.25">
      <c r="A4217" t="s">
        <v>45</v>
      </c>
      <c r="B4217" t="s">
        <v>46</v>
      </c>
      <c r="C4217" t="s">
        <v>47</v>
      </c>
      <c r="D4217">
        <v>8752124</v>
      </c>
      <c r="E4217" t="s">
        <v>53</v>
      </c>
      <c r="F4217" t="s">
        <v>49</v>
      </c>
      <c r="G4217" s="30">
        <v>141922.70638253199</v>
      </c>
    </row>
    <row r="4218" spans="1:7" x14ac:dyDescent="0.25">
      <c r="A4218" t="s">
        <v>94</v>
      </c>
      <c r="B4218" t="s">
        <v>95</v>
      </c>
      <c r="C4218" t="s">
        <v>78</v>
      </c>
      <c r="D4218">
        <v>8752533</v>
      </c>
      <c r="E4218" t="s">
        <v>53</v>
      </c>
      <c r="F4218" t="s">
        <v>49</v>
      </c>
      <c r="G4218" s="30">
        <v>584552.05871285603</v>
      </c>
    </row>
    <row r="4219" spans="1:7" x14ac:dyDescent="0.25">
      <c r="A4219" t="s">
        <v>45</v>
      </c>
      <c r="B4219" t="s">
        <v>46</v>
      </c>
      <c r="C4219" t="s">
        <v>47</v>
      </c>
      <c r="D4219">
        <v>8752922</v>
      </c>
      <c r="E4219" t="s">
        <v>48</v>
      </c>
      <c r="F4219" t="s">
        <v>49</v>
      </c>
      <c r="G4219" s="30">
        <v>0</v>
      </c>
    </row>
    <row r="4220" spans="1:7" x14ac:dyDescent="0.25">
      <c r="A4220" t="s">
        <v>45</v>
      </c>
      <c r="B4220" t="s">
        <v>46</v>
      </c>
      <c r="C4220" t="s">
        <v>47</v>
      </c>
      <c r="D4220">
        <v>8753269</v>
      </c>
      <c r="E4220" t="s">
        <v>48</v>
      </c>
      <c r="F4220" t="s">
        <v>49</v>
      </c>
      <c r="G4220" s="30">
        <v>0</v>
      </c>
    </row>
    <row r="4221" spans="1:7" x14ac:dyDescent="0.25">
      <c r="A4221" t="s">
        <v>45</v>
      </c>
      <c r="B4221" t="s">
        <v>46</v>
      </c>
      <c r="C4221" t="s">
        <v>47</v>
      </c>
      <c r="D4221">
        <v>8753513</v>
      </c>
      <c r="E4221" t="s">
        <v>48</v>
      </c>
      <c r="F4221" t="s">
        <v>49</v>
      </c>
      <c r="G4221" s="30">
        <v>0</v>
      </c>
    </row>
    <row r="4222" spans="1:7" x14ac:dyDescent="0.25">
      <c r="A4222" t="s">
        <v>45</v>
      </c>
      <c r="B4222" t="s">
        <v>46</v>
      </c>
      <c r="C4222" t="s">
        <v>47</v>
      </c>
      <c r="D4222">
        <v>8753614</v>
      </c>
      <c r="E4222" t="s">
        <v>48</v>
      </c>
      <c r="F4222" t="s">
        <v>49</v>
      </c>
      <c r="G4222" s="30">
        <v>0</v>
      </c>
    </row>
    <row r="4223" spans="1:7" x14ac:dyDescent="0.25">
      <c r="A4223" t="s">
        <v>45</v>
      </c>
      <c r="B4223" t="s">
        <v>46</v>
      </c>
      <c r="C4223" t="s">
        <v>47</v>
      </c>
      <c r="D4223">
        <v>8754887</v>
      </c>
      <c r="E4223" t="s">
        <v>48</v>
      </c>
      <c r="F4223" t="s">
        <v>49</v>
      </c>
      <c r="G4223" s="30">
        <v>0</v>
      </c>
    </row>
    <row r="4224" spans="1:7" x14ac:dyDescent="0.25">
      <c r="A4224" t="s">
        <v>92</v>
      </c>
      <c r="B4224" t="s">
        <v>93</v>
      </c>
      <c r="C4224" t="s">
        <v>81</v>
      </c>
      <c r="D4224">
        <v>8756458</v>
      </c>
      <c r="E4224" t="s">
        <v>53</v>
      </c>
      <c r="F4224" t="s">
        <v>49</v>
      </c>
      <c r="G4224" s="30">
        <v>15685.817263047</v>
      </c>
    </row>
    <row r="4225" spans="1:7" x14ac:dyDescent="0.25">
      <c r="A4225" t="s">
        <v>92</v>
      </c>
      <c r="B4225" t="s">
        <v>93</v>
      </c>
      <c r="C4225" t="s">
        <v>81</v>
      </c>
      <c r="D4225">
        <v>8756759</v>
      </c>
      <c r="E4225" t="s">
        <v>53</v>
      </c>
      <c r="F4225" t="s">
        <v>49</v>
      </c>
      <c r="G4225" s="30">
        <v>4814.3195015233296</v>
      </c>
    </row>
    <row r="4226" spans="1:7" x14ac:dyDescent="0.25">
      <c r="A4226" t="s">
        <v>45</v>
      </c>
      <c r="B4226" t="s">
        <v>46</v>
      </c>
      <c r="C4226" t="s">
        <v>47</v>
      </c>
      <c r="D4226">
        <v>8758100</v>
      </c>
      <c r="E4226" t="s">
        <v>48</v>
      </c>
      <c r="F4226" t="s">
        <v>49</v>
      </c>
      <c r="G4226" s="30">
        <v>0</v>
      </c>
    </row>
    <row r="4227" spans="1:7" x14ac:dyDescent="0.25">
      <c r="A4227" t="s">
        <v>45</v>
      </c>
      <c r="B4227" t="s">
        <v>46</v>
      </c>
      <c r="C4227" t="s">
        <v>47</v>
      </c>
      <c r="D4227">
        <v>8758859</v>
      </c>
      <c r="E4227" t="s">
        <v>48</v>
      </c>
      <c r="F4227" t="s">
        <v>49</v>
      </c>
      <c r="G4227" s="30">
        <v>0</v>
      </c>
    </row>
    <row r="4228" spans="1:7" x14ac:dyDescent="0.25">
      <c r="A4228" t="s">
        <v>45</v>
      </c>
      <c r="B4228" t="s">
        <v>46</v>
      </c>
      <c r="C4228" t="s">
        <v>47</v>
      </c>
      <c r="D4228">
        <v>8759082</v>
      </c>
      <c r="E4228" t="s">
        <v>48</v>
      </c>
      <c r="F4228" t="s">
        <v>49</v>
      </c>
      <c r="G4228" s="30">
        <v>0</v>
      </c>
    </row>
    <row r="4229" spans="1:7" x14ac:dyDescent="0.25">
      <c r="A4229" t="s">
        <v>45</v>
      </c>
      <c r="B4229" t="s">
        <v>46</v>
      </c>
      <c r="C4229" t="s">
        <v>47</v>
      </c>
      <c r="D4229">
        <v>8759697</v>
      </c>
      <c r="E4229" t="s">
        <v>48</v>
      </c>
      <c r="F4229" t="s">
        <v>49</v>
      </c>
      <c r="G4229" s="30">
        <v>0.57999999999999996</v>
      </c>
    </row>
    <row r="4230" spans="1:7" x14ac:dyDescent="0.25">
      <c r="A4230" t="s">
        <v>45</v>
      </c>
      <c r="B4230" t="s">
        <v>46</v>
      </c>
      <c r="C4230" t="s">
        <v>47</v>
      </c>
      <c r="D4230">
        <v>8760466</v>
      </c>
      <c r="E4230" t="s">
        <v>48</v>
      </c>
      <c r="F4230" t="s">
        <v>49</v>
      </c>
      <c r="G4230" s="30">
        <v>0</v>
      </c>
    </row>
    <row r="4231" spans="1:7" x14ac:dyDescent="0.25">
      <c r="A4231" t="s">
        <v>45</v>
      </c>
      <c r="B4231" t="s">
        <v>46</v>
      </c>
      <c r="C4231" t="s">
        <v>47</v>
      </c>
      <c r="D4231">
        <v>8760958</v>
      </c>
      <c r="E4231" t="s">
        <v>48</v>
      </c>
      <c r="F4231" t="s">
        <v>49</v>
      </c>
      <c r="G4231" s="30">
        <v>0</v>
      </c>
    </row>
    <row r="4232" spans="1:7" x14ac:dyDescent="0.25">
      <c r="A4232" t="s">
        <v>61</v>
      </c>
      <c r="B4232" t="s">
        <v>62</v>
      </c>
      <c r="C4232" t="s">
        <v>56</v>
      </c>
      <c r="D4232">
        <v>8761322</v>
      </c>
      <c r="E4232" t="s">
        <v>53</v>
      </c>
      <c r="F4232" t="s">
        <v>49</v>
      </c>
      <c r="G4232" s="30">
        <v>3772.6191849452098</v>
      </c>
    </row>
    <row r="4233" spans="1:7" x14ac:dyDescent="0.25">
      <c r="A4233" t="s">
        <v>61</v>
      </c>
      <c r="B4233" t="s">
        <v>62</v>
      </c>
      <c r="C4233" t="s">
        <v>56</v>
      </c>
      <c r="D4233">
        <v>8762250</v>
      </c>
      <c r="E4233" t="s">
        <v>48</v>
      </c>
      <c r="F4233" t="s">
        <v>49</v>
      </c>
      <c r="G4233" s="30">
        <v>-32.94</v>
      </c>
    </row>
    <row r="4234" spans="1:7" x14ac:dyDescent="0.25">
      <c r="A4234" t="s">
        <v>50</v>
      </c>
      <c r="B4234" t="s">
        <v>51</v>
      </c>
      <c r="C4234" t="s">
        <v>52</v>
      </c>
      <c r="D4234">
        <v>8762651</v>
      </c>
      <c r="E4234" t="s">
        <v>53</v>
      </c>
      <c r="F4234" t="s">
        <v>49</v>
      </c>
      <c r="G4234" s="30">
        <v>454.99</v>
      </c>
    </row>
    <row r="4235" spans="1:7" x14ac:dyDescent="0.25">
      <c r="A4235" t="s">
        <v>45</v>
      </c>
      <c r="B4235" t="s">
        <v>46</v>
      </c>
      <c r="C4235" t="s">
        <v>47</v>
      </c>
      <c r="D4235">
        <v>8763148</v>
      </c>
      <c r="E4235" t="s">
        <v>48</v>
      </c>
      <c r="F4235" t="s">
        <v>49</v>
      </c>
      <c r="G4235" s="30">
        <v>0</v>
      </c>
    </row>
    <row r="4236" spans="1:7" x14ac:dyDescent="0.25">
      <c r="A4236" t="s">
        <v>45</v>
      </c>
      <c r="B4236" t="s">
        <v>46</v>
      </c>
      <c r="C4236" t="s">
        <v>47</v>
      </c>
      <c r="D4236">
        <v>8763765</v>
      </c>
      <c r="E4236" t="s">
        <v>48</v>
      </c>
      <c r="F4236" t="s">
        <v>49</v>
      </c>
      <c r="G4236" s="30">
        <v>0</v>
      </c>
    </row>
    <row r="4237" spans="1:7" x14ac:dyDescent="0.25">
      <c r="A4237" t="s">
        <v>45</v>
      </c>
      <c r="B4237" t="s">
        <v>46</v>
      </c>
      <c r="C4237" t="s">
        <v>47</v>
      </c>
      <c r="D4237">
        <v>8764485</v>
      </c>
      <c r="E4237" t="s">
        <v>53</v>
      </c>
      <c r="F4237" t="s">
        <v>49</v>
      </c>
      <c r="G4237" s="30">
        <v>35643.037420599998</v>
      </c>
    </row>
    <row r="4238" spans="1:7" x14ac:dyDescent="0.25">
      <c r="A4238" t="s">
        <v>45</v>
      </c>
      <c r="B4238" t="s">
        <v>46</v>
      </c>
      <c r="C4238" t="s">
        <v>47</v>
      </c>
      <c r="D4238">
        <v>8764948</v>
      </c>
      <c r="E4238" t="s">
        <v>53</v>
      </c>
      <c r="F4238" t="s">
        <v>49</v>
      </c>
      <c r="G4238" s="30">
        <v>16359.3647330239</v>
      </c>
    </row>
    <row r="4239" spans="1:7" x14ac:dyDescent="0.25">
      <c r="A4239" t="s">
        <v>45</v>
      </c>
      <c r="B4239" t="s">
        <v>46</v>
      </c>
      <c r="C4239" t="s">
        <v>47</v>
      </c>
      <c r="D4239">
        <v>8765858</v>
      </c>
      <c r="E4239" t="s">
        <v>48</v>
      </c>
      <c r="F4239" t="s">
        <v>49</v>
      </c>
      <c r="G4239" s="30">
        <v>0</v>
      </c>
    </row>
    <row r="4240" spans="1:7" x14ac:dyDescent="0.25">
      <c r="A4240" t="s">
        <v>50</v>
      </c>
      <c r="B4240" t="s">
        <v>51</v>
      </c>
      <c r="C4240" t="s">
        <v>52</v>
      </c>
      <c r="D4240">
        <v>8766325</v>
      </c>
      <c r="E4240" t="s">
        <v>53</v>
      </c>
      <c r="F4240" t="s">
        <v>49</v>
      </c>
      <c r="G4240" s="30">
        <v>1188.9267970431999</v>
      </c>
    </row>
    <row r="4241" spans="1:7" x14ac:dyDescent="0.25">
      <c r="A4241" t="s">
        <v>45</v>
      </c>
      <c r="B4241" t="s">
        <v>46</v>
      </c>
      <c r="C4241" t="s">
        <v>47</v>
      </c>
      <c r="D4241">
        <v>8766447</v>
      </c>
      <c r="E4241" t="s">
        <v>53</v>
      </c>
      <c r="F4241" t="s">
        <v>49</v>
      </c>
      <c r="G4241" s="30">
        <v>50503.160313198299</v>
      </c>
    </row>
    <row r="4242" spans="1:7" x14ac:dyDescent="0.25">
      <c r="A4242" t="s">
        <v>50</v>
      </c>
      <c r="B4242" t="s">
        <v>51</v>
      </c>
      <c r="C4242" t="s">
        <v>52</v>
      </c>
      <c r="D4242">
        <v>8767344</v>
      </c>
      <c r="E4242" t="s">
        <v>53</v>
      </c>
      <c r="F4242" t="s">
        <v>49</v>
      </c>
      <c r="G4242" s="30">
        <v>31923.149368188198</v>
      </c>
    </row>
    <row r="4243" spans="1:7" x14ac:dyDescent="0.25">
      <c r="A4243" t="s">
        <v>45</v>
      </c>
      <c r="B4243" t="s">
        <v>46</v>
      </c>
      <c r="C4243" t="s">
        <v>47</v>
      </c>
      <c r="D4243">
        <v>8768659</v>
      </c>
      <c r="E4243" t="s">
        <v>48</v>
      </c>
      <c r="F4243" t="s">
        <v>49</v>
      </c>
      <c r="G4243" s="30">
        <v>0</v>
      </c>
    </row>
    <row r="4244" spans="1:7" x14ac:dyDescent="0.25">
      <c r="A4244" t="s">
        <v>45</v>
      </c>
      <c r="B4244" t="s">
        <v>46</v>
      </c>
      <c r="C4244" t="s">
        <v>47</v>
      </c>
      <c r="D4244">
        <v>8768870</v>
      </c>
      <c r="E4244" t="s">
        <v>48</v>
      </c>
      <c r="F4244" t="s">
        <v>49</v>
      </c>
      <c r="G4244" s="30">
        <v>0</v>
      </c>
    </row>
    <row r="4245" spans="1:7" x14ac:dyDescent="0.25">
      <c r="A4245" t="s">
        <v>118</v>
      </c>
      <c r="B4245" t="s">
        <v>119</v>
      </c>
      <c r="C4245" t="s">
        <v>56</v>
      </c>
      <c r="D4245">
        <v>8769084</v>
      </c>
      <c r="E4245" t="s">
        <v>53</v>
      </c>
      <c r="F4245" t="s">
        <v>49</v>
      </c>
      <c r="G4245" s="30">
        <v>2395.3895337098202</v>
      </c>
    </row>
    <row r="4246" spans="1:7" x14ac:dyDescent="0.25">
      <c r="A4246" t="s">
        <v>54</v>
      </c>
      <c r="B4246" t="s">
        <v>55</v>
      </c>
      <c r="C4246" t="s">
        <v>56</v>
      </c>
      <c r="D4246">
        <v>8769221</v>
      </c>
      <c r="E4246" t="s">
        <v>53</v>
      </c>
      <c r="F4246" t="s">
        <v>49</v>
      </c>
      <c r="G4246" s="30">
        <v>1170719.0570952401</v>
      </c>
    </row>
    <row r="4247" spans="1:7" x14ac:dyDescent="0.25">
      <c r="A4247" t="s">
        <v>45</v>
      </c>
      <c r="B4247" t="s">
        <v>46</v>
      </c>
      <c r="C4247" t="s">
        <v>47</v>
      </c>
      <c r="D4247">
        <v>8769661</v>
      </c>
      <c r="E4247" t="s">
        <v>48</v>
      </c>
      <c r="F4247" t="s">
        <v>49</v>
      </c>
      <c r="G4247" s="30">
        <v>0</v>
      </c>
    </row>
    <row r="4248" spans="1:7" x14ac:dyDescent="0.25">
      <c r="A4248" t="s">
        <v>50</v>
      </c>
      <c r="B4248" t="s">
        <v>51</v>
      </c>
      <c r="C4248" t="s">
        <v>52</v>
      </c>
      <c r="D4248">
        <v>8770708</v>
      </c>
      <c r="E4248" t="s">
        <v>53</v>
      </c>
      <c r="F4248" t="s">
        <v>49</v>
      </c>
      <c r="G4248" s="30">
        <v>5292.7021612407798</v>
      </c>
    </row>
    <row r="4249" spans="1:7" x14ac:dyDescent="0.25">
      <c r="A4249" t="s">
        <v>45</v>
      </c>
      <c r="B4249" t="s">
        <v>46</v>
      </c>
      <c r="C4249" t="s">
        <v>47</v>
      </c>
      <c r="D4249">
        <v>8772818</v>
      </c>
      <c r="E4249" t="s">
        <v>48</v>
      </c>
      <c r="F4249" t="s">
        <v>49</v>
      </c>
      <c r="G4249" s="30">
        <v>0</v>
      </c>
    </row>
    <row r="4250" spans="1:7" x14ac:dyDescent="0.25">
      <c r="A4250" t="s">
        <v>128</v>
      </c>
      <c r="B4250" t="s">
        <v>129</v>
      </c>
      <c r="C4250" t="s">
        <v>130</v>
      </c>
      <c r="D4250">
        <v>8774461</v>
      </c>
      <c r="E4250" t="s">
        <v>53</v>
      </c>
      <c r="F4250" t="s">
        <v>49</v>
      </c>
      <c r="G4250" s="30">
        <v>13682260.8982077</v>
      </c>
    </row>
    <row r="4251" spans="1:7" x14ac:dyDescent="0.25">
      <c r="A4251" t="s">
        <v>45</v>
      </c>
      <c r="B4251" t="s">
        <v>46</v>
      </c>
      <c r="C4251" t="s">
        <v>47</v>
      </c>
      <c r="D4251">
        <v>8774544</v>
      </c>
      <c r="E4251" t="s">
        <v>48</v>
      </c>
      <c r="F4251" t="s">
        <v>49</v>
      </c>
      <c r="G4251" s="30">
        <v>0</v>
      </c>
    </row>
    <row r="4252" spans="1:7" x14ac:dyDescent="0.25">
      <c r="A4252" t="s">
        <v>74</v>
      </c>
      <c r="B4252" t="s">
        <v>75</v>
      </c>
      <c r="C4252" t="s">
        <v>67</v>
      </c>
      <c r="D4252">
        <v>8774595</v>
      </c>
      <c r="E4252" t="s">
        <v>53</v>
      </c>
      <c r="F4252" t="s">
        <v>49</v>
      </c>
      <c r="G4252" s="30">
        <v>250241.11468052599</v>
      </c>
    </row>
    <row r="4253" spans="1:7" x14ac:dyDescent="0.25">
      <c r="A4253" t="s">
        <v>50</v>
      </c>
      <c r="B4253" t="s">
        <v>51</v>
      </c>
      <c r="C4253" t="s">
        <v>52</v>
      </c>
      <c r="D4253">
        <v>8777352</v>
      </c>
      <c r="E4253" t="s">
        <v>48</v>
      </c>
      <c r="F4253" t="s">
        <v>49</v>
      </c>
      <c r="G4253" s="30">
        <v>7.0000000000000007E-2</v>
      </c>
    </row>
    <row r="4254" spans="1:7" x14ac:dyDescent="0.25">
      <c r="A4254" t="s">
        <v>96</v>
      </c>
      <c r="B4254" t="s">
        <v>97</v>
      </c>
      <c r="C4254" t="s">
        <v>81</v>
      </c>
      <c r="D4254">
        <v>8777611</v>
      </c>
      <c r="E4254" t="s">
        <v>48</v>
      </c>
      <c r="F4254" t="s">
        <v>49</v>
      </c>
      <c r="G4254" s="30">
        <v>0</v>
      </c>
    </row>
    <row r="4255" spans="1:7" x14ac:dyDescent="0.25">
      <c r="A4255" t="s">
        <v>45</v>
      </c>
      <c r="B4255" t="s">
        <v>46</v>
      </c>
      <c r="C4255" t="s">
        <v>47</v>
      </c>
      <c r="D4255">
        <v>8778098</v>
      </c>
      <c r="E4255" t="s">
        <v>48</v>
      </c>
      <c r="F4255" t="s">
        <v>49</v>
      </c>
      <c r="G4255" s="30">
        <v>0</v>
      </c>
    </row>
    <row r="4256" spans="1:7" x14ac:dyDescent="0.25">
      <c r="A4256" t="s">
        <v>45</v>
      </c>
      <c r="B4256" t="s">
        <v>46</v>
      </c>
      <c r="C4256" t="s">
        <v>47</v>
      </c>
      <c r="D4256">
        <v>8780623</v>
      </c>
      <c r="E4256" t="s">
        <v>48</v>
      </c>
      <c r="F4256" t="s">
        <v>49</v>
      </c>
      <c r="G4256" s="30">
        <v>0</v>
      </c>
    </row>
    <row r="4257" spans="1:7" x14ac:dyDescent="0.25">
      <c r="A4257" t="s">
        <v>45</v>
      </c>
      <c r="B4257" t="s">
        <v>46</v>
      </c>
      <c r="C4257" t="s">
        <v>47</v>
      </c>
      <c r="D4257">
        <v>8781197</v>
      </c>
      <c r="E4257" t="s">
        <v>48</v>
      </c>
      <c r="F4257" t="s">
        <v>49</v>
      </c>
      <c r="G4257" s="30">
        <v>0</v>
      </c>
    </row>
    <row r="4258" spans="1:7" x14ac:dyDescent="0.25">
      <c r="A4258" t="s">
        <v>45</v>
      </c>
      <c r="B4258" t="s">
        <v>46</v>
      </c>
      <c r="C4258" t="s">
        <v>47</v>
      </c>
      <c r="D4258">
        <v>8784221</v>
      </c>
      <c r="E4258" t="s">
        <v>48</v>
      </c>
      <c r="F4258" t="s">
        <v>49</v>
      </c>
      <c r="G4258" s="30">
        <v>0</v>
      </c>
    </row>
    <row r="4259" spans="1:7" x14ac:dyDescent="0.25">
      <c r="A4259" t="s">
        <v>82</v>
      </c>
      <c r="B4259" t="s">
        <v>83</v>
      </c>
      <c r="C4259" t="s">
        <v>56</v>
      </c>
      <c r="D4259">
        <v>8784779</v>
      </c>
      <c r="E4259" t="s">
        <v>53</v>
      </c>
      <c r="F4259" t="s">
        <v>49</v>
      </c>
      <c r="G4259" s="30">
        <v>30642.84</v>
      </c>
    </row>
    <row r="4260" spans="1:7" x14ac:dyDescent="0.25">
      <c r="A4260" t="s">
        <v>45</v>
      </c>
      <c r="B4260" t="s">
        <v>46</v>
      </c>
      <c r="C4260" t="s">
        <v>47</v>
      </c>
      <c r="D4260">
        <v>8785963</v>
      </c>
      <c r="E4260" t="s">
        <v>53</v>
      </c>
      <c r="F4260" t="s">
        <v>49</v>
      </c>
      <c r="G4260" s="30">
        <v>18174.983309309198</v>
      </c>
    </row>
    <row r="4261" spans="1:7" x14ac:dyDescent="0.25">
      <c r="A4261" t="s">
        <v>45</v>
      </c>
      <c r="B4261" t="s">
        <v>46</v>
      </c>
      <c r="C4261" t="s">
        <v>47</v>
      </c>
      <c r="D4261">
        <v>8786040</v>
      </c>
      <c r="E4261" t="s">
        <v>48</v>
      </c>
      <c r="F4261" t="s">
        <v>49</v>
      </c>
      <c r="G4261" s="30">
        <v>0</v>
      </c>
    </row>
    <row r="4262" spans="1:7" x14ac:dyDescent="0.25">
      <c r="A4262" t="s">
        <v>104</v>
      </c>
      <c r="B4262" t="s">
        <v>105</v>
      </c>
      <c r="C4262" t="s">
        <v>78</v>
      </c>
      <c r="D4262">
        <v>8786268</v>
      </c>
      <c r="E4262" t="s">
        <v>53</v>
      </c>
      <c r="F4262" t="s">
        <v>49</v>
      </c>
      <c r="G4262" s="30">
        <v>97436.1383990022</v>
      </c>
    </row>
    <row r="4263" spans="1:7" x14ac:dyDescent="0.25">
      <c r="A4263" t="s">
        <v>45</v>
      </c>
      <c r="B4263" t="s">
        <v>46</v>
      </c>
      <c r="C4263" t="s">
        <v>47</v>
      </c>
      <c r="D4263">
        <v>8786960</v>
      </c>
      <c r="E4263" t="s">
        <v>48</v>
      </c>
      <c r="F4263" t="s">
        <v>49</v>
      </c>
      <c r="G4263" s="30">
        <v>1</v>
      </c>
    </row>
    <row r="4264" spans="1:7" x14ac:dyDescent="0.25">
      <c r="A4264" t="s">
        <v>61</v>
      </c>
      <c r="B4264" t="s">
        <v>62</v>
      </c>
      <c r="C4264" t="s">
        <v>56</v>
      </c>
      <c r="D4264">
        <v>8788255</v>
      </c>
      <c r="E4264" t="s">
        <v>48</v>
      </c>
      <c r="F4264" t="s">
        <v>49</v>
      </c>
      <c r="G4264" s="30">
        <v>0</v>
      </c>
    </row>
    <row r="4265" spans="1:7" x14ac:dyDescent="0.25">
      <c r="A4265" t="s">
        <v>59</v>
      </c>
      <c r="B4265" t="s">
        <v>60</v>
      </c>
      <c r="C4265" t="s">
        <v>56</v>
      </c>
      <c r="D4265">
        <v>8791709</v>
      </c>
      <c r="E4265" t="s">
        <v>53</v>
      </c>
      <c r="F4265" t="s">
        <v>49</v>
      </c>
      <c r="G4265" s="30">
        <v>1835.94303844863</v>
      </c>
    </row>
    <row r="4266" spans="1:7" x14ac:dyDescent="0.25">
      <c r="A4266" t="s">
        <v>45</v>
      </c>
      <c r="B4266" t="s">
        <v>46</v>
      </c>
      <c r="C4266" t="s">
        <v>47</v>
      </c>
      <c r="D4266">
        <v>8799644</v>
      </c>
      <c r="E4266" t="s">
        <v>48</v>
      </c>
      <c r="F4266" t="s">
        <v>49</v>
      </c>
      <c r="G4266" s="30">
        <v>0</v>
      </c>
    </row>
    <row r="4267" spans="1:7" x14ac:dyDescent="0.25">
      <c r="A4267" t="s">
        <v>45</v>
      </c>
      <c r="B4267" t="s">
        <v>46</v>
      </c>
      <c r="C4267" t="s">
        <v>47</v>
      </c>
      <c r="D4267">
        <v>8804984</v>
      </c>
      <c r="E4267" t="s">
        <v>48</v>
      </c>
      <c r="F4267" t="s">
        <v>49</v>
      </c>
      <c r="G4267" s="30">
        <v>0</v>
      </c>
    </row>
    <row r="4268" spans="1:7" x14ac:dyDescent="0.25">
      <c r="A4268" t="s">
        <v>72</v>
      </c>
      <c r="B4268" t="s">
        <v>73</v>
      </c>
      <c r="C4268" t="s">
        <v>67</v>
      </c>
      <c r="D4268">
        <v>8805104</v>
      </c>
      <c r="E4268" t="s">
        <v>53</v>
      </c>
      <c r="F4268" t="s">
        <v>49</v>
      </c>
      <c r="G4268" s="30">
        <v>7871827.3605000498</v>
      </c>
    </row>
    <row r="4269" spans="1:7" x14ac:dyDescent="0.25">
      <c r="A4269" t="s">
        <v>50</v>
      </c>
      <c r="B4269" t="s">
        <v>51</v>
      </c>
      <c r="C4269" t="s">
        <v>52</v>
      </c>
      <c r="D4269">
        <v>8813216</v>
      </c>
      <c r="E4269" t="s">
        <v>53</v>
      </c>
      <c r="F4269" t="s">
        <v>49</v>
      </c>
      <c r="G4269" s="30">
        <v>638.03</v>
      </c>
    </row>
    <row r="4270" spans="1:7" x14ac:dyDescent="0.25">
      <c r="A4270" t="s">
        <v>45</v>
      </c>
      <c r="B4270" t="s">
        <v>46</v>
      </c>
      <c r="C4270" t="s">
        <v>47</v>
      </c>
      <c r="D4270">
        <v>8813497</v>
      </c>
      <c r="E4270" t="s">
        <v>48</v>
      </c>
      <c r="F4270" t="s">
        <v>49</v>
      </c>
      <c r="G4270" s="30">
        <v>0</v>
      </c>
    </row>
    <row r="4271" spans="1:7" x14ac:dyDescent="0.25">
      <c r="A4271" t="s">
        <v>45</v>
      </c>
      <c r="B4271" t="s">
        <v>46</v>
      </c>
      <c r="C4271" t="s">
        <v>47</v>
      </c>
      <c r="D4271">
        <v>8814935</v>
      </c>
      <c r="E4271" t="s">
        <v>48</v>
      </c>
      <c r="F4271" t="s">
        <v>49</v>
      </c>
      <c r="G4271" s="30">
        <v>0</v>
      </c>
    </row>
    <row r="4272" spans="1:7" x14ac:dyDescent="0.25">
      <c r="A4272" t="s">
        <v>82</v>
      </c>
      <c r="B4272" t="s">
        <v>83</v>
      </c>
      <c r="C4272" t="s">
        <v>56</v>
      </c>
      <c r="D4272">
        <v>8816203</v>
      </c>
      <c r="E4272" t="s">
        <v>53</v>
      </c>
      <c r="F4272" t="s">
        <v>49</v>
      </c>
      <c r="G4272" s="30">
        <v>1007.57</v>
      </c>
    </row>
    <row r="4273" spans="1:7" x14ac:dyDescent="0.25">
      <c r="A4273" t="s">
        <v>68</v>
      </c>
      <c r="B4273" t="s">
        <v>69</v>
      </c>
      <c r="C4273" t="s">
        <v>56</v>
      </c>
      <c r="D4273">
        <v>8816228</v>
      </c>
      <c r="E4273" t="s">
        <v>53</v>
      </c>
      <c r="F4273" t="s">
        <v>49</v>
      </c>
      <c r="G4273" s="30">
        <v>266635.82362979301</v>
      </c>
    </row>
    <row r="4274" spans="1:7" x14ac:dyDescent="0.25">
      <c r="A4274" t="s">
        <v>96</v>
      </c>
      <c r="B4274" t="s">
        <v>97</v>
      </c>
      <c r="C4274" t="s">
        <v>81</v>
      </c>
      <c r="D4274">
        <v>8821509</v>
      </c>
      <c r="E4274" t="s">
        <v>53</v>
      </c>
      <c r="F4274" t="s">
        <v>49</v>
      </c>
      <c r="G4274" s="30">
        <v>63911.619730514802</v>
      </c>
    </row>
    <row r="4275" spans="1:7" x14ac:dyDescent="0.25">
      <c r="A4275" t="s">
        <v>59</v>
      </c>
      <c r="B4275" t="s">
        <v>60</v>
      </c>
      <c r="C4275" t="s">
        <v>56</v>
      </c>
      <c r="D4275">
        <v>8822307</v>
      </c>
      <c r="E4275" t="s">
        <v>53</v>
      </c>
      <c r="F4275" t="s">
        <v>49</v>
      </c>
      <c r="G4275" s="30">
        <v>324093.24120619398</v>
      </c>
    </row>
    <row r="4276" spans="1:7" x14ac:dyDescent="0.25">
      <c r="A4276" t="s">
        <v>45</v>
      </c>
      <c r="B4276" t="s">
        <v>46</v>
      </c>
      <c r="C4276" t="s">
        <v>47</v>
      </c>
      <c r="D4276">
        <v>8823112</v>
      </c>
      <c r="E4276" t="s">
        <v>48</v>
      </c>
      <c r="F4276" t="s">
        <v>49</v>
      </c>
      <c r="G4276" s="30">
        <v>0.15</v>
      </c>
    </row>
    <row r="4277" spans="1:7" x14ac:dyDescent="0.25">
      <c r="A4277" t="s">
        <v>94</v>
      </c>
      <c r="B4277" t="s">
        <v>95</v>
      </c>
      <c r="C4277" t="s">
        <v>78</v>
      </c>
      <c r="D4277">
        <v>8823469</v>
      </c>
      <c r="E4277" t="s">
        <v>53</v>
      </c>
      <c r="F4277" t="s">
        <v>49</v>
      </c>
      <c r="G4277" s="30">
        <v>1181796.0707810801</v>
      </c>
    </row>
    <row r="4278" spans="1:7" x14ac:dyDescent="0.25">
      <c r="A4278" t="s">
        <v>102</v>
      </c>
      <c r="B4278" t="s">
        <v>103</v>
      </c>
      <c r="C4278" t="s">
        <v>47</v>
      </c>
      <c r="D4278">
        <v>8825841</v>
      </c>
      <c r="E4278" t="s">
        <v>53</v>
      </c>
      <c r="F4278" t="s">
        <v>49</v>
      </c>
      <c r="G4278" s="30">
        <v>11279.1658145</v>
      </c>
    </row>
    <row r="4279" spans="1:7" x14ac:dyDescent="0.25">
      <c r="A4279" t="s">
        <v>63</v>
      </c>
      <c r="B4279" t="s">
        <v>64</v>
      </c>
      <c r="C4279" t="s">
        <v>56</v>
      </c>
      <c r="D4279">
        <v>8826682</v>
      </c>
      <c r="E4279" t="s">
        <v>53</v>
      </c>
      <c r="F4279" t="s">
        <v>49</v>
      </c>
      <c r="G4279" s="30">
        <v>757255.43275829102</v>
      </c>
    </row>
    <row r="4280" spans="1:7" x14ac:dyDescent="0.25">
      <c r="A4280" t="s">
        <v>50</v>
      </c>
      <c r="B4280" t="s">
        <v>51</v>
      </c>
      <c r="C4280" t="s">
        <v>52</v>
      </c>
      <c r="D4280">
        <v>8830642</v>
      </c>
      <c r="E4280" t="s">
        <v>53</v>
      </c>
      <c r="F4280" t="s">
        <v>49</v>
      </c>
      <c r="G4280" s="30">
        <v>27594.1913738568</v>
      </c>
    </row>
    <row r="4281" spans="1:7" x14ac:dyDescent="0.25">
      <c r="A4281" t="s">
        <v>45</v>
      </c>
      <c r="B4281" t="s">
        <v>46</v>
      </c>
      <c r="C4281" t="s">
        <v>47</v>
      </c>
      <c r="D4281">
        <v>8834316</v>
      </c>
      <c r="E4281" t="s">
        <v>48</v>
      </c>
      <c r="F4281" t="s">
        <v>49</v>
      </c>
      <c r="G4281" s="30">
        <v>0</v>
      </c>
    </row>
    <row r="4282" spans="1:7" x14ac:dyDescent="0.25">
      <c r="A4282" t="s">
        <v>45</v>
      </c>
      <c r="B4282" t="s">
        <v>46</v>
      </c>
      <c r="C4282" t="s">
        <v>47</v>
      </c>
      <c r="D4282">
        <v>8836080</v>
      </c>
      <c r="E4282" t="s">
        <v>48</v>
      </c>
      <c r="F4282" t="s">
        <v>49</v>
      </c>
      <c r="G4282" s="30">
        <v>0</v>
      </c>
    </row>
    <row r="4283" spans="1:7" x14ac:dyDescent="0.25">
      <c r="A4283" t="s">
        <v>45</v>
      </c>
      <c r="B4283" t="s">
        <v>46</v>
      </c>
      <c r="C4283" t="s">
        <v>47</v>
      </c>
      <c r="D4283">
        <v>8841904</v>
      </c>
      <c r="E4283" t="s">
        <v>53</v>
      </c>
      <c r="F4283" t="s">
        <v>49</v>
      </c>
      <c r="G4283" s="30">
        <v>3457.4275819487798</v>
      </c>
    </row>
    <row r="4284" spans="1:7" x14ac:dyDescent="0.25">
      <c r="A4284" t="s">
        <v>68</v>
      </c>
      <c r="B4284" t="s">
        <v>69</v>
      </c>
      <c r="C4284" t="s">
        <v>56</v>
      </c>
      <c r="D4284">
        <v>8853217</v>
      </c>
      <c r="E4284" t="s">
        <v>53</v>
      </c>
      <c r="F4284" t="s">
        <v>49</v>
      </c>
      <c r="G4284" s="30">
        <v>212898.00069219101</v>
      </c>
    </row>
    <row r="4285" spans="1:7" x14ac:dyDescent="0.25">
      <c r="A4285" t="s">
        <v>50</v>
      </c>
      <c r="B4285" t="s">
        <v>51</v>
      </c>
      <c r="C4285" t="s">
        <v>52</v>
      </c>
      <c r="D4285">
        <v>8853864</v>
      </c>
      <c r="E4285" t="s">
        <v>53</v>
      </c>
      <c r="F4285" t="s">
        <v>49</v>
      </c>
      <c r="G4285" s="30">
        <v>12117.723843243301</v>
      </c>
    </row>
    <row r="4286" spans="1:7" x14ac:dyDescent="0.25">
      <c r="A4286" t="s">
        <v>70</v>
      </c>
      <c r="B4286" t="s">
        <v>71</v>
      </c>
      <c r="C4286" t="s">
        <v>47</v>
      </c>
      <c r="D4286">
        <v>8853936</v>
      </c>
      <c r="E4286" t="s">
        <v>53</v>
      </c>
      <c r="F4286" t="s">
        <v>49</v>
      </c>
      <c r="G4286" s="30">
        <v>1070647.96124767</v>
      </c>
    </row>
    <row r="4287" spans="1:7" x14ac:dyDescent="0.25">
      <c r="A4287" t="s">
        <v>45</v>
      </c>
      <c r="B4287" t="s">
        <v>46</v>
      </c>
      <c r="C4287" t="s">
        <v>47</v>
      </c>
      <c r="D4287">
        <v>8854915</v>
      </c>
      <c r="E4287" t="s">
        <v>53</v>
      </c>
      <c r="F4287" t="s">
        <v>49</v>
      </c>
      <c r="G4287" s="30">
        <v>198294.73978451599</v>
      </c>
    </row>
    <row r="4288" spans="1:7" x14ac:dyDescent="0.25">
      <c r="A4288" t="s">
        <v>59</v>
      </c>
      <c r="B4288" t="s">
        <v>60</v>
      </c>
      <c r="C4288" t="s">
        <v>56</v>
      </c>
      <c r="D4288">
        <v>8856136</v>
      </c>
      <c r="E4288" t="s">
        <v>53</v>
      </c>
      <c r="F4288" t="s">
        <v>49</v>
      </c>
      <c r="G4288" s="30">
        <v>960475.23454845103</v>
      </c>
    </row>
    <row r="4289" spans="1:7" x14ac:dyDescent="0.25">
      <c r="A4289" t="s">
        <v>54</v>
      </c>
      <c r="B4289" t="s">
        <v>55</v>
      </c>
      <c r="C4289" t="s">
        <v>56</v>
      </c>
      <c r="D4289">
        <v>8856419</v>
      </c>
      <c r="E4289" t="s">
        <v>53</v>
      </c>
      <c r="F4289" t="s">
        <v>49</v>
      </c>
      <c r="G4289" s="30">
        <v>934711.21048957796</v>
      </c>
    </row>
    <row r="4290" spans="1:7" x14ac:dyDescent="0.25">
      <c r="A4290" t="s">
        <v>50</v>
      </c>
      <c r="B4290" t="s">
        <v>51</v>
      </c>
      <c r="C4290" t="s">
        <v>52</v>
      </c>
      <c r="D4290">
        <v>8858311</v>
      </c>
      <c r="E4290" t="s">
        <v>53</v>
      </c>
      <c r="F4290" t="s">
        <v>49</v>
      </c>
      <c r="G4290" s="30">
        <v>12110.256278908701</v>
      </c>
    </row>
    <row r="4291" spans="1:7" x14ac:dyDescent="0.25">
      <c r="A4291" t="s">
        <v>124</v>
      </c>
      <c r="B4291" t="s">
        <v>125</v>
      </c>
      <c r="C4291" t="s">
        <v>78</v>
      </c>
      <c r="D4291">
        <v>8860206</v>
      </c>
      <c r="E4291" t="s">
        <v>53</v>
      </c>
      <c r="F4291" t="s">
        <v>49</v>
      </c>
      <c r="G4291" s="30">
        <v>127042.588461083</v>
      </c>
    </row>
    <row r="4292" spans="1:7" x14ac:dyDescent="0.25">
      <c r="A4292" t="s">
        <v>45</v>
      </c>
      <c r="B4292" t="s">
        <v>46</v>
      </c>
      <c r="C4292" t="s">
        <v>47</v>
      </c>
      <c r="D4292">
        <v>8862288</v>
      </c>
      <c r="E4292" t="s">
        <v>48</v>
      </c>
      <c r="F4292" t="s">
        <v>49</v>
      </c>
      <c r="G4292" s="30">
        <v>0</v>
      </c>
    </row>
    <row r="4293" spans="1:7" x14ac:dyDescent="0.25">
      <c r="A4293" t="s">
        <v>45</v>
      </c>
      <c r="B4293" t="s">
        <v>46</v>
      </c>
      <c r="C4293" t="s">
        <v>47</v>
      </c>
      <c r="D4293">
        <v>8862661</v>
      </c>
      <c r="E4293" t="s">
        <v>48</v>
      </c>
      <c r="F4293" t="s">
        <v>49</v>
      </c>
      <c r="G4293" s="30">
        <v>0</v>
      </c>
    </row>
    <row r="4294" spans="1:7" x14ac:dyDescent="0.25">
      <c r="A4294" t="s">
        <v>45</v>
      </c>
      <c r="B4294" t="s">
        <v>46</v>
      </c>
      <c r="C4294" t="s">
        <v>47</v>
      </c>
      <c r="D4294">
        <v>8862783</v>
      </c>
      <c r="E4294" t="s">
        <v>48</v>
      </c>
      <c r="F4294" t="s">
        <v>49</v>
      </c>
      <c r="G4294" s="30">
        <v>0</v>
      </c>
    </row>
    <row r="4295" spans="1:7" x14ac:dyDescent="0.25">
      <c r="A4295" t="s">
        <v>45</v>
      </c>
      <c r="B4295" t="s">
        <v>46</v>
      </c>
      <c r="C4295" t="s">
        <v>47</v>
      </c>
      <c r="D4295">
        <v>8866630</v>
      </c>
      <c r="E4295" t="s">
        <v>48</v>
      </c>
      <c r="F4295" t="s">
        <v>49</v>
      </c>
      <c r="G4295" s="30">
        <v>0</v>
      </c>
    </row>
    <row r="4296" spans="1:7" x14ac:dyDescent="0.25">
      <c r="A4296" t="s">
        <v>50</v>
      </c>
      <c r="B4296" t="s">
        <v>51</v>
      </c>
      <c r="C4296" t="s">
        <v>52</v>
      </c>
      <c r="D4296">
        <v>8867458</v>
      </c>
      <c r="E4296" t="s">
        <v>53</v>
      </c>
      <c r="F4296" t="s">
        <v>49</v>
      </c>
      <c r="G4296" s="30">
        <v>70403.670545236804</v>
      </c>
    </row>
    <row r="4297" spans="1:7" x14ac:dyDescent="0.25">
      <c r="A4297" t="s">
        <v>50</v>
      </c>
      <c r="B4297" t="s">
        <v>51</v>
      </c>
      <c r="C4297" t="s">
        <v>52</v>
      </c>
      <c r="D4297">
        <v>8877618</v>
      </c>
      <c r="E4297" t="s">
        <v>53</v>
      </c>
      <c r="F4297" t="s">
        <v>49</v>
      </c>
      <c r="G4297" s="30">
        <v>60.490875808538298</v>
      </c>
    </row>
    <row r="4298" spans="1:7" x14ac:dyDescent="0.25">
      <c r="A4298" t="s">
        <v>45</v>
      </c>
      <c r="B4298" t="s">
        <v>46</v>
      </c>
      <c r="C4298" t="s">
        <v>47</v>
      </c>
      <c r="D4298">
        <v>8877879</v>
      </c>
      <c r="E4298" t="s">
        <v>48</v>
      </c>
      <c r="F4298" t="s">
        <v>49</v>
      </c>
      <c r="G4298" s="30">
        <v>0</v>
      </c>
    </row>
    <row r="4299" spans="1:7" x14ac:dyDescent="0.25">
      <c r="A4299" t="s">
        <v>45</v>
      </c>
      <c r="B4299" t="s">
        <v>46</v>
      </c>
      <c r="C4299" t="s">
        <v>47</v>
      </c>
      <c r="D4299">
        <v>8878035</v>
      </c>
      <c r="E4299" t="s">
        <v>48</v>
      </c>
      <c r="F4299" t="s">
        <v>49</v>
      </c>
      <c r="G4299" s="30">
        <v>0</v>
      </c>
    </row>
    <row r="4300" spans="1:7" x14ac:dyDescent="0.25">
      <c r="A4300" t="s">
        <v>50</v>
      </c>
      <c r="B4300" t="s">
        <v>51</v>
      </c>
      <c r="C4300" t="s">
        <v>52</v>
      </c>
      <c r="D4300">
        <v>8878102</v>
      </c>
      <c r="E4300" t="s">
        <v>48</v>
      </c>
      <c r="F4300" t="s">
        <v>49</v>
      </c>
      <c r="G4300" s="30">
        <v>0</v>
      </c>
    </row>
    <row r="4301" spans="1:7" x14ac:dyDescent="0.25">
      <c r="A4301" t="s">
        <v>54</v>
      </c>
      <c r="B4301" t="s">
        <v>55</v>
      </c>
      <c r="C4301" t="s">
        <v>56</v>
      </c>
      <c r="D4301">
        <v>8880456</v>
      </c>
      <c r="E4301" t="s">
        <v>53</v>
      </c>
      <c r="F4301" t="s">
        <v>49</v>
      </c>
      <c r="G4301" s="30">
        <v>303739.50058528298</v>
      </c>
    </row>
    <row r="4302" spans="1:7" x14ac:dyDescent="0.25">
      <c r="A4302" t="s">
        <v>50</v>
      </c>
      <c r="B4302" t="s">
        <v>51</v>
      </c>
      <c r="C4302" t="s">
        <v>52</v>
      </c>
      <c r="D4302">
        <v>8897185</v>
      </c>
      <c r="E4302" t="s">
        <v>53</v>
      </c>
      <c r="F4302" t="s">
        <v>49</v>
      </c>
      <c r="G4302" s="30">
        <v>13972.45</v>
      </c>
    </row>
    <row r="4303" spans="1:7" x14ac:dyDescent="0.25">
      <c r="A4303" t="s">
        <v>50</v>
      </c>
      <c r="B4303" t="s">
        <v>51</v>
      </c>
      <c r="C4303" t="s">
        <v>52</v>
      </c>
      <c r="D4303">
        <v>8900100</v>
      </c>
      <c r="E4303" t="s">
        <v>53</v>
      </c>
      <c r="F4303" t="s">
        <v>49</v>
      </c>
      <c r="G4303" s="30">
        <v>58214.048706054702</v>
      </c>
    </row>
    <row r="4304" spans="1:7" x14ac:dyDescent="0.25">
      <c r="A4304" t="s">
        <v>63</v>
      </c>
      <c r="B4304" t="s">
        <v>64</v>
      </c>
      <c r="C4304" t="s">
        <v>56</v>
      </c>
      <c r="D4304">
        <v>8900567</v>
      </c>
      <c r="E4304" t="s">
        <v>53</v>
      </c>
      <c r="F4304" t="s">
        <v>49</v>
      </c>
      <c r="G4304" s="30">
        <v>165368.19370254001</v>
      </c>
    </row>
    <row r="4305" spans="1:7" x14ac:dyDescent="0.25">
      <c r="A4305" t="s">
        <v>45</v>
      </c>
      <c r="B4305" t="s">
        <v>46</v>
      </c>
      <c r="C4305" t="s">
        <v>47</v>
      </c>
      <c r="D4305">
        <v>8902474</v>
      </c>
      <c r="E4305" t="s">
        <v>48</v>
      </c>
      <c r="F4305" t="s">
        <v>49</v>
      </c>
      <c r="G4305" s="30">
        <v>0</v>
      </c>
    </row>
    <row r="4306" spans="1:7" x14ac:dyDescent="0.25">
      <c r="A4306" t="s">
        <v>45</v>
      </c>
      <c r="B4306" t="s">
        <v>46</v>
      </c>
      <c r="C4306" t="s">
        <v>47</v>
      </c>
      <c r="D4306">
        <v>8906021</v>
      </c>
      <c r="E4306" t="s">
        <v>53</v>
      </c>
      <c r="F4306" t="s">
        <v>49</v>
      </c>
      <c r="G4306" s="30">
        <v>71093.486647810001</v>
      </c>
    </row>
    <row r="4307" spans="1:7" x14ac:dyDescent="0.25">
      <c r="A4307" t="s">
        <v>50</v>
      </c>
      <c r="B4307" t="s">
        <v>51</v>
      </c>
      <c r="C4307" t="s">
        <v>52</v>
      </c>
      <c r="D4307">
        <v>8907703</v>
      </c>
      <c r="E4307" t="s">
        <v>53</v>
      </c>
      <c r="F4307" t="s">
        <v>49</v>
      </c>
      <c r="G4307" s="30">
        <v>72343.581362884695</v>
      </c>
    </row>
    <row r="4308" spans="1:7" x14ac:dyDescent="0.25">
      <c r="A4308" t="s">
        <v>59</v>
      </c>
      <c r="B4308" t="s">
        <v>60</v>
      </c>
      <c r="C4308" t="s">
        <v>56</v>
      </c>
      <c r="D4308">
        <v>8908299</v>
      </c>
      <c r="E4308" t="s">
        <v>53</v>
      </c>
      <c r="F4308" t="s">
        <v>49</v>
      </c>
      <c r="G4308" s="30">
        <v>2999085.4300729199</v>
      </c>
    </row>
    <row r="4309" spans="1:7" x14ac:dyDescent="0.25">
      <c r="A4309" t="s">
        <v>45</v>
      </c>
      <c r="B4309" t="s">
        <v>46</v>
      </c>
      <c r="C4309" t="s">
        <v>47</v>
      </c>
      <c r="D4309">
        <v>8909621</v>
      </c>
      <c r="E4309" t="s">
        <v>48</v>
      </c>
      <c r="F4309" t="s">
        <v>49</v>
      </c>
      <c r="G4309" s="30">
        <v>0</v>
      </c>
    </row>
    <row r="4310" spans="1:7" x14ac:dyDescent="0.25">
      <c r="A4310" t="s">
        <v>50</v>
      </c>
      <c r="B4310" t="s">
        <v>51</v>
      </c>
      <c r="C4310" t="s">
        <v>52</v>
      </c>
      <c r="D4310">
        <v>8911329</v>
      </c>
      <c r="E4310" t="s">
        <v>53</v>
      </c>
      <c r="F4310" t="s">
        <v>49</v>
      </c>
      <c r="G4310" s="30">
        <v>11108.0035669708</v>
      </c>
    </row>
    <row r="4311" spans="1:7" x14ac:dyDescent="0.25">
      <c r="A4311" t="s">
        <v>131</v>
      </c>
      <c r="B4311" t="s">
        <v>132</v>
      </c>
      <c r="C4311" t="s">
        <v>67</v>
      </c>
      <c r="D4311">
        <v>8913670</v>
      </c>
      <c r="E4311" t="s">
        <v>53</v>
      </c>
      <c r="F4311" t="s">
        <v>49</v>
      </c>
      <c r="G4311" s="30">
        <v>138197.78035711599</v>
      </c>
    </row>
    <row r="4312" spans="1:7" x14ac:dyDescent="0.25">
      <c r="A4312" t="s">
        <v>45</v>
      </c>
      <c r="B4312" t="s">
        <v>46</v>
      </c>
      <c r="C4312" t="s">
        <v>47</v>
      </c>
      <c r="D4312">
        <v>8914056</v>
      </c>
      <c r="E4312" t="s">
        <v>53</v>
      </c>
      <c r="F4312" t="s">
        <v>49</v>
      </c>
      <c r="G4312" s="30">
        <v>1603.5471927977001</v>
      </c>
    </row>
    <row r="4313" spans="1:7" x14ac:dyDescent="0.25">
      <c r="A4313" t="s">
        <v>45</v>
      </c>
      <c r="B4313" t="s">
        <v>46</v>
      </c>
      <c r="C4313" t="s">
        <v>47</v>
      </c>
      <c r="D4313">
        <v>8914100</v>
      </c>
      <c r="E4313" t="s">
        <v>48</v>
      </c>
      <c r="F4313" t="s">
        <v>49</v>
      </c>
      <c r="G4313" s="30">
        <v>0</v>
      </c>
    </row>
    <row r="4314" spans="1:7" x14ac:dyDescent="0.25">
      <c r="A4314" t="s">
        <v>50</v>
      </c>
      <c r="B4314" t="s">
        <v>51</v>
      </c>
      <c r="C4314" t="s">
        <v>52</v>
      </c>
      <c r="D4314">
        <v>8916051</v>
      </c>
      <c r="E4314" t="s">
        <v>53</v>
      </c>
      <c r="F4314" t="s">
        <v>49</v>
      </c>
      <c r="G4314" s="30">
        <v>69.063331119557901</v>
      </c>
    </row>
    <row r="4315" spans="1:7" x14ac:dyDescent="0.25">
      <c r="A4315" t="s">
        <v>45</v>
      </c>
      <c r="B4315" t="s">
        <v>46</v>
      </c>
      <c r="C4315" t="s">
        <v>47</v>
      </c>
      <c r="D4315">
        <v>8918073</v>
      </c>
      <c r="E4315" t="s">
        <v>48</v>
      </c>
      <c r="F4315" t="s">
        <v>49</v>
      </c>
      <c r="G4315" s="30">
        <v>0</v>
      </c>
    </row>
    <row r="4316" spans="1:7" x14ac:dyDescent="0.25">
      <c r="A4316" t="s">
        <v>54</v>
      </c>
      <c r="B4316" t="s">
        <v>55</v>
      </c>
      <c r="C4316" t="s">
        <v>56</v>
      </c>
      <c r="D4316">
        <v>8923290</v>
      </c>
      <c r="E4316" t="s">
        <v>48</v>
      </c>
      <c r="F4316" t="s">
        <v>49</v>
      </c>
      <c r="G4316" s="30">
        <v>0</v>
      </c>
    </row>
    <row r="4317" spans="1:7" x14ac:dyDescent="0.25">
      <c r="A4317" t="s">
        <v>45</v>
      </c>
      <c r="B4317" t="s">
        <v>46</v>
      </c>
      <c r="C4317" t="s">
        <v>47</v>
      </c>
      <c r="D4317">
        <v>8926677</v>
      </c>
      <c r="E4317" t="s">
        <v>53</v>
      </c>
      <c r="F4317" t="s">
        <v>49</v>
      </c>
      <c r="G4317" s="30">
        <v>7992.6522812091598</v>
      </c>
    </row>
    <row r="4318" spans="1:7" x14ac:dyDescent="0.25">
      <c r="A4318" t="s">
        <v>112</v>
      </c>
      <c r="B4318" t="s">
        <v>113</v>
      </c>
      <c r="C4318" t="s">
        <v>81</v>
      </c>
      <c r="D4318">
        <v>8926915</v>
      </c>
      <c r="E4318" t="s">
        <v>53</v>
      </c>
      <c r="F4318" t="s">
        <v>49</v>
      </c>
      <c r="G4318" s="30">
        <v>166275.52695934501</v>
      </c>
    </row>
    <row r="4319" spans="1:7" x14ac:dyDescent="0.25">
      <c r="A4319" t="s">
        <v>45</v>
      </c>
      <c r="B4319" t="s">
        <v>46</v>
      </c>
      <c r="C4319" t="s">
        <v>47</v>
      </c>
      <c r="D4319">
        <v>8927747</v>
      </c>
      <c r="E4319" t="s">
        <v>48</v>
      </c>
      <c r="F4319" t="s">
        <v>49</v>
      </c>
      <c r="G4319" s="30">
        <v>0</v>
      </c>
    </row>
    <row r="4320" spans="1:7" x14ac:dyDescent="0.25">
      <c r="A4320" t="s">
        <v>45</v>
      </c>
      <c r="B4320" t="s">
        <v>46</v>
      </c>
      <c r="C4320" t="s">
        <v>47</v>
      </c>
      <c r="D4320">
        <v>8928310</v>
      </c>
      <c r="E4320" t="s">
        <v>48</v>
      </c>
      <c r="F4320" t="s">
        <v>49</v>
      </c>
      <c r="G4320" s="30">
        <v>0</v>
      </c>
    </row>
    <row r="4321" spans="1:7" x14ac:dyDescent="0.25">
      <c r="A4321" t="s">
        <v>45</v>
      </c>
      <c r="B4321" t="s">
        <v>46</v>
      </c>
      <c r="C4321" t="s">
        <v>47</v>
      </c>
      <c r="D4321">
        <v>8929011</v>
      </c>
      <c r="E4321" t="s">
        <v>48</v>
      </c>
      <c r="F4321" t="s">
        <v>49</v>
      </c>
      <c r="G4321" s="30">
        <v>0</v>
      </c>
    </row>
    <row r="4322" spans="1:7" x14ac:dyDescent="0.25">
      <c r="A4322" t="s">
        <v>114</v>
      </c>
      <c r="B4322" t="s">
        <v>115</v>
      </c>
      <c r="C4322" t="s">
        <v>56</v>
      </c>
      <c r="D4322">
        <v>8929491</v>
      </c>
      <c r="E4322" t="s">
        <v>53</v>
      </c>
      <c r="F4322" t="s">
        <v>49</v>
      </c>
      <c r="G4322" s="30">
        <v>22212.468264573199</v>
      </c>
    </row>
    <row r="4323" spans="1:7" x14ac:dyDescent="0.25">
      <c r="A4323" t="s">
        <v>84</v>
      </c>
      <c r="B4323" t="s">
        <v>85</v>
      </c>
      <c r="C4323" t="s">
        <v>67</v>
      </c>
      <c r="D4323">
        <v>8931315</v>
      </c>
      <c r="E4323" t="s">
        <v>53</v>
      </c>
      <c r="F4323" t="s">
        <v>49</v>
      </c>
      <c r="G4323" s="30">
        <v>430703.320642384</v>
      </c>
    </row>
    <row r="4324" spans="1:7" x14ac:dyDescent="0.25">
      <c r="A4324" t="s">
        <v>98</v>
      </c>
      <c r="B4324" t="s">
        <v>99</v>
      </c>
      <c r="C4324" t="s">
        <v>81</v>
      </c>
      <c r="D4324">
        <v>8942476</v>
      </c>
      <c r="E4324" t="s">
        <v>53</v>
      </c>
      <c r="F4324" t="s">
        <v>49</v>
      </c>
      <c r="G4324" s="30">
        <v>39511.26</v>
      </c>
    </row>
    <row r="4325" spans="1:7" x14ac:dyDescent="0.25">
      <c r="A4325" t="s">
        <v>45</v>
      </c>
      <c r="B4325" t="s">
        <v>46</v>
      </c>
      <c r="C4325" t="s">
        <v>47</v>
      </c>
      <c r="D4325">
        <v>8949806</v>
      </c>
      <c r="E4325" t="s">
        <v>48</v>
      </c>
      <c r="F4325" t="s">
        <v>49</v>
      </c>
      <c r="G4325" s="30">
        <v>3.79</v>
      </c>
    </row>
    <row r="4326" spans="1:7" x14ac:dyDescent="0.25">
      <c r="A4326" t="s">
        <v>57</v>
      </c>
      <c r="B4326" t="s">
        <v>58</v>
      </c>
      <c r="C4326" t="s">
        <v>56</v>
      </c>
      <c r="D4326">
        <v>8952679</v>
      </c>
      <c r="E4326" t="s">
        <v>53</v>
      </c>
      <c r="F4326" t="s">
        <v>49</v>
      </c>
      <c r="G4326" s="30">
        <v>20617.9509730434</v>
      </c>
    </row>
    <row r="4327" spans="1:7" x14ac:dyDescent="0.25">
      <c r="A4327" t="s">
        <v>65</v>
      </c>
      <c r="B4327" t="s">
        <v>66</v>
      </c>
      <c r="C4327" t="s">
        <v>67</v>
      </c>
      <c r="D4327">
        <v>8952731</v>
      </c>
      <c r="E4327" t="s">
        <v>53</v>
      </c>
      <c r="F4327" t="s">
        <v>49</v>
      </c>
      <c r="G4327" s="30">
        <v>1192045.11572371</v>
      </c>
    </row>
    <row r="4328" spans="1:7" x14ac:dyDescent="0.25">
      <c r="A4328" t="s">
        <v>45</v>
      </c>
      <c r="B4328" t="s">
        <v>46</v>
      </c>
      <c r="C4328" t="s">
        <v>47</v>
      </c>
      <c r="D4328">
        <v>8953917</v>
      </c>
      <c r="E4328" t="s">
        <v>48</v>
      </c>
      <c r="F4328" t="s">
        <v>49</v>
      </c>
      <c r="G4328" s="30">
        <v>64.290000000000006</v>
      </c>
    </row>
    <row r="4329" spans="1:7" x14ac:dyDescent="0.25">
      <c r="A4329" t="s">
        <v>59</v>
      </c>
      <c r="B4329" t="s">
        <v>60</v>
      </c>
      <c r="C4329" t="s">
        <v>56</v>
      </c>
      <c r="D4329">
        <v>8954855</v>
      </c>
      <c r="E4329" t="s">
        <v>53</v>
      </c>
      <c r="F4329" t="s">
        <v>49</v>
      </c>
      <c r="G4329" s="30">
        <v>422390.62195391598</v>
      </c>
    </row>
    <row r="4330" spans="1:7" x14ac:dyDescent="0.25">
      <c r="A4330" t="s">
        <v>92</v>
      </c>
      <c r="B4330" t="s">
        <v>93</v>
      </c>
      <c r="C4330" t="s">
        <v>81</v>
      </c>
      <c r="D4330">
        <v>8957345</v>
      </c>
      <c r="E4330" t="s">
        <v>53</v>
      </c>
      <c r="F4330" t="s">
        <v>49</v>
      </c>
      <c r="G4330" s="30">
        <v>221.87</v>
      </c>
    </row>
    <row r="4331" spans="1:7" x14ac:dyDescent="0.25">
      <c r="A4331" t="s">
        <v>96</v>
      </c>
      <c r="B4331" t="s">
        <v>97</v>
      </c>
      <c r="C4331" t="s">
        <v>81</v>
      </c>
      <c r="D4331">
        <v>8959348</v>
      </c>
      <c r="E4331" t="s">
        <v>53</v>
      </c>
      <c r="F4331" t="s">
        <v>49</v>
      </c>
      <c r="G4331" s="30">
        <v>205.43</v>
      </c>
    </row>
    <row r="4332" spans="1:7" x14ac:dyDescent="0.25">
      <c r="A4332" t="s">
        <v>45</v>
      </c>
      <c r="B4332" t="s">
        <v>46</v>
      </c>
      <c r="C4332" t="s">
        <v>47</v>
      </c>
      <c r="D4332">
        <v>8963919</v>
      </c>
      <c r="E4332" t="s">
        <v>48</v>
      </c>
      <c r="F4332" t="s">
        <v>49</v>
      </c>
      <c r="G4332" s="30">
        <v>0.72</v>
      </c>
    </row>
    <row r="4333" spans="1:7" x14ac:dyDescent="0.25">
      <c r="A4333" t="s">
        <v>50</v>
      </c>
      <c r="B4333" t="s">
        <v>51</v>
      </c>
      <c r="C4333" t="s">
        <v>52</v>
      </c>
      <c r="D4333">
        <v>8964895</v>
      </c>
      <c r="E4333" t="s">
        <v>53</v>
      </c>
      <c r="F4333" t="s">
        <v>49</v>
      </c>
      <c r="G4333" s="30">
        <v>623.27741739608803</v>
      </c>
    </row>
    <row r="4334" spans="1:7" x14ac:dyDescent="0.25">
      <c r="A4334" t="s">
        <v>50</v>
      </c>
      <c r="B4334" t="s">
        <v>51</v>
      </c>
      <c r="C4334" t="s">
        <v>52</v>
      </c>
      <c r="D4334">
        <v>8965134</v>
      </c>
      <c r="E4334" t="s">
        <v>53</v>
      </c>
      <c r="F4334" t="s">
        <v>49</v>
      </c>
      <c r="G4334" s="30">
        <v>56372.623105468701</v>
      </c>
    </row>
    <row r="4335" spans="1:7" x14ac:dyDescent="0.25">
      <c r="A4335" t="s">
        <v>57</v>
      </c>
      <c r="B4335" t="s">
        <v>58</v>
      </c>
      <c r="C4335" t="s">
        <v>56</v>
      </c>
      <c r="D4335">
        <v>8965576</v>
      </c>
      <c r="E4335" t="s">
        <v>53</v>
      </c>
      <c r="F4335" t="s">
        <v>49</v>
      </c>
      <c r="G4335" s="30">
        <v>22313.7261990689</v>
      </c>
    </row>
    <row r="4336" spans="1:7" x14ac:dyDescent="0.25">
      <c r="A4336" t="s">
        <v>57</v>
      </c>
      <c r="B4336" t="s">
        <v>58</v>
      </c>
      <c r="C4336" t="s">
        <v>56</v>
      </c>
      <c r="D4336">
        <v>8965599</v>
      </c>
      <c r="E4336" t="s">
        <v>53</v>
      </c>
      <c r="F4336" t="s">
        <v>49</v>
      </c>
      <c r="G4336" s="30">
        <v>89263.211256291106</v>
      </c>
    </row>
    <row r="4337" spans="1:7" x14ac:dyDescent="0.25">
      <c r="A4337" t="s">
        <v>45</v>
      </c>
      <c r="B4337" t="s">
        <v>46</v>
      </c>
      <c r="C4337" t="s">
        <v>47</v>
      </c>
      <c r="D4337">
        <v>8966493</v>
      </c>
      <c r="E4337" t="s">
        <v>48</v>
      </c>
      <c r="F4337" t="s">
        <v>49</v>
      </c>
      <c r="G4337" s="30">
        <v>0</v>
      </c>
    </row>
    <row r="4338" spans="1:7" x14ac:dyDescent="0.25">
      <c r="A4338" t="s">
        <v>102</v>
      </c>
      <c r="B4338" t="s">
        <v>103</v>
      </c>
      <c r="C4338" t="s">
        <v>47</v>
      </c>
      <c r="D4338">
        <v>8967533</v>
      </c>
      <c r="E4338" t="s">
        <v>53</v>
      </c>
      <c r="F4338" t="s">
        <v>49</v>
      </c>
      <c r="G4338" s="30">
        <v>109018.362653156</v>
      </c>
    </row>
    <row r="4339" spans="1:7" x14ac:dyDescent="0.25">
      <c r="A4339" t="s">
        <v>59</v>
      </c>
      <c r="B4339" t="s">
        <v>60</v>
      </c>
      <c r="C4339" t="s">
        <v>56</v>
      </c>
      <c r="D4339">
        <v>8968577</v>
      </c>
      <c r="E4339" t="s">
        <v>48</v>
      </c>
      <c r="F4339" t="s">
        <v>49</v>
      </c>
      <c r="G4339" s="30">
        <v>0</v>
      </c>
    </row>
    <row r="4340" spans="1:7" x14ac:dyDescent="0.25">
      <c r="A4340" t="s">
        <v>57</v>
      </c>
      <c r="B4340" t="s">
        <v>58</v>
      </c>
      <c r="C4340" t="s">
        <v>56</v>
      </c>
      <c r="D4340">
        <v>8968842</v>
      </c>
      <c r="E4340" t="s">
        <v>53</v>
      </c>
      <c r="F4340" t="s">
        <v>49</v>
      </c>
      <c r="G4340" s="30">
        <v>722156.72003748699</v>
      </c>
    </row>
    <row r="4341" spans="1:7" x14ac:dyDescent="0.25">
      <c r="A4341" t="s">
        <v>57</v>
      </c>
      <c r="B4341" t="s">
        <v>58</v>
      </c>
      <c r="C4341" t="s">
        <v>56</v>
      </c>
      <c r="D4341">
        <v>8968843</v>
      </c>
      <c r="E4341" t="s">
        <v>53</v>
      </c>
      <c r="F4341" t="s">
        <v>49</v>
      </c>
      <c r="G4341" s="30">
        <v>76418.763309517104</v>
      </c>
    </row>
    <row r="4342" spans="1:7" x14ac:dyDescent="0.25">
      <c r="A4342" t="s">
        <v>45</v>
      </c>
      <c r="B4342" t="s">
        <v>46</v>
      </c>
      <c r="C4342" t="s">
        <v>47</v>
      </c>
      <c r="D4342">
        <v>8969320</v>
      </c>
      <c r="E4342" t="s">
        <v>48</v>
      </c>
      <c r="F4342" t="s">
        <v>49</v>
      </c>
      <c r="G4342" s="30">
        <v>0</v>
      </c>
    </row>
    <row r="4343" spans="1:7" x14ac:dyDescent="0.25">
      <c r="A4343" t="s">
        <v>45</v>
      </c>
      <c r="B4343" t="s">
        <v>46</v>
      </c>
      <c r="C4343" t="s">
        <v>47</v>
      </c>
      <c r="D4343">
        <v>8970204</v>
      </c>
      <c r="E4343" t="s">
        <v>48</v>
      </c>
      <c r="F4343" t="s">
        <v>49</v>
      </c>
      <c r="G4343" s="30">
        <v>0</v>
      </c>
    </row>
    <row r="4344" spans="1:7" x14ac:dyDescent="0.25">
      <c r="A4344" t="s">
        <v>112</v>
      </c>
      <c r="B4344" t="s">
        <v>113</v>
      </c>
      <c r="C4344" t="s">
        <v>81</v>
      </c>
      <c r="D4344">
        <v>8970650</v>
      </c>
      <c r="E4344" t="s">
        <v>53</v>
      </c>
      <c r="F4344" t="s">
        <v>49</v>
      </c>
      <c r="G4344" s="30">
        <v>230802.24854979999</v>
      </c>
    </row>
    <row r="4345" spans="1:7" x14ac:dyDescent="0.25">
      <c r="A4345" t="s">
        <v>79</v>
      </c>
      <c r="B4345" t="s">
        <v>80</v>
      </c>
      <c r="C4345" t="s">
        <v>81</v>
      </c>
      <c r="D4345">
        <v>8971964</v>
      </c>
      <c r="E4345" t="s">
        <v>53</v>
      </c>
      <c r="F4345" t="s">
        <v>49</v>
      </c>
      <c r="G4345" s="30">
        <v>2983.56</v>
      </c>
    </row>
    <row r="4346" spans="1:7" x14ac:dyDescent="0.25">
      <c r="A4346" t="s">
        <v>50</v>
      </c>
      <c r="B4346" t="s">
        <v>51</v>
      </c>
      <c r="C4346" t="s">
        <v>52</v>
      </c>
      <c r="D4346">
        <v>8973271</v>
      </c>
      <c r="E4346" t="s">
        <v>53</v>
      </c>
      <c r="F4346" t="s">
        <v>49</v>
      </c>
      <c r="G4346" s="30">
        <v>1220.53454589844</v>
      </c>
    </row>
    <row r="4347" spans="1:7" x14ac:dyDescent="0.25">
      <c r="A4347" t="s">
        <v>45</v>
      </c>
      <c r="B4347" t="s">
        <v>46</v>
      </c>
      <c r="C4347" t="s">
        <v>47</v>
      </c>
      <c r="D4347">
        <v>8982236</v>
      </c>
      <c r="E4347" t="s">
        <v>48</v>
      </c>
      <c r="F4347" t="s">
        <v>49</v>
      </c>
      <c r="G4347" s="30">
        <v>0</v>
      </c>
    </row>
    <row r="4348" spans="1:7" x14ac:dyDescent="0.25">
      <c r="A4348" t="s">
        <v>102</v>
      </c>
      <c r="B4348" t="s">
        <v>103</v>
      </c>
      <c r="C4348" t="s">
        <v>47</v>
      </c>
      <c r="D4348">
        <v>8985157</v>
      </c>
      <c r="E4348" t="s">
        <v>48</v>
      </c>
      <c r="F4348" t="s">
        <v>49</v>
      </c>
      <c r="G4348" s="30">
        <v>0</v>
      </c>
    </row>
    <row r="4349" spans="1:7" x14ac:dyDescent="0.25">
      <c r="A4349" t="s">
        <v>72</v>
      </c>
      <c r="B4349" t="s">
        <v>73</v>
      </c>
      <c r="C4349" t="s">
        <v>67</v>
      </c>
      <c r="D4349">
        <v>8985922</v>
      </c>
      <c r="E4349" t="s">
        <v>53</v>
      </c>
      <c r="F4349" t="s">
        <v>49</v>
      </c>
      <c r="G4349" s="30">
        <v>457842.671875</v>
      </c>
    </row>
    <row r="4350" spans="1:7" x14ac:dyDescent="0.25">
      <c r="A4350" t="s">
        <v>45</v>
      </c>
      <c r="B4350" t="s">
        <v>46</v>
      </c>
      <c r="C4350" t="s">
        <v>47</v>
      </c>
      <c r="D4350">
        <v>8988901</v>
      </c>
      <c r="E4350" t="s">
        <v>48</v>
      </c>
      <c r="F4350" t="s">
        <v>49</v>
      </c>
      <c r="G4350" s="30">
        <v>5.03</v>
      </c>
    </row>
    <row r="4351" spans="1:7" x14ac:dyDescent="0.25">
      <c r="A4351" t="s">
        <v>45</v>
      </c>
      <c r="B4351" t="s">
        <v>46</v>
      </c>
      <c r="C4351" t="s">
        <v>47</v>
      </c>
      <c r="D4351">
        <v>8989651</v>
      </c>
      <c r="E4351" t="s">
        <v>48</v>
      </c>
      <c r="F4351" t="s">
        <v>49</v>
      </c>
      <c r="G4351" s="30">
        <v>0</v>
      </c>
    </row>
    <row r="4352" spans="1:7" x14ac:dyDescent="0.25">
      <c r="A4352" t="s">
        <v>50</v>
      </c>
      <c r="B4352" t="s">
        <v>51</v>
      </c>
      <c r="C4352" t="s">
        <v>52</v>
      </c>
      <c r="D4352">
        <v>8990800</v>
      </c>
      <c r="E4352" t="s">
        <v>53</v>
      </c>
      <c r="F4352" t="s">
        <v>49</v>
      </c>
      <c r="G4352" s="30">
        <v>32040.4880371094</v>
      </c>
    </row>
    <row r="4353" spans="1:7" x14ac:dyDescent="0.25">
      <c r="A4353" t="s">
        <v>45</v>
      </c>
      <c r="B4353" t="s">
        <v>46</v>
      </c>
      <c r="C4353" t="s">
        <v>47</v>
      </c>
      <c r="D4353">
        <v>8991389</v>
      </c>
      <c r="E4353" t="s">
        <v>48</v>
      </c>
      <c r="F4353" t="s">
        <v>49</v>
      </c>
      <c r="G4353" s="30">
        <v>0</v>
      </c>
    </row>
    <row r="4354" spans="1:7" x14ac:dyDescent="0.25">
      <c r="A4354" t="s">
        <v>146</v>
      </c>
      <c r="B4354" t="s">
        <v>147</v>
      </c>
      <c r="C4354" t="s">
        <v>56</v>
      </c>
      <c r="D4354">
        <v>8991524</v>
      </c>
      <c r="E4354" t="s">
        <v>53</v>
      </c>
      <c r="F4354" t="s">
        <v>49</v>
      </c>
      <c r="G4354" s="30">
        <v>1360506.63183292</v>
      </c>
    </row>
    <row r="4355" spans="1:7" x14ac:dyDescent="0.25">
      <c r="A4355" t="s">
        <v>45</v>
      </c>
      <c r="B4355" t="s">
        <v>46</v>
      </c>
      <c r="C4355" t="s">
        <v>47</v>
      </c>
      <c r="D4355">
        <v>8991536</v>
      </c>
      <c r="E4355" t="s">
        <v>48</v>
      </c>
      <c r="F4355" t="s">
        <v>49</v>
      </c>
      <c r="G4355" s="30">
        <v>0</v>
      </c>
    </row>
    <row r="4356" spans="1:7" x14ac:dyDescent="0.25">
      <c r="A4356" t="s">
        <v>112</v>
      </c>
      <c r="B4356" t="s">
        <v>113</v>
      </c>
      <c r="C4356" t="s">
        <v>81</v>
      </c>
      <c r="D4356">
        <v>8991539</v>
      </c>
      <c r="E4356" t="s">
        <v>53</v>
      </c>
      <c r="F4356" t="s">
        <v>49</v>
      </c>
      <c r="G4356" s="30">
        <v>42512.714947252898</v>
      </c>
    </row>
    <row r="4357" spans="1:7" x14ac:dyDescent="0.25">
      <c r="A4357" t="s">
        <v>116</v>
      </c>
      <c r="B4357" t="s">
        <v>117</v>
      </c>
      <c r="C4357" t="s">
        <v>47</v>
      </c>
      <c r="D4357">
        <v>8991759</v>
      </c>
      <c r="E4357" t="s">
        <v>53</v>
      </c>
      <c r="F4357" t="s">
        <v>49</v>
      </c>
      <c r="G4357" s="30">
        <v>1057841.42578125</v>
      </c>
    </row>
    <row r="4358" spans="1:7" x14ac:dyDescent="0.25">
      <c r="A4358" t="s">
        <v>90</v>
      </c>
      <c r="B4358" t="s">
        <v>91</v>
      </c>
      <c r="C4358" t="s">
        <v>81</v>
      </c>
      <c r="D4358">
        <v>8992471</v>
      </c>
      <c r="E4358" t="s">
        <v>48</v>
      </c>
      <c r="F4358" t="s">
        <v>49</v>
      </c>
      <c r="G4358" s="30">
        <v>0</v>
      </c>
    </row>
    <row r="4359" spans="1:7" x14ac:dyDescent="0.25">
      <c r="A4359" t="s">
        <v>45</v>
      </c>
      <c r="B4359" t="s">
        <v>46</v>
      </c>
      <c r="C4359" t="s">
        <v>47</v>
      </c>
      <c r="D4359">
        <v>8992629</v>
      </c>
      <c r="E4359" t="s">
        <v>48</v>
      </c>
      <c r="F4359" t="s">
        <v>49</v>
      </c>
      <c r="G4359" s="30">
        <v>0</v>
      </c>
    </row>
    <row r="4360" spans="1:7" x14ac:dyDescent="0.25">
      <c r="A4360" t="s">
        <v>112</v>
      </c>
      <c r="B4360" t="s">
        <v>113</v>
      </c>
      <c r="C4360" t="s">
        <v>81</v>
      </c>
      <c r="D4360">
        <v>8992924</v>
      </c>
      <c r="E4360" t="s">
        <v>53</v>
      </c>
      <c r="F4360" t="s">
        <v>49</v>
      </c>
      <c r="G4360" s="30">
        <v>13911.7102122573</v>
      </c>
    </row>
    <row r="4361" spans="1:7" x14ac:dyDescent="0.25">
      <c r="A4361" t="s">
        <v>45</v>
      </c>
      <c r="B4361" t="s">
        <v>46</v>
      </c>
      <c r="C4361" t="s">
        <v>47</v>
      </c>
      <c r="D4361">
        <v>8994436</v>
      </c>
      <c r="E4361" t="s">
        <v>48</v>
      </c>
      <c r="F4361" t="s">
        <v>49</v>
      </c>
      <c r="G4361" s="30">
        <v>0</v>
      </c>
    </row>
    <row r="4362" spans="1:7" x14ac:dyDescent="0.25">
      <c r="A4362" t="s">
        <v>45</v>
      </c>
      <c r="B4362" t="s">
        <v>46</v>
      </c>
      <c r="C4362" t="s">
        <v>47</v>
      </c>
      <c r="D4362">
        <v>8995680</v>
      </c>
      <c r="E4362" t="s">
        <v>48</v>
      </c>
      <c r="F4362" t="s">
        <v>49</v>
      </c>
      <c r="G4362" s="30">
        <v>0</v>
      </c>
    </row>
    <row r="4363" spans="1:7" x14ac:dyDescent="0.25">
      <c r="A4363" t="s">
        <v>50</v>
      </c>
      <c r="B4363" t="s">
        <v>51</v>
      </c>
      <c r="C4363" t="s">
        <v>52</v>
      </c>
      <c r="D4363">
        <v>9001156</v>
      </c>
      <c r="E4363" t="s">
        <v>53</v>
      </c>
      <c r="F4363" t="s">
        <v>49</v>
      </c>
      <c r="G4363" s="30">
        <v>117.244357778191</v>
      </c>
    </row>
    <row r="4364" spans="1:7" x14ac:dyDescent="0.25">
      <c r="A4364" t="s">
        <v>45</v>
      </c>
      <c r="B4364" t="s">
        <v>46</v>
      </c>
      <c r="C4364" t="s">
        <v>47</v>
      </c>
      <c r="D4364">
        <v>9008120</v>
      </c>
      <c r="E4364" t="s">
        <v>53</v>
      </c>
      <c r="F4364" t="s">
        <v>49</v>
      </c>
      <c r="G4364" s="30">
        <v>74425.047056198106</v>
      </c>
    </row>
    <row r="4365" spans="1:7" x14ac:dyDescent="0.25">
      <c r="A4365" t="s">
        <v>45</v>
      </c>
      <c r="B4365" t="s">
        <v>46</v>
      </c>
      <c r="C4365" t="s">
        <v>47</v>
      </c>
      <c r="D4365">
        <v>9008760</v>
      </c>
      <c r="E4365" t="s">
        <v>48</v>
      </c>
      <c r="F4365" t="s">
        <v>49</v>
      </c>
      <c r="G4365" s="30">
        <v>0</v>
      </c>
    </row>
    <row r="4366" spans="1:7" x14ac:dyDescent="0.25">
      <c r="A4366" t="s">
        <v>102</v>
      </c>
      <c r="B4366" t="s">
        <v>103</v>
      </c>
      <c r="C4366" t="s">
        <v>47</v>
      </c>
      <c r="D4366">
        <v>9009269</v>
      </c>
      <c r="E4366" t="s">
        <v>53</v>
      </c>
      <c r="F4366" t="s">
        <v>49</v>
      </c>
      <c r="G4366" s="30">
        <v>716493.703584612</v>
      </c>
    </row>
    <row r="4367" spans="1:7" x14ac:dyDescent="0.25">
      <c r="A4367" t="s">
        <v>45</v>
      </c>
      <c r="B4367" t="s">
        <v>46</v>
      </c>
      <c r="C4367" t="s">
        <v>47</v>
      </c>
      <c r="D4367">
        <v>9010334</v>
      </c>
      <c r="E4367" t="s">
        <v>48</v>
      </c>
      <c r="F4367" t="s">
        <v>49</v>
      </c>
      <c r="G4367" s="30">
        <v>0</v>
      </c>
    </row>
    <row r="4368" spans="1:7" x14ac:dyDescent="0.25">
      <c r="A4368" t="s">
        <v>45</v>
      </c>
      <c r="B4368" t="s">
        <v>46</v>
      </c>
      <c r="C4368" t="s">
        <v>47</v>
      </c>
      <c r="D4368">
        <v>9011393</v>
      </c>
      <c r="E4368" t="s">
        <v>48</v>
      </c>
      <c r="F4368" t="s">
        <v>49</v>
      </c>
      <c r="G4368" s="30">
        <v>0</v>
      </c>
    </row>
    <row r="4369" spans="1:7" x14ac:dyDescent="0.25">
      <c r="A4369" t="s">
        <v>45</v>
      </c>
      <c r="B4369" t="s">
        <v>46</v>
      </c>
      <c r="C4369" t="s">
        <v>47</v>
      </c>
      <c r="D4369">
        <v>9012668</v>
      </c>
      <c r="E4369" t="s">
        <v>48</v>
      </c>
      <c r="F4369" t="s">
        <v>49</v>
      </c>
      <c r="G4369" s="30">
        <v>0</v>
      </c>
    </row>
    <row r="4370" spans="1:7" x14ac:dyDescent="0.25">
      <c r="A4370" t="s">
        <v>45</v>
      </c>
      <c r="B4370" t="s">
        <v>46</v>
      </c>
      <c r="C4370" t="s">
        <v>47</v>
      </c>
      <c r="D4370">
        <v>9016366</v>
      </c>
      <c r="E4370" t="s">
        <v>53</v>
      </c>
      <c r="F4370" t="s">
        <v>49</v>
      </c>
      <c r="G4370" s="30">
        <v>12681.212890625</v>
      </c>
    </row>
    <row r="4371" spans="1:7" x14ac:dyDescent="0.25">
      <c r="A4371" t="s">
        <v>50</v>
      </c>
      <c r="B4371" t="s">
        <v>51</v>
      </c>
      <c r="C4371" t="s">
        <v>52</v>
      </c>
      <c r="D4371">
        <v>9017169</v>
      </c>
      <c r="E4371" t="s">
        <v>53</v>
      </c>
      <c r="F4371" t="s">
        <v>49</v>
      </c>
      <c r="G4371" s="30">
        <v>565.80110342444402</v>
      </c>
    </row>
    <row r="4372" spans="1:7" x14ac:dyDescent="0.25">
      <c r="A4372" t="s">
        <v>61</v>
      </c>
      <c r="B4372" t="s">
        <v>62</v>
      </c>
      <c r="C4372" t="s">
        <v>56</v>
      </c>
      <c r="D4372">
        <v>9023900</v>
      </c>
      <c r="E4372" t="s">
        <v>48</v>
      </c>
      <c r="F4372" t="s">
        <v>49</v>
      </c>
      <c r="G4372" s="30">
        <v>90.99</v>
      </c>
    </row>
    <row r="4373" spans="1:7" x14ac:dyDescent="0.25">
      <c r="A4373" t="s">
        <v>45</v>
      </c>
      <c r="B4373" t="s">
        <v>46</v>
      </c>
      <c r="C4373" t="s">
        <v>47</v>
      </c>
      <c r="D4373">
        <v>9026550</v>
      </c>
      <c r="E4373" t="s">
        <v>53</v>
      </c>
      <c r="F4373" t="s">
        <v>49</v>
      </c>
      <c r="G4373" s="30">
        <v>62284.4881423794</v>
      </c>
    </row>
    <row r="4374" spans="1:7" x14ac:dyDescent="0.25">
      <c r="A4374" t="s">
        <v>94</v>
      </c>
      <c r="B4374" t="s">
        <v>95</v>
      </c>
      <c r="C4374" t="s">
        <v>78</v>
      </c>
      <c r="D4374">
        <v>9027067</v>
      </c>
      <c r="E4374" t="s">
        <v>53</v>
      </c>
      <c r="F4374" t="s">
        <v>49</v>
      </c>
      <c r="G4374" s="30">
        <v>293402.93</v>
      </c>
    </row>
    <row r="4375" spans="1:7" x14ac:dyDescent="0.25">
      <c r="A4375" t="s">
        <v>45</v>
      </c>
      <c r="B4375" t="s">
        <v>46</v>
      </c>
      <c r="C4375" t="s">
        <v>47</v>
      </c>
      <c r="D4375">
        <v>9027274</v>
      </c>
      <c r="E4375" t="s">
        <v>48</v>
      </c>
      <c r="F4375" t="s">
        <v>49</v>
      </c>
      <c r="G4375" s="30">
        <v>0</v>
      </c>
    </row>
    <row r="4376" spans="1:7" x14ac:dyDescent="0.25">
      <c r="A4376" t="s">
        <v>57</v>
      </c>
      <c r="B4376" t="s">
        <v>58</v>
      </c>
      <c r="C4376" t="s">
        <v>56</v>
      </c>
      <c r="D4376">
        <v>9028713</v>
      </c>
      <c r="E4376" t="s">
        <v>48</v>
      </c>
      <c r="F4376" t="s">
        <v>49</v>
      </c>
      <c r="G4376" s="30">
        <v>0</v>
      </c>
    </row>
    <row r="4377" spans="1:7" x14ac:dyDescent="0.25">
      <c r="A4377" t="s">
        <v>86</v>
      </c>
      <c r="B4377" t="s">
        <v>87</v>
      </c>
      <c r="C4377" t="s">
        <v>78</v>
      </c>
      <c r="D4377">
        <v>9034790</v>
      </c>
      <c r="E4377" t="s">
        <v>53</v>
      </c>
      <c r="F4377" t="s">
        <v>49</v>
      </c>
      <c r="G4377" s="30">
        <v>316591.94569588098</v>
      </c>
    </row>
    <row r="4378" spans="1:7" x14ac:dyDescent="0.25">
      <c r="A4378" t="s">
        <v>45</v>
      </c>
      <c r="B4378" t="s">
        <v>46</v>
      </c>
      <c r="C4378" t="s">
        <v>47</v>
      </c>
      <c r="D4378">
        <v>9037152</v>
      </c>
      <c r="E4378" t="s">
        <v>48</v>
      </c>
      <c r="F4378" t="s">
        <v>49</v>
      </c>
      <c r="G4378" s="30">
        <v>0</v>
      </c>
    </row>
    <row r="4379" spans="1:7" x14ac:dyDescent="0.25">
      <c r="A4379" t="s">
        <v>50</v>
      </c>
      <c r="B4379" t="s">
        <v>51</v>
      </c>
      <c r="C4379" t="s">
        <v>52</v>
      </c>
      <c r="D4379">
        <v>9037269</v>
      </c>
      <c r="E4379" t="s">
        <v>53</v>
      </c>
      <c r="F4379" t="s">
        <v>49</v>
      </c>
      <c r="G4379" s="30">
        <v>51573.396556555002</v>
      </c>
    </row>
    <row r="4380" spans="1:7" x14ac:dyDescent="0.25">
      <c r="A4380" t="s">
        <v>104</v>
      </c>
      <c r="B4380" t="s">
        <v>105</v>
      </c>
      <c r="C4380" t="s">
        <v>78</v>
      </c>
      <c r="D4380">
        <v>9037941</v>
      </c>
      <c r="E4380" t="s">
        <v>53</v>
      </c>
      <c r="F4380" t="s">
        <v>49</v>
      </c>
      <c r="G4380" s="30">
        <v>21742.483879001698</v>
      </c>
    </row>
    <row r="4381" spans="1:7" x14ac:dyDescent="0.25">
      <c r="A4381" t="s">
        <v>50</v>
      </c>
      <c r="B4381" t="s">
        <v>51</v>
      </c>
      <c r="C4381" t="s">
        <v>52</v>
      </c>
      <c r="D4381">
        <v>9039548</v>
      </c>
      <c r="E4381" t="s">
        <v>48</v>
      </c>
      <c r="F4381" t="s">
        <v>49</v>
      </c>
      <c r="G4381" s="30">
        <v>0</v>
      </c>
    </row>
    <row r="4382" spans="1:7" x14ac:dyDescent="0.25">
      <c r="A4382" t="s">
        <v>86</v>
      </c>
      <c r="B4382" t="s">
        <v>87</v>
      </c>
      <c r="C4382" t="s">
        <v>78</v>
      </c>
      <c r="D4382">
        <v>9041199</v>
      </c>
      <c r="E4382" t="s">
        <v>53</v>
      </c>
      <c r="F4382" t="s">
        <v>49</v>
      </c>
      <c r="G4382" s="30">
        <v>1203209.37162608</v>
      </c>
    </row>
    <row r="4383" spans="1:7" x14ac:dyDescent="0.25">
      <c r="A4383" t="s">
        <v>45</v>
      </c>
      <c r="B4383" t="s">
        <v>46</v>
      </c>
      <c r="C4383" t="s">
        <v>47</v>
      </c>
      <c r="D4383">
        <v>9042454</v>
      </c>
      <c r="E4383" t="s">
        <v>48</v>
      </c>
      <c r="F4383" t="s">
        <v>49</v>
      </c>
      <c r="G4383" s="30">
        <v>0</v>
      </c>
    </row>
    <row r="4384" spans="1:7" x14ac:dyDescent="0.25">
      <c r="A4384" t="s">
        <v>50</v>
      </c>
      <c r="B4384" t="s">
        <v>51</v>
      </c>
      <c r="C4384" t="s">
        <v>52</v>
      </c>
      <c r="D4384">
        <v>9042970</v>
      </c>
      <c r="E4384" t="s">
        <v>53</v>
      </c>
      <c r="F4384" t="s">
        <v>49</v>
      </c>
      <c r="G4384" s="30">
        <v>100</v>
      </c>
    </row>
    <row r="4385" spans="1:7" x14ac:dyDescent="0.25">
      <c r="A4385" t="s">
        <v>45</v>
      </c>
      <c r="B4385" t="s">
        <v>46</v>
      </c>
      <c r="C4385" t="s">
        <v>47</v>
      </c>
      <c r="D4385">
        <v>9044773</v>
      </c>
      <c r="E4385" t="s">
        <v>48</v>
      </c>
      <c r="F4385" t="s">
        <v>49</v>
      </c>
      <c r="G4385" s="30">
        <v>0</v>
      </c>
    </row>
    <row r="4386" spans="1:7" x14ac:dyDescent="0.25">
      <c r="A4386" t="s">
        <v>118</v>
      </c>
      <c r="B4386" t="s">
        <v>119</v>
      </c>
      <c r="C4386" t="s">
        <v>56</v>
      </c>
      <c r="D4386">
        <v>9045839</v>
      </c>
      <c r="E4386" t="s">
        <v>53</v>
      </c>
      <c r="F4386" t="s">
        <v>49</v>
      </c>
      <c r="G4386" s="30">
        <v>901.34929228463704</v>
      </c>
    </row>
    <row r="4387" spans="1:7" x14ac:dyDescent="0.25">
      <c r="A4387" t="s">
        <v>50</v>
      </c>
      <c r="B4387" t="s">
        <v>51</v>
      </c>
      <c r="C4387" t="s">
        <v>52</v>
      </c>
      <c r="D4387">
        <v>9046674</v>
      </c>
      <c r="E4387" t="s">
        <v>53</v>
      </c>
      <c r="F4387" t="s">
        <v>49</v>
      </c>
      <c r="G4387" s="30">
        <v>101950.047990529</v>
      </c>
    </row>
    <row r="4388" spans="1:7" x14ac:dyDescent="0.25">
      <c r="A4388" t="s">
        <v>86</v>
      </c>
      <c r="B4388" t="s">
        <v>87</v>
      </c>
      <c r="C4388" t="s">
        <v>78</v>
      </c>
      <c r="D4388">
        <v>9047450</v>
      </c>
      <c r="E4388" t="s">
        <v>53</v>
      </c>
      <c r="F4388" t="s">
        <v>49</v>
      </c>
      <c r="G4388" s="30">
        <v>1849875.14765625</v>
      </c>
    </row>
    <row r="4389" spans="1:7" x14ac:dyDescent="0.25">
      <c r="A4389" t="s">
        <v>50</v>
      </c>
      <c r="B4389" t="s">
        <v>51</v>
      </c>
      <c r="C4389" t="s">
        <v>52</v>
      </c>
      <c r="D4389">
        <v>9048883</v>
      </c>
      <c r="E4389" t="s">
        <v>53</v>
      </c>
      <c r="F4389" t="s">
        <v>49</v>
      </c>
      <c r="G4389" s="30">
        <v>222.58966955951001</v>
      </c>
    </row>
    <row r="4390" spans="1:7" x14ac:dyDescent="0.25">
      <c r="A4390" t="s">
        <v>118</v>
      </c>
      <c r="B4390" t="s">
        <v>119</v>
      </c>
      <c r="C4390" t="s">
        <v>56</v>
      </c>
      <c r="D4390">
        <v>9049772</v>
      </c>
      <c r="E4390" t="s">
        <v>53</v>
      </c>
      <c r="F4390" t="s">
        <v>49</v>
      </c>
      <c r="G4390" s="30">
        <v>467334.38805273501</v>
      </c>
    </row>
    <row r="4391" spans="1:7" x14ac:dyDescent="0.25">
      <c r="A4391" t="s">
        <v>124</v>
      </c>
      <c r="B4391" t="s">
        <v>125</v>
      </c>
      <c r="C4391" t="s">
        <v>78</v>
      </c>
      <c r="D4391">
        <v>9050497</v>
      </c>
      <c r="E4391" t="s">
        <v>53</v>
      </c>
      <c r="F4391" t="s">
        <v>49</v>
      </c>
      <c r="G4391" s="30">
        <v>113917.3821875</v>
      </c>
    </row>
    <row r="4392" spans="1:7" x14ac:dyDescent="0.25">
      <c r="A4392" t="s">
        <v>45</v>
      </c>
      <c r="B4392" t="s">
        <v>46</v>
      </c>
      <c r="C4392" t="s">
        <v>47</v>
      </c>
      <c r="D4392">
        <v>9052036</v>
      </c>
      <c r="E4392" t="s">
        <v>48</v>
      </c>
      <c r="F4392" t="s">
        <v>49</v>
      </c>
      <c r="G4392" s="30">
        <v>0</v>
      </c>
    </row>
    <row r="4393" spans="1:7" x14ac:dyDescent="0.25">
      <c r="A4393" t="s">
        <v>45</v>
      </c>
      <c r="B4393" t="s">
        <v>46</v>
      </c>
      <c r="C4393" t="s">
        <v>47</v>
      </c>
      <c r="D4393">
        <v>9053135</v>
      </c>
      <c r="E4393" t="s">
        <v>48</v>
      </c>
      <c r="F4393" t="s">
        <v>49</v>
      </c>
      <c r="G4393" s="30">
        <v>0</v>
      </c>
    </row>
    <row r="4394" spans="1:7" x14ac:dyDescent="0.25">
      <c r="A4394" t="s">
        <v>116</v>
      </c>
      <c r="B4394" t="s">
        <v>117</v>
      </c>
      <c r="C4394" t="s">
        <v>47</v>
      </c>
      <c r="D4394">
        <v>9053150</v>
      </c>
      <c r="E4394" t="s">
        <v>53</v>
      </c>
      <c r="F4394" t="s">
        <v>49</v>
      </c>
      <c r="G4394" s="30">
        <v>145748.510230955</v>
      </c>
    </row>
    <row r="4395" spans="1:7" x14ac:dyDescent="0.25">
      <c r="A4395" t="s">
        <v>50</v>
      </c>
      <c r="B4395" t="s">
        <v>51</v>
      </c>
      <c r="C4395" t="s">
        <v>52</v>
      </c>
      <c r="D4395">
        <v>9054534</v>
      </c>
      <c r="E4395" t="s">
        <v>53</v>
      </c>
      <c r="F4395" t="s">
        <v>49</v>
      </c>
      <c r="G4395" s="30">
        <v>28810.034476590601</v>
      </c>
    </row>
    <row r="4396" spans="1:7" x14ac:dyDescent="0.25">
      <c r="A4396" t="s">
        <v>57</v>
      </c>
      <c r="B4396" t="s">
        <v>58</v>
      </c>
      <c r="C4396" t="s">
        <v>56</v>
      </c>
      <c r="D4396">
        <v>9055648</v>
      </c>
      <c r="E4396" t="s">
        <v>53</v>
      </c>
      <c r="F4396" t="s">
        <v>49</v>
      </c>
      <c r="G4396" s="30">
        <v>158065.53886847699</v>
      </c>
    </row>
    <row r="4397" spans="1:7" x14ac:dyDescent="0.25">
      <c r="A4397" t="s">
        <v>45</v>
      </c>
      <c r="B4397" t="s">
        <v>46</v>
      </c>
      <c r="C4397" t="s">
        <v>47</v>
      </c>
      <c r="D4397">
        <v>9055980</v>
      </c>
      <c r="E4397" t="s">
        <v>48</v>
      </c>
      <c r="F4397" t="s">
        <v>49</v>
      </c>
      <c r="G4397" s="30">
        <v>0</v>
      </c>
    </row>
    <row r="4398" spans="1:7" x14ac:dyDescent="0.25">
      <c r="A4398" t="s">
        <v>45</v>
      </c>
      <c r="B4398" t="s">
        <v>46</v>
      </c>
      <c r="C4398" t="s">
        <v>47</v>
      </c>
      <c r="D4398">
        <v>9056936</v>
      </c>
      <c r="E4398" t="s">
        <v>48</v>
      </c>
      <c r="F4398" t="s">
        <v>49</v>
      </c>
      <c r="G4398" s="30">
        <v>0</v>
      </c>
    </row>
    <row r="4399" spans="1:7" x14ac:dyDescent="0.25">
      <c r="A4399" t="s">
        <v>118</v>
      </c>
      <c r="B4399" t="s">
        <v>119</v>
      </c>
      <c r="C4399" t="s">
        <v>56</v>
      </c>
      <c r="D4399">
        <v>9058634</v>
      </c>
      <c r="E4399" t="s">
        <v>53</v>
      </c>
      <c r="F4399" t="s">
        <v>49</v>
      </c>
      <c r="G4399" s="30">
        <v>121604.931712826</v>
      </c>
    </row>
    <row r="4400" spans="1:7" x14ac:dyDescent="0.25">
      <c r="A4400" t="s">
        <v>63</v>
      </c>
      <c r="B4400" t="s">
        <v>64</v>
      </c>
      <c r="C4400" t="s">
        <v>56</v>
      </c>
      <c r="D4400">
        <v>9064660</v>
      </c>
      <c r="E4400" t="s">
        <v>53</v>
      </c>
      <c r="F4400" t="s">
        <v>49</v>
      </c>
      <c r="G4400" s="30">
        <v>1498127.1039062501</v>
      </c>
    </row>
    <row r="4401" spans="1:7" x14ac:dyDescent="0.25">
      <c r="A4401" t="s">
        <v>116</v>
      </c>
      <c r="B4401" t="s">
        <v>117</v>
      </c>
      <c r="C4401" t="s">
        <v>47</v>
      </c>
      <c r="D4401">
        <v>9065521</v>
      </c>
      <c r="E4401" t="s">
        <v>48</v>
      </c>
      <c r="F4401" t="s">
        <v>49</v>
      </c>
      <c r="G4401" s="30">
        <v>0</v>
      </c>
    </row>
    <row r="4402" spans="1:7" x14ac:dyDescent="0.25">
      <c r="A4402" t="s">
        <v>50</v>
      </c>
      <c r="B4402" t="s">
        <v>51</v>
      </c>
      <c r="C4402" t="s">
        <v>52</v>
      </c>
      <c r="D4402">
        <v>9068113</v>
      </c>
      <c r="E4402" t="s">
        <v>53</v>
      </c>
      <c r="F4402" t="s">
        <v>49</v>
      </c>
      <c r="G4402" s="30">
        <v>6094.3303104347897</v>
      </c>
    </row>
    <row r="4403" spans="1:7" x14ac:dyDescent="0.25">
      <c r="A4403" t="s">
        <v>68</v>
      </c>
      <c r="B4403" t="s">
        <v>69</v>
      </c>
      <c r="C4403" t="s">
        <v>56</v>
      </c>
      <c r="D4403">
        <v>9069139</v>
      </c>
      <c r="E4403" t="s">
        <v>53</v>
      </c>
      <c r="F4403" t="s">
        <v>49</v>
      </c>
      <c r="G4403" s="30">
        <v>7044.7776484121796</v>
      </c>
    </row>
    <row r="4404" spans="1:7" x14ac:dyDescent="0.25">
      <c r="A4404" t="s">
        <v>50</v>
      </c>
      <c r="B4404" t="s">
        <v>51</v>
      </c>
      <c r="C4404" t="s">
        <v>52</v>
      </c>
      <c r="D4404">
        <v>9069940</v>
      </c>
      <c r="E4404" t="s">
        <v>48</v>
      </c>
      <c r="F4404" t="s">
        <v>49</v>
      </c>
      <c r="G4404" s="30">
        <v>0</v>
      </c>
    </row>
    <row r="4405" spans="1:7" x14ac:dyDescent="0.25">
      <c r="A4405" t="s">
        <v>45</v>
      </c>
      <c r="B4405" t="s">
        <v>46</v>
      </c>
      <c r="C4405" t="s">
        <v>47</v>
      </c>
      <c r="D4405">
        <v>9071696</v>
      </c>
      <c r="E4405" t="s">
        <v>48</v>
      </c>
      <c r="F4405" t="s">
        <v>49</v>
      </c>
      <c r="G4405" s="30">
        <v>0</v>
      </c>
    </row>
    <row r="4406" spans="1:7" x14ac:dyDescent="0.25">
      <c r="A4406" t="s">
        <v>92</v>
      </c>
      <c r="B4406" t="s">
        <v>93</v>
      </c>
      <c r="C4406" t="s">
        <v>81</v>
      </c>
      <c r="D4406">
        <v>9074319</v>
      </c>
      <c r="E4406" t="s">
        <v>48</v>
      </c>
      <c r="F4406" t="s">
        <v>49</v>
      </c>
      <c r="G4406" s="30">
        <v>0</v>
      </c>
    </row>
    <row r="4407" spans="1:7" x14ac:dyDescent="0.25">
      <c r="A4407" t="s">
        <v>45</v>
      </c>
      <c r="B4407" t="s">
        <v>46</v>
      </c>
      <c r="C4407" t="s">
        <v>47</v>
      </c>
      <c r="D4407">
        <v>9077946</v>
      </c>
      <c r="E4407" t="s">
        <v>48</v>
      </c>
      <c r="F4407" t="s">
        <v>49</v>
      </c>
      <c r="G4407" s="30">
        <v>0</v>
      </c>
    </row>
    <row r="4408" spans="1:7" x14ac:dyDescent="0.25">
      <c r="A4408" t="s">
        <v>106</v>
      </c>
      <c r="B4408" t="s">
        <v>107</v>
      </c>
      <c r="C4408" t="s">
        <v>56</v>
      </c>
      <c r="D4408">
        <v>9078771</v>
      </c>
      <c r="E4408" t="s">
        <v>53</v>
      </c>
      <c r="F4408" t="s">
        <v>49</v>
      </c>
      <c r="G4408" s="30">
        <v>6742223.3355270596</v>
      </c>
    </row>
    <row r="4409" spans="1:7" x14ac:dyDescent="0.25">
      <c r="A4409" t="s">
        <v>45</v>
      </c>
      <c r="B4409" t="s">
        <v>46</v>
      </c>
      <c r="C4409" t="s">
        <v>47</v>
      </c>
      <c r="D4409">
        <v>9079771</v>
      </c>
      <c r="E4409" t="s">
        <v>48</v>
      </c>
      <c r="F4409" t="s">
        <v>49</v>
      </c>
      <c r="G4409" s="30">
        <v>0</v>
      </c>
    </row>
    <row r="4410" spans="1:7" x14ac:dyDescent="0.25">
      <c r="A4410" t="s">
        <v>50</v>
      </c>
      <c r="B4410" t="s">
        <v>51</v>
      </c>
      <c r="C4410" t="s">
        <v>52</v>
      </c>
      <c r="D4410">
        <v>9080872</v>
      </c>
      <c r="E4410" t="s">
        <v>48</v>
      </c>
      <c r="F4410" t="s">
        <v>49</v>
      </c>
      <c r="G4410" s="30">
        <v>0</v>
      </c>
    </row>
    <row r="4411" spans="1:7" x14ac:dyDescent="0.25">
      <c r="A4411" t="s">
        <v>106</v>
      </c>
      <c r="B4411" t="s">
        <v>107</v>
      </c>
      <c r="C4411" t="s">
        <v>56</v>
      </c>
      <c r="D4411">
        <v>9083120</v>
      </c>
      <c r="E4411" t="s">
        <v>53</v>
      </c>
      <c r="F4411" t="s">
        <v>49</v>
      </c>
      <c r="G4411" s="30">
        <v>849208.98757534905</v>
      </c>
    </row>
    <row r="4412" spans="1:7" x14ac:dyDescent="0.25">
      <c r="A4412" t="s">
        <v>116</v>
      </c>
      <c r="B4412" t="s">
        <v>117</v>
      </c>
      <c r="C4412" t="s">
        <v>47</v>
      </c>
      <c r="D4412">
        <v>9083875</v>
      </c>
      <c r="E4412" t="s">
        <v>53</v>
      </c>
      <c r="F4412" t="s">
        <v>49</v>
      </c>
      <c r="G4412" s="30">
        <v>1247520.6432869199</v>
      </c>
    </row>
    <row r="4413" spans="1:7" x14ac:dyDescent="0.25">
      <c r="A4413" t="s">
        <v>65</v>
      </c>
      <c r="B4413" t="s">
        <v>66</v>
      </c>
      <c r="C4413" t="s">
        <v>67</v>
      </c>
      <c r="D4413">
        <v>9084709</v>
      </c>
      <c r="E4413" t="s">
        <v>53</v>
      </c>
      <c r="F4413" t="s">
        <v>49</v>
      </c>
      <c r="G4413" s="30">
        <v>517335.73186576099</v>
      </c>
    </row>
    <row r="4414" spans="1:7" x14ac:dyDescent="0.25">
      <c r="A4414" t="s">
        <v>50</v>
      </c>
      <c r="B4414" t="s">
        <v>51</v>
      </c>
      <c r="C4414" t="s">
        <v>52</v>
      </c>
      <c r="D4414">
        <v>9084829</v>
      </c>
      <c r="E4414" t="s">
        <v>53</v>
      </c>
      <c r="F4414" t="s">
        <v>49</v>
      </c>
      <c r="G4414" s="30">
        <v>961.76</v>
      </c>
    </row>
    <row r="4415" spans="1:7" x14ac:dyDescent="0.25">
      <c r="A4415" t="s">
        <v>118</v>
      </c>
      <c r="B4415" t="s">
        <v>119</v>
      </c>
      <c r="C4415" t="s">
        <v>56</v>
      </c>
      <c r="D4415">
        <v>9085205</v>
      </c>
      <c r="E4415" t="s">
        <v>53</v>
      </c>
      <c r="F4415" t="s">
        <v>49</v>
      </c>
      <c r="G4415" s="30">
        <v>162534.175466149</v>
      </c>
    </row>
    <row r="4416" spans="1:7" x14ac:dyDescent="0.25">
      <c r="A4416" t="s">
        <v>124</v>
      </c>
      <c r="B4416" t="s">
        <v>125</v>
      </c>
      <c r="C4416" t="s">
        <v>78</v>
      </c>
      <c r="D4416">
        <v>9085859</v>
      </c>
      <c r="E4416" t="s">
        <v>48</v>
      </c>
      <c r="F4416" t="s">
        <v>49</v>
      </c>
      <c r="G4416" s="30">
        <v>0</v>
      </c>
    </row>
    <row r="4417" spans="1:7" x14ac:dyDescent="0.25">
      <c r="A4417" t="s">
        <v>45</v>
      </c>
      <c r="B4417" t="s">
        <v>46</v>
      </c>
      <c r="C4417" t="s">
        <v>47</v>
      </c>
      <c r="D4417">
        <v>9086346</v>
      </c>
      <c r="E4417" t="s">
        <v>53</v>
      </c>
      <c r="F4417" t="s">
        <v>49</v>
      </c>
      <c r="G4417" s="30">
        <v>2010.96</v>
      </c>
    </row>
    <row r="4418" spans="1:7" x14ac:dyDescent="0.25">
      <c r="A4418" t="s">
        <v>45</v>
      </c>
      <c r="B4418" t="s">
        <v>46</v>
      </c>
      <c r="C4418" t="s">
        <v>47</v>
      </c>
      <c r="D4418">
        <v>9092318</v>
      </c>
      <c r="E4418" t="s">
        <v>48</v>
      </c>
      <c r="F4418" t="s">
        <v>49</v>
      </c>
      <c r="G4418" s="30">
        <v>0</v>
      </c>
    </row>
    <row r="4419" spans="1:7" x14ac:dyDescent="0.25">
      <c r="A4419" t="s">
        <v>65</v>
      </c>
      <c r="B4419" t="s">
        <v>66</v>
      </c>
      <c r="C4419" t="s">
        <v>67</v>
      </c>
      <c r="D4419">
        <v>9095154</v>
      </c>
      <c r="E4419" t="s">
        <v>53</v>
      </c>
      <c r="F4419" t="s">
        <v>49</v>
      </c>
      <c r="G4419" s="30">
        <v>684996.38624999998</v>
      </c>
    </row>
    <row r="4420" spans="1:7" x14ac:dyDescent="0.25">
      <c r="A4420" t="s">
        <v>45</v>
      </c>
      <c r="B4420" t="s">
        <v>46</v>
      </c>
      <c r="C4420" t="s">
        <v>47</v>
      </c>
      <c r="D4420">
        <v>9095569</v>
      </c>
      <c r="E4420" t="s">
        <v>48</v>
      </c>
      <c r="F4420" t="s">
        <v>49</v>
      </c>
      <c r="G4420" s="30">
        <v>0</v>
      </c>
    </row>
    <row r="4421" spans="1:7" x14ac:dyDescent="0.25">
      <c r="A4421" t="s">
        <v>133</v>
      </c>
      <c r="B4421" t="s">
        <v>134</v>
      </c>
      <c r="C4421" t="s">
        <v>47</v>
      </c>
      <c r="D4421">
        <v>9096330</v>
      </c>
      <c r="E4421" t="s">
        <v>53</v>
      </c>
      <c r="F4421" t="s">
        <v>49</v>
      </c>
      <c r="G4421" s="30">
        <v>188195.90282775901</v>
      </c>
    </row>
    <row r="4422" spans="1:7" x14ac:dyDescent="0.25">
      <c r="A4422" t="s">
        <v>45</v>
      </c>
      <c r="B4422" t="s">
        <v>46</v>
      </c>
      <c r="C4422" t="s">
        <v>47</v>
      </c>
      <c r="D4422">
        <v>9098199</v>
      </c>
      <c r="E4422" t="s">
        <v>48</v>
      </c>
      <c r="F4422" t="s">
        <v>49</v>
      </c>
      <c r="G4422" s="30">
        <v>0</v>
      </c>
    </row>
    <row r="4423" spans="1:7" x14ac:dyDescent="0.25">
      <c r="A4423" t="s">
        <v>50</v>
      </c>
      <c r="B4423" t="s">
        <v>51</v>
      </c>
      <c r="C4423" t="s">
        <v>52</v>
      </c>
      <c r="D4423">
        <v>9098514</v>
      </c>
      <c r="E4423" t="s">
        <v>48</v>
      </c>
      <c r="F4423" t="s">
        <v>49</v>
      </c>
      <c r="G4423" s="30">
        <v>10</v>
      </c>
    </row>
    <row r="4424" spans="1:7" x14ac:dyDescent="0.25">
      <c r="A4424" t="s">
        <v>50</v>
      </c>
      <c r="B4424" t="s">
        <v>51</v>
      </c>
      <c r="C4424" t="s">
        <v>52</v>
      </c>
      <c r="D4424">
        <v>9098676</v>
      </c>
      <c r="E4424" t="s">
        <v>53</v>
      </c>
      <c r="F4424" t="s">
        <v>49</v>
      </c>
      <c r="G4424" s="30">
        <v>14127.6054129813</v>
      </c>
    </row>
    <row r="4425" spans="1:7" x14ac:dyDescent="0.25">
      <c r="A4425" t="s">
        <v>124</v>
      </c>
      <c r="B4425" t="s">
        <v>125</v>
      </c>
      <c r="C4425" t="s">
        <v>78</v>
      </c>
      <c r="D4425">
        <v>9098802</v>
      </c>
      <c r="E4425" t="s">
        <v>53</v>
      </c>
      <c r="F4425" t="s">
        <v>49</v>
      </c>
      <c r="G4425" s="30">
        <v>663295.65480092005</v>
      </c>
    </row>
    <row r="4426" spans="1:7" x14ac:dyDescent="0.25">
      <c r="A4426" t="s">
        <v>45</v>
      </c>
      <c r="B4426" t="s">
        <v>46</v>
      </c>
      <c r="C4426" t="s">
        <v>47</v>
      </c>
      <c r="D4426">
        <v>9099079</v>
      </c>
      <c r="E4426" t="s">
        <v>48</v>
      </c>
      <c r="F4426" t="s">
        <v>49</v>
      </c>
      <c r="G4426" s="30">
        <v>0</v>
      </c>
    </row>
    <row r="4427" spans="1:7" x14ac:dyDescent="0.25">
      <c r="A4427" t="s">
        <v>45</v>
      </c>
      <c r="B4427" t="s">
        <v>46</v>
      </c>
      <c r="C4427" t="s">
        <v>47</v>
      </c>
      <c r="D4427">
        <v>9100361</v>
      </c>
      <c r="E4427" t="s">
        <v>48</v>
      </c>
      <c r="F4427" t="s">
        <v>49</v>
      </c>
      <c r="G4427" s="30">
        <v>0</v>
      </c>
    </row>
    <row r="4428" spans="1:7" x14ac:dyDescent="0.25">
      <c r="A4428" t="s">
        <v>45</v>
      </c>
      <c r="B4428" t="s">
        <v>46</v>
      </c>
      <c r="C4428" t="s">
        <v>47</v>
      </c>
      <c r="D4428">
        <v>9100757</v>
      </c>
      <c r="E4428" t="s">
        <v>53</v>
      </c>
      <c r="F4428" t="s">
        <v>49</v>
      </c>
      <c r="G4428" s="30">
        <v>54155.1743556613</v>
      </c>
    </row>
    <row r="4429" spans="1:7" x14ac:dyDescent="0.25">
      <c r="A4429" t="s">
        <v>116</v>
      </c>
      <c r="B4429" t="s">
        <v>117</v>
      </c>
      <c r="C4429" t="s">
        <v>47</v>
      </c>
      <c r="D4429">
        <v>9103459</v>
      </c>
      <c r="E4429" t="s">
        <v>53</v>
      </c>
      <c r="F4429" t="s">
        <v>49</v>
      </c>
      <c r="G4429" s="30">
        <v>624098.76261641295</v>
      </c>
    </row>
    <row r="4430" spans="1:7" x14ac:dyDescent="0.25">
      <c r="A4430" t="s">
        <v>168</v>
      </c>
      <c r="B4430" t="s">
        <v>169</v>
      </c>
      <c r="C4430" t="s">
        <v>56</v>
      </c>
      <c r="D4430">
        <v>9111825</v>
      </c>
      <c r="E4430" t="s">
        <v>53</v>
      </c>
      <c r="F4430" t="s">
        <v>49</v>
      </c>
      <c r="G4430" s="30">
        <v>230136.75353977701</v>
      </c>
    </row>
    <row r="4431" spans="1:7" x14ac:dyDescent="0.25">
      <c r="A4431" t="s">
        <v>65</v>
      </c>
      <c r="B4431" t="s">
        <v>66</v>
      </c>
      <c r="C4431" t="s">
        <v>67</v>
      </c>
      <c r="D4431">
        <v>9114962</v>
      </c>
      <c r="E4431" t="s">
        <v>53</v>
      </c>
      <c r="F4431" t="s">
        <v>49</v>
      </c>
      <c r="G4431" s="30">
        <v>2785.21</v>
      </c>
    </row>
    <row r="4432" spans="1:7" x14ac:dyDescent="0.25">
      <c r="A4432" t="s">
        <v>45</v>
      </c>
      <c r="B4432" t="s">
        <v>46</v>
      </c>
      <c r="C4432" t="s">
        <v>47</v>
      </c>
      <c r="D4432">
        <v>9115398</v>
      </c>
      <c r="E4432" t="s">
        <v>48</v>
      </c>
      <c r="F4432" t="s">
        <v>49</v>
      </c>
      <c r="G4432" s="30">
        <v>0</v>
      </c>
    </row>
    <row r="4433" spans="1:7" x14ac:dyDescent="0.25">
      <c r="A4433" t="s">
        <v>57</v>
      </c>
      <c r="B4433" t="s">
        <v>58</v>
      </c>
      <c r="C4433" t="s">
        <v>56</v>
      </c>
      <c r="D4433">
        <v>9115646</v>
      </c>
      <c r="E4433" t="s">
        <v>53</v>
      </c>
      <c r="F4433" t="s">
        <v>49</v>
      </c>
      <c r="G4433" s="30">
        <v>41474.004231462102</v>
      </c>
    </row>
    <row r="4434" spans="1:7" x14ac:dyDescent="0.25">
      <c r="A4434" t="s">
        <v>92</v>
      </c>
      <c r="B4434" t="s">
        <v>93</v>
      </c>
      <c r="C4434" t="s">
        <v>81</v>
      </c>
      <c r="D4434">
        <v>9117000</v>
      </c>
      <c r="E4434" t="s">
        <v>53</v>
      </c>
      <c r="F4434" t="s">
        <v>49</v>
      </c>
      <c r="G4434" s="30">
        <v>66960.631532718005</v>
      </c>
    </row>
    <row r="4435" spans="1:7" x14ac:dyDescent="0.25">
      <c r="A4435" t="s">
        <v>72</v>
      </c>
      <c r="B4435" t="s">
        <v>73</v>
      </c>
      <c r="C4435" t="s">
        <v>67</v>
      </c>
      <c r="D4435">
        <v>9119178</v>
      </c>
      <c r="E4435" t="s">
        <v>53</v>
      </c>
      <c r="F4435" t="s">
        <v>49</v>
      </c>
      <c r="G4435" s="30">
        <v>811974.47459763905</v>
      </c>
    </row>
    <row r="4436" spans="1:7" x14ac:dyDescent="0.25">
      <c r="A4436" t="s">
        <v>106</v>
      </c>
      <c r="B4436" t="s">
        <v>107</v>
      </c>
      <c r="C4436" t="s">
        <v>56</v>
      </c>
      <c r="D4436">
        <v>9121036</v>
      </c>
      <c r="E4436" t="s">
        <v>53</v>
      </c>
      <c r="F4436" t="s">
        <v>49</v>
      </c>
      <c r="G4436" s="30">
        <v>48228.39453125</v>
      </c>
    </row>
    <row r="4437" spans="1:7" x14ac:dyDescent="0.25">
      <c r="A4437" t="s">
        <v>45</v>
      </c>
      <c r="B4437" t="s">
        <v>46</v>
      </c>
      <c r="C4437" t="s">
        <v>47</v>
      </c>
      <c r="D4437">
        <v>9121151</v>
      </c>
      <c r="E4437" t="s">
        <v>48</v>
      </c>
      <c r="F4437" t="s">
        <v>49</v>
      </c>
      <c r="G4437" s="30">
        <v>0</v>
      </c>
    </row>
    <row r="4438" spans="1:7" x14ac:dyDescent="0.25">
      <c r="A4438" t="s">
        <v>50</v>
      </c>
      <c r="B4438" t="s">
        <v>51</v>
      </c>
      <c r="C4438" t="s">
        <v>52</v>
      </c>
      <c r="D4438">
        <v>9123638</v>
      </c>
      <c r="E4438" t="s">
        <v>53</v>
      </c>
      <c r="F4438" t="s">
        <v>49</v>
      </c>
      <c r="G4438" s="30">
        <v>10733.940345956</v>
      </c>
    </row>
    <row r="4439" spans="1:7" x14ac:dyDescent="0.25">
      <c r="A4439" t="s">
        <v>92</v>
      </c>
      <c r="B4439" t="s">
        <v>93</v>
      </c>
      <c r="C4439" t="s">
        <v>81</v>
      </c>
      <c r="D4439">
        <v>9123650</v>
      </c>
      <c r="E4439" t="s">
        <v>53</v>
      </c>
      <c r="F4439" t="s">
        <v>49</v>
      </c>
      <c r="G4439" s="30">
        <v>15326.9862752878</v>
      </c>
    </row>
    <row r="4440" spans="1:7" x14ac:dyDescent="0.25">
      <c r="A4440" t="s">
        <v>59</v>
      </c>
      <c r="B4440" t="s">
        <v>60</v>
      </c>
      <c r="C4440" t="s">
        <v>56</v>
      </c>
      <c r="D4440">
        <v>9124067</v>
      </c>
      <c r="E4440" t="s">
        <v>53</v>
      </c>
      <c r="F4440" t="s">
        <v>49</v>
      </c>
      <c r="G4440" s="30">
        <v>140463.02075432599</v>
      </c>
    </row>
    <row r="4441" spans="1:7" x14ac:dyDescent="0.25">
      <c r="A4441" t="s">
        <v>72</v>
      </c>
      <c r="B4441" t="s">
        <v>73</v>
      </c>
      <c r="C4441" t="s">
        <v>67</v>
      </c>
      <c r="D4441">
        <v>9124392</v>
      </c>
      <c r="E4441" t="s">
        <v>53</v>
      </c>
      <c r="F4441" t="s">
        <v>49</v>
      </c>
      <c r="G4441" s="30">
        <v>4725413.0030389698</v>
      </c>
    </row>
    <row r="4442" spans="1:7" x14ac:dyDescent="0.25">
      <c r="A4442" t="s">
        <v>45</v>
      </c>
      <c r="B4442" t="s">
        <v>46</v>
      </c>
      <c r="C4442" t="s">
        <v>47</v>
      </c>
      <c r="D4442">
        <v>9127536</v>
      </c>
      <c r="E4442" t="s">
        <v>48</v>
      </c>
      <c r="F4442" t="s">
        <v>49</v>
      </c>
      <c r="G4442" s="30">
        <v>0</v>
      </c>
    </row>
    <row r="4443" spans="1:7" x14ac:dyDescent="0.25">
      <c r="A4443" t="s">
        <v>96</v>
      </c>
      <c r="B4443" t="s">
        <v>97</v>
      </c>
      <c r="C4443" t="s">
        <v>81</v>
      </c>
      <c r="D4443">
        <v>9130273</v>
      </c>
      <c r="E4443" t="s">
        <v>48</v>
      </c>
      <c r="F4443" t="s">
        <v>49</v>
      </c>
      <c r="G4443" s="30">
        <v>0</v>
      </c>
    </row>
    <row r="4444" spans="1:7" x14ac:dyDescent="0.25">
      <c r="A4444" t="s">
        <v>50</v>
      </c>
      <c r="B4444" t="s">
        <v>51</v>
      </c>
      <c r="C4444" t="s">
        <v>52</v>
      </c>
      <c r="D4444">
        <v>9135846</v>
      </c>
      <c r="E4444" t="s">
        <v>53</v>
      </c>
      <c r="F4444" t="s">
        <v>49</v>
      </c>
      <c r="G4444" s="30">
        <v>6742.3744533487697</v>
      </c>
    </row>
    <row r="4445" spans="1:7" x14ac:dyDescent="0.25">
      <c r="A4445" t="s">
        <v>133</v>
      </c>
      <c r="B4445" t="s">
        <v>134</v>
      </c>
      <c r="C4445" t="s">
        <v>47</v>
      </c>
      <c r="D4445">
        <v>9137358</v>
      </c>
      <c r="E4445" t="s">
        <v>53</v>
      </c>
      <c r="F4445" t="s">
        <v>49</v>
      </c>
      <c r="G4445" s="30">
        <v>60.910201959840599</v>
      </c>
    </row>
    <row r="4446" spans="1:7" x14ac:dyDescent="0.25">
      <c r="A4446" t="s">
        <v>70</v>
      </c>
      <c r="B4446" t="s">
        <v>71</v>
      </c>
      <c r="C4446" t="s">
        <v>47</v>
      </c>
      <c r="D4446">
        <v>9139220</v>
      </c>
      <c r="E4446" t="s">
        <v>53</v>
      </c>
      <c r="F4446" t="s">
        <v>49</v>
      </c>
      <c r="G4446" s="30">
        <v>17798.585976562499</v>
      </c>
    </row>
    <row r="4447" spans="1:7" x14ac:dyDescent="0.25">
      <c r="A4447" t="s">
        <v>131</v>
      </c>
      <c r="B4447" t="s">
        <v>132</v>
      </c>
      <c r="C4447" t="s">
        <v>67</v>
      </c>
      <c r="D4447">
        <v>9142619</v>
      </c>
      <c r="E4447" t="s">
        <v>53</v>
      </c>
      <c r="F4447" t="s">
        <v>49</v>
      </c>
      <c r="G4447" s="30">
        <v>410171.97615641903</v>
      </c>
    </row>
    <row r="4448" spans="1:7" x14ac:dyDescent="0.25">
      <c r="A4448" t="s">
        <v>45</v>
      </c>
      <c r="B4448" t="s">
        <v>46</v>
      </c>
      <c r="C4448" t="s">
        <v>47</v>
      </c>
      <c r="D4448">
        <v>9142689</v>
      </c>
      <c r="E4448" t="s">
        <v>53</v>
      </c>
      <c r="F4448" t="s">
        <v>49</v>
      </c>
      <c r="G4448" s="30">
        <v>78074.720000000001</v>
      </c>
    </row>
    <row r="4449" spans="1:7" x14ac:dyDescent="0.25">
      <c r="A4449" t="s">
        <v>57</v>
      </c>
      <c r="B4449" t="s">
        <v>58</v>
      </c>
      <c r="C4449" t="s">
        <v>56</v>
      </c>
      <c r="D4449">
        <v>9143778</v>
      </c>
      <c r="E4449" t="s">
        <v>48</v>
      </c>
      <c r="F4449" t="s">
        <v>49</v>
      </c>
      <c r="G4449" s="30">
        <v>0</v>
      </c>
    </row>
    <row r="4450" spans="1:7" x14ac:dyDescent="0.25">
      <c r="A4450" t="s">
        <v>50</v>
      </c>
      <c r="B4450" t="s">
        <v>51</v>
      </c>
      <c r="C4450" t="s">
        <v>52</v>
      </c>
      <c r="D4450">
        <v>9146269</v>
      </c>
      <c r="E4450" t="s">
        <v>53</v>
      </c>
      <c r="F4450" t="s">
        <v>49</v>
      </c>
      <c r="G4450" s="30">
        <v>22886.511423858901</v>
      </c>
    </row>
    <row r="4451" spans="1:7" x14ac:dyDescent="0.25">
      <c r="A4451" t="s">
        <v>122</v>
      </c>
      <c r="B4451" t="s">
        <v>123</v>
      </c>
      <c r="C4451" t="s">
        <v>52</v>
      </c>
      <c r="D4451">
        <v>9156149</v>
      </c>
      <c r="E4451" t="s">
        <v>53</v>
      </c>
      <c r="F4451" t="s">
        <v>49</v>
      </c>
      <c r="G4451" s="30">
        <v>307470.67</v>
      </c>
    </row>
    <row r="4452" spans="1:7" x14ac:dyDescent="0.25">
      <c r="A4452" t="s">
        <v>50</v>
      </c>
      <c r="B4452" t="s">
        <v>51</v>
      </c>
      <c r="C4452" t="s">
        <v>52</v>
      </c>
      <c r="D4452">
        <v>9159245</v>
      </c>
      <c r="E4452" t="s">
        <v>53</v>
      </c>
      <c r="F4452" t="s">
        <v>49</v>
      </c>
      <c r="G4452" s="30">
        <v>7099.1989108820399</v>
      </c>
    </row>
    <row r="4453" spans="1:7" x14ac:dyDescent="0.25">
      <c r="A4453" t="s">
        <v>102</v>
      </c>
      <c r="B4453" t="s">
        <v>103</v>
      </c>
      <c r="C4453" t="s">
        <v>47</v>
      </c>
      <c r="D4453">
        <v>9160571</v>
      </c>
      <c r="E4453" t="s">
        <v>53</v>
      </c>
      <c r="F4453" t="s">
        <v>49</v>
      </c>
      <c r="G4453" s="30">
        <v>167933.06</v>
      </c>
    </row>
    <row r="4454" spans="1:7" x14ac:dyDescent="0.25">
      <c r="A4454" t="s">
        <v>114</v>
      </c>
      <c r="B4454" t="s">
        <v>115</v>
      </c>
      <c r="C4454" t="s">
        <v>56</v>
      </c>
      <c r="D4454">
        <v>9162214</v>
      </c>
      <c r="E4454" t="s">
        <v>53</v>
      </c>
      <c r="F4454" t="s">
        <v>49</v>
      </c>
      <c r="G4454" s="30">
        <v>100.92</v>
      </c>
    </row>
    <row r="4455" spans="1:7" x14ac:dyDescent="0.25">
      <c r="A4455" t="s">
        <v>59</v>
      </c>
      <c r="B4455" t="s">
        <v>60</v>
      </c>
      <c r="C4455" t="s">
        <v>56</v>
      </c>
      <c r="D4455">
        <v>9163065</v>
      </c>
      <c r="E4455" t="s">
        <v>53</v>
      </c>
      <c r="F4455" t="s">
        <v>49</v>
      </c>
      <c r="G4455" s="30">
        <v>211023.17854196299</v>
      </c>
    </row>
    <row r="4456" spans="1:7" x14ac:dyDescent="0.25">
      <c r="A4456" t="s">
        <v>82</v>
      </c>
      <c r="B4456" t="s">
        <v>83</v>
      </c>
      <c r="C4456" t="s">
        <v>56</v>
      </c>
      <c r="D4456">
        <v>9164831</v>
      </c>
      <c r="E4456" t="s">
        <v>48</v>
      </c>
      <c r="F4456" t="s">
        <v>49</v>
      </c>
      <c r="G4456" s="30">
        <v>0</v>
      </c>
    </row>
    <row r="4457" spans="1:7" x14ac:dyDescent="0.25">
      <c r="A4457" t="s">
        <v>112</v>
      </c>
      <c r="B4457" t="s">
        <v>113</v>
      </c>
      <c r="C4457" t="s">
        <v>81</v>
      </c>
      <c r="D4457">
        <v>9168988</v>
      </c>
      <c r="E4457" t="s">
        <v>53</v>
      </c>
      <c r="F4457" t="s">
        <v>49</v>
      </c>
      <c r="G4457" s="30">
        <v>269683.95654332801</v>
      </c>
    </row>
    <row r="4458" spans="1:7" x14ac:dyDescent="0.25">
      <c r="A4458" t="s">
        <v>50</v>
      </c>
      <c r="B4458" t="s">
        <v>51</v>
      </c>
      <c r="C4458" t="s">
        <v>52</v>
      </c>
      <c r="D4458">
        <v>9173539</v>
      </c>
      <c r="E4458" t="s">
        <v>53</v>
      </c>
      <c r="F4458" t="s">
        <v>49</v>
      </c>
      <c r="G4458" s="30">
        <v>1877.47802349125</v>
      </c>
    </row>
    <row r="4459" spans="1:7" x14ac:dyDescent="0.25">
      <c r="A4459" t="s">
        <v>45</v>
      </c>
      <c r="B4459" t="s">
        <v>46</v>
      </c>
      <c r="C4459" t="s">
        <v>47</v>
      </c>
      <c r="D4459">
        <v>9177858</v>
      </c>
      <c r="E4459" t="s">
        <v>48</v>
      </c>
      <c r="F4459" t="s">
        <v>49</v>
      </c>
      <c r="G4459" s="30">
        <v>0</v>
      </c>
    </row>
    <row r="4460" spans="1:7" x14ac:dyDescent="0.25">
      <c r="A4460" t="s">
        <v>45</v>
      </c>
      <c r="B4460" t="s">
        <v>46</v>
      </c>
      <c r="C4460" t="s">
        <v>47</v>
      </c>
      <c r="D4460">
        <v>9179134</v>
      </c>
      <c r="E4460" t="s">
        <v>48</v>
      </c>
      <c r="F4460" t="s">
        <v>49</v>
      </c>
      <c r="G4460" s="30">
        <v>0</v>
      </c>
    </row>
    <row r="4461" spans="1:7" x14ac:dyDescent="0.25">
      <c r="A4461" t="s">
        <v>45</v>
      </c>
      <c r="B4461" t="s">
        <v>46</v>
      </c>
      <c r="C4461" t="s">
        <v>47</v>
      </c>
      <c r="D4461">
        <v>9180170</v>
      </c>
      <c r="E4461" t="s">
        <v>48</v>
      </c>
      <c r="F4461" t="s">
        <v>49</v>
      </c>
      <c r="G4461" s="30">
        <v>0</v>
      </c>
    </row>
    <row r="4462" spans="1:7" x14ac:dyDescent="0.25">
      <c r="A4462" t="s">
        <v>50</v>
      </c>
      <c r="B4462" t="s">
        <v>51</v>
      </c>
      <c r="C4462" t="s">
        <v>52</v>
      </c>
      <c r="D4462">
        <v>9181406</v>
      </c>
      <c r="E4462" t="s">
        <v>53</v>
      </c>
      <c r="F4462" t="s">
        <v>49</v>
      </c>
      <c r="G4462" s="30">
        <v>75230.656964388298</v>
      </c>
    </row>
    <row r="4463" spans="1:7" x14ac:dyDescent="0.25">
      <c r="A4463" t="s">
        <v>45</v>
      </c>
      <c r="B4463" t="s">
        <v>46</v>
      </c>
      <c r="C4463" t="s">
        <v>47</v>
      </c>
      <c r="D4463">
        <v>9183594</v>
      </c>
      <c r="E4463" t="s">
        <v>48</v>
      </c>
      <c r="F4463" t="s">
        <v>49</v>
      </c>
      <c r="G4463" s="30">
        <v>0</v>
      </c>
    </row>
    <row r="4464" spans="1:7" x14ac:dyDescent="0.25">
      <c r="A4464" t="s">
        <v>45</v>
      </c>
      <c r="B4464" t="s">
        <v>46</v>
      </c>
      <c r="C4464" t="s">
        <v>47</v>
      </c>
      <c r="D4464">
        <v>9184341</v>
      </c>
      <c r="E4464" t="s">
        <v>48</v>
      </c>
      <c r="F4464" t="s">
        <v>49</v>
      </c>
      <c r="G4464" s="30">
        <v>0</v>
      </c>
    </row>
    <row r="4465" spans="1:7" x14ac:dyDescent="0.25">
      <c r="A4465" t="s">
        <v>50</v>
      </c>
      <c r="B4465" t="s">
        <v>51</v>
      </c>
      <c r="C4465" t="s">
        <v>52</v>
      </c>
      <c r="D4465">
        <v>9184922</v>
      </c>
      <c r="E4465" t="s">
        <v>53</v>
      </c>
      <c r="F4465" t="s">
        <v>49</v>
      </c>
      <c r="G4465" s="30">
        <v>5055.91</v>
      </c>
    </row>
    <row r="4466" spans="1:7" x14ac:dyDescent="0.25">
      <c r="A4466" t="s">
        <v>45</v>
      </c>
      <c r="B4466" t="s">
        <v>46</v>
      </c>
      <c r="C4466" t="s">
        <v>47</v>
      </c>
      <c r="D4466">
        <v>9185664</v>
      </c>
      <c r="E4466" t="s">
        <v>48</v>
      </c>
      <c r="F4466" t="s">
        <v>49</v>
      </c>
      <c r="G4466" s="30">
        <v>0</v>
      </c>
    </row>
    <row r="4467" spans="1:7" x14ac:dyDescent="0.25">
      <c r="A4467" t="s">
        <v>57</v>
      </c>
      <c r="B4467" t="s">
        <v>58</v>
      </c>
      <c r="C4467" t="s">
        <v>56</v>
      </c>
      <c r="D4467">
        <v>9189709</v>
      </c>
      <c r="E4467" t="s">
        <v>53</v>
      </c>
      <c r="F4467" t="s">
        <v>49</v>
      </c>
      <c r="G4467" s="30">
        <v>248832.304956568</v>
      </c>
    </row>
    <row r="4468" spans="1:7" x14ac:dyDescent="0.25">
      <c r="A4468" t="s">
        <v>45</v>
      </c>
      <c r="B4468" t="s">
        <v>46</v>
      </c>
      <c r="C4468" t="s">
        <v>47</v>
      </c>
      <c r="D4468">
        <v>9190320</v>
      </c>
      <c r="E4468" t="s">
        <v>53</v>
      </c>
      <c r="F4468" t="s">
        <v>49</v>
      </c>
      <c r="G4468" s="30">
        <v>54657.131585923198</v>
      </c>
    </row>
    <row r="4469" spans="1:7" x14ac:dyDescent="0.25">
      <c r="A4469" t="s">
        <v>50</v>
      </c>
      <c r="B4469" t="s">
        <v>51</v>
      </c>
      <c r="C4469" t="s">
        <v>52</v>
      </c>
      <c r="D4469">
        <v>9190700</v>
      </c>
      <c r="E4469" t="s">
        <v>53</v>
      </c>
      <c r="F4469" t="s">
        <v>49</v>
      </c>
      <c r="G4469" s="30">
        <v>790.69</v>
      </c>
    </row>
    <row r="4470" spans="1:7" x14ac:dyDescent="0.25">
      <c r="A4470" t="s">
        <v>50</v>
      </c>
      <c r="B4470" t="s">
        <v>51</v>
      </c>
      <c r="C4470" t="s">
        <v>52</v>
      </c>
      <c r="D4470">
        <v>9191375</v>
      </c>
      <c r="E4470" t="s">
        <v>53</v>
      </c>
      <c r="F4470" t="s">
        <v>49</v>
      </c>
      <c r="G4470" s="30">
        <v>297.70999999999998</v>
      </c>
    </row>
    <row r="4471" spans="1:7" x14ac:dyDescent="0.25">
      <c r="A4471" t="s">
        <v>45</v>
      </c>
      <c r="B4471" t="s">
        <v>46</v>
      </c>
      <c r="C4471" t="s">
        <v>47</v>
      </c>
      <c r="D4471">
        <v>9191578</v>
      </c>
      <c r="E4471" t="s">
        <v>48</v>
      </c>
      <c r="F4471" t="s">
        <v>49</v>
      </c>
      <c r="G4471" s="30">
        <v>0</v>
      </c>
    </row>
    <row r="4472" spans="1:7" x14ac:dyDescent="0.25">
      <c r="A4472" t="s">
        <v>114</v>
      </c>
      <c r="B4472" t="s">
        <v>115</v>
      </c>
      <c r="C4472" t="s">
        <v>56</v>
      </c>
      <c r="D4472">
        <v>9191613</v>
      </c>
      <c r="E4472" t="s">
        <v>53</v>
      </c>
      <c r="F4472" t="s">
        <v>49</v>
      </c>
      <c r="G4472" s="30">
        <v>718696.18988186005</v>
      </c>
    </row>
    <row r="4473" spans="1:7" x14ac:dyDescent="0.25">
      <c r="A4473" t="s">
        <v>45</v>
      </c>
      <c r="B4473" t="s">
        <v>46</v>
      </c>
      <c r="C4473" t="s">
        <v>47</v>
      </c>
      <c r="D4473">
        <v>9191696</v>
      </c>
      <c r="E4473" t="s">
        <v>48</v>
      </c>
      <c r="F4473" t="s">
        <v>49</v>
      </c>
      <c r="G4473" s="30">
        <v>0</v>
      </c>
    </row>
    <row r="4474" spans="1:7" x14ac:dyDescent="0.25">
      <c r="A4474" t="s">
        <v>45</v>
      </c>
      <c r="B4474" t="s">
        <v>46</v>
      </c>
      <c r="C4474" t="s">
        <v>47</v>
      </c>
      <c r="D4474">
        <v>9191789</v>
      </c>
      <c r="E4474" t="s">
        <v>53</v>
      </c>
      <c r="F4474" t="s">
        <v>49</v>
      </c>
      <c r="G4474" s="30">
        <v>92870.935156249994</v>
      </c>
    </row>
    <row r="4475" spans="1:7" x14ac:dyDescent="0.25">
      <c r="A4475" t="s">
        <v>50</v>
      </c>
      <c r="B4475" t="s">
        <v>51</v>
      </c>
      <c r="C4475" t="s">
        <v>52</v>
      </c>
      <c r="D4475">
        <v>9197560</v>
      </c>
      <c r="E4475" t="s">
        <v>53</v>
      </c>
      <c r="F4475" t="s">
        <v>49</v>
      </c>
      <c r="G4475" s="30">
        <v>11150.04</v>
      </c>
    </row>
    <row r="4476" spans="1:7" x14ac:dyDescent="0.25">
      <c r="A4476" t="s">
        <v>45</v>
      </c>
      <c r="B4476" t="s">
        <v>46</v>
      </c>
      <c r="C4476" t="s">
        <v>47</v>
      </c>
      <c r="D4476">
        <v>9202260</v>
      </c>
      <c r="E4476" t="s">
        <v>53</v>
      </c>
      <c r="F4476" t="s">
        <v>49</v>
      </c>
      <c r="G4476" s="30">
        <v>74390.361455375794</v>
      </c>
    </row>
    <row r="4477" spans="1:7" x14ac:dyDescent="0.25">
      <c r="A4477" t="s">
        <v>68</v>
      </c>
      <c r="B4477" t="s">
        <v>69</v>
      </c>
      <c r="C4477" t="s">
        <v>56</v>
      </c>
      <c r="D4477">
        <v>9206006</v>
      </c>
      <c r="E4477" t="s">
        <v>48</v>
      </c>
      <c r="F4477" t="s">
        <v>49</v>
      </c>
      <c r="G4477" s="30">
        <v>0</v>
      </c>
    </row>
    <row r="4478" spans="1:7" x14ac:dyDescent="0.25">
      <c r="A4478" t="s">
        <v>45</v>
      </c>
      <c r="B4478" t="s">
        <v>46</v>
      </c>
      <c r="C4478" t="s">
        <v>47</v>
      </c>
      <c r="D4478">
        <v>9207040</v>
      </c>
      <c r="E4478" t="s">
        <v>48</v>
      </c>
      <c r="F4478" t="s">
        <v>49</v>
      </c>
      <c r="G4478" s="30">
        <v>0</v>
      </c>
    </row>
    <row r="4479" spans="1:7" x14ac:dyDescent="0.25">
      <c r="A4479" t="s">
        <v>45</v>
      </c>
      <c r="B4479" t="s">
        <v>46</v>
      </c>
      <c r="C4479" t="s">
        <v>47</v>
      </c>
      <c r="D4479">
        <v>9207082</v>
      </c>
      <c r="E4479" t="s">
        <v>48</v>
      </c>
      <c r="F4479" t="s">
        <v>49</v>
      </c>
      <c r="G4479" s="30">
        <v>0</v>
      </c>
    </row>
    <row r="4480" spans="1:7" x14ac:dyDescent="0.25">
      <c r="A4480" t="s">
        <v>45</v>
      </c>
      <c r="B4480" t="s">
        <v>46</v>
      </c>
      <c r="C4480" t="s">
        <v>47</v>
      </c>
      <c r="D4480">
        <v>9208152</v>
      </c>
      <c r="E4480" t="s">
        <v>48</v>
      </c>
      <c r="F4480" t="s">
        <v>49</v>
      </c>
      <c r="G4480" s="30">
        <v>0</v>
      </c>
    </row>
    <row r="4481" spans="1:7" x14ac:dyDescent="0.25">
      <c r="A4481" t="s">
        <v>118</v>
      </c>
      <c r="B4481" t="s">
        <v>119</v>
      </c>
      <c r="C4481" t="s">
        <v>56</v>
      </c>
      <c r="D4481">
        <v>9208865</v>
      </c>
      <c r="E4481" t="s">
        <v>53</v>
      </c>
      <c r="F4481" t="s">
        <v>49</v>
      </c>
      <c r="G4481" s="30">
        <v>14440.765858521499</v>
      </c>
    </row>
    <row r="4482" spans="1:7" x14ac:dyDescent="0.25">
      <c r="A4482" t="s">
        <v>45</v>
      </c>
      <c r="B4482" t="s">
        <v>46</v>
      </c>
      <c r="C4482" t="s">
        <v>47</v>
      </c>
      <c r="D4482">
        <v>9210118</v>
      </c>
      <c r="E4482" t="s">
        <v>48</v>
      </c>
      <c r="F4482" t="s">
        <v>49</v>
      </c>
      <c r="G4482" s="30">
        <v>0</v>
      </c>
    </row>
    <row r="4483" spans="1:7" x14ac:dyDescent="0.25">
      <c r="A4483" t="s">
        <v>57</v>
      </c>
      <c r="B4483" t="s">
        <v>58</v>
      </c>
      <c r="C4483" t="s">
        <v>56</v>
      </c>
      <c r="D4483">
        <v>9212174</v>
      </c>
      <c r="E4483" t="s">
        <v>53</v>
      </c>
      <c r="F4483" t="s">
        <v>49</v>
      </c>
      <c r="G4483" s="30">
        <v>72405.919999999998</v>
      </c>
    </row>
    <row r="4484" spans="1:7" x14ac:dyDescent="0.25">
      <c r="A4484" t="s">
        <v>112</v>
      </c>
      <c r="B4484" t="s">
        <v>113</v>
      </c>
      <c r="C4484" t="s">
        <v>81</v>
      </c>
      <c r="D4484">
        <v>9213837</v>
      </c>
      <c r="E4484" t="s">
        <v>53</v>
      </c>
      <c r="F4484" t="s">
        <v>49</v>
      </c>
      <c r="G4484" s="30">
        <v>71145.339514721796</v>
      </c>
    </row>
    <row r="4485" spans="1:7" x14ac:dyDescent="0.25">
      <c r="A4485" t="s">
        <v>114</v>
      </c>
      <c r="B4485" t="s">
        <v>115</v>
      </c>
      <c r="C4485" t="s">
        <v>56</v>
      </c>
      <c r="D4485">
        <v>9218792</v>
      </c>
      <c r="E4485" t="s">
        <v>53</v>
      </c>
      <c r="F4485" t="s">
        <v>49</v>
      </c>
      <c r="G4485" s="30">
        <v>1275.6446506759801</v>
      </c>
    </row>
    <row r="4486" spans="1:7" x14ac:dyDescent="0.25">
      <c r="A4486" t="s">
        <v>45</v>
      </c>
      <c r="B4486" t="s">
        <v>46</v>
      </c>
      <c r="C4486" t="s">
        <v>47</v>
      </c>
      <c r="D4486">
        <v>9218927</v>
      </c>
      <c r="E4486" t="s">
        <v>48</v>
      </c>
      <c r="F4486" t="s">
        <v>49</v>
      </c>
      <c r="G4486" s="30">
        <v>0</v>
      </c>
    </row>
    <row r="4487" spans="1:7" x14ac:dyDescent="0.25">
      <c r="A4487" t="s">
        <v>114</v>
      </c>
      <c r="B4487" t="s">
        <v>115</v>
      </c>
      <c r="C4487" t="s">
        <v>56</v>
      </c>
      <c r="D4487">
        <v>9226600</v>
      </c>
      <c r="E4487" t="s">
        <v>53</v>
      </c>
      <c r="F4487" t="s">
        <v>49</v>
      </c>
      <c r="G4487" s="30">
        <v>136106.78007812501</v>
      </c>
    </row>
    <row r="4488" spans="1:7" x14ac:dyDescent="0.25">
      <c r="A4488" t="s">
        <v>50</v>
      </c>
      <c r="B4488" t="s">
        <v>51</v>
      </c>
      <c r="C4488" t="s">
        <v>52</v>
      </c>
      <c r="D4488">
        <v>9228213</v>
      </c>
      <c r="E4488" t="s">
        <v>53</v>
      </c>
      <c r="F4488" t="s">
        <v>49</v>
      </c>
      <c r="G4488" s="30">
        <v>56.01</v>
      </c>
    </row>
    <row r="4489" spans="1:7" x14ac:dyDescent="0.25">
      <c r="A4489" t="s">
        <v>45</v>
      </c>
      <c r="B4489" t="s">
        <v>46</v>
      </c>
      <c r="C4489" t="s">
        <v>47</v>
      </c>
      <c r="D4489">
        <v>9228377</v>
      </c>
      <c r="E4489" t="s">
        <v>48</v>
      </c>
      <c r="F4489" t="s">
        <v>49</v>
      </c>
      <c r="G4489" s="30">
        <v>0</v>
      </c>
    </row>
    <row r="4490" spans="1:7" x14ac:dyDescent="0.25">
      <c r="A4490" t="s">
        <v>96</v>
      </c>
      <c r="B4490" t="s">
        <v>97</v>
      </c>
      <c r="C4490" t="s">
        <v>81</v>
      </c>
      <c r="D4490">
        <v>9233250</v>
      </c>
      <c r="E4490" t="s">
        <v>53</v>
      </c>
      <c r="F4490" t="s">
        <v>49</v>
      </c>
      <c r="G4490" s="30">
        <v>14467.9942554847</v>
      </c>
    </row>
    <row r="4491" spans="1:7" x14ac:dyDescent="0.25">
      <c r="A4491" t="s">
        <v>45</v>
      </c>
      <c r="B4491" t="s">
        <v>46</v>
      </c>
      <c r="C4491" t="s">
        <v>47</v>
      </c>
      <c r="D4491">
        <v>9236215</v>
      </c>
      <c r="E4491" t="s">
        <v>48</v>
      </c>
      <c r="F4491" t="s">
        <v>49</v>
      </c>
      <c r="G4491" s="30">
        <v>0</v>
      </c>
    </row>
    <row r="4492" spans="1:7" x14ac:dyDescent="0.25">
      <c r="A4492" t="s">
        <v>45</v>
      </c>
      <c r="B4492" t="s">
        <v>46</v>
      </c>
      <c r="C4492" t="s">
        <v>47</v>
      </c>
      <c r="D4492">
        <v>9238300</v>
      </c>
      <c r="E4492" t="s">
        <v>48</v>
      </c>
      <c r="F4492" t="s">
        <v>49</v>
      </c>
      <c r="G4492" s="30">
        <v>0</v>
      </c>
    </row>
    <row r="4493" spans="1:7" x14ac:dyDescent="0.25">
      <c r="A4493" t="s">
        <v>45</v>
      </c>
      <c r="B4493" t="s">
        <v>46</v>
      </c>
      <c r="C4493" t="s">
        <v>47</v>
      </c>
      <c r="D4493">
        <v>9246893</v>
      </c>
      <c r="E4493" t="s">
        <v>48</v>
      </c>
      <c r="F4493" t="s">
        <v>49</v>
      </c>
      <c r="G4493" s="30">
        <v>0</v>
      </c>
    </row>
    <row r="4494" spans="1:7" x14ac:dyDescent="0.25">
      <c r="A4494" t="s">
        <v>45</v>
      </c>
      <c r="B4494" t="s">
        <v>46</v>
      </c>
      <c r="C4494" t="s">
        <v>47</v>
      </c>
      <c r="D4494">
        <v>9246992</v>
      </c>
      <c r="E4494" t="s">
        <v>53</v>
      </c>
      <c r="F4494" t="s">
        <v>49</v>
      </c>
      <c r="G4494" s="30">
        <v>264.70999999999998</v>
      </c>
    </row>
    <row r="4495" spans="1:7" x14ac:dyDescent="0.25">
      <c r="A4495" t="s">
        <v>112</v>
      </c>
      <c r="B4495" t="s">
        <v>113</v>
      </c>
      <c r="C4495" t="s">
        <v>81</v>
      </c>
      <c r="D4495">
        <v>9248169</v>
      </c>
      <c r="E4495" t="s">
        <v>53</v>
      </c>
      <c r="F4495" t="s">
        <v>49</v>
      </c>
      <c r="G4495" s="30">
        <v>109007.64273791701</v>
      </c>
    </row>
    <row r="4496" spans="1:7" x14ac:dyDescent="0.25">
      <c r="A4496" t="s">
        <v>50</v>
      </c>
      <c r="B4496" t="s">
        <v>51</v>
      </c>
      <c r="C4496" t="s">
        <v>52</v>
      </c>
      <c r="D4496">
        <v>9249937</v>
      </c>
      <c r="E4496" t="s">
        <v>53</v>
      </c>
      <c r="F4496" t="s">
        <v>49</v>
      </c>
      <c r="G4496" s="30">
        <v>75.659141214038399</v>
      </c>
    </row>
    <row r="4497" spans="1:7" x14ac:dyDescent="0.25">
      <c r="A4497" t="s">
        <v>50</v>
      </c>
      <c r="B4497" t="s">
        <v>51</v>
      </c>
      <c r="C4497" t="s">
        <v>52</v>
      </c>
      <c r="D4497">
        <v>9250002</v>
      </c>
      <c r="E4497" t="s">
        <v>53</v>
      </c>
      <c r="F4497" t="s">
        <v>49</v>
      </c>
      <c r="G4497" s="30">
        <v>43602.599905925701</v>
      </c>
    </row>
    <row r="4498" spans="1:7" x14ac:dyDescent="0.25">
      <c r="A4498" t="s">
        <v>45</v>
      </c>
      <c r="B4498" t="s">
        <v>46</v>
      </c>
      <c r="C4498" t="s">
        <v>47</v>
      </c>
      <c r="D4498">
        <v>9250775</v>
      </c>
      <c r="E4498" t="s">
        <v>53</v>
      </c>
      <c r="F4498" t="s">
        <v>49</v>
      </c>
      <c r="G4498" s="30">
        <v>110354.560653058</v>
      </c>
    </row>
    <row r="4499" spans="1:7" x14ac:dyDescent="0.25">
      <c r="A4499" t="s">
        <v>112</v>
      </c>
      <c r="B4499" t="s">
        <v>113</v>
      </c>
      <c r="C4499" t="s">
        <v>81</v>
      </c>
      <c r="D4499">
        <v>9250933</v>
      </c>
      <c r="E4499" t="s">
        <v>53</v>
      </c>
      <c r="F4499" t="s">
        <v>49</v>
      </c>
      <c r="G4499" s="30">
        <v>574311.82338576496</v>
      </c>
    </row>
    <row r="4500" spans="1:7" x14ac:dyDescent="0.25">
      <c r="A4500" t="s">
        <v>96</v>
      </c>
      <c r="B4500" t="s">
        <v>97</v>
      </c>
      <c r="C4500" t="s">
        <v>81</v>
      </c>
      <c r="D4500">
        <v>9254327</v>
      </c>
      <c r="E4500" t="s">
        <v>53</v>
      </c>
      <c r="F4500" t="s">
        <v>49</v>
      </c>
      <c r="G4500" s="30">
        <v>4943452.5358628603</v>
      </c>
    </row>
    <row r="4501" spans="1:7" x14ac:dyDescent="0.25">
      <c r="A4501" t="s">
        <v>50</v>
      </c>
      <c r="B4501" t="s">
        <v>51</v>
      </c>
      <c r="C4501" t="s">
        <v>52</v>
      </c>
      <c r="D4501">
        <v>9254581</v>
      </c>
      <c r="E4501" t="s">
        <v>48</v>
      </c>
      <c r="F4501" t="s">
        <v>49</v>
      </c>
      <c r="G4501" s="30">
        <v>0</v>
      </c>
    </row>
    <row r="4502" spans="1:7" x14ac:dyDescent="0.25">
      <c r="A4502" t="s">
        <v>50</v>
      </c>
      <c r="B4502" t="s">
        <v>51</v>
      </c>
      <c r="C4502" t="s">
        <v>52</v>
      </c>
      <c r="D4502">
        <v>9254721</v>
      </c>
      <c r="E4502" t="s">
        <v>48</v>
      </c>
      <c r="F4502" t="s">
        <v>49</v>
      </c>
      <c r="G4502" s="30">
        <v>0</v>
      </c>
    </row>
    <row r="4503" spans="1:7" x14ac:dyDescent="0.25">
      <c r="A4503" t="s">
        <v>90</v>
      </c>
      <c r="B4503" t="s">
        <v>91</v>
      </c>
      <c r="C4503" t="s">
        <v>81</v>
      </c>
      <c r="D4503">
        <v>9255863</v>
      </c>
      <c r="E4503" t="s">
        <v>53</v>
      </c>
      <c r="F4503" t="s">
        <v>49</v>
      </c>
      <c r="G4503" s="30">
        <v>336622.16528976097</v>
      </c>
    </row>
    <row r="4504" spans="1:7" x14ac:dyDescent="0.25">
      <c r="A4504" t="s">
        <v>61</v>
      </c>
      <c r="B4504" t="s">
        <v>62</v>
      </c>
      <c r="C4504" t="s">
        <v>56</v>
      </c>
      <c r="D4504">
        <v>9255978</v>
      </c>
      <c r="E4504" t="s">
        <v>48</v>
      </c>
      <c r="F4504" t="s">
        <v>49</v>
      </c>
      <c r="G4504" s="30">
        <v>0</v>
      </c>
    </row>
    <row r="4505" spans="1:7" x14ac:dyDescent="0.25">
      <c r="A4505" t="s">
        <v>45</v>
      </c>
      <c r="B4505" t="s">
        <v>46</v>
      </c>
      <c r="C4505" t="s">
        <v>47</v>
      </c>
      <c r="D4505">
        <v>9256138</v>
      </c>
      <c r="E4505" t="s">
        <v>48</v>
      </c>
      <c r="F4505" t="s">
        <v>49</v>
      </c>
      <c r="G4505" s="30">
        <v>0</v>
      </c>
    </row>
    <row r="4506" spans="1:7" x14ac:dyDescent="0.25">
      <c r="A4506" t="s">
        <v>106</v>
      </c>
      <c r="B4506" t="s">
        <v>107</v>
      </c>
      <c r="C4506" t="s">
        <v>56</v>
      </c>
      <c r="D4506">
        <v>9256315</v>
      </c>
      <c r="E4506" t="s">
        <v>53</v>
      </c>
      <c r="F4506" t="s">
        <v>49</v>
      </c>
      <c r="G4506" s="30">
        <v>1317203.2511356201</v>
      </c>
    </row>
    <row r="4507" spans="1:7" x14ac:dyDescent="0.25">
      <c r="A4507" t="s">
        <v>116</v>
      </c>
      <c r="B4507" t="s">
        <v>117</v>
      </c>
      <c r="C4507" t="s">
        <v>47</v>
      </c>
      <c r="D4507">
        <v>9256513</v>
      </c>
      <c r="E4507" t="s">
        <v>53</v>
      </c>
      <c r="F4507" t="s">
        <v>49</v>
      </c>
      <c r="G4507" s="30">
        <v>312399.44906249997</v>
      </c>
    </row>
    <row r="4508" spans="1:7" x14ac:dyDescent="0.25">
      <c r="A4508" t="s">
        <v>61</v>
      </c>
      <c r="B4508" t="s">
        <v>62</v>
      </c>
      <c r="C4508" t="s">
        <v>56</v>
      </c>
      <c r="D4508">
        <v>9257247</v>
      </c>
      <c r="E4508" t="s">
        <v>48</v>
      </c>
      <c r="F4508" t="s">
        <v>49</v>
      </c>
      <c r="G4508" s="30">
        <v>0</v>
      </c>
    </row>
    <row r="4509" spans="1:7" x14ac:dyDescent="0.25">
      <c r="A4509" t="s">
        <v>45</v>
      </c>
      <c r="B4509" t="s">
        <v>46</v>
      </c>
      <c r="C4509" t="s">
        <v>47</v>
      </c>
      <c r="D4509">
        <v>9257353</v>
      </c>
      <c r="E4509" t="s">
        <v>48</v>
      </c>
      <c r="F4509" t="s">
        <v>49</v>
      </c>
      <c r="G4509" s="30">
        <v>0</v>
      </c>
    </row>
    <row r="4510" spans="1:7" x14ac:dyDescent="0.25">
      <c r="A4510" t="s">
        <v>128</v>
      </c>
      <c r="B4510" t="s">
        <v>129</v>
      </c>
      <c r="C4510" t="s">
        <v>130</v>
      </c>
      <c r="D4510">
        <v>9257855</v>
      </c>
      <c r="E4510" t="s">
        <v>53</v>
      </c>
      <c r="F4510" t="s">
        <v>49</v>
      </c>
      <c r="G4510" s="30">
        <v>4696958.29933488</v>
      </c>
    </row>
    <row r="4511" spans="1:7" x14ac:dyDescent="0.25">
      <c r="A4511" t="s">
        <v>45</v>
      </c>
      <c r="B4511" t="s">
        <v>46</v>
      </c>
      <c r="C4511" t="s">
        <v>47</v>
      </c>
      <c r="D4511">
        <v>9258093</v>
      </c>
      <c r="E4511" t="s">
        <v>48</v>
      </c>
      <c r="F4511" t="s">
        <v>49</v>
      </c>
      <c r="G4511" s="30">
        <v>0</v>
      </c>
    </row>
    <row r="4512" spans="1:7" x14ac:dyDescent="0.25">
      <c r="A4512" t="s">
        <v>45</v>
      </c>
      <c r="B4512" t="s">
        <v>46</v>
      </c>
      <c r="C4512" t="s">
        <v>47</v>
      </c>
      <c r="D4512">
        <v>9258659</v>
      </c>
      <c r="E4512" t="s">
        <v>48</v>
      </c>
      <c r="F4512" t="s">
        <v>49</v>
      </c>
      <c r="G4512" s="30">
        <v>0</v>
      </c>
    </row>
    <row r="4513" spans="1:7" x14ac:dyDescent="0.25">
      <c r="A4513" t="s">
        <v>45</v>
      </c>
      <c r="B4513" t="s">
        <v>46</v>
      </c>
      <c r="C4513" t="s">
        <v>47</v>
      </c>
      <c r="D4513">
        <v>9259964</v>
      </c>
      <c r="E4513" t="s">
        <v>48</v>
      </c>
      <c r="F4513" t="s">
        <v>49</v>
      </c>
      <c r="G4513" s="30">
        <v>0</v>
      </c>
    </row>
    <row r="4514" spans="1:7" x14ac:dyDescent="0.25">
      <c r="A4514" t="s">
        <v>61</v>
      </c>
      <c r="B4514" t="s">
        <v>62</v>
      </c>
      <c r="C4514" t="s">
        <v>56</v>
      </c>
      <c r="D4514">
        <v>9260193</v>
      </c>
      <c r="E4514" t="s">
        <v>53</v>
      </c>
      <c r="F4514" t="s">
        <v>49</v>
      </c>
      <c r="G4514" s="30">
        <v>-1433.16</v>
      </c>
    </row>
    <row r="4515" spans="1:7" x14ac:dyDescent="0.25">
      <c r="A4515" t="s">
        <v>61</v>
      </c>
      <c r="B4515" t="s">
        <v>62</v>
      </c>
      <c r="C4515" t="s">
        <v>56</v>
      </c>
      <c r="D4515">
        <v>9261567</v>
      </c>
      <c r="E4515" t="s">
        <v>48</v>
      </c>
      <c r="F4515" t="s">
        <v>49</v>
      </c>
      <c r="G4515" s="30">
        <v>0.13</v>
      </c>
    </row>
    <row r="4516" spans="1:7" x14ac:dyDescent="0.25">
      <c r="A4516" t="s">
        <v>45</v>
      </c>
      <c r="B4516" t="s">
        <v>46</v>
      </c>
      <c r="C4516" t="s">
        <v>47</v>
      </c>
      <c r="D4516">
        <v>9261718</v>
      </c>
      <c r="E4516" t="s">
        <v>48</v>
      </c>
      <c r="F4516" t="s">
        <v>49</v>
      </c>
      <c r="G4516" s="30">
        <v>0</v>
      </c>
    </row>
    <row r="4517" spans="1:7" x14ac:dyDescent="0.25">
      <c r="A4517" t="s">
        <v>45</v>
      </c>
      <c r="B4517" t="s">
        <v>46</v>
      </c>
      <c r="C4517" t="s">
        <v>47</v>
      </c>
      <c r="D4517">
        <v>9262436</v>
      </c>
      <c r="E4517" t="s">
        <v>48</v>
      </c>
      <c r="F4517" t="s">
        <v>49</v>
      </c>
      <c r="G4517" s="30">
        <v>0</v>
      </c>
    </row>
    <row r="4518" spans="1:7" x14ac:dyDescent="0.25">
      <c r="A4518" t="s">
        <v>45</v>
      </c>
      <c r="B4518" t="s">
        <v>46</v>
      </c>
      <c r="C4518" t="s">
        <v>47</v>
      </c>
      <c r="D4518">
        <v>9263306</v>
      </c>
      <c r="E4518" t="s">
        <v>48</v>
      </c>
      <c r="F4518" t="s">
        <v>49</v>
      </c>
      <c r="G4518" s="30">
        <v>0</v>
      </c>
    </row>
    <row r="4519" spans="1:7" x14ac:dyDescent="0.25">
      <c r="A4519" t="s">
        <v>128</v>
      </c>
      <c r="B4519" t="s">
        <v>129</v>
      </c>
      <c r="C4519" t="s">
        <v>130</v>
      </c>
      <c r="D4519">
        <v>9263403</v>
      </c>
      <c r="E4519" t="s">
        <v>53</v>
      </c>
      <c r="F4519" t="s">
        <v>49</v>
      </c>
      <c r="G4519" s="30">
        <v>6194004.2870521797</v>
      </c>
    </row>
    <row r="4520" spans="1:7" x14ac:dyDescent="0.25">
      <c r="A4520" t="s">
        <v>45</v>
      </c>
      <c r="B4520" t="s">
        <v>46</v>
      </c>
      <c r="C4520" t="s">
        <v>47</v>
      </c>
      <c r="D4520">
        <v>9265120</v>
      </c>
      <c r="E4520" t="s">
        <v>48</v>
      </c>
      <c r="F4520" t="s">
        <v>49</v>
      </c>
      <c r="G4520" s="30">
        <v>0</v>
      </c>
    </row>
    <row r="4521" spans="1:7" x14ac:dyDescent="0.25">
      <c r="A4521" t="s">
        <v>45</v>
      </c>
      <c r="B4521" t="s">
        <v>46</v>
      </c>
      <c r="C4521" t="s">
        <v>47</v>
      </c>
      <c r="D4521">
        <v>9267145</v>
      </c>
      <c r="E4521" t="s">
        <v>53</v>
      </c>
      <c r="F4521" t="s">
        <v>49</v>
      </c>
      <c r="G4521" s="30">
        <v>70109.633743627695</v>
      </c>
    </row>
    <row r="4522" spans="1:7" x14ac:dyDescent="0.25">
      <c r="A4522" t="s">
        <v>45</v>
      </c>
      <c r="B4522" t="s">
        <v>46</v>
      </c>
      <c r="C4522" t="s">
        <v>47</v>
      </c>
      <c r="D4522">
        <v>9268622</v>
      </c>
      <c r="E4522" t="s">
        <v>48</v>
      </c>
      <c r="F4522" t="s">
        <v>49</v>
      </c>
      <c r="G4522" s="30">
        <v>0</v>
      </c>
    </row>
    <row r="4523" spans="1:7" x14ac:dyDescent="0.25">
      <c r="A4523" t="s">
        <v>94</v>
      </c>
      <c r="B4523" t="s">
        <v>95</v>
      </c>
      <c r="C4523" t="s">
        <v>78</v>
      </c>
      <c r="D4523">
        <v>9268806</v>
      </c>
      <c r="E4523" t="s">
        <v>53</v>
      </c>
      <c r="F4523" t="s">
        <v>49</v>
      </c>
      <c r="G4523" s="30">
        <v>9470.8879775000005</v>
      </c>
    </row>
    <row r="4524" spans="1:7" x14ac:dyDescent="0.25">
      <c r="A4524" t="s">
        <v>50</v>
      </c>
      <c r="B4524" t="s">
        <v>51</v>
      </c>
      <c r="C4524" t="s">
        <v>52</v>
      </c>
      <c r="D4524">
        <v>9272379</v>
      </c>
      <c r="E4524" t="s">
        <v>53</v>
      </c>
      <c r="F4524" t="s">
        <v>49</v>
      </c>
      <c r="G4524" s="30">
        <v>83395.085109033505</v>
      </c>
    </row>
    <row r="4525" spans="1:7" x14ac:dyDescent="0.25">
      <c r="A4525" t="s">
        <v>104</v>
      </c>
      <c r="B4525" t="s">
        <v>105</v>
      </c>
      <c r="C4525" t="s">
        <v>78</v>
      </c>
      <c r="D4525">
        <v>9273450</v>
      </c>
      <c r="E4525" t="s">
        <v>53</v>
      </c>
      <c r="F4525" t="s">
        <v>49</v>
      </c>
      <c r="G4525" s="30">
        <v>183378.21516412601</v>
      </c>
    </row>
    <row r="4526" spans="1:7" x14ac:dyDescent="0.25">
      <c r="A4526" t="s">
        <v>61</v>
      </c>
      <c r="B4526" t="s">
        <v>62</v>
      </c>
      <c r="C4526" t="s">
        <v>56</v>
      </c>
      <c r="D4526">
        <v>9277933</v>
      </c>
      <c r="E4526" t="s">
        <v>48</v>
      </c>
      <c r="F4526" t="s">
        <v>49</v>
      </c>
      <c r="G4526" s="30">
        <v>0</v>
      </c>
    </row>
    <row r="4527" spans="1:7" x14ac:dyDescent="0.25">
      <c r="A4527" t="s">
        <v>70</v>
      </c>
      <c r="B4527" t="s">
        <v>71</v>
      </c>
      <c r="C4527" t="s">
        <v>47</v>
      </c>
      <c r="D4527">
        <v>9281819</v>
      </c>
      <c r="E4527" t="s">
        <v>53</v>
      </c>
      <c r="F4527" t="s">
        <v>49</v>
      </c>
      <c r="G4527" s="30">
        <v>127561.91066842699</v>
      </c>
    </row>
    <row r="4528" spans="1:7" x14ac:dyDescent="0.25">
      <c r="A4528" t="s">
        <v>45</v>
      </c>
      <c r="B4528" t="s">
        <v>46</v>
      </c>
      <c r="C4528" t="s">
        <v>47</v>
      </c>
      <c r="D4528">
        <v>9281947</v>
      </c>
      <c r="E4528" t="s">
        <v>48</v>
      </c>
      <c r="F4528" t="s">
        <v>49</v>
      </c>
      <c r="G4528" s="30">
        <v>0</v>
      </c>
    </row>
    <row r="4529" spans="1:7" x14ac:dyDescent="0.25">
      <c r="A4529" t="s">
        <v>79</v>
      </c>
      <c r="B4529" t="s">
        <v>80</v>
      </c>
      <c r="C4529" t="s">
        <v>81</v>
      </c>
      <c r="D4529">
        <v>9284432</v>
      </c>
      <c r="E4529" t="s">
        <v>53</v>
      </c>
      <c r="F4529" t="s">
        <v>49</v>
      </c>
      <c r="G4529" s="30">
        <v>177043.863980063</v>
      </c>
    </row>
    <row r="4530" spans="1:7" x14ac:dyDescent="0.25">
      <c r="A4530" t="s">
        <v>90</v>
      </c>
      <c r="B4530" t="s">
        <v>91</v>
      </c>
      <c r="C4530" t="s">
        <v>81</v>
      </c>
      <c r="D4530">
        <v>9284462</v>
      </c>
      <c r="E4530" t="s">
        <v>53</v>
      </c>
      <c r="F4530" t="s">
        <v>49</v>
      </c>
      <c r="G4530" s="30">
        <v>1349607.8363101101</v>
      </c>
    </row>
    <row r="4531" spans="1:7" x14ac:dyDescent="0.25">
      <c r="A4531" t="s">
        <v>114</v>
      </c>
      <c r="B4531" t="s">
        <v>115</v>
      </c>
      <c r="C4531" t="s">
        <v>56</v>
      </c>
      <c r="D4531">
        <v>9284765</v>
      </c>
      <c r="E4531" t="s">
        <v>48</v>
      </c>
      <c r="F4531" t="s">
        <v>49</v>
      </c>
      <c r="G4531" s="30">
        <v>0</v>
      </c>
    </row>
    <row r="4532" spans="1:7" x14ac:dyDescent="0.25">
      <c r="A4532" t="s">
        <v>59</v>
      </c>
      <c r="B4532" t="s">
        <v>60</v>
      </c>
      <c r="C4532" t="s">
        <v>56</v>
      </c>
      <c r="D4532">
        <v>9284955</v>
      </c>
      <c r="E4532" t="s">
        <v>53</v>
      </c>
      <c r="F4532" t="s">
        <v>49</v>
      </c>
      <c r="G4532" s="30">
        <v>292008.38671875</v>
      </c>
    </row>
    <row r="4533" spans="1:7" x14ac:dyDescent="0.25">
      <c r="A4533" t="s">
        <v>50</v>
      </c>
      <c r="B4533" t="s">
        <v>51</v>
      </c>
      <c r="C4533" t="s">
        <v>52</v>
      </c>
      <c r="D4533">
        <v>9285175</v>
      </c>
      <c r="E4533" t="s">
        <v>53</v>
      </c>
      <c r="F4533" t="s">
        <v>49</v>
      </c>
      <c r="G4533" s="30">
        <v>9523.6138704916793</v>
      </c>
    </row>
    <row r="4534" spans="1:7" x14ac:dyDescent="0.25">
      <c r="A4534" t="s">
        <v>45</v>
      </c>
      <c r="B4534" t="s">
        <v>46</v>
      </c>
      <c r="C4534" t="s">
        <v>47</v>
      </c>
      <c r="D4534">
        <v>9289205</v>
      </c>
      <c r="E4534" t="s">
        <v>48</v>
      </c>
      <c r="F4534" t="s">
        <v>49</v>
      </c>
      <c r="G4534" s="30">
        <v>0</v>
      </c>
    </row>
    <row r="4535" spans="1:7" x14ac:dyDescent="0.25">
      <c r="A4535" t="s">
        <v>45</v>
      </c>
      <c r="B4535" t="s">
        <v>46</v>
      </c>
      <c r="C4535" t="s">
        <v>47</v>
      </c>
      <c r="D4535">
        <v>9289216</v>
      </c>
      <c r="E4535" t="s">
        <v>48</v>
      </c>
      <c r="F4535" t="s">
        <v>49</v>
      </c>
      <c r="G4535" s="30">
        <v>0</v>
      </c>
    </row>
    <row r="4536" spans="1:7" x14ac:dyDescent="0.25">
      <c r="A4536" t="s">
        <v>92</v>
      </c>
      <c r="B4536" t="s">
        <v>93</v>
      </c>
      <c r="C4536" t="s">
        <v>81</v>
      </c>
      <c r="D4536">
        <v>9291579</v>
      </c>
      <c r="E4536" t="s">
        <v>48</v>
      </c>
      <c r="F4536" t="s">
        <v>49</v>
      </c>
      <c r="G4536" s="30">
        <v>0</v>
      </c>
    </row>
    <row r="4537" spans="1:7" x14ac:dyDescent="0.25">
      <c r="A4537" t="s">
        <v>116</v>
      </c>
      <c r="B4537" t="s">
        <v>117</v>
      </c>
      <c r="C4537" t="s">
        <v>47</v>
      </c>
      <c r="D4537">
        <v>9292503</v>
      </c>
      <c r="E4537" t="s">
        <v>48</v>
      </c>
      <c r="F4537" t="s">
        <v>49</v>
      </c>
      <c r="G4537" s="30">
        <v>0</v>
      </c>
    </row>
    <row r="4538" spans="1:7" x14ac:dyDescent="0.25">
      <c r="A4538" t="s">
        <v>50</v>
      </c>
      <c r="B4538" t="s">
        <v>51</v>
      </c>
      <c r="C4538" t="s">
        <v>52</v>
      </c>
      <c r="D4538">
        <v>9294868</v>
      </c>
      <c r="E4538" t="s">
        <v>48</v>
      </c>
      <c r="F4538" t="s">
        <v>49</v>
      </c>
      <c r="G4538" s="30">
        <v>0</v>
      </c>
    </row>
    <row r="4539" spans="1:7" x14ac:dyDescent="0.25">
      <c r="A4539" t="s">
        <v>45</v>
      </c>
      <c r="B4539" t="s">
        <v>46</v>
      </c>
      <c r="C4539" t="s">
        <v>47</v>
      </c>
      <c r="D4539">
        <v>9294906</v>
      </c>
      <c r="E4539" t="s">
        <v>48</v>
      </c>
      <c r="F4539" t="s">
        <v>49</v>
      </c>
      <c r="G4539" s="30">
        <v>0</v>
      </c>
    </row>
    <row r="4540" spans="1:7" x14ac:dyDescent="0.25">
      <c r="A4540" t="s">
        <v>102</v>
      </c>
      <c r="B4540" t="s">
        <v>103</v>
      </c>
      <c r="C4540" t="s">
        <v>47</v>
      </c>
      <c r="D4540">
        <v>9295093</v>
      </c>
      <c r="E4540" t="s">
        <v>53</v>
      </c>
      <c r="F4540" t="s">
        <v>49</v>
      </c>
      <c r="G4540" s="30">
        <v>125295.565151451</v>
      </c>
    </row>
    <row r="4541" spans="1:7" x14ac:dyDescent="0.25">
      <c r="A4541" t="s">
        <v>54</v>
      </c>
      <c r="B4541" t="s">
        <v>55</v>
      </c>
      <c r="C4541" t="s">
        <v>56</v>
      </c>
      <c r="D4541">
        <v>9297857</v>
      </c>
      <c r="E4541" t="s">
        <v>53</v>
      </c>
      <c r="F4541" t="s">
        <v>49</v>
      </c>
      <c r="G4541" s="30">
        <v>206396.25045759001</v>
      </c>
    </row>
    <row r="4542" spans="1:7" x14ac:dyDescent="0.25">
      <c r="A4542" t="s">
        <v>72</v>
      </c>
      <c r="B4542" t="s">
        <v>73</v>
      </c>
      <c r="C4542" t="s">
        <v>67</v>
      </c>
      <c r="D4542">
        <v>9298990</v>
      </c>
      <c r="E4542" t="s">
        <v>53</v>
      </c>
      <c r="F4542" t="s">
        <v>49</v>
      </c>
      <c r="G4542" s="30">
        <v>3323671.5067108702</v>
      </c>
    </row>
    <row r="4543" spans="1:7" x14ac:dyDescent="0.25">
      <c r="A4543" t="s">
        <v>57</v>
      </c>
      <c r="B4543" t="s">
        <v>58</v>
      </c>
      <c r="C4543" t="s">
        <v>56</v>
      </c>
      <c r="D4543">
        <v>9299774</v>
      </c>
      <c r="E4543" t="s">
        <v>53</v>
      </c>
      <c r="F4543" t="s">
        <v>49</v>
      </c>
      <c r="G4543" s="30">
        <v>82834.242735710402</v>
      </c>
    </row>
    <row r="4544" spans="1:7" x14ac:dyDescent="0.25">
      <c r="A4544" t="s">
        <v>65</v>
      </c>
      <c r="B4544" t="s">
        <v>66</v>
      </c>
      <c r="C4544" t="s">
        <v>67</v>
      </c>
      <c r="D4544">
        <v>9300344</v>
      </c>
      <c r="E4544" t="s">
        <v>48</v>
      </c>
      <c r="F4544" t="s">
        <v>49</v>
      </c>
      <c r="G4544" s="30">
        <v>-0.16</v>
      </c>
    </row>
    <row r="4545" spans="1:7" x14ac:dyDescent="0.25">
      <c r="A4545" t="s">
        <v>65</v>
      </c>
      <c r="B4545" t="s">
        <v>66</v>
      </c>
      <c r="C4545" t="s">
        <v>67</v>
      </c>
      <c r="D4545">
        <v>9302004</v>
      </c>
      <c r="E4545" t="s">
        <v>53</v>
      </c>
      <c r="F4545" t="s">
        <v>49</v>
      </c>
      <c r="G4545" s="30">
        <v>831666.5</v>
      </c>
    </row>
    <row r="4546" spans="1:7" x14ac:dyDescent="0.25">
      <c r="A4546" t="s">
        <v>50</v>
      </c>
      <c r="B4546" t="s">
        <v>51</v>
      </c>
      <c r="C4546" t="s">
        <v>52</v>
      </c>
      <c r="D4546">
        <v>9304275</v>
      </c>
      <c r="E4546" t="s">
        <v>53</v>
      </c>
      <c r="F4546" t="s">
        <v>49</v>
      </c>
      <c r="G4546" s="30">
        <v>446.86</v>
      </c>
    </row>
    <row r="4547" spans="1:7" x14ac:dyDescent="0.25">
      <c r="A4547" t="s">
        <v>45</v>
      </c>
      <c r="B4547" t="s">
        <v>46</v>
      </c>
      <c r="C4547" t="s">
        <v>47</v>
      </c>
      <c r="D4547">
        <v>9305184</v>
      </c>
      <c r="E4547" t="s">
        <v>48</v>
      </c>
      <c r="F4547" t="s">
        <v>49</v>
      </c>
      <c r="G4547" s="30">
        <v>0</v>
      </c>
    </row>
    <row r="4548" spans="1:7" x14ac:dyDescent="0.25">
      <c r="A4548" t="s">
        <v>45</v>
      </c>
      <c r="B4548" t="s">
        <v>46</v>
      </c>
      <c r="C4548" t="s">
        <v>47</v>
      </c>
      <c r="D4548">
        <v>9306502</v>
      </c>
      <c r="E4548" t="s">
        <v>48</v>
      </c>
      <c r="F4548" t="s">
        <v>49</v>
      </c>
      <c r="G4548" s="30">
        <v>70.489999999999995</v>
      </c>
    </row>
    <row r="4549" spans="1:7" x14ac:dyDescent="0.25">
      <c r="A4549" t="s">
        <v>116</v>
      </c>
      <c r="B4549" t="s">
        <v>117</v>
      </c>
      <c r="C4549" t="s">
        <v>47</v>
      </c>
      <c r="D4549">
        <v>9306606</v>
      </c>
      <c r="E4549" t="s">
        <v>53</v>
      </c>
      <c r="F4549" t="s">
        <v>49</v>
      </c>
      <c r="G4549" s="30">
        <v>174354.79389887999</v>
      </c>
    </row>
    <row r="4550" spans="1:7" x14ac:dyDescent="0.25">
      <c r="A4550" t="s">
        <v>63</v>
      </c>
      <c r="B4550" t="s">
        <v>64</v>
      </c>
      <c r="C4550" t="s">
        <v>56</v>
      </c>
      <c r="D4550">
        <v>9306692</v>
      </c>
      <c r="E4550" t="s">
        <v>53</v>
      </c>
      <c r="F4550" t="s">
        <v>49</v>
      </c>
      <c r="G4550" s="30">
        <v>16843.312776287199</v>
      </c>
    </row>
    <row r="4551" spans="1:7" x14ac:dyDescent="0.25">
      <c r="A4551" t="s">
        <v>112</v>
      </c>
      <c r="B4551" t="s">
        <v>113</v>
      </c>
      <c r="C4551" t="s">
        <v>81</v>
      </c>
      <c r="D4551">
        <v>9308478</v>
      </c>
      <c r="E4551" t="s">
        <v>53</v>
      </c>
      <c r="F4551" t="s">
        <v>49</v>
      </c>
      <c r="G4551" s="30">
        <v>47225.4989373231</v>
      </c>
    </row>
    <row r="4552" spans="1:7" x14ac:dyDescent="0.25">
      <c r="A4552" t="s">
        <v>102</v>
      </c>
      <c r="B4552" t="s">
        <v>103</v>
      </c>
      <c r="C4552" t="s">
        <v>47</v>
      </c>
      <c r="D4552">
        <v>9309903</v>
      </c>
      <c r="E4552" t="s">
        <v>53</v>
      </c>
      <c r="F4552" t="s">
        <v>49</v>
      </c>
      <c r="G4552" s="30">
        <v>34790.423730639202</v>
      </c>
    </row>
    <row r="4553" spans="1:7" x14ac:dyDescent="0.25">
      <c r="A4553" t="s">
        <v>45</v>
      </c>
      <c r="B4553" t="s">
        <v>46</v>
      </c>
      <c r="C4553" t="s">
        <v>47</v>
      </c>
      <c r="D4553">
        <v>9314984</v>
      </c>
      <c r="E4553" t="s">
        <v>48</v>
      </c>
      <c r="F4553" t="s">
        <v>49</v>
      </c>
      <c r="G4553" s="30">
        <v>0.6</v>
      </c>
    </row>
    <row r="4554" spans="1:7" x14ac:dyDescent="0.25">
      <c r="A4554" t="s">
        <v>94</v>
      </c>
      <c r="B4554" t="s">
        <v>95</v>
      </c>
      <c r="C4554" t="s">
        <v>78</v>
      </c>
      <c r="D4554">
        <v>9316073</v>
      </c>
      <c r="E4554" t="s">
        <v>53</v>
      </c>
      <c r="F4554" t="s">
        <v>49</v>
      </c>
      <c r="G4554" s="30">
        <v>144794.48849648799</v>
      </c>
    </row>
    <row r="4555" spans="1:7" x14ac:dyDescent="0.25">
      <c r="A4555" t="s">
        <v>45</v>
      </c>
      <c r="B4555" t="s">
        <v>46</v>
      </c>
      <c r="C4555" t="s">
        <v>47</v>
      </c>
      <c r="D4555">
        <v>9317427</v>
      </c>
      <c r="E4555" t="s">
        <v>48</v>
      </c>
      <c r="F4555" t="s">
        <v>49</v>
      </c>
      <c r="G4555" s="30">
        <v>0</v>
      </c>
    </row>
    <row r="4556" spans="1:7" x14ac:dyDescent="0.25">
      <c r="A4556" t="s">
        <v>45</v>
      </c>
      <c r="B4556" t="s">
        <v>46</v>
      </c>
      <c r="C4556" t="s">
        <v>47</v>
      </c>
      <c r="D4556">
        <v>9318963</v>
      </c>
      <c r="E4556" t="s">
        <v>48</v>
      </c>
      <c r="F4556" t="s">
        <v>49</v>
      </c>
      <c r="G4556" s="30">
        <v>0</v>
      </c>
    </row>
    <row r="4557" spans="1:7" x14ac:dyDescent="0.25">
      <c r="A4557" t="s">
        <v>124</v>
      </c>
      <c r="B4557" t="s">
        <v>125</v>
      </c>
      <c r="C4557" t="s">
        <v>78</v>
      </c>
      <c r="D4557">
        <v>9319155</v>
      </c>
      <c r="E4557" t="s">
        <v>48</v>
      </c>
      <c r="F4557" t="s">
        <v>49</v>
      </c>
      <c r="G4557" s="30">
        <v>16.149999999999999</v>
      </c>
    </row>
    <row r="4558" spans="1:7" x14ac:dyDescent="0.25">
      <c r="A4558" t="s">
        <v>54</v>
      </c>
      <c r="B4558" t="s">
        <v>55</v>
      </c>
      <c r="C4558" t="s">
        <v>56</v>
      </c>
      <c r="D4558">
        <v>9366487</v>
      </c>
      <c r="E4558" t="s">
        <v>53</v>
      </c>
      <c r="F4558" t="s">
        <v>49</v>
      </c>
      <c r="G4558" s="30">
        <v>35577.202198424799</v>
      </c>
    </row>
    <row r="4559" spans="1:7" x14ac:dyDescent="0.25">
      <c r="A4559" t="s">
        <v>50</v>
      </c>
      <c r="B4559" t="s">
        <v>51</v>
      </c>
      <c r="C4559" t="s">
        <v>52</v>
      </c>
      <c r="D4559">
        <v>9366553</v>
      </c>
      <c r="E4559" t="s">
        <v>53</v>
      </c>
      <c r="F4559" t="s">
        <v>49</v>
      </c>
      <c r="G4559" s="30">
        <v>661.13</v>
      </c>
    </row>
    <row r="4560" spans="1:7" x14ac:dyDescent="0.25">
      <c r="A4560" t="s">
        <v>79</v>
      </c>
      <c r="B4560" t="s">
        <v>80</v>
      </c>
      <c r="C4560" t="s">
        <v>81</v>
      </c>
      <c r="D4560">
        <v>9366829</v>
      </c>
      <c r="E4560" t="s">
        <v>53</v>
      </c>
      <c r="F4560" t="s">
        <v>49</v>
      </c>
      <c r="G4560" s="30">
        <v>100</v>
      </c>
    </row>
    <row r="4561" spans="1:7" x14ac:dyDescent="0.25">
      <c r="A4561" t="s">
        <v>61</v>
      </c>
      <c r="B4561" t="s">
        <v>62</v>
      </c>
      <c r="C4561" t="s">
        <v>56</v>
      </c>
      <c r="D4561">
        <v>9368095</v>
      </c>
      <c r="E4561" t="s">
        <v>53</v>
      </c>
      <c r="F4561" t="s">
        <v>49</v>
      </c>
      <c r="G4561" s="30">
        <v>5512.7321448757602</v>
      </c>
    </row>
    <row r="4562" spans="1:7" x14ac:dyDescent="0.25">
      <c r="A4562" t="s">
        <v>50</v>
      </c>
      <c r="B4562" t="s">
        <v>51</v>
      </c>
      <c r="C4562" t="s">
        <v>52</v>
      </c>
      <c r="D4562">
        <v>9372717</v>
      </c>
      <c r="E4562" t="s">
        <v>53</v>
      </c>
      <c r="F4562" t="s">
        <v>49</v>
      </c>
      <c r="G4562" s="30">
        <v>27489.895505521301</v>
      </c>
    </row>
    <row r="4563" spans="1:7" x14ac:dyDescent="0.25">
      <c r="A4563" t="s">
        <v>45</v>
      </c>
      <c r="B4563" t="s">
        <v>46</v>
      </c>
      <c r="C4563" t="s">
        <v>47</v>
      </c>
      <c r="D4563">
        <v>9372986</v>
      </c>
      <c r="E4563" t="s">
        <v>48</v>
      </c>
      <c r="F4563" t="s">
        <v>49</v>
      </c>
      <c r="G4563" s="30">
        <v>0</v>
      </c>
    </row>
    <row r="4564" spans="1:7" x14ac:dyDescent="0.25">
      <c r="A4564" t="s">
        <v>61</v>
      </c>
      <c r="B4564" t="s">
        <v>62</v>
      </c>
      <c r="C4564" t="s">
        <v>56</v>
      </c>
      <c r="D4564">
        <v>9373513</v>
      </c>
      <c r="E4564" t="s">
        <v>48</v>
      </c>
      <c r="F4564" t="s">
        <v>49</v>
      </c>
      <c r="G4564" s="30">
        <v>0.28000000000000003</v>
      </c>
    </row>
    <row r="4565" spans="1:7" x14ac:dyDescent="0.25">
      <c r="A4565" t="s">
        <v>54</v>
      </c>
      <c r="B4565" t="s">
        <v>55</v>
      </c>
      <c r="C4565" t="s">
        <v>56</v>
      </c>
      <c r="D4565">
        <v>9374595</v>
      </c>
      <c r="E4565" t="s">
        <v>53</v>
      </c>
      <c r="F4565" t="s">
        <v>49</v>
      </c>
      <c r="G4565" s="30">
        <v>456936.60375556099</v>
      </c>
    </row>
    <row r="4566" spans="1:7" x14ac:dyDescent="0.25">
      <c r="A4566" t="s">
        <v>45</v>
      </c>
      <c r="B4566" t="s">
        <v>46</v>
      </c>
      <c r="C4566" t="s">
        <v>47</v>
      </c>
      <c r="D4566">
        <v>9377037</v>
      </c>
      <c r="E4566" t="s">
        <v>48</v>
      </c>
      <c r="F4566" t="s">
        <v>49</v>
      </c>
      <c r="G4566" s="30">
        <v>0</v>
      </c>
    </row>
    <row r="4567" spans="1:7" x14ac:dyDescent="0.25">
      <c r="A4567" t="s">
        <v>50</v>
      </c>
      <c r="B4567" t="s">
        <v>51</v>
      </c>
      <c r="C4567" t="s">
        <v>52</v>
      </c>
      <c r="D4567">
        <v>9377219</v>
      </c>
      <c r="E4567" t="s">
        <v>53</v>
      </c>
      <c r="F4567" t="s">
        <v>49</v>
      </c>
      <c r="G4567" s="30">
        <v>-6.1249908599999996</v>
      </c>
    </row>
    <row r="4568" spans="1:7" x14ac:dyDescent="0.25">
      <c r="A4568" t="s">
        <v>118</v>
      </c>
      <c r="B4568" t="s">
        <v>119</v>
      </c>
      <c r="C4568" t="s">
        <v>56</v>
      </c>
      <c r="D4568">
        <v>9377542</v>
      </c>
      <c r="E4568" t="s">
        <v>53</v>
      </c>
      <c r="F4568" t="s">
        <v>49</v>
      </c>
      <c r="G4568" s="30">
        <v>737430.08415745595</v>
      </c>
    </row>
    <row r="4569" spans="1:7" x14ac:dyDescent="0.25">
      <c r="A4569" t="s">
        <v>118</v>
      </c>
      <c r="B4569" t="s">
        <v>119</v>
      </c>
      <c r="C4569" t="s">
        <v>56</v>
      </c>
      <c r="D4569">
        <v>9378378</v>
      </c>
      <c r="E4569" t="s">
        <v>53</v>
      </c>
      <c r="F4569" t="s">
        <v>49</v>
      </c>
      <c r="G4569" s="30">
        <v>481168.00562499999</v>
      </c>
    </row>
    <row r="4570" spans="1:7" x14ac:dyDescent="0.25">
      <c r="A4570" t="s">
        <v>45</v>
      </c>
      <c r="B4570" t="s">
        <v>46</v>
      </c>
      <c r="C4570" t="s">
        <v>47</v>
      </c>
      <c r="D4570">
        <v>9378572</v>
      </c>
      <c r="E4570" t="s">
        <v>53</v>
      </c>
      <c r="F4570" t="s">
        <v>49</v>
      </c>
      <c r="G4570" s="30">
        <v>9996.4656587888494</v>
      </c>
    </row>
    <row r="4571" spans="1:7" x14ac:dyDescent="0.25">
      <c r="A4571" t="s">
        <v>90</v>
      </c>
      <c r="B4571" t="s">
        <v>91</v>
      </c>
      <c r="C4571" t="s">
        <v>81</v>
      </c>
      <c r="D4571">
        <v>9378859</v>
      </c>
      <c r="E4571" t="s">
        <v>53</v>
      </c>
      <c r="F4571" t="s">
        <v>49</v>
      </c>
      <c r="G4571" s="30">
        <v>414146.33761150797</v>
      </c>
    </row>
    <row r="4572" spans="1:7" x14ac:dyDescent="0.25">
      <c r="A4572" t="s">
        <v>50</v>
      </c>
      <c r="B4572" t="s">
        <v>51</v>
      </c>
      <c r="C4572" t="s">
        <v>52</v>
      </c>
      <c r="D4572">
        <v>9380809</v>
      </c>
      <c r="E4572" t="s">
        <v>53</v>
      </c>
      <c r="F4572" t="s">
        <v>49</v>
      </c>
      <c r="G4572" s="30">
        <v>1084.0726853720701</v>
      </c>
    </row>
    <row r="4573" spans="1:7" x14ac:dyDescent="0.25">
      <c r="A4573" t="s">
        <v>45</v>
      </c>
      <c r="B4573" t="s">
        <v>46</v>
      </c>
      <c r="C4573" t="s">
        <v>47</v>
      </c>
      <c r="D4573">
        <v>9384559</v>
      </c>
      <c r="E4573" t="s">
        <v>48</v>
      </c>
      <c r="F4573" t="s">
        <v>49</v>
      </c>
      <c r="G4573" s="30">
        <v>0</v>
      </c>
    </row>
    <row r="4574" spans="1:7" x14ac:dyDescent="0.25">
      <c r="A4574" t="s">
        <v>50</v>
      </c>
      <c r="B4574" t="s">
        <v>51</v>
      </c>
      <c r="C4574" t="s">
        <v>52</v>
      </c>
      <c r="D4574">
        <v>9387873</v>
      </c>
      <c r="E4574" t="s">
        <v>53</v>
      </c>
      <c r="F4574" t="s">
        <v>49</v>
      </c>
      <c r="G4574" s="30">
        <v>1255.6300000000001</v>
      </c>
    </row>
    <row r="4575" spans="1:7" x14ac:dyDescent="0.25">
      <c r="A4575" t="s">
        <v>72</v>
      </c>
      <c r="B4575" t="s">
        <v>73</v>
      </c>
      <c r="C4575" t="s">
        <v>67</v>
      </c>
      <c r="D4575">
        <v>9387906</v>
      </c>
      <c r="E4575" t="s">
        <v>53</v>
      </c>
      <c r="F4575" t="s">
        <v>49</v>
      </c>
      <c r="G4575" s="30">
        <v>6827827.7282441398</v>
      </c>
    </row>
    <row r="4576" spans="1:7" x14ac:dyDescent="0.25">
      <c r="A4576" t="s">
        <v>120</v>
      </c>
      <c r="B4576" t="s">
        <v>121</v>
      </c>
      <c r="C4576" t="s">
        <v>67</v>
      </c>
      <c r="D4576">
        <v>9388458</v>
      </c>
      <c r="E4576" t="s">
        <v>53</v>
      </c>
      <c r="F4576" t="s">
        <v>49</v>
      </c>
      <c r="G4576" s="30">
        <v>176427.95</v>
      </c>
    </row>
    <row r="4577" spans="1:7" x14ac:dyDescent="0.25">
      <c r="A4577" t="s">
        <v>45</v>
      </c>
      <c r="B4577" t="s">
        <v>46</v>
      </c>
      <c r="C4577" t="s">
        <v>47</v>
      </c>
      <c r="D4577">
        <v>9389724</v>
      </c>
      <c r="E4577" t="s">
        <v>48</v>
      </c>
      <c r="F4577" t="s">
        <v>49</v>
      </c>
      <c r="G4577" s="30">
        <v>0</v>
      </c>
    </row>
    <row r="4578" spans="1:7" x14ac:dyDescent="0.25">
      <c r="A4578" t="s">
        <v>45</v>
      </c>
      <c r="B4578" t="s">
        <v>46</v>
      </c>
      <c r="C4578" t="s">
        <v>47</v>
      </c>
      <c r="D4578">
        <v>9390604</v>
      </c>
      <c r="E4578" t="s">
        <v>48</v>
      </c>
      <c r="F4578" t="s">
        <v>49</v>
      </c>
      <c r="G4578" s="30">
        <v>0</v>
      </c>
    </row>
    <row r="4579" spans="1:7" x14ac:dyDescent="0.25">
      <c r="A4579" t="s">
        <v>45</v>
      </c>
      <c r="B4579" t="s">
        <v>46</v>
      </c>
      <c r="C4579" t="s">
        <v>47</v>
      </c>
      <c r="D4579">
        <v>9392602</v>
      </c>
      <c r="E4579" t="s">
        <v>48</v>
      </c>
      <c r="F4579" t="s">
        <v>49</v>
      </c>
      <c r="G4579" s="30">
        <v>0</v>
      </c>
    </row>
    <row r="4580" spans="1:7" x14ac:dyDescent="0.25">
      <c r="A4580" t="s">
        <v>45</v>
      </c>
      <c r="B4580" t="s">
        <v>46</v>
      </c>
      <c r="C4580" t="s">
        <v>47</v>
      </c>
      <c r="D4580">
        <v>9396858</v>
      </c>
      <c r="E4580" t="s">
        <v>48</v>
      </c>
      <c r="F4580" t="s">
        <v>49</v>
      </c>
      <c r="G4580" s="30">
        <v>0</v>
      </c>
    </row>
    <row r="4581" spans="1:7" x14ac:dyDescent="0.25">
      <c r="A4581" t="s">
        <v>116</v>
      </c>
      <c r="B4581" t="s">
        <v>117</v>
      </c>
      <c r="C4581" t="s">
        <v>47</v>
      </c>
      <c r="D4581">
        <v>9397266</v>
      </c>
      <c r="E4581" t="s">
        <v>53</v>
      </c>
      <c r="F4581" t="s">
        <v>49</v>
      </c>
      <c r="G4581" s="30">
        <v>499268.45112375001</v>
      </c>
    </row>
    <row r="4582" spans="1:7" x14ac:dyDescent="0.25">
      <c r="A4582" t="s">
        <v>45</v>
      </c>
      <c r="B4582" t="s">
        <v>46</v>
      </c>
      <c r="C4582" t="s">
        <v>47</v>
      </c>
      <c r="D4582">
        <v>9398274</v>
      </c>
      <c r="E4582" t="s">
        <v>48</v>
      </c>
      <c r="F4582" t="s">
        <v>49</v>
      </c>
      <c r="G4582" s="30">
        <v>0</v>
      </c>
    </row>
    <row r="4583" spans="1:7" x14ac:dyDescent="0.25">
      <c r="A4583" t="s">
        <v>45</v>
      </c>
      <c r="B4583" t="s">
        <v>46</v>
      </c>
      <c r="C4583" t="s">
        <v>47</v>
      </c>
      <c r="D4583">
        <v>9400724</v>
      </c>
      <c r="E4583" t="s">
        <v>48</v>
      </c>
      <c r="F4583" t="s">
        <v>49</v>
      </c>
      <c r="G4583" s="30">
        <v>0</v>
      </c>
    </row>
    <row r="4584" spans="1:7" x14ac:dyDescent="0.25">
      <c r="A4584" t="s">
        <v>120</v>
      </c>
      <c r="B4584" t="s">
        <v>121</v>
      </c>
      <c r="C4584" t="s">
        <v>67</v>
      </c>
      <c r="D4584">
        <v>9416820</v>
      </c>
      <c r="E4584" t="s">
        <v>53</v>
      </c>
      <c r="F4584" t="s">
        <v>49</v>
      </c>
      <c r="G4584" s="30">
        <v>134726.12</v>
      </c>
    </row>
    <row r="4585" spans="1:7" x14ac:dyDescent="0.25">
      <c r="A4585" t="s">
        <v>45</v>
      </c>
      <c r="B4585" t="s">
        <v>46</v>
      </c>
      <c r="C4585" t="s">
        <v>47</v>
      </c>
      <c r="D4585">
        <v>9417622</v>
      </c>
      <c r="E4585" t="s">
        <v>48</v>
      </c>
      <c r="F4585" t="s">
        <v>49</v>
      </c>
      <c r="G4585" s="30">
        <v>0</v>
      </c>
    </row>
    <row r="4586" spans="1:7" x14ac:dyDescent="0.25">
      <c r="A4586" t="s">
        <v>100</v>
      </c>
      <c r="B4586" t="s">
        <v>101</v>
      </c>
      <c r="C4586" t="s">
        <v>52</v>
      </c>
      <c r="D4586">
        <v>9417687</v>
      </c>
      <c r="E4586" t="s">
        <v>53</v>
      </c>
      <c r="F4586" t="s">
        <v>49</v>
      </c>
      <c r="G4586" s="30">
        <v>44813.035055922199</v>
      </c>
    </row>
    <row r="4587" spans="1:7" x14ac:dyDescent="0.25">
      <c r="A4587" t="s">
        <v>45</v>
      </c>
      <c r="B4587" t="s">
        <v>46</v>
      </c>
      <c r="C4587" t="s">
        <v>47</v>
      </c>
      <c r="D4587">
        <v>9425461</v>
      </c>
      <c r="E4587" t="s">
        <v>48</v>
      </c>
      <c r="F4587" t="s">
        <v>49</v>
      </c>
      <c r="G4587" s="30">
        <v>0</v>
      </c>
    </row>
    <row r="4588" spans="1:7" x14ac:dyDescent="0.25">
      <c r="A4588" t="s">
        <v>116</v>
      </c>
      <c r="B4588" t="s">
        <v>117</v>
      </c>
      <c r="C4588" t="s">
        <v>47</v>
      </c>
      <c r="D4588">
        <v>9426076</v>
      </c>
      <c r="E4588" t="s">
        <v>53</v>
      </c>
      <c r="F4588" t="s">
        <v>49</v>
      </c>
      <c r="G4588" s="30">
        <v>413199.97476007999</v>
      </c>
    </row>
    <row r="4589" spans="1:7" x14ac:dyDescent="0.25">
      <c r="A4589" t="s">
        <v>45</v>
      </c>
      <c r="B4589" t="s">
        <v>46</v>
      </c>
      <c r="C4589" t="s">
        <v>47</v>
      </c>
      <c r="D4589">
        <v>9426878</v>
      </c>
      <c r="E4589" t="s">
        <v>48</v>
      </c>
      <c r="F4589" t="s">
        <v>49</v>
      </c>
      <c r="G4589" s="30">
        <v>0</v>
      </c>
    </row>
    <row r="4590" spans="1:7" x14ac:dyDescent="0.25">
      <c r="A4590" t="s">
        <v>45</v>
      </c>
      <c r="B4590" t="s">
        <v>46</v>
      </c>
      <c r="C4590" t="s">
        <v>47</v>
      </c>
      <c r="D4590">
        <v>9427749</v>
      </c>
      <c r="E4590" t="s">
        <v>48</v>
      </c>
      <c r="F4590" t="s">
        <v>49</v>
      </c>
      <c r="G4590" s="30">
        <v>0</v>
      </c>
    </row>
    <row r="4591" spans="1:7" x14ac:dyDescent="0.25">
      <c r="A4591" t="s">
        <v>45</v>
      </c>
      <c r="B4591" t="s">
        <v>46</v>
      </c>
      <c r="C4591" t="s">
        <v>47</v>
      </c>
      <c r="D4591">
        <v>9429921</v>
      </c>
      <c r="E4591" t="s">
        <v>48</v>
      </c>
      <c r="F4591" t="s">
        <v>49</v>
      </c>
      <c r="G4591" s="30">
        <v>0</v>
      </c>
    </row>
    <row r="4592" spans="1:7" x14ac:dyDescent="0.25">
      <c r="A4592" t="s">
        <v>45</v>
      </c>
      <c r="B4592" t="s">
        <v>46</v>
      </c>
      <c r="C4592" t="s">
        <v>47</v>
      </c>
      <c r="D4592">
        <v>9433352</v>
      </c>
      <c r="E4592" t="s">
        <v>48</v>
      </c>
      <c r="F4592" t="s">
        <v>49</v>
      </c>
      <c r="G4592" s="30">
        <v>0.01</v>
      </c>
    </row>
    <row r="4593" spans="1:7" x14ac:dyDescent="0.25">
      <c r="A4593" t="s">
        <v>102</v>
      </c>
      <c r="B4593" t="s">
        <v>103</v>
      </c>
      <c r="C4593" t="s">
        <v>47</v>
      </c>
      <c r="D4593">
        <v>9436089</v>
      </c>
      <c r="E4593" t="s">
        <v>53</v>
      </c>
      <c r="F4593" t="s">
        <v>49</v>
      </c>
      <c r="G4593" s="30">
        <v>27891.4653513708</v>
      </c>
    </row>
    <row r="4594" spans="1:7" x14ac:dyDescent="0.25">
      <c r="A4594" t="s">
        <v>50</v>
      </c>
      <c r="B4594" t="s">
        <v>51</v>
      </c>
      <c r="C4594" t="s">
        <v>52</v>
      </c>
      <c r="D4594">
        <v>9436239</v>
      </c>
      <c r="E4594" t="s">
        <v>53</v>
      </c>
      <c r="F4594" t="s">
        <v>49</v>
      </c>
      <c r="G4594" s="30">
        <v>9738.9987072095391</v>
      </c>
    </row>
    <row r="4595" spans="1:7" x14ac:dyDescent="0.25">
      <c r="A4595" t="s">
        <v>45</v>
      </c>
      <c r="B4595" t="s">
        <v>46</v>
      </c>
      <c r="C4595" t="s">
        <v>47</v>
      </c>
      <c r="D4595">
        <v>9442536</v>
      </c>
      <c r="E4595" t="s">
        <v>48</v>
      </c>
      <c r="F4595" t="s">
        <v>49</v>
      </c>
      <c r="G4595" s="30">
        <v>0</v>
      </c>
    </row>
    <row r="4596" spans="1:7" x14ac:dyDescent="0.25">
      <c r="A4596" t="s">
        <v>50</v>
      </c>
      <c r="B4596" t="s">
        <v>51</v>
      </c>
      <c r="C4596" t="s">
        <v>52</v>
      </c>
      <c r="D4596">
        <v>9444138</v>
      </c>
      <c r="E4596" t="s">
        <v>53</v>
      </c>
      <c r="F4596" t="s">
        <v>49</v>
      </c>
      <c r="G4596" s="30">
        <v>30604.032192583902</v>
      </c>
    </row>
    <row r="4597" spans="1:7" x14ac:dyDescent="0.25">
      <c r="A4597" t="s">
        <v>63</v>
      </c>
      <c r="B4597" t="s">
        <v>64</v>
      </c>
      <c r="C4597" t="s">
        <v>56</v>
      </c>
      <c r="D4597">
        <v>9445288</v>
      </c>
      <c r="E4597" t="s">
        <v>53</v>
      </c>
      <c r="F4597" t="s">
        <v>49</v>
      </c>
      <c r="G4597" s="30">
        <v>917532.71531321295</v>
      </c>
    </row>
    <row r="4598" spans="1:7" x14ac:dyDescent="0.25">
      <c r="A4598" t="s">
        <v>45</v>
      </c>
      <c r="B4598" t="s">
        <v>46</v>
      </c>
      <c r="C4598" t="s">
        <v>47</v>
      </c>
      <c r="D4598">
        <v>9446566</v>
      </c>
      <c r="E4598" t="s">
        <v>48</v>
      </c>
      <c r="F4598" t="s">
        <v>49</v>
      </c>
      <c r="G4598" s="30">
        <v>0</v>
      </c>
    </row>
    <row r="4599" spans="1:7" x14ac:dyDescent="0.25">
      <c r="A4599" t="s">
        <v>45</v>
      </c>
      <c r="B4599" t="s">
        <v>46</v>
      </c>
      <c r="C4599" t="s">
        <v>47</v>
      </c>
      <c r="D4599">
        <v>9449538</v>
      </c>
      <c r="E4599" t="s">
        <v>48</v>
      </c>
      <c r="F4599" t="s">
        <v>49</v>
      </c>
      <c r="G4599" s="30">
        <v>0</v>
      </c>
    </row>
    <row r="4600" spans="1:7" x14ac:dyDescent="0.25">
      <c r="A4600" t="s">
        <v>118</v>
      </c>
      <c r="B4600" t="s">
        <v>119</v>
      </c>
      <c r="C4600" t="s">
        <v>56</v>
      </c>
      <c r="D4600">
        <v>9459996</v>
      </c>
      <c r="E4600" t="s">
        <v>53</v>
      </c>
      <c r="F4600" t="s">
        <v>49</v>
      </c>
      <c r="G4600" s="30">
        <v>476348.01533348399</v>
      </c>
    </row>
    <row r="4601" spans="1:7" x14ac:dyDescent="0.25">
      <c r="A4601" t="s">
        <v>45</v>
      </c>
      <c r="B4601" t="s">
        <v>46</v>
      </c>
      <c r="C4601" t="s">
        <v>47</v>
      </c>
      <c r="D4601">
        <v>9460774</v>
      </c>
      <c r="E4601" t="s">
        <v>48</v>
      </c>
      <c r="F4601" t="s">
        <v>49</v>
      </c>
      <c r="G4601" s="30">
        <v>0</v>
      </c>
    </row>
    <row r="4602" spans="1:7" x14ac:dyDescent="0.25">
      <c r="A4602" t="s">
        <v>45</v>
      </c>
      <c r="B4602" t="s">
        <v>46</v>
      </c>
      <c r="C4602" t="s">
        <v>47</v>
      </c>
      <c r="D4602">
        <v>9463170</v>
      </c>
      <c r="E4602" t="s">
        <v>48</v>
      </c>
      <c r="F4602" t="s">
        <v>49</v>
      </c>
      <c r="G4602" s="30">
        <v>0</v>
      </c>
    </row>
    <row r="4603" spans="1:7" x14ac:dyDescent="0.25">
      <c r="A4603" t="s">
        <v>45</v>
      </c>
      <c r="B4603" t="s">
        <v>46</v>
      </c>
      <c r="C4603" t="s">
        <v>47</v>
      </c>
      <c r="D4603">
        <v>9468551</v>
      </c>
      <c r="E4603" t="s">
        <v>53</v>
      </c>
      <c r="F4603" t="s">
        <v>49</v>
      </c>
      <c r="G4603" s="30">
        <v>415.92363291791702</v>
      </c>
    </row>
    <row r="4604" spans="1:7" x14ac:dyDescent="0.25">
      <c r="A4604" t="s">
        <v>45</v>
      </c>
      <c r="B4604" t="s">
        <v>46</v>
      </c>
      <c r="C4604" t="s">
        <v>47</v>
      </c>
      <c r="D4604">
        <v>9473898</v>
      </c>
      <c r="E4604" t="s">
        <v>48</v>
      </c>
      <c r="F4604" t="s">
        <v>49</v>
      </c>
      <c r="G4604" s="30">
        <v>0</v>
      </c>
    </row>
    <row r="4605" spans="1:7" x14ac:dyDescent="0.25">
      <c r="A4605" t="s">
        <v>45</v>
      </c>
      <c r="B4605" t="s">
        <v>46</v>
      </c>
      <c r="C4605" t="s">
        <v>47</v>
      </c>
      <c r="D4605">
        <v>9474474</v>
      </c>
      <c r="E4605" t="s">
        <v>53</v>
      </c>
      <c r="F4605" t="s">
        <v>49</v>
      </c>
      <c r="G4605" s="30">
        <v>400</v>
      </c>
    </row>
    <row r="4606" spans="1:7" x14ac:dyDescent="0.25">
      <c r="A4606" t="s">
        <v>96</v>
      </c>
      <c r="B4606" t="s">
        <v>97</v>
      </c>
      <c r="C4606" t="s">
        <v>81</v>
      </c>
      <c r="D4606">
        <v>9477642</v>
      </c>
      <c r="E4606" t="s">
        <v>53</v>
      </c>
      <c r="F4606" t="s">
        <v>49</v>
      </c>
      <c r="G4606" s="30">
        <v>30384.5</v>
      </c>
    </row>
    <row r="4607" spans="1:7" x14ac:dyDescent="0.25">
      <c r="A4607" t="s">
        <v>96</v>
      </c>
      <c r="B4607" t="s">
        <v>97</v>
      </c>
      <c r="C4607" t="s">
        <v>81</v>
      </c>
      <c r="D4607">
        <v>9477752</v>
      </c>
      <c r="E4607" t="s">
        <v>48</v>
      </c>
      <c r="F4607" t="s">
        <v>49</v>
      </c>
      <c r="G4607" s="30">
        <v>0</v>
      </c>
    </row>
    <row r="4608" spans="1:7" x14ac:dyDescent="0.25">
      <c r="A4608" t="s">
        <v>45</v>
      </c>
      <c r="B4608" t="s">
        <v>46</v>
      </c>
      <c r="C4608" t="s">
        <v>47</v>
      </c>
      <c r="D4608">
        <v>9482028</v>
      </c>
      <c r="E4608" t="s">
        <v>48</v>
      </c>
      <c r="F4608" t="s">
        <v>49</v>
      </c>
      <c r="G4608" s="30">
        <v>0</v>
      </c>
    </row>
    <row r="4609" spans="1:7" x14ac:dyDescent="0.25">
      <c r="A4609" t="s">
        <v>45</v>
      </c>
      <c r="B4609" t="s">
        <v>46</v>
      </c>
      <c r="C4609" t="s">
        <v>47</v>
      </c>
      <c r="D4609">
        <v>9482834</v>
      </c>
      <c r="E4609" t="s">
        <v>48</v>
      </c>
      <c r="F4609" t="s">
        <v>49</v>
      </c>
      <c r="G4609" s="30">
        <v>0</v>
      </c>
    </row>
    <row r="4610" spans="1:7" x14ac:dyDescent="0.25">
      <c r="A4610" t="s">
        <v>76</v>
      </c>
      <c r="B4610" t="s">
        <v>77</v>
      </c>
      <c r="C4610" t="s">
        <v>78</v>
      </c>
      <c r="D4610">
        <v>9489416</v>
      </c>
      <c r="E4610" t="s">
        <v>53</v>
      </c>
      <c r="F4610" t="s">
        <v>49</v>
      </c>
      <c r="G4610" s="30">
        <v>193021.90715903201</v>
      </c>
    </row>
    <row r="4611" spans="1:7" x14ac:dyDescent="0.25">
      <c r="A4611" t="s">
        <v>45</v>
      </c>
      <c r="B4611" t="s">
        <v>46</v>
      </c>
      <c r="C4611" t="s">
        <v>47</v>
      </c>
      <c r="D4611">
        <v>9493606</v>
      </c>
      <c r="E4611" t="s">
        <v>48</v>
      </c>
      <c r="F4611" t="s">
        <v>49</v>
      </c>
      <c r="G4611" s="30">
        <v>0</v>
      </c>
    </row>
    <row r="4612" spans="1:7" x14ac:dyDescent="0.25">
      <c r="A4612" t="s">
        <v>45</v>
      </c>
      <c r="B4612" t="s">
        <v>46</v>
      </c>
      <c r="C4612" t="s">
        <v>47</v>
      </c>
      <c r="D4612">
        <v>9499238</v>
      </c>
      <c r="E4612" t="s">
        <v>53</v>
      </c>
      <c r="F4612" t="s">
        <v>49</v>
      </c>
      <c r="G4612" s="30">
        <v>163313.73579345699</v>
      </c>
    </row>
    <row r="4613" spans="1:7" x14ac:dyDescent="0.25">
      <c r="A4613" t="s">
        <v>45</v>
      </c>
      <c r="B4613" t="s">
        <v>46</v>
      </c>
      <c r="C4613" t="s">
        <v>47</v>
      </c>
      <c r="D4613">
        <v>9508727</v>
      </c>
      <c r="E4613" t="s">
        <v>48</v>
      </c>
      <c r="F4613" t="s">
        <v>49</v>
      </c>
      <c r="G4613" s="30">
        <v>0</v>
      </c>
    </row>
    <row r="4614" spans="1:7" x14ac:dyDescent="0.25">
      <c r="A4614" t="s">
        <v>94</v>
      </c>
      <c r="B4614" t="s">
        <v>95</v>
      </c>
      <c r="C4614" t="s">
        <v>78</v>
      </c>
      <c r="D4614">
        <v>9509445</v>
      </c>
      <c r="E4614" t="s">
        <v>53</v>
      </c>
      <c r="F4614" t="s">
        <v>49</v>
      </c>
      <c r="G4614" s="30">
        <v>147521.38223997399</v>
      </c>
    </row>
    <row r="4615" spans="1:7" x14ac:dyDescent="0.25">
      <c r="A4615" t="s">
        <v>45</v>
      </c>
      <c r="B4615" t="s">
        <v>46</v>
      </c>
      <c r="C4615" t="s">
        <v>47</v>
      </c>
      <c r="D4615">
        <v>9509661</v>
      </c>
      <c r="E4615" t="s">
        <v>48</v>
      </c>
      <c r="F4615" t="s">
        <v>49</v>
      </c>
      <c r="G4615" s="30">
        <v>0</v>
      </c>
    </row>
    <row r="4616" spans="1:7" x14ac:dyDescent="0.25">
      <c r="A4616" t="s">
        <v>96</v>
      </c>
      <c r="B4616" t="s">
        <v>97</v>
      </c>
      <c r="C4616" t="s">
        <v>81</v>
      </c>
      <c r="D4616">
        <v>9510521</v>
      </c>
      <c r="E4616" t="s">
        <v>53</v>
      </c>
      <c r="F4616" t="s">
        <v>49</v>
      </c>
      <c r="G4616" s="30">
        <v>12248.3804376685</v>
      </c>
    </row>
    <row r="4617" spans="1:7" x14ac:dyDescent="0.25">
      <c r="A4617" t="s">
        <v>146</v>
      </c>
      <c r="B4617" t="s">
        <v>147</v>
      </c>
      <c r="C4617" t="s">
        <v>56</v>
      </c>
      <c r="D4617">
        <v>9510839</v>
      </c>
      <c r="E4617" t="s">
        <v>53</v>
      </c>
      <c r="F4617" t="s">
        <v>49</v>
      </c>
      <c r="G4617" s="30">
        <v>2841731.6908211699</v>
      </c>
    </row>
    <row r="4618" spans="1:7" x14ac:dyDescent="0.25">
      <c r="A4618" t="s">
        <v>146</v>
      </c>
      <c r="B4618" t="s">
        <v>147</v>
      </c>
      <c r="C4618" t="s">
        <v>56</v>
      </c>
      <c r="D4618">
        <v>9510985</v>
      </c>
      <c r="E4618" t="s">
        <v>53</v>
      </c>
      <c r="F4618" t="s">
        <v>49</v>
      </c>
      <c r="G4618" s="30">
        <v>2195852.5446851202</v>
      </c>
    </row>
    <row r="4619" spans="1:7" x14ac:dyDescent="0.25">
      <c r="A4619" t="s">
        <v>92</v>
      </c>
      <c r="B4619" t="s">
        <v>93</v>
      </c>
      <c r="C4619" t="s">
        <v>81</v>
      </c>
      <c r="D4619">
        <v>9511130</v>
      </c>
      <c r="E4619" t="s">
        <v>48</v>
      </c>
      <c r="F4619" t="s">
        <v>49</v>
      </c>
      <c r="G4619" s="30">
        <v>0</v>
      </c>
    </row>
    <row r="4620" spans="1:7" x14ac:dyDescent="0.25">
      <c r="A4620" t="s">
        <v>96</v>
      </c>
      <c r="B4620" t="s">
        <v>97</v>
      </c>
      <c r="C4620" t="s">
        <v>81</v>
      </c>
      <c r="D4620">
        <v>9511131</v>
      </c>
      <c r="E4620" t="s">
        <v>53</v>
      </c>
      <c r="F4620" t="s">
        <v>49</v>
      </c>
      <c r="G4620" s="30">
        <v>13859.700933196</v>
      </c>
    </row>
    <row r="4621" spans="1:7" x14ac:dyDescent="0.25">
      <c r="A4621" t="s">
        <v>50</v>
      </c>
      <c r="B4621" t="s">
        <v>51</v>
      </c>
      <c r="C4621" t="s">
        <v>52</v>
      </c>
      <c r="D4621">
        <v>9515760</v>
      </c>
      <c r="E4621" t="s">
        <v>53</v>
      </c>
      <c r="F4621" t="s">
        <v>49</v>
      </c>
      <c r="G4621" s="30">
        <v>16970.888742222502</v>
      </c>
    </row>
    <row r="4622" spans="1:7" x14ac:dyDescent="0.25">
      <c r="A4622" t="s">
        <v>61</v>
      </c>
      <c r="B4622" t="s">
        <v>62</v>
      </c>
      <c r="C4622" t="s">
        <v>56</v>
      </c>
      <c r="D4622">
        <v>9516628</v>
      </c>
      <c r="E4622" t="s">
        <v>48</v>
      </c>
      <c r="F4622" t="s">
        <v>49</v>
      </c>
      <c r="G4622" s="30">
        <v>0</v>
      </c>
    </row>
    <row r="4623" spans="1:7" x14ac:dyDescent="0.25">
      <c r="A4623" t="s">
        <v>94</v>
      </c>
      <c r="B4623" t="s">
        <v>95</v>
      </c>
      <c r="C4623" t="s">
        <v>78</v>
      </c>
      <c r="D4623">
        <v>9517423</v>
      </c>
      <c r="E4623" t="s">
        <v>48</v>
      </c>
      <c r="F4623" t="s">
        <v>49</v>
      </c>
      <c r="G4623" s="30">
        <v>0</v>
      </c>
    </row>
    <row r="4624" spans="1:7" x14ac:dyDescent="0.25">
      <c r="A4624" t="s">
        <v>133</v>
      </c>
      <c r="B4624" t="s">
        <v>134</v>
      </c>
      <c r="C4624" t="s">
        <v>47</v>
      </c>
      <c r="D4624">
        <v>9517634</v>
      </c>
      <c r="E4624" t="s">
        <v>48</v>
      </c>
      <c r="F4624" t="s">
        <v>49</v>
      </c>
      <c r="G4624" s="30">
        <v>2.35</v>
      </c>
    </row>
    <row r="4625" spans="1:7" x14ac:dyDescent="0.25">
      <c r="A4625" t="s">
        <v>45</v>
      </c>
      <c r="B4625" t="s">
        <v>46</v>
      </c>
      <c r="C4625" t="s">
        <v>47</v>
      </c>
      <c r="D4625">
        <v>9517927</v>
      </c>
      <c r="E4625" t="s">
        <v>48</v>
      </c>
      <c r="F4625" t="s">
        <v>49</v>
      </c>
      <c r="G4625" s="30">
        <v>0</v>
      </c>
    </row>
    <row r="4626" spans="1:7" x14ac:dyDescent="0.25">
      <c r="A4626" t="s">
        <v>45</v>
      </c>
      <c r="B4626" t="s">
        <v>46</v>
      </c>
      <c r="C4626" t="s">
        <v>47</v>
      </c>
      <c r="D4626">
        <v>9519126</v>
      </c>
      <c r="E4626" t="s">
        <v>48</v>
      </c>
      <c r="F4626" t="s">
        <v>49</v>
      </c>
      <c r="G4626" s="30">
        <v>0</v>
      </c>
    </row>
    <row r="4627" spans="1:7" x14ac:dyDescent="0.25">
      <c r="A4627" t="s">
        <v>50</v>
      </c>
      <c r="B4627" t="s">
        <v>51</v>
      </c>
      <c r="C4627" t="s">
        <v>52</v>
      </c>
      <c r="D4627">
        <v>9519334</v>
      </c>
      <c r="E4627" t="s">
        <v>53</v>
      </c>
      <c r="F4627" t="s">
        <v>49</v>
      </c>
      <c r="G4627" s="30">
        <v>6981.9</v>
      </c>
    </row>
    <row r="4628" spans="1:7" x14ac:dyDescent="0.25">
      <c r="A4628" t="s">
        <v>90</v>
      </c>
      <c r="B4628" t="s">
        <v>91</v>
      </c>
      <c r="C4628" t="s">
        <v>81</v>
      </c>
      <c r="D4628">
        <v>9521296</v>
      </c>
      <c r="E4628" t="s">
        <v>53</v>
      </c>
      <c r="F4628" t="s">
        <v>49</v>
      </c>
      <c r="G4628" s="30">
        <v>508247.00194701599</v>
      </c>
    </row>
    <row r="4629" spans="1:7" x14ac:dyDescent="0.25">
      <c r="A4629" t="s">
        <v>112</v>
      </c>
      <c r="B4629" t="s">
        <v>113</v>
      </c>
      <c r="C4629" t="s">
        <v>81</v>
      </c>
      <c r="D4629">
        <v>9522615</v>
      </c>
      <c r="E4629" t="s">
        <v>53</v>
      </c>
      <c r="F4629" t="s">
        <v>49</v>
      </c>
      <c r="G4629" s="30">
        <v>133888.80220571201</v>
      </c>
    </row>
    <row r="4630" spans="1:7" x14ac:dyDescent="0.25">
      <c r="A4630" t="s">
        <v>50</v>
      </c>
      <c r="B4630" t="s">
        <v>51</v>
      </c>
      <c r="C4630" t="s">
        <v>52</v>
      </c>
      <c r="D4630">
        <v>9522715</v>
      </c>
      <c r="E4630" t="s">
        <v>53</v>
      </c>
      <c r="F4630" t="s">
        <v>49</v>
      </c>
      <c r="G4630" s="30">
        <v>50034.914272603499</v>
      </c>
    </row>
    <row r="4631" spans="1:7" x14ac:dyDescent="0.25">
      <c r="A4631" t="s">
        <v>118</v>
      </c>
      <c r="B4631" t="s">
        <v>119</v>
      </c>
      <c r="C4631" t="s">
        <v>56</v>
      </c>
      <c r="D4631">
        <v>9523455</v>
      </c>
      <c r="E4631" t="s">
        <v>53</v>
      </c>
      <c r="F4631" t="s">
        <v>49</v>
      </c>
      <c r="G4631" s="30">
        <v>155225.038010872</v>
      </c>
    </row>
    <row r="4632" spans="1:7" x14ac:dyDescent="0.25">
      <c r="A4632" t="s">
        <v>45</v>
      </c>
      <c r="B4632" t="s">
        <v>46</v>
      </c>
      <c r="C4632" t="s">
        <v>47</v>
      </c>
      <c r="D4632">
        <v>9526031</v>
      </c>
      <c r="E4632" t="s">
        <v>48</v>
      </c>
      <c r="F4632" t="s">
        <v>49</v>
      </c>
      <c r="G4632" s="30">
        <v>0</v>
      </c>
    </row>
    <row r="4633" spans="1:7" x14ac:dyDescent="0.25">
      <c r="A4633" t="s">
        <v>45</v>
      </c>
      <c r="B4633" t="s">
        <v>46</v>
      </c>
      <c r="C4633" t="s">
        <v>47</v>
      </c>
      <c r="D4633">
        <v>9530483</v>
      </c>
      <c r="E4633" t="s">
        <v>53</v>
      </c>
      <c r="F4633" t="s">
        <v>49</v>
      </c>
      <c r="G4633" s="30">
        <v>3632.6088266142801</v>
      </c>
    </row>
    <row r="4634" spans="1:7" x14ac:dyDescent="0.25">
      <c r="A4634" t="s">
        <v>45</v>
      </c>
      <c r="B4634" t="s">
        <v>46</v>
      </c>
      <c r="C4634" t="s">
        <v>47</v>
      </c>
      <c r="D4634">
        <v>9530742</v>
      </c>
      <c r="E4634" t="s">
        <v>48</v>
      </c>
      <c r="F4634" t="s">
        <v>49</v>
      </c>
      <c r="G4634" s="30">
        <v>0</v>
      </c>
    </row>
    <row r="4635" spans="1:7" x14ac:dyDescent="0.25">
      <c r="A4635" t="s">
        <v>106</v>
      </c>
      <c r="B4635" t="s">
        <v>107</v>
      </c>
      <c r="C4635" t="s">
        <v>56</v>
      </c>
      <c r="D4635">
        <v>9533343</v>
      </c>
      <c r="E4635" t="s">
        <v>53</v>
      </c>
      <c r="F4635" t="s">
        <v>49</v>
      </c>
      <c r="G4635" s="30">
        <v>444983.90136511403</v>
      </c>
    </row>
    <row r="4636" spans="1:7" x14ac:dyDescent="0.25">
      <c r="A4636" t="s">
        <v>124</v>
      </c>
      <c r="B4636" t="s">
        <v>125</v>
      </c>
      <c r="C4636" t="s">
        <v>78</v>
      </c>
      <c r="D4636">
        <v>9533702</v>
      </c>
      <c r="E4636" t="s">
        <v>53</v>
      </c>
      <c r="F4636" t="s">
        <v>49</v>
      </c>
      <c r="G4636" s="30">
        <v>254411.041354905</v>
      </c>
    </row>
    <row r="4637" spans="1:7" x14ac:dyDescent="0.25">
      <c r="A4637" t="s">
        <v>57</v>
      </c>
      <c r="B4637" t="s">
        <v>58</v>
      </c>
      <c r="C4637" t="s">
        <v>56</v>
      </c>
      <c r="D4637">
        <v>9534276</v>
      </c>
      <c r="E4637" t="s">
        <v>53</v>
      </c>
      <c r="F4637" t="s">
        <v>49</v>
      </c>
      <c r="G4637" s="30">
        <v>28279.056860402099</v>
      </c>
    </row>
    <row r="4638" spans="1:7" x14ac:dyDescent="0.25">
      <c r="A4638" t="s">
        <v>92</v>
      </c>
      <c r="B4638" t="s">
        <v>93</v>
      </c>
      <c r="C4638" t="s">
        <v>81</v>
      </c>
      <c r="D4638">
        <v>9535465</v>
      </c>
      <c r="E4638" t="s">
        <v>53</v>
      </c>
      <c r="F4638" t="s">
        <v>49</v>
      </c>
      <c r="G4638" s="30">
        <v>224552.15717595001</v>
      </c>
    </row>
    <row r="4639" spans="1:7" x14ac:dyDescent="0.25">
      <c r="A4639" t="s">
        <v>45</v>
      </c>
      <c r="B4639" t="s">
        <v>46</v>
      </c>
      <c r="C4639" t="s">
        <v>47</v>
      </c>
      <c r="D4639">
        <v>9542549</v>
      </c>
      <c r="E4639" t="s">
        <v>48</v>
      </c>
      <c r="F4639" t="s">
        <v>49</v>
      </c>
      <c r="G4639" s="30">
        <v>0</v>
      </c>
    </row>
    <row r="4640" spans="1:7" x14ac:dyDescent="0.25">
      <c r="A4640" t="s">
        <v>70</v>
      </c>
      <c r="B4640" t="s">
        <v>71</v>
      </c>
      <c r="C4640" t="s">
        <v>47</v>
      </c>
      <c r="D4640">
        <v>9547647</v>
      </c>
      <c r="E4640" t="s">
        <v>53</v>
      </c>
      <c r="F4640" t="s">
        <v>49</v>
      </c>
      <c r="G4640" s="30">
        <v>388421.52623691398</v>
      </c>
    </row>
    <row r="4641" spans="1:7" x14ac:dyDescent="0.25">
      <c r="A4641" t="s">
        <v>45</v>
      </c>
      <c r="B4641" t="s">
        <v>46</v>
      </c>
      <c r="C4641" t="s">
        <v>47</v>
      </c>
      <c r="D4641">
        <v>9550740</v>
      </c>
      <c r="E4641" t="s">
        <v>48</v>
      </c>
      <c r="F4641" t="s">
        <v>49</v>
      </c>
      <c r="G4641" s="30">
        <v>0</v>
      </c>
    </row>
    <row r="4642" spans="1:7" x14ac:dyDescent="0.25">
      <c r="A4642" t="s">
        <v>68</v>
      </c>
      <c r="B4642" t="s">
        <v>69</v>
      </c>
      <c r="C4642" t="s">
        <v>56</v>
      </c>
      <c r="D4642">
        <v>9553099</v>
      </c>
      <c r="E4642" t="s">
        <v>48</v>
      </c>
      <c r="F4642" t="s">
        <v>49</v>
      </c>
      <c r="G4642" s="30">
        <v>0</v>
      </c>
    </row>
    <row r="4643" spans="1:7" x14ac:dyDescent="0.25">
      <c r="A4643" t="s">
        <v>68</v>
      </c>
      <c r="B4643" t="s">
        <v>69</v>
      </c>
      <c r="C4643" t="s">
        <v>56</v>
      </c>
      <c r="D4643">
        <v>9554169</v>
      </c>
      <c r="E4643" t="s">
        <v>53</v>
      </c>
      <c r="F4643" t="s">
        <v>49</v>
      </c>
      <c r="G4643" s="30">
        <v>443.02</v>
      </c>
    </row>
    <row r="4644" spans="1:7" x14ac:dyDescent="0.25">
      <c r="A4644" t="s">
        <v>74</v>
      </c>
      <c r="B4644" t="s">
        <v>75</v>
      </c>
      <c r="C4644" t="s">
        <v>67</v>
      </c>
      <c r="D4644">
        <v>9554493</v>
      </c>
      <c r="E4644" t="s">
        <v>53</v>
      </c>
      <c r="F4644" t="s">
        <v>49</v>
      </c>
      <c r="G4644" s="30">
        <v>684516.66632568196</v>
      </c>
    </row>
    <row r="4645" spans="1:7" x14ac:dyDescent="0.25">
      <c r="A4645" t="s">
        <v>45</v>
      </c>
      <c r="B4645" t="s">
        <v>46</v>
      </c>
      <c r="C4645" t="s">
        <v>47</v>
      </c>
      <c r="D4645">
        <v>9555333</v>
      </c>
      <c r="E4645" t="s">
        <v>53</v>
      </c>
      <c r="F4645" t="s">
        <v>49</v>
      </c>
      <c r="G4645" s="30">
        <v>19368.102636294301</v>
      </c>
    </row>
    <row r="4646" spans="1:7" x14ac:dyDescent="0.25">
      <c r="A4646" t="s">
        <v>61</v>
      </c>
      <c r="B4646" t="s">
        <v>62</v>
      </c>
      <c r="C4646" t="s">
        <v>56</v>
      </c>
      <c r="D4646">
        <v>9555350</v>
      </c>
      <c r="E4646" t="s">
        <v>53</v>
      </c>
      <c r="F4646" t="s">
        <v>49</v>
      </c>
      <c r="G4646" s="30">
        <v>-968.64</v>
      </c>
    </row>
    <row r="4647" spans="1:7" x14ac:dyDescent="0.25">
      <c r="A4647" t="s">
        <v>45</v>
      </c>
      <c r="B4647" t="s">
        <v>46</v>
      </c>
      <c r="C4647" t="s">
        <v>47</v>
      </c>
      <c r="D4647">
        <v>9559471</v>
      </c>
      <c r="E4647" t="s">
        <v>48</v>
      </c>
      <c r="F4647" t="s">
        <v>49</v>
      </c>
      <c r="G4647" s="30">
        <v>0</v>
      </c>
    </row>
    <row r="4648" spans="1:7" x14ac:dyDescent="0.25">
      <c r="A4648" t="s">
        <v>45</v>
      </c>
      <c r="B4648" t="s">
        <v>46</v>
      </c>
      <c r="C4648" t="s">
        <v>47</v>
      </c>
      <c r="D4648">
        <v>9560341</v>
      </c>
      <c r="E4648" t="s">
        <v>53</v>
      </c>
      <c r="F4648" t="s">
        <v>49</v>
      </c>
      <c r="G4648" s="30">
        <v>253627.245839765</v>
      </c>
    </row>
    <row r="4649" spans="1:7" x14ac:dyDescent="0.25">
      <c r="A4649" t="s">
        <v>90</v>
      </c>
      <c r="B4649" t="s">
        <v>91</v>
      </c>
      <c r="C4649" t="s">
        <v>81</v>
      </c>
      <c r="D4649">
        <v>9560754</v>
      </c>
      <c r="E4649" t="s">
        <v>48</v>
      </c>
      <c r="F4649" t="s">
        <v>49</v>
      </c>
      <c r="G4649" s="30">
        <v>0</v>
      </c>
    </row>
    <row r="4650" spans="1:7" x14ac:dyDescent="0.25">
      <c r="A4650" t="s">
        <v>90</v>
      </c>
      <c r="B4650" t="s">
        <v>91</v>
      </c>
      <c r="C4650" t="s">
        <v>81</v>
      </c>
      <c r="D4650">
        <v>9560926</v>
      </c>
      <c r="E4650" t="s">
        <v>53</v>
      </c>
      <c r="F4650" t="s">
        <v>49</v>
      </c>
      <c r="G4650" s="30">
        <v>112349.223125</v>
      </c>
    </row>
    <row r="4651" spans="1:7" x14ac:dyDescent="0.25">
      <c r="A4651" t="s">
        <v>54</v>
      </c>
      <c r="B4651" t="s">
        <v>55</v>
      </c>
      <c r="C4651" t="s">
        <v>56</v>
      </c>
      <c r="D4651">
        <v>9562243</v>
      </c>
      <c r="E4651" t="s">
        <v>53</v>
      </c>
      <c r="F4651" t="s">
        <v>49</v>
      </c>
      <c r="G4651" s="30">
        <v>34657.168408494901</v>
      </c>
    </row>
    <row r="4652" spans="1:7" x14ac:dyDescent="0.25">
      <c r="A4652" t="s">
        <v>106</v>
      </c>
      <c r="B4652" t="s">
        <v>107</v>
      </c>
      <c r="C4652" t="s">
        <v>56</v>
      </c>
      <c r="D4652">
        <v>9565796</v>
      </c>
      <c r="E4652" t="s">
        <v>53</v>
      </c>
      <c r="F4652" t="s">
        <v>49</v>
      </c>
      <c r="G4652" s="30">
        <v>510442.515625</v>
      </c>
    </row>
    <row r="4653" spans="1:7" x14ac:dyDescent="0.25">
      <c r="A4653" t="s">
        <v>50</v>
      </c>
      <c r="B4653" t="s">
        <v>51</v>
      </c>
      <c r="C4653" t="s">
        <v>52</v>
      </c>
      <c r="D4653">
        <v>9568687</v>
      </c>
      <c r="E4653" t="s">
        <v>48</v>
      </c>
      <c r="F4653" t="s">
        <v>49</v>
      </c>
      <c r="G4653" s="30">
        <v>0</v>
      </c>
    </row>
    <row r="4654" spans="1:7" x14ac:dyDescent="0.25">
      <c r="A4654" t="s">
        <v>128</v>
      </c>
      <c r="B4654" t="s">
        <v>129</v>
      </c>
      <c r="C4654" t="s">
        <v>130</v>
      </c>
      <c r="D4654">
        <v>9573364</v>
      </c>
      <c r="E4654" t="s">
        <v>53</v>
      </c>
      <c r="F4654" t="s">
        <v>49</v>
      </c>
      <c r="G4654" s="30">
        <v>3448123.9881873098</v>
      </c>
    </row>
    <row r="4655" spans="1:7" x14ac:dyDescent="0.25">
      <c r="A4655" t="s">
        <v>45</v>
      </c>
      <c r="B4655" t="s">
        <v>46</v>
      </c>
      <c r="C4655" t="s">
        <v>47</v>
      </c>
      <c r="D4655">
        <v>9576570</v>
      </c>
      <c r="E4655" t="s">
        <v>48</v>
      </c>
      <c r="F4655" t="s">
        <v>49</v>
      </c>
      <c r="G4655" s="30">
        <v>0</v>
      </c>
    </row>
    <row r="4656" spans="1:7" x14ac:dyDescent="0.25">
      <c r="A4656" t="s">
        <v>128</v>
      </c>
      <c r="B4656" t="s">
        <v>129</v>
      </c>
      <c r="C4656" t="s">
        <v>130</v>
      </c>
      <c r="D4656">
        <v>9576957</v>
      </c>
      <c r="E4656" t="s">
        <v>53</v>
      </c>
      <c r="F4656" t="s">
        <v>49</v>
      </c>
      <c r="G4656" s="30">
        <v>11395058.144676</v>
      </c>
    </row>
    <row r="4657" spans="1:7" x14ac:dyDescent="0.25">
      <c r="A4657" t="s">
        <v>45</v>
      </c>
      <c r="B4657" t="s">
        <v>46</v>
      </c>
      <c r="C4657" t="s">
        <v>47</v>
      </c>
      <c r="D4657">
        <v>9580409</v>
      </c>
      <c r="E4657" t="s">
        <v>48</v>
      </c>
      <c r="F4657" t="s">
        <v>49</v>
      </c>
      <c r="G4657" s="30">
        <v>0</v>
      </c>
    </row>
    <row r="4658" spans="1:7" x14ac:dyDescent="0.25">
      <c r="A4658" t="s">
        <v>92</v>
      </c>
      <c r="B4658" t="s">
        <v>93</v>
      </c>
      <c r="C4658" t="s">
        <v>81</v>
      </c>
      <c r="D4658">
        <v>9580799</v>
      </c>
      <c r="E4658" t="s">
        <v>53</v>
      </c>
      <c r="F4658" t="s">
        <v>49</v>
      </c>
      <c r="G4658" s="30">
        <v>158190.21382986</v>
      </c>
    </row>
    <row r="4659" spans="1:7" x14ac:dyDescent="0.25">
      <c r="A4659" t="s">
        <v>61</v>
      </c>
      <c r="B4659" t="s">
        <v>62</v>
      </c>
      <c r="C4659" t="s">
        <v>56</v>
      </c>
      <c r="D4659">
        <v>9590455</v>
      </c>
      <c r="E4659" t="s">
        <v>48</v>
      </c>
      <c r="F4659" t="s">
        <v>49</v>
      </c>
      <c r="G4659" s="30">
        <v>0</v>
      </c>
    </row>
    <row r="4660" spans="1:7" x14ac:dyDescent="0.25">
      <c r="A4660" t="s">
        <v>61</v>
      </c>
      <c r="B4660" t="s">
        <v>62</v>
      </c>
      <c r="C4660" t="s">
        <v>56</v>
      </c>
      <c r="D4660">
        <v>9596335</v>
      </c>
      <c r="E4660" t="s">
        <v>48</v>
      </c>
      <c r="F4660" t="s">
        <v>49</v>
      </c>
      <c r="G4660" s="30">
        <v>0</v>
      </c>
    </row>
    <row r="4661" spans="1:7" x14ac:dyDescent="0.25">
      <c r="A4661" t="s">
        <v>45</v>
      </c>
      <c r="B4661" t="s">
        <v>46</v>
      </c>
      <c r="C4661" t="s">
        <v>47</v>
      </c>
      <c r="D4661">
        <v>9597052</v>
      </c>
      <c r="E4661" t="s">
        <v>48</v>
      </c>
      <c r="F4661" t="s">
        <v>49</v>
      </c>
      <c r="G4661" s="30">
        <v>0</v>
      </c>
    </row>
    <row r="4662" spans="1:7" x14ac:dyDescent="0.25">
      <c r="A4662" t="s">
        <v>106</v>
      </c>
      <c r="B4662" t="s">
        <v>107</v>
      </c>
      <c r="C4662" t="s">
        <v>56</v>
      </c>
      <c r="D4662">
        <v>9601764</v>
      </c>
      <c r="E4662" t="s">
        <v>53</v>
      </c>
      <c r="F4662" t="s">
        <v>49</v>
      </c>
      <c r="G4662" s="30">
        <v>1595880.31464276</v>
      </c>
    </row>
    <row r="4663" spans="1:7" x14ac:dyDescent="0.25">
      <c r="A4663" t="s">
        <v>63</v>
      </c>
      <c r="B4663" t="s">
        <v>64</v>
      </c>
      <c r="C4663" t="s">
        <v>56</v>
      </c>
      <c r="D4663">
        <v>9601867</v>
      </c>
      <c r="E4663" t="s">
        <v>53</v>
      </c>
      <c r="F4663" t="s">
        <v>49</v>
      </c>
      <c r="G4663" s="30">
        <v>25854.9348779787</v>
      </c>
    </row>
    <row r="4664" spans="1:7" x14ac:dyDescent="0.25">
      <c r="A4664" t="s">
        <v>50</v>
      </c>
      <c r="B4664" t="s">
        <v>51</v>
      </c>
      <c r="C4664" t="s">
        <v>52</v>
      </c>
      <c r="D4664">
        <v>9605377</v>
      </c>
      <c r="E4664" t="s">
        <v>53</v>
      </c>
      <c r="F4664" t="s">
        <v>49</v>
      </c>
      <c r="G4664" s="30">
        <v>73770.959614609907</v>
      </c>
    </row>
    <row r="4665" spans="1:7" x14ac:dyDescent="0.25">
      <c r="A4665" t="s">
        <v>63</v>
      </c>
      <c r="B4665" t="s">
        <v>64</v>
      </c>
      <c r="C4665" t="s">
        <v>56</v>
      </c>
      <c r="D4665">
        <v>9606198</v>
      </c>
      <c r="E4665" t="s">
        <v>48</v>
      </c>
      <c r="F4665" t="s">
        <v>49</v>
      </c>
      <c r="G4665" s="30">
        <v>0</v>
      </c>
    </row>
    <row r="4666" spans="1:7" x14ac:dyDescent="0.25">
      <c r="A4666" t="s">
        <v>114</v>
      </c>
      <c r="B4666" t="s">
        <v>115</v>
      </c>
      <c r="C4666" t="s">
        <v>56</v>
      </c>
      <c r="D4666">
        <v>9607047</v>
      </c>
      <c r="E4666" t="s">
        <v>53</v>
      </c>
      <c r="F4666" t="s">
        <v>49</v>
      </c>
      <c r="G4666" s="30">
        <v>235.43</v>
      </c>
    </row>
    <row r="4667" spans="1:7" x14ac:dyDescent="0.25">
      <c r="A4667" t="s">
        <v>59</v>
      </c>
      <c r="B4667" t="s">
        <v>60</v>
      </c>
      <c r="C4667" t="s">
        <v>56</v>
      </c>
      <c r="D4667">
        <v>9608574</v>
      </c>
      <c r="E4667" t="s">
        <v>48</v>
      </c>
      <c r="F4667" t="s">
        <v>49</v>
      </c>
      <c r="G4667" s="30">
        <v>0</v>
      </c>
    </row>
    <row r="4668" spans="1:7" x14ac:dyDescent="0.25">
      <c r="A4668" t="s">
        <v>50</v>
      </c>
      <c r="B4668" t="s">
        <v>51</v>
      </c>
      <c r="C4668" t="s">
        <v>52</v>
      </c>
      <c r="D4668">
        <v>9612271</v>
      </c>
      <c r="E4668" t="s">
        <v>48</v>
      </c>
      <c r="F4668" t="s">
        <v>49</v>
      </c>
      <c r="G4668" s="30">
        <v>0</v>
      </c>
    </row>
    <row r="4669" spans="1:7" x14ac:dyDescent="0.25">
      <c r="A4669" t="s">
        <v>50</v>
      </c>
      <c r="B4669" t="s">
        <v>51</v>
      </c>
      <c r="C4669" t="s">
        <v>52</v>
      </c>
      <c r="D4669">
        <v>9613486</v>
      </c>
      <c r="E4669" t="s">
        <v>53</v>
      </c>
      <c r="F4669" t="s">
        <v>49</v>
      </c>
      <c r="G4669" s="30">
        <v>46675.145468750001</v>
      </c>
    </row>
    <row r="4670" spans="1:7" x14ac:dyDescent="0.25">
      <c r="A4670" t="s">
        <v>45</v>
      </c>
      <c r="B4670" t="s">
        <v>46</v>
      </c>
      <c r="C4670" t="s">
        <v>47</v>
      </c>
      <c r="D4670">
        <v>9617313</v>
      </c>
      <c r="E4670" t="s">
        <v>48</v>
      </c>
      <c r="F4670" t="s">
        <v>49</v>
      </c>
      <c r="G4670" s="30">
        <v>0</v>
      </c>
    </row>
    <row r="4671" spans="1:7" x14ac:dyDescent="0.25">
      <c r="A4671" t="s">
        <v>50</v>
      </c>
      <c r="B4671" t="s">
        <v>51</v>
      </c>
      <c r="C4671" t="s">
        <v>52</v>
      </c>
      <c r="D4671">
        <v>9618613</v>
      </c>
      <c r="E4671" t="s">
        <v>53</v>
      </c>
      <c r="F4671" t="s">
        <v>49</v>
      </c>
      <c r="G4671" s="30">
        <v>57984.3391738887</v>
      </c>
    </row>
    <row r="4672" spans="1:7" x14ac:dyDescent="0.25">
      <c r="A4672" t="s">
        <v>45</v>
      </c>
      <c r="B4672" t="s">
        <v>46</v>
      </c>
      <c r="C4672" t="s">
        <v>47</v>
      </c>
      <c r="D4672">
        <v>9628912</v>
      </c>
      <c r="E4672" t="s">
        <v>53</v>
      </c>
      <c r="F4672" t="s">
        <v>49</v>
      </c>
      <c r="G4672" s="30">
        <v>15924.1635231154</v>
      </c>
    </row>
    <row r="4673" spans="1:7" x14ac:dyDescent="0.25">
      <c r="A4673" t="s">
        <v>45</v>
      </c>
      <c r="B4673" t="s">
        <v>46</v>
      </c>
      <c r="C4673" t="s">
        <v>47</v>
      </c>
      <c r="D4673">
        <v>9630187</v>
      </c>
      <c r="E4673" t="s">
        <v>48</v>
      </c>
      <c r="F4673" t="s">
        <v>49</v>
      </c>
      <c r="G4673" s="30">
        <v>0</v>
      </c>
    </row>
    <row r="4674" spans="1:7" x14ac:dyDescent="0.25">
      <c r="A4674" t="s">
        <v>45</v>
      </c>
      <c r="B4674" t="s">
        <v>46</v>
      </c>
      <c r="C4674" t="s">
        <v>47</v>
      </c>
      <c r="D4674">
        <v>9631325</v>
      </c>
      <c r="E4674" t="s">
        <v>48</v>
      </c>
      <c r="F4674" t="s">
        <v>49</v>
      </c>
      <c r="G4674" s="30">
        <v>0</v>
      </c>
    </row>
    <row r="4675" spans="1:7" x14ac:dyDescent="0.25">
      <c r="A4675" t="s">
        <v>124</v>
      </c>
      <c r="B4675" t="s">
        <v>125</v>
      </c>
      <c r="C4675" t="s">
        <v>78</v>
      </c>
      <c r="D4675">
        <v>9633312</v>
      </c>
      <c r="E4675" t="s">
        <v>53</v>
      </c>
      <c r="F4675" t="s">
        <v>49</v>
      </c>
      <c r="G4675" s="30">
        <v>503774.19031607098</v>
      </c>
    </row>
    <row r="4676" spans="1:7" x14ac:dyDescent="0.25">
      <c r="A4676" t="s">
        <v>45</v>
      </c>
      <c r="B4676" t="s">
        <v>46</v>
      </c>
      <c r="C4676" t="s">
        <v>47</v>
      </c>
      <c r="D4676">
        <v>9634819</v>
      </c>
      <c r="E4676" t="s">
        <v>48</v>
      </c>
      <c r="F4676" t="s">
        <v>49</v>
      </c>
      <c r="G4676" s="30">
        <v>0</v>
      </c>
    </row>
    <row r="4677" spans="1:7" x14ac:dyDescent="0.25">
      <c r="A4677" t="s">
        <v>45</v>
      </c>
      <c r="B4677" t="s">
        <v>46</v>
      </c>
      <c r="C4677" t="s">
        <v>47</v>
      </c>
      <c r="D4677">
        <v>9636199</v>
      </c>
      <c r="E4677" t="s">
        <v>48</v>
      </c>
      <c r="F4677" t="s">
        <v>49</v>
      </c>
      <c r="G4677" s="30">
        <v>0</v>
      </c>
    </row>
    <row r="4678" spans="1:7" x14ac:dyDescent="0.25">
      <c r="A4678" t="s">
        <v>50</v>
      </c>
      <c r="B4678" t="s">
        <v>51</v>
      </c>
      <c r="C4678" t="s">
        <v>52</v>
      </c>
      <c r="D4678">
        <v>9636893</v>
      </c>
      <c r="E4678" t="s">
        <v>53</v>
      </c>
      <c r="F4678" t="s">
        <v>49</v>
      </c>
      <c r="G4678" s="30">
        <v>15131.4988187492</v>
      </c>
    </row>
    <row r="4679" spans="1:7" x14ac:dyDescent="0.25">
      <c r="A4679" t="s">
        <v>45</v>
      </c>
      <c r="B4679" t="s">
        <v>46</v>
      </c>
      <c r="C4679" t="s">
        <v>47</v>
      </c>
      <c r="D4679">
        <v>9636938</v>
      </c>
      <c r="E4679" t="s">
        <v>48</v>
      </c>
      <c r="F4679" t="s">
        <v>49</v>
      </c>
      <c r="G4679" s="30">
        <v>0</v>
      </c>
    </row>
    <row r="4680" spans="1:7" x14ac:dyDescent="0.25">
      <c r="A4680" t="s">
        <v>61</v>
      </c>
      <c r="B4680" t="s">
        <v>62</v>
      </c>
      <c r="C4680" t="s">
        <v>56</v>
      </c>
      <c r="D4680">
        <v>9645241</v>
      </c>
      <c r="E4680" t="s">
        <v>53</v>
      </c>
      <c r="F4680" t="s">
        <v>49</v>
      </c>
      <c r="G4680" s="30">
        <v>-902.34</v>
      </c>
    </row>
    <row r="4681" spans="1:7" x14ac:dyDescent="0.25">
      <c r="A4681" t="s">
        <v>70</v>
      </c>
      <c r="B4681" t="s">
        <v>71</v>
      </c>
      <c r="C4681" t="s">
        <v>47</v>
      </c>
      <c r="D4681">
        <v>9645969</v>
      </c>
      <c r="E4681" t="s">
        <v>53</v>
      </c>
      <c r="F4681" t="s">
        <v>49</v>
      </c>
      <c r="G4681" s="30">
        <v>11317.233969486</v>
      </c>
    </row>
    <row r="4682" spans="1:7" x14ac:dyDescent="0.25">
      <c r="A4682" t="s">
        <v>45</v>
      </c>
      <c r="B4682" t="s">
        <v>46</v>
      </c>
      <c r="C4682" t="s">
        <v>47</v>
      </c>
      <c r="D4682">
        <v>9647590</v>
      </c>
      <c r="E4682" t="s">
        <v>48</v>
      </c>
      <c r="F4682" t="s">
        <v>49</v>
      </c>
      <c r="G4682" s="30">
        <v>0</v>
      </c>
    </row>
    <row r="4683" spans="1:7" x14ac:dyDescent="0.25">
      <c r="A4683" t="s">
        <v>54</v>
      </c>
      <c r="B4683" t="s">
        <v>55</v>
      </c>
      <c r="C4683" t="s">
        <v>56</v>
      </c>
      <c r="D4683">
        <v>9649757</v>
      </c>
      <c r="E4683" t="s">
        <v>48</v>
      </c>
      <c r="F4683" t="s">
        <v>49</v>
      </c>
      <c r="G4683" s="30">
        <v>0</v>
      </c>
    </row>
    <row r="4684" spans="1:7" x14ac:dyDescent="0.25">
      <c r="A4684" t="s">
        <v>50</v>
      </c>
      <c r="B4684" t="s">
        <v>51</v>
      </c>
      <c r="C4684" t="s">
        <v>52</v>
      </c>
      <c r="D4684">
        <v>9650824</v>
      </c>
      <c r="E4684" t="s">
        <v>53</v>
      </c>
      <c r="F4684" t="s">
        <v>49</v>
      </c>
      <c r="G4684" s="30">
        <v>23385.550575292498</v>
      </c>
    </row>
    <row r="4685" spans="1:7" x14ac:dyDescent="0.25">
      <c r="A4685" t="s">
        <v>45</v>
      </c>
      <c r="B4685" t="s">
        <v>46</v>
      </c>
      <c r="C4685" t="s">
        <v>47</v>
      </c>
      <c r="D4685">
        <v>9650896</v>
      </c>
      <c r="E4685" t="s">
        <v>48</v>
      </c>
      <c r="F4685" t="s">
        <v>49</v>
      </c>
      <c r="G4685" s="30">
        <v>0</v>
      </c>
    </row>
    <row r="4686" spans="1:7" x14ac:dyDescent="0.25">
      <c r="A4686" t="s">
        <v>45</v>
      </c>
      <c r="B4686" t="s">
        <v>46</v>
      </c>
      <c r="C4686" t="s">
        <v>47</v>
      </c>
      <c r="D4686">
        <v>9651488</v>
      </c>
      <c r="E4686" t="s">
        <v>48</v>
      </c>
      <c r="F4686" t="s">
        <v>49</v>
      </c>
      <c r="G4686" s="30">
        <v>0.13</v>
      </c>
    </row>
    <row r="4687" spans="1:7" x14ac:dyDescent="0.25">
      <c r="A4687" t="s">
        <v>50</v>
      </c>
      <c r="B4687" t="s">
        <v>51</v>
      </c>
      <c r="C4687" t="s">
        <v>52</v>
      </c>
      <c r="D4687">
        <v>9651822</v>
      </c>
      <c r="E4687" t="s">
        <v>53</v>
      </c>
      <c r="F4687" t="s">
        <v>49</v>
      </c>
      <c r="G4687" s="30">
        <v>554.42999999999995</v>
      </c>
    </row>
    <row r="4688" spans="1:7" x14ac:dyDescent="0.25">
      <c r="A4688" t="s">
        <v>50</v>
      </c>
      <c r="B4688" t="s">
        <v>51</v>
      </c>
      <c r="C4688" t="s">
        <v>52</v>
      </c>
      <c r="D4688">
        <v>9652629</v>
      </c>
      <c r="E4688" t="s">
        <v>48</v>
      </c>
      <c r="F4688" t="s">
        <v>49</v>
      </c>
      <c r="G4688" s="30">
        <v>0</v>
      </c>
    </row>
    <row r="4689" spans="1:7" x14ac:dyDescent="0.25">
      <c r="A4689" t="s">
        <v>45</v>
      </c>
      <c r="B4689" t="s">
        <v>46</v>
      </c>
      <c r="C4689" t="s">
        <v>47</v>
      </c>
      <c r="D4689">
        <v>9652823</v>
      </c>
      <c r="E4689" t="s">
        <v>48</v>
      </c>
      <c r="F4689" t="s">
        <v>49</v>
      </c>
      <c r="G4689" s="30">
        <v>0</v>
      </c>
    </row>
    <row r="4690" spans="1:7" x14ac:dyDescent="0.25">
      <c r="A4690" t="s">
        <v>45</v>
      </c>
      <c r="B4690" t="s">
        <v>46</v>
      </c>
      <c r="C4690" t="s">
        <v>47</v>
      </c>
      <c r="D4690">
        <v>9658800</v>
      </c>
      <c r="E4690" t="s">
        <v>48</v>
      </c>
      <c r="F4690" t="s">
        <v>49</v>
      </c>
      <c r="G4690" s="30">
        <v>0</v>
      </c>
    </row>
    <row r="4691" spans="1:7" x14ac:dyDescent="0.25">
      <c r="A4691" t="s">
        <v>50</v>
      </c>
      <c r="B4691" t="s">
        <v>51</v>
      </c>
      <c r="C4691" t="s">
        <v>52</v>
      </c>
      <c r="D4691">
        <v>9660164</v>
      </c>
      <c r="E4691" t="s">
        <v>53</v>
      </c>
      <c r="F4691" t="s">
        <v>49</v>
      </c>
      <c r="G4691" s="30">
        <v>5864.70090168979</v>
      </c>
    </row>
    <row r="4692" spans="1:7" x14ac:dyDescent="0.25">
      <c r="A4692" t="s">
        <v>45</v>
      </c>
      <c r="B4692" t="s">
        <v>46</v>
      </c>
      <c r="C4692" t="s">
        <v>47</v>
      </c>
      <c r="D4692">
        <v>9663023</v>
      </c>
      <c r="E4692" t="s">
        <v>48</v>
      </c>
      <c r="F4692" t="s">
        <v>49</v>
      </c>
      <c r="G4692" s="30">
        <v>0</v>
      </c>
    </row>
    <row r="4693" spans="1:7" x14ac:dyDescent="0.25">
      <c r="A4693" t="s">
        <v>94</v>
      </c>
      <c r="B4693" t="s">
        <v>95</v>
      </c>
      <c r="C4693" t="s">
        <v>78</v>
      </c>
      <c r="D4693">
        <v>9664173</v>
      </c>
      <c r="E4693" t="s">
        <v>53</v>
      </c>
      <c r="F4693" t="s">
        <v>49</v>
      </c>
      <c r="G4693" s="30">
        <v>96059.630999901798</v>
      </c>
    </row>
    <row r="4694" spans="1:7" x14ac:dyDescent="0.25">
      <c r="A4694" t="s">
        <v>92</v>
      </c>
      <c r="B4694" t="s">
        <v>93</v>
      </c>
      <c r="C4694" t="s">
        <v>81</v>
      </c>
      <c r="D4694">
        <v>9668143</v>
      </c>
      <c r="E4694" t="s">
        <v>53</v>
      </c>
      <c r="F4694" t="s">
        <v>49</v>
      </c>
      <c r="G4694" s="30">
        <v>4912.3758312741602</v>
      </c>
    </row>
    <row r="4695" spans="1:7" x14ac:dyDescent="0.25">
      <c r="A4695" t="s">
        <v>45</v>
      </c>
      <c r="B4695" t="s">
        <v>46</v>
      </c>
      <c r="C4695" t="s">
        <v>47</v>
      </c>
      <c r="D4695">
        <v>9670362</v>
      </c>
      <c r="E4695" t="s">
        <v>48</v>
      </c>
      <c r="F4695" t="s">
        <v>49</v>
      </c>
      <c r="G4695" s="30">
        <v>0</v>
      </c>
    </row>
    <row r="4696" spans="1:7" x14ac:dyDescent="0.25">
      <c r="A4696" t="s">
        <v>45</v>
      </c>
      <c r="B4696" t="s">
        <v>46</v>
      </c>
      <c r="C4696" t="s">
        <v>47</v>
      </c>
      <c r="D4696">
        <v>9672949</v>
      </c>
      <c r="E4696" t="s">
        <v>48</v>
      </c>
      <c r="F4696" t="s">
        <v>49</v>
      </c>
      <c r="G4696" s="30">
        <v>0</v>
      </c>
    </row>
    <row r="4697" spans="1:7" x14ac:dyDescent="0.25">
      <c r="A4697" t="s">
        <v>92</v>
      </c>
      <c r="B4697" t="s">
        <v>93</v>
      </c>
      <c r="C4697" t="s">
        <v>81</v>
      </c>
      <c r="D4697">
        <v>9675170</v>
      </c>
      <c r="E4697" t="s">
        <v>48</v>
      </c>
      <c r="F4697" t="s">
        <v>49</v>
      </c>
      <c r="G4697" s="30">
        <v>0</v>
      </c>
    </row>
    <row r="4698" spans="1:7" x14ac:dyDescent="0.25">
      <c r="A4698" t="s">
        <v>45</v>
      </c>
      <c r="B4698" t="s">
        <v>46</v>
      </c>
      <c r="C4698" t="s">
        <v>47</v>
      </c>
      <c r="D4698">
        <v>9678317</v>
      </c>
      <c r="E4698" t="s">
        <v>48</v>
      </c>
      <c r="F4698" t="s">
        <v>49</v>
      </c>
      <c r="G4698" s="30">
        <v>0</v>
      </c>
    </row>
    <row r="4699" spans="1:7" x14ac:dyDescent="0.25">
      <c r="A4699" t="s">
        <v>50</v>
      </c>
      <c r="B4699" t="s">
        <v>51</v>
      </c>
      <c r="C4699" t="s">
        <v>52</v>
      </c>
      <c r="D4699">
        <v>9678591</v>
      </c>
      <c r="E4699" t="s">
        <v>53</v>
      </c>
      <c r="F4699" t="s">
        <v>49</v>
      </c>
      <c r="G4699" s="30">
        <v>2904.9265186603302</v>
      </c>
    </row>
    <row r="4700" spans="1:7" x14ac:dyDescent="0.25">
      <c r="A4700" t="s">
        <v>50</v>
      </c>
      <c r="B4700" t="s">
        <v>51</v>
      </c>
      <c r="C4700" t="s">
        <v>52</v>
      </c>
      <c r="D4700">
        <v>9678868</v>
      </c>
      <c r="E4700" t="s">
        <v>53</v>
      </c>
      <c r="F4700" t="s">
        <v>49</v>
      </c>
      <c r="G4700" s="30">
        <v>23747.304280095301</v>
      </c>
    </row>
    <row r="4701" spans="1:7" x14ac:dyDescent="0.25">
      <c r="A4701" t="s">
        <v>45</v>
      </c>
      <c r="B4701" t="s">
        <v>46</v>
      </c>
      <c r="C4701" t="s">
        <v>47</v>
      </c>
      <c r="D4701">
        <v>9678895</v>
      </c>
      <c r="E4701" t="s">
        <v>53</v>
      </c>
      <c r="F4701" t="s">
        <v>49</v>
      </c>
      <c r="G4701" s="30">
        <v>131767.31927459</v>
      </c>
    </row>
    <row r="4702" spans="1:7" x14ac:dyDescent="0.25">
      <c r="A4702" t="s">
        <v>94</v>
      </c>
      <c r="B4702" t="s">
        <v>95</v>
      </c>
      <c r="C4702" t="s">
        <v>78</v>
      </c>
      <c r="D4702">
        <v>9680372</v>
      </c>
      <c r="E4702" t="s">
        <v>53</v>
      </c>
      <c r="F4702" t="s">
        <v>49</v>
      </c>
      <c r="G4702" s="30">
        <v>689667.850588692</v>
      </c>
    </row>
    <row r="4703" spans="1:7" x14ac:dyDescent="0.25">
      <c r="A4703" t="s">
        <v>74</v>
      </c>
      <c r="B4703" t="s">
        <v>75</v>
      </c>
      <c r="C4703" t="s">
        <v>67</v>
      </c>
      <c r="D4703">
        <v>9682068</v>
      </c>
      <c r="E4703" t="s">
        <v>53</v>
      </c>
      <c r="F4703" t="s">
        <v>49</v>
      </c>
      <c r="G4703" s="30">
        <v>7733283.6886953004</v>
      </c>
    </row>
    <row r="4704" spans="1:7" x14ac:dyDescent="0.25">
      <c r="A4704" t="s">
        <v>45</v>
      </c>
      <c r="B4704" t="s">
        <v>46</v>
      </c>
      <c r="C4704" t="s">
        <v>47</v>
      </c>
      <c r="D4704">
        <v>9682541</v>
      </c>
      <c r="E4704" t="s">
        <v>48</v>
      </c>
      <c r="F4704" t="s">
        <v>49</v>
      </c>
      <c r="G4704" s="30">
        <v>0</v>
      </c>
    </row>
    <row r="4705" spans="1:7" x14ac:dyDescent="0.25">
      <c r="A4705" t="s">
        <v>45</v>
      </c>
      <c r="B4705" t="s">
        <v>46</v>
      </c>
      <c r="C4705" t="s">
        <v>47</v>
      </c>
      <c r="D4705">
        <v>9682542</v>
      </c>
      <c r="E4705" t="s">
        <v>48</v>
      </c>
      <c r="F4705" t="s">
        <v>49</v>
      </c>
      <c r="G4705" s="30">
        <v>0</v>
      </c>
    </row>
    <row r="4706" spans="1:7" x14ac:dyDescent="0.25">
      <c r="A4706" t="s">
        <v>45</v>
      </c>
      <c r="B4706" t="s">
        <v>46</v>
      </c>
      <c r="C4706" t="s">
        <v>47</v>
      </c>
      <c r="D4706">
        <v>9683240</v>
      </c>
      <c r="E4706" t="s">
        <v>48</v>
      </c>
      <c r="F4706" t="s">
        <v>49</v>
      </c>
      <c r="G4706" s="30">
        <v>0</v>
      </c>
    </row>
    <row r="4707" spans="1:7" x14ac:dyDescent="0.25">
      <c r="A4707" t="s">
        <v>50</v>
      </c>
      <c r="B4707" t="s">
        <v>51</v>
      </c>
      <c r="C4707" t="s">
        <v>52</v>
      </c>
      <c r="D4707">
        <v>9687495</v>
      </c>
      <c r="E4707" t="s">
        <v>48</v>
      </c>
      <c r="F4707" t="s">
        <v>49</v>
      </c>
      <c r="G4707" s="30">
        <v>0</v>
      </c>
    </row>
    <row r="4708" spans="1:7" x14ac:dyDescent="0.25">
      <c r="A4708" t="s">
        <v>45</v>
      </c>
      <c r="B4708" t="s">
        <v>46</v>
      </c>
      <c r="C4708" t="s">
        <v>47</v>
      </c>
      <c r="D4708">
        <v>9691522</v>
      </c>
      <c r="E4708" t="s">
        <v>48</v>
      </c>
      <c r="F4708" t="s">
        <v>49</v>
      </c>
      <c r="G4708" s="30">
        <v>0</v>
      </c>
    </row>
    <row r="4709" spans="1:7" x14ac:dyDescent="0.25">
      <c r="A4709" t="s">
        <v>45</v>
      </c>
      <c r="B4709" t="s">
        <v>46</v>
      </c>
      <c r="C4709" t="s">
        <v>47</v>
      </c>
      <c r="D4709">
        <v>9692912</v>
      </c>
      <c r="E4709" t="s">
        <v>48</v>
      </c>
      <c r="F4709" t="s">
        <v>49</v>
      </c>
      <c r="G4709" s="30">
        <v>0</v>
      </c>
    </row>
    <row r="4710" spans="1:7" x14ac:dyDescent="0.25">
      <c r="A4710" t="s">
        <v>116</v>
      </c>
      <c r="B4710" t="s">
        <v>117</v>
      </c>
      <c r="C4710" t="s">
        <v>47</v>
      </c>
      <c r="D4710">
        <v>9693763</v>
      </c>
      <c r="E4710" t="s">
        <v>53</v>
      </c>
      <c r="F4710" t="s">
        <v>49</v>
      </c>
      <c r="G4710" s="30">
        <v>5319.1284101261399</v>
      </c>
    </row>
    <row r="4711" spans="1:7" x14ac:dyDescent="0.25">
      <c r="A4711" t="s">
        <v>45</v>
      </c>
      <c r="B4711" t="s">
        <v>46</v>
      </c>
      <c r="C4711" t="s">
        <v>47</v>
      </c>
      <c r="D4711">
        <v>9694117</v>
      </c>
      <c r="E4711" t="s">
        <v>48</v>
      </c>
      <c r="F4711" t="s">
        <v>49</v>
      </c>
      <c r="G4711" s="30">
        <v>0</v>
      </c>
    </row>
    <row r="4712" spans="1:7" x14ac:dyDescent="0.25">
      <c r="A4712" t="s">
        <v>153</v>
      </c>
      <c r="B4712" t="s">
        <v>154</v>
      </c>
      <c r="C4712" t="s">
        <v>48</v>
      </c>
      <c r="D4712">
        <v>9694678</v>
      </c>
      <c r="E4712" t="s">
        <v>48</v>
      </c>
      <c r="F4712" t="s">
        <v>49</v>
      </c>
      <c r="G4712" s="30">
        <v>0</v>
      </c>
    </row>
    <row r="4713" spans="1:7" x14ac:dyDescent="0.25">
      <c r="A4713" t="s">
        <v>45</v>
      </c>
      <c r="B4713" t="s">
        <v>46</v>
      </c>
      <c r="C4713" t="s">
        <v>47</v>
      </c>
      <c r="D4713">
        <v>9696220</v>
      </c>
      <c r="E4713" t="s">
        <v>48</v>
      </c>
      <c r="F4713" t="s">
        <v>49</v>
      </c>
      <c r="G4713" s="30">
        <v>0</v>
      </c>
    </row>
    <row r="4714" spans="1:7" x14ac:dyDescent="0.25">
      <c r="A4714" t="s">
        <v>50</v>
      </c>
      <c r="B4714" t="s">
        <v>51</v>
      </c>
      <c r="C4714" t="s">
        <v>52</v>
      </c>
      <c r="D4714">
        <v>9697419</v>
      </c>
      <c r="E4714" t="s">
        <v>53</v>
      </c>
      <c r="F4714" t="s">
        <v>49</v>
      </c>
      <c r="G4714" s="30">
        <v>7252.47802734375</v>
      </c>
    </row>
    <row r="4715" spans="1:7" x14ac:dyDescent="0.25">
      <c r="A4715" t="s">
        <v>63</v>
      </c>
      <c r="B4715" t="s">
        <v>64</v>
      </c>
      <c r="C4715" t="s">
        <v>56</v>
      </c>
      <c r="D4715">
        <v>9698586</v>
      </c>
      <c r="E4715" t="s">
        <v>48</v>
      </c>
      <c r="F4715" t="s">
        <v>49</v>
      </c>
      <c r="G4715" s="30">
        <v>0</v>
      </c>
    </row>
    <row r="4716" spans="1:7" x14ac:dyDescent="0.25">
      <c r="A4716" t="s">
        <v>50</v>
      </c>
      <c r="B4716" t="s">
        <v>51</v>
      </c>
      <c r="C4716" t="s">
        <v>52</v>
      </c>
      <c r="D4716">
        <v>9699363</v>
      </c>
      <c r="E4716" t="s">
        <v>48</v>
      </c>
      <c r="F4716" t="s">
        <v>49</v>
      </c>
      <c r="G4716" s="30">
        <v>0</v>
      </c>
    </row>
    <row r="4717" spans="1:7" x14ac:dyDescent="0.25">
      <c r="A4717" t="s">
        <v>50</v>
      </c>
      <c r="B4717" t="s">
        <v>51</v>
      </c>
      <c r="C4717" t="s">
        <v>52</v>
      </c>
      <c r="D4717">
        <v>9699906</v>
      </c>
      <c r="E4717" t="s">
        <v>53</v>
      </c>
      <c r="F4717" t="s">
        <v>49</v>
      </c>
      <c r="G4717" s="30">
        <v>56631.47</v>
      </c>
    </row>
    <row r="4718" spans="1:7" x14ac:dyDescent="0.25">
      <c r="A4718" t="s">
        <v>45</v>
      </c>
      <c r="B4718" t="s">
        <v>46</v>
      </c>
      <c r="C4718" t="s">
        <v>47</v>
      </c>
      <c r="D4718">
        <v>9701404</v>
      </c>
      <c r="E4718" t="s">
        <v>48</v>
      </c>
      <c r="F4718" t="s">
        <v>49</v>
      </c>
      <c r="G4718" s="30">
        <v>0</v>
      </c>
    </row>
    <row r="4719" spans="1:7" x14ac:dyDescent="0.25">
      <c r="A4719" t="s">
        <v>118</v>
      </c>
      <c r="B4719" t="s">
        <v>119</v>
      </c>
      <c r="C4719" t="s">
        <v>56</v>
      </c>
      <c r="D4719">
        <v>9703676</v>
      </c>
      <c r="E4719" t="s">
        <v>53</v>
      </c>
      <c r="F4719" t="s">
        <v>49</v>
      </c>
      <c r="G4719" s="30">
        <v>7390.39306640625</v>
      </c>
    </row>
    <row r="4720" spans="1:7" x14ac:dyDescent="0.25">
      <c r="A4720" t="s">
        <v>50</v>
      </c>
      <c r="B4720" t="s">
        <v>51</v>
      </c>
      <c r="C4720" t="s">
        <v>52</v>
      </c>
      <c r="D4720">
        <v>9707312</v>
      </c>
      <c r="E4720" t="s">
        <v>53</v>
      </c>
      <c r="F4720" t="s">
        <v>49</v>
      </c>
      <c r="G4720" s="30">
        <v>15168.751193444999</v>
      </c>
    </row>
    <row r="4721" spans="1:7" x14ac:dyDescent="0.25">
      <c r="A4721" t="s">
        <v>45</v>
      </c>
      <c r="B4721" t="s">
        <v>46</v>
      </c>
      <c r="C4721" t="s">
        <v>47</v>
      </c>
      <c r="D4721">
        <v>9707897</v>
      </c>
      <c r="E4721" t="s">
        <v>53</v>
      </c>
      <c r="F4721" t="s">
        <v>49</v>
      </c>
      <c r="G4721" s="30">
        <v>100</v>
      </c>
    </row>
    <row r="4722" spans="1:7" x14ac:dyDescent="0.25">
      <c r="A4722" t="s">
        <v>50</v>
      </c>
      <c r="B4722" t="s">
        <v>51</v>
      </c>
      <c r="C4722" t="s">
        <v>52</v>
      </c>
      <c r="D4722">
        <v>9708055</v>
      </c>
      <c r="E4722" t="s">
        <v>53</v>
      </c>
      <c r="F4722" t="s">
        <v>49</v>
      </c>
      <c r="G4722" s="30">
        <v>12653.1546272867</v>
      </c>
    </row>
    <row r="4723" spans="1:7" x14ac:dyDescent="0.25">
      <c r="A4723" t="s">
        <v>116</v>
      </c>
      <c r="B4723" t="s">
        <v>117</v>
      </c>
      <c r="C4723" t="s">
        <v>47</v>
      </c>
      <c r="D4723">
        <v>9721016</v>
      </c>
      <c r="G4723" s="30">
        <v>0</v>
      </c>
    </row>
    <row r="4724" spans="1:7" x14ac:dyDescent="0.25">
      <c r="A4724" t="s">
        <v>90</v>
      </c>
      <c r="B4724" t="s">
        <v>91</v>
      </c>
      <c r="C4724" t="s">
        <v>81</v>
      </c>
      <c r="D4724">
        <v>9728773</v>
      </c>
      <c r="E4724" t="s">
        <v>53</v>
      </c>
      <c r="F4724" t="s">
        <v>49</v>
      </c>
      <c r="G4724" s="30">
        <v>1264975.5964076801</v>
      </c>
    </row>
    <row r="4725" spans="1:7" x14ac:dyDescent="0.25">
      <c r="A4725" t="s">
        <v>50</v>
      </c>
      <c r="B4725" t="s">
        <v>51</v>
      </c>
      <c r="C4725" t="s">
        <v>52</v>
      </c>
      <c r="D4725">
        <v>9730160</v>
      </c>
      <c r="E4725" t="s">
        <v>53</v>
      </c>
      <c r="F4725" t="s">
        <v>49</v>
      </c>
      <c r="G4725" s="30">
        <v>745.64703775613702</v>
      </c>
    </row>
    <row r="4726" spans="1:7" x14ac:dyDescent="0.25">
      <c r="A4726" t="s">
        <v>92</v>
      </c>
      <c r="B4726" t="s">
        <v>93</v>
      </c>
      <c r="C4726" t="s">
        <v>81</v>
      </c>
      <c r="D4726">
        <v>9730597</v>
      </c>
      <c r="E4726" t="s">
        <v>53</v>
      </c>
      <c r="F4726" t="s">
        <v>49</v>
      </c>
      <c r="G4726" s="30">
        <v>39495.412207645597</v>
      </c>
    </row>
    <row r="4727" spans="1:7" x14ac:dyDescent="0.25">
      <c r="A4727" t="s">
        <v>50</v>
      </c>
      <c r="B4727" t="s">
        <v>51</v>
      </c>
      <c r="C4727" t="s">
        <v>52</v>
      </c>
      <c r="D4727">
        <v>9731285</v>
      </c>
      <c r="E4727" t="s">
        <v>53</v>
      </c>
      <c r="F4727" t="s">
        <v>49</v>
      </c>
      <c r="G4727" s="30">
        <v>29736.850937499999</v>
      </c>
    </row>
    <row r="4728" spans="1:7" x14ac:dyDescent="0.25">
      <c r="A4728" t="s">
        <v>131</v>
      </c>
      <c r="B4728" t="s">
        <v>132</v>
      </c>
      <c r="C4728" t="s">
        <v>67</v>
      </c>
      <c r="D4728">
        <v>9731334</v>
      </c>
      <c r="E4728" t="s">
        <v>53</v>
      </c>
      <c r="F4728" t="s">
        <v>49</v>
      </c>
      <c r="G4728" s="30">
        <v>44011.889238281197</v>
      </c>
    </row>
    <row r="4729" spans="1:7" x14ac:dyDescent="0.25">
      <c r="A4729" t="s">
        <v>45</v>
      </c>
      <c r="B4729" t="s">
        <v>46</v>
      </c>
      <c r="C4729" t="s">
        <v>47</v>
      </c>
      <c r="D4729">
        <v>9732292</v>
      </c>
      <c r="E4729" t="s">
        <v>48</v>
      </c>
      <c r="F4729" t="s">
        <v>49</v>
      </c>
      <c r="G4729" s="30">
        <v>0</v>
      </c>
    </row>
    <row r="4730" spans="1:7" x14ac:dyDescent="0.25">
      <c r="A4730" t="s">
        <v>106</v>
      </c>
      <c r="B4730" t="s">
        <v>107</v>
      </c>
      <c r="C4730" t="s">
        <v>56</v>
      </c>
      <c r="D4730">
        <v>9732558</v>
      </c>
      <c r="E4730" t="s">
        <v>53</v>
      </c>
      <c r="F4730" t="s">
        <v>49</v>
      </c>
      <c r="G4730" s="30">
        <v>59756.2731804707</v>
      </c>
    </row>
    <row r="4731" spans="1:7" x14ac:dyDescent="0.25">
      <c r="A4731" t="s">
        <v>61</v>
      </c>
      <c r="B4731" t="s">
        <v>62</v>
      </c>
      <c r="C4731" t="s">
        <v>56</v>
      </c>
      <c r="D4731">
        <v>9734598</v>
      </c>
      <c r="E4731" t="s">
        <v>48</v>
      </c>
      <c r="F4731" t="s">
        <v>49</v>
      </c>
      <c r="G4731" s="30">
        <v>0</v>
      </c>
    </row>
    <row r="4732" spans="1:7" x14ac:dyDescent="0.25">
      <c r="A4732" t="s">
        <v>100</v>
      </c>
      <c r="B4732" t="s">
        <v>101</v>
      </c>
      <c r="C4732" t="s">
        <v>52</v>
      </c>
      <c r="D4732">
        <v>9735919</v>
      </c>
      <c r="E4732" t="s">
        <v>53</v>
      </c>
      <c r="F4732" t="s">
        <v>49</v>
      </c>
      <c r="G4732" s="30">
        <v>25021.4969792917</v>
      </c>
    </row>
    <row r="4733" spans="1:7" x14ac:dyDescent="0.25">
      <c r="A4733" t="s">
        <v>128</v>
      </c>
      <c r="B4733" t="s">
        <v>129</v>
      </c>
      <c r="C4733" t="s">
        <v>130</v>
      </c>
      <c r="D4733">
        <v>9736096</v>
      </c>
      <c r="E4733" t="s">
        <v>53</v>
      </c>
      <c r="F4733" t="s">
        <v>49</v>
      </c>
      <c r="G4733" s="30">
        <v>425945.985562057</v>
      </c>
    </row>
    <row r="4734" spans="1:7" x14ac:dyDescent="0.25">
      <c r="A4734" t="s">
        <v>50</v>
      </c>
      <c r="B4734" t="s">
        <v>51</v>
      </c>
      <c r="C4734" t="s">
        <v>52</v>
      </c>
      <c r="D4734">
        <v>9738806</v>
      </c>
      <c r="E4734" t="s">
        <v>53</v>
      </c>
      <c r="F4734" t="s">
        <v>49</v>
      </c>
      <c r="G4734" s="30">
        <v>6676.4322949218704</v>
      </c>
    </row>
    <row r="4735" spans="1:7" x14ac:dyDescent="0.25">
      <c r="A4735" t="s">
        <v>50</v>
      </c>
      <c r="B4735" t="s">
        <v>51</v>
      </c>
      <c r="C4735" t="s">
        <v>52</v>
      </c>
      <c r="D4735">
        <v>9740029</v>
      </c>
      <c r="E4735" t="s">
        <v>53</v>
      </c>
      <c r="F4735" t="s">
        <v>49</v>
      </c>
      <c r="G4735" s="30">
        <v>18649.5785410518</v>
      </c>
    </row>
    <row r="4736" spans="1:7" x14ac:dyDescent="0.25">
      <c r="A4736" t="s">
        <v>118</v>
      </c>
      <c r="B4736" t="s">
        <v>119</v>
      </c>
      <c r="C4736" t="s">
        <v>56</v>
      </c>
      <c r="D4736">
        <v>9740765</v>
      </c>
      <c r="E4736" t="s">
        <v>53</v>
      </c>
      <c r="F4736" t="s">
        <v>49</v>
      </c>
      <c r="G4736" s="30">
        <v>65273.996898075602</v>
      </c>
    </row>
    <row r="4737" spans="1:7" x14ac:dyDescent="0.25">
      <c r="A4737" t="s">
        <v>104</v>
      </c>
      <c r="B4737" t="s">
        <v>105</v>
      </c>
      <c r="C4737" t="s">
        <v>78</v>
      </c>
      <c r="D4737">
        <v>9744017</v>
      </c>
      <c r="E4737" t="s">
        <v>53</v>
      </c>
      <c r="F4737" t="s">
        <v>49</v>
      </c>
      <c r="G4737" s="30">
        <v>1142.11313030369</v>
      </c>
    </row>
    <row r="4738" spans="1:7" x14ac:dyDescent="0.25">
      <c r="A4738" t="s">
        <v>112</v>
      </c>
      <c r="B4738" t="s">
        <v>113</v>
      </c>
      <c r="C4738" t="s">
        <v>81</v>
      </c>
      <c r="D4738">
        <v>9746694</v>
      </c>
      <c r="E4738" t="s">
        <v>53</v>
      </c>
      <c r="F4738" t="s">
        <v>49</v>
      </c>
      <c r="G4738" s="30">
        <v>5014492.5144698201</v>
      </c>
    </row>
    <row r="4739" spans="1:7" x14ac:dyDescent="0.25">
      <c r="A4739" t="s">
        <v>61</v>
      </c>
      <c r="B4739" t="s">
        <v>62</v>
      </c>
      <c r="C4739" t="s">
        <v>56</v>
      </c>
      <c r="D4739">
        <v>9747512</v>
      </c>
      <c r="E4739" t="s">
        <v>48</v>
      </c>
      <c r="F4739" t="s">
        <v>49</v>
      </c>
      <c r="G4739" s="30">
        <v>0</v>
      </c>
    </row>
    <row r="4740" spans="1:7" x14ac:dyDescent="0.25">
      <c r="A4740" t="s">
        <v>45</v>
      </c>
      <c r="B4740" t="s">
        <v>46</v>
      </c>
      <c r="C4740" t="s">
        <v>47</v>
      </c>
      <c r="D4740">
        <v>9750469</v>
      </c>
      <c r="E4740" t="s">
        <v>48</v>
      </c>
      <c r="F4740" t="s">
        <v>49</v>
      </c>
      <c r="G4740" s="30">
        <v>0</v>
      </c>
    </row>
    <row r="4741" spans="1:7" x14ac:dyDescent="0.25">
      <c r="A4741" t="s">
        <v>90</v>
      </c>
      <c r="B4741" t="s">
        <v>91</v>
      </c>
      <c r="C4741" t="s">
        <v>81</v>
      </c>
      <c r="D4741">
        <v>9750811</v>
      </c>
      <c r="E4741" t="s">
        <v>53</v>
      </c>
      <c r="F4741" t="s">
        <v>49</v>
      </c>
      <c r="G4741" s="30">
        <v>119308.09307210401</v>
      </c>
    </row>
    <row r="4742" spans="1:7" x14ac:dyDescent="0.25">
      <c r="A4742" t="s">
        <v>116</v>
      </c>
      <c r="B4742" t="s">
        <v>117</v>
      </c>
      <c r="C4742" t="s">
        <v>47</v>
      </c>
      <c r="D4742">
        <v>9755280</v>
      </c>
      <c r="E4742" t="s">
        <v>53</v>
      </c>
      <c r="F4742" t="s">
        <v>49</v>
      </c>
      <c r="G4742" s="30">
        <v>356586.94546672603</v>
      </c>
    </row>
    <row r="4743" spans="1:7" x14ac:dyDescent="0.25">
      <c r="A4743" t="s">
        <v>54</v>
      </c>
      <c r="B4743" t="s">
        <v>55</v>
      </c>
      <c r="C4743" t="s">
        <v>56</v>
      </c>
      <c r="D4743">
        <v>9755390</v>
      </c>
      <c r="E4743" t="s">
        <v>53</v>
      </c>
      <c r="F4743" t="s">
        <v>49</v>
      </c>
      <c r="G4743" s="30">
        <v>120036.44845778801</v>
      </c>
    </row>
    <row r="4744" spans="1:7" x14ac:dyDescent="0.25">
      <c r="A4744" t="s">
        <v>45</v>
      </c>
      <c r="B4744" t="s">
        <v>46</v>
      </c>
      <c r="C4744" t="s">
        <v>47</v>
      </c>
      <c r="D4744">
        <v>9756149</v>
      </c>
      <c r="E4744" t="s">
        <v>48</v>
      </c>
      <c r="F4744" t="s">
        <v>49</v>
      </c>
      <c r="G4744" s="30">
        <v>1.52</v>
      </c>
    </row>
    <row r="4745" spans="1:7" x14ac:dyDescent="0.25">
      <c r="A4745" t="s">
        <v>50</v>
      </c>
      <c r="B4745" t="s">
        <v>51</v>
      </c>
      <c r="C4745" t="s">
        <v>52</v>
      </c>
      <c r="D4745">
        <v>9756718</v>
      </c>
      <c r="E4745" t="s">
        <v>53</v>
      </c>
      <c r="F4745" t="s">
        <v>49</v>
      </c>
      <c r="G4745" s="30">
        <v>100</v>
      </c>
    </row>
    <row r="4746" spans="1:7" x14ac:dyDescent="0.25">
      <c r="A4746" t="s">
        <v>50</v>
      </c>
      <c r="B4746" t="s">
        <v>51</v>
      </c>
      <c r="C4746" t="s">
        <v>52</v>
      </c>
      <c r="D4746">
        <v>9757095</v>
      </c>
      <c r="E4746" t="s">
        <v>53</v>
      </c>
      <c r="F4746" t="s">
        <v>49</v>
      </c>
      <c r="G4746" s="30">
        <v>44936.913627803697</v>
      </c>
    </row>
    <row r="4747" spans="1:7" x14ac:dyDescent="0.25">
      <c r="A4747" t="s">
        <v>45</v>
      </c>
      <c r="B4747" t="s">
        <v>46</v>
      </c>
      <c r="C4747" t="s">
        <v>47</v>
      </c>
      <c r="D4747">
        <v>9757203</v>
      </c>
      <c r="E4747" t="s">
        <v>53</v>
      </c>
      <c r="F4747" t="s">
        <v>49</v>
      </c>
      <c r="G4747" s="30">
        <v>6574.7513367387801</v>
      </c>
    </row>
    <row r="4748" spans="1:7" x14ac:dyDescent="0.25">
      <c r="A4748" t="s">
        <v>133</v>
      </c>
      <c r="B4748" t="s">
        <v>134</v>
      </c>
      <c r="C4748" t="s">
        <v>47</v>
      </c>
      <c r="D4748">
        <v>9762743</v>
      </c>
      <c r="E4748" t="s">
        <v>53</v>
      </c>
      <c r="F4748" t="s">
        <v>49</v>
      </c>
      <c r="G4748" s="30">
        <v>603201.96</v>
      </c>
    </row>
    <row r="4749" spans="1:7" x14ac:dyDescent="0.25">
      <c r="A4749" t="s">
        <v>50</v>
      </c>
      <c r="B4749" t="s">
        <v>51</v>
      </c>
      <c r="C4749" t="s">
        <v>52</v>
      </c>
      <c r="D4749">
        <v>9767021</v>
      </c>
      <c r="E4749" t="s">
        <v>53</v>
      </c>
      <c r="F4749" t="s">
        <v>49</v>
      </c>
      <c r="G4749" s="30">
        <v>13460.405646032499</v>
      </c>
    </row>
    <row r="4750" spans="1:7" x14ac:dyDescent="0.25">
      <c r="A4750" t="s">
        <v>45</v>
      </c>
      <c r="B4750" t="s">
        <v>46</v>
      </c>
      <c r="C4750" t="s">
        <v>47</v>
      </c>
      <c r="D4750">
        <v>9769184</v>
      </c>
      <c r="E4750" t="s">
        <v>48</v>
      </c>
      <c r="F4750" t="s">
        <v>49</v>
      </c>
      <c r="G4750" s="30">
        <v>0</v>
      </c>
    </row>
    <row r="4751" spans="1:7" x14ac:dyDescent="0.25">
      <c r="A4751" t="s">
        <v>45</v>
      </c>
      <c r="B4751" t="s">
        <v>46</v>
      </c>
      <c r="C4751" t="s">
        <v>47</v>
      </c>
      <c r="D4751">
        <v>9773119</v>
      </c>
      <c r="E4751" t="s">
        <v>53</v>
      </c>
      <c r="F4751" t="s">
        <v>49</v>
      </c>
      <c r="G4751" s="30">
        <v>99443.644796548906</v>
      </c>
    </row>
    <row r="4752" spans="1:7" x14ac:dyDescent="0.25">
      <c r="A4752" t="s">
        <v>45</v>
      </c>
      <c r="B4752" t="s">
        <v>46</v>
      </c>
      <c r="C4752" t="s">
        <v>47</v>
      </c>
      <c r="D4752">
        <v>9774882</v>
      </c>
      <c r="E4752" t="s">
        <v>48</v>
      </c>
      <c r="F4752" t="s">
        <v>49</v>
      </c>
      <c r="G4752" s="30">
        <v>0</v>
      </c>
    </row>
    <row r="4753" spans="1:7" x14ac:dyDescent="0.25">
      <c r="A4753" t="s">
        <v>118</v>
      </c>
      <c r="B4753" t="s">
        <v>119</v>
      </c>
      <c r="C4753" t="s">
        <v>56</v>
      </c>
      <c r="D4753">
        <v>9777966</v>
      </c>
      <c r="E4753" t="s">
        <v>53</v>
      </c>
      <c r="F4753" t="s">
        <v>49</v>
      </c>
      <c r="G4753" s="30">
        <v>123943.753453392</v>
      </c>
    </row>
    <row r="4754" spans="1:7" x14ac:dyDescent="0.25">
      <c r="A4754" t="s">
        <v>45</v>
      </c>
      <c r="B4754" t="s">
        <v>46</v>
      </c>
      <c r="C4754" t="s">
        <v>47</v>
      </c>
      <c r="D4754">
        <v>9787261</v>
      </c>
      <c r="E4754" t="s">
        <v>48</v>
      </c>
      <c r="F4754" t="s">
        <v>49</v>
      </c>
      <c r="G4754" s="30">
        <v>15.5</v>
      </c>
    </row>
    <row r="4755" spans="1:7" x14ac:dyDescent="0.25">
      <c r="A4755" t="s">
        <v>45</v>
      </c>
      <c r="B4755" t="s">
        <v>46</v>
      </c>
      <c r="C4755" t="s">
        <v>47</v>
      </c>
      <c r="D4755">
        <v>9794506</v>
      </c>
      <c r="E4755" t="s">
        <v>53</v>
      </c>
      <c r="F4755" t="s">
        <v>49</v>
      </c>
      <c r="G4755" s="30">
        <v>9918.0730157405196</v>
      </c>
    </row>
    <row r="4756" spans="1:7" x14ac:dyDescent="0.25">
      <c r="A4756" t="s">
        <v>45</v>
      </c>
      <c r="B4756" t="s">
        <v>46</v>
      </c>
      <c r="C4756" t="s">
        <v>47</v>
      </c>
      <c r="D4756">
        <v>9796335</v>
      </c>
      <c r="E4756" t="s">
        <v>48</v>
      </c>
      <c r="F4756" t="s">
        <v>49</v>
      </c>
      <c r="G4756" s="30">
        <v>0</v>
      </c>
    </row>
    <row r="4757" spans="1:7" x14ac:dyDescent="0.25">
      <c r="A4757" t="s">
        <v>63</v>
      </c>
      <c r="B4757" t="s">
        <v>64</v>
      </c>
      <c r="C4757" t="s">
        <v>56</v>
      </c>
      <c r="D4757">
        <v>9796387</v>
      </c>
      <c r="E4757" t="s">
        <v>53</v>
      </c>
      <c r="F4757" t="s">
        <v>49</v>
      </c>
      <c r="G4757" s="30">
        <v>364592.86047918798</v>
      </c>
    </row>
    <row r="4758" spans="1:7" x14ac:dyDescent="0.25">
      <c r="A4758" t="s">
        <v>79</v>
      </c>
      <c r="B4758" t="s">
        <v>80</v>
      </c>
      <c r="C4758" t="s">
        <v>81</v>
      </c>
      <c r="D4758">
        <v>9796839</v>
      </c>
      <c r="E4758" t="s">
        <v>48</v>
      </c>
      <c r="F4758" t="s">
        <v>49</v>
      </c>
      <c r="G4758" s="30">
        <v>0.22</v>
      </c>
    </row>
    <row r="4759" spans="1:7" x14ac:dyDescent="0.25">
      <c r="A4759" t="s">
        <v>90</v>
      </c>
      <c r="B4759" t="s">
        <v>91</v>
      </c>
      <c r="C4759" t="s">
        <v>81</v>
      </c>
      <c r="D4759">
        <v>9797461</v>
      </c>
      <c r="E4759" t="s">
        <v>53</v>
      </c>
      <c r="F4759" t="s">
        <v>49</v>
      </c>
      <c r="G4759" s="30">
        <v>560766.53002139402</v>
      </c>
    </row>
    <row r="4760" spans="1:7" x14ac:dyDescent="0.25">
      <c r="A4760" t="s">
        <v>72</v>
      </c>
      <c r="B4760" t="s">
        <v>73</v>
      </c>
      <c r="C4760" t="s">
        <v>67</v>
      </c>
      <c r="D4760">
        <v>9798653</v>
      </c>
      <c r="E4760" t="s">
        <v>53</v>
      </c>
      <c r="F4760" t="s">
        <v>49</v>
      </c>
      <c r="G4760" s="30">
        <v>1119159.45910986</v>
      </c>
    </row>
    <row r="4761" spans="1:7" x14ac:dyDescent="0.25">
      <c r="A4761" t="s">
        <v>45</v>
      </c>
      <c r="B4761" t="s">
        <v>46</v>
      </c>
      <c r="C4761" t="s">
        <v>47</v>
      </c>
      <c r="D4761">
        <v>9799468</v>
      </c>
      <c r="E4761" t="s">
        <v>48</v>
      </c>
      <c r="F4761" t="s">
        <v>49</v>
      </c>
      <c r="G4761" s="30">
        <v>0</v>
      </c>
    </row>
    <row r="4762" spans="1:7" x14ac:dyDescent="0.25">
      <c r="A4762" t="s">
        <v>45</v>
      </c>
      <c r="B4762" t="s">
        <v>46</v>
      </c>
      <c r="C4762" t="s">
        <v>47</v>
      </c>
      <c r="D4762">
        <v>9802039</v>
      </c>
      <c r="E4762" t="s">
        <v>48</v>
      </c>
      <c r="F4762" t="s">
        <v>49</v>
      </c>
      <c r="G4762" s="30">
        <v>0</v>
      </c>
    </row>
    <row r="4763" spans="1:7" x14ac:dyDescent="0.25">
      <c r="A4763" t="s">
        <v>92</v>
      </c>
      <c r="B4763" t="s">
        <v>93</v>
      </c>
      <c r="C4763" t="s">
        <v>81</v>
      </c>
      <c r="D4763">
        <v>9803538</v>
      </c>
      <c r="E4763" t="s">
        <v>53</v>
      </c>
      <c r="F4763" t="s">
        <v>49</v>
      </c>
      <c r="G4763" s="30">
        <v>231893.2405514</v>
      </c>
    </row>
    <row r="4764" spans="1:7" x14ac:dyDescent="0.25">
      <c r="A4764" t="s">
        <v>45</v>
      </c>
      <c r="B4764" t="s">
        <v>46</v>
      </c>
      <c r="C4764" t="s">
        <v>47</v>
      </c>
      <c r="D4764">
        <v>9807820</v>
      </c>
      <c r="E4764" t="s">
        <v>48</v>
      </c>
      <c r="F4764" t="s">
        <v>49</v>
      </c>
      <c r="G4764" s="30">
        <v>0.17</v>
      </c>
    </row>
    <row r="4765" spans="1:7" x14ac:dyDescent="0.25">
      <c r="A4765" t="s">
        <v>45</v>
      </c>
      <c r="B4765" t="s">
        <v>46</v>
      </c>
      <c r="C4765" t="s">
        <v>47</v>
      </c>
      <c r="D4765">
        <v>9810950</v>
      </c>
      <c r="E4765" t="s">
        <v>53</v>
      </c>
      <c r="F4765" t="s">
        <v>49</v>
      </c>
      <c r="G4765" s="30">
        <v>3647.99</v>
      </c>
    </row>
    <row r="4766" spans="1:7" x14ac:dyDescent="0.25">
      <c r="A4766" t="s">
        <v>92</v>
      </c>
      <c r="B4766" t="s">
        <v>93</v>
      </c>
      <c r="C4766" t="s">
        <v>81</v>
      </c>
      <c r="D4766">
        <v>9811193</v>
      </c>
      <c r="E4766" t="s">
        <v>53</v>
      </c>
      <c r="F4766" t="s">
        <v>49</v>
      </c>
      <c r="G4766" s="30">
        <v>59686.610156249997</v>
      </c>
    </row>
    <row r="4767" spans="1:7" x14ac:dyDescent="0.25">
      <c r="A4767" t="s">
        <v>65</v>
      </c>
      <c r="B4767" t="s">
        <v>66</v>
      </c>
      <c r="C4767" t="s">
        <v>67</v>
      </c>
      <c r="D4767">
        <v>9813205</v>
      </c>
      <c r="E4767" t="s">
        <v>53</v>
      </c>
      <c r="F4767" t="s">
        <v>49</v>
      </c>
      <c r="G4767" s="30">
        <v>2358252.6396908099</v>
      </c>
    </row>
    <row r="4768" spans="1:7" x14ac:dyDescent="0.25">
      <c r="A4768" t="s">
        <v>45</v>
      </c>
      <c r="B4768" t="s">
        <v>46</v>
      </c>
      <c r="C4768" t="s">
        <v>47</v>
      </c>
      <c r="D4768">
        <v>9813798</v>
      </c>
      <c r="E4768" t="s">
        <v>48</v>
      </c>
      <c r="F4768" t="s">
        <v>49</v>
      </c>
      <c r="G4768" s="30">
        <v>0</v>
      </c>
    </row>
    <row r="4769" spans="1:7" x14ac:dyDescent="0.25">
      <c r="A4769" t="s">
        <v>90</v>
      </c>
      <c r="B4769" t="s">
        <v>91</v>
      </c>
      <c r="C4769" t="s">
        <v>81</v>
      </c>
      <c r="D4769">
        <v>9814558</v>
      </c>
      <c r="E4769" t="s">
        <v>53</v>
      </c>
      <c r="F4769" t="s">
        <v>49</v>
      </c>
      <c r="G4769" s="30">
        <v>773189.58094231295</v>
      </c>
    </row>
    <row r="4770" spans="1:7" x14ac:dyDescent="0.25">
      <c r="A4770" t="s">
        <v>45</v>
      </c>
      <c r="B4770" t="s">
        <v>46</v>
      </c>
      <c r="C4770" t="s">
        <v>47</v>
      </c>
      <c r="D4770">
        <v>9816009</v>
      </c>
      <c r="E4770" t="s">
        <v>48</v>
      </c>
      <c r="F4770" t="s">
        <v>49</v>
      </c>
      <c r="G4770" s="30">
        <v>0</v>
      </c>
    </row>
    <row r="4771" spans="1:7" x14ac:dyDescent="0.25">
      <c r="A4771" t="s">
        <v>104</v>
      </c>
      <c r="B4771" t="s">
        <v>105</v>
      </c>
      <c r="C4771" t="s">
        <v>78</v>
      </c>
      <c r="D4771">
        <v>9816338</v>
      </c>
      <c r="E4771" t="s">
        <v>53</v>
      </c>
      <c r="F4771" t="s">
        <v>49</v>
      </c>
      <c r="G4771" s="30">
        <v>101210.889350586</v>
      </c>
    </row>
    <row r="4772" spans="1:7" x14ac:dyDescent="0.25">
      <c r="A4772" t="s">
        <v>90</v>
      </c>
      <c r="B4772" t="s">
        <v>91</v>
      </c>
      <c r="C4772" t="s">
        <v>81</v>
      </c>
      <c r="D4772">
        <v>9819809</v>
      </c>
      <c r="E4772" t="s">
        <v>53</v>
      </c>
      <c r="F4772" t="s">
        <v>49</v>
      </c>
      <c r="G4772" s="30">
        <v>1592879.8642066999</v>
      </c>
    </row>
    <row r="4773" spans="1:7" x14ac:dyDescent="0.25">
      <c r="A4773" t="s">
        <v>96</v>
      </c>
      <c r="B4773" t="s">
        <v>97</v>
      </c>
      <c r="C4773" t="s">
        <v>81</v>
      </c>
      <c r="D4773">
        <v>9821278</v>
      </c>
      <c r="E4773" t="s">
        <v>48</v>
      </c>
      <c r="F4773" t="s">
        <v>49</v>
      </c>
      <c r="G4773" s="30">
        <v>0</v>
      </c>
    </row>
    <row r="4774" spans="1:7" x14ac:dyDescent="0.25">
      <c r="A4774" t="s">
        <v>45</v>
      </c>
      <c r="B4774" t="s">
        <v>46</v>
      </c>
      <c r="C4774" t="s">
        <v>47</v>
      </c>
      <c r="D4774">
        <v>9828867</v>
      </c>
      <c r="E4774" t="s">
        <v>48</v>
      </c>
      <c r="F4774" t="s">
        <v>49</v>
      </c>
      <c r="G4774" s="30">
        <v>0</v>
      </c>
    </row>
    <row r="4775" spans="1:7" x14ac:dyDescent="0.25">
      <c r="A4775" t="s">
        <v>50</v>
      </c>
      <c r="B4775" t="s">
        <v>51</v>
      </c>
      <c r="C4775" t="s">
        <v>52</v>
      </c>
      <c r="D4775">
        <v>9832213</v>
      </c>
      <c r="E4775" t="s">
        <v>53</v>
      </c>
      <c r="F4775" t="s">
        <v>49</v>
      </c>
      <c r="G4775" s="30">
        <v>12131.522265625001</v>
      </c>
    </row>
    <row r="4776" spans="1:7" x14ac:dyDescent="0.25">
      <c r="A4776" t="s">
        <v>45</v>
      </c>
      <c r="B4776" t="s">
        <v>46</v>
      </c>
      <c r="C4776" t="s">
        <v>47</v>
      </c>
      <c r="D4776">
        <v>9832820</v>
      </c>
      <c r="E4776" t="s">
        <v>48</v>
      </c>
      <c r="F4776" t="s">
        <v>49</v>
      </c>
      <c r="G4776" s="30">
        <v>0</v>
      </c>
    </row>
    <row r="4777" spans="1:7" x14ac:dyDescent="0.25">
      <c r="A4777" t="s">
        <v>90</v>
      </c>
      <c r="B4777" t="s">
        <v>91</v>
      </c>
      <c r="C4777" t="s">
        <v>81</v>
      </c>
      <c r="D4777">
        <v>9833687</v>
      </c>
      <c r="E4777" t="s">
        <v>53</v>
      </c>
      <c r="F4777" t="s">
        <v>49</v>
      </c>
      <c r="G4777" s="30">
        <v>1631250.9825768401</v>
      </c>
    </row>
    <row r="4778" spans="1:7" x14ac:dyDescent="0.25">
      <c r="A4778" t="s">
        <v>92</v>
      </c>
      <c r="B4778" t="s">
        <v>93</v>
      </c>
      <c r="C4778" t="s">
        <v>81</v>
      </c>
      <c r="D4778">
        <v>9834173</v>
      </c>
      <c r="E4778" t="s">
        <v>48</v>
      </c>
      <c r="F4778" t="s">
        <v>49</v>
      </c>
      <c r="G4778" s="30">
        <v>0</v>
      </c>
    </row>
    <row r="4779" spans="1:7" x14ac:dyDescent="0.25">
      <c r="A4779" t="s">
        <v>45</v>
      </c>
      <c r="B4779" t="s">
        <v>46</v>
      </c>
      <c r="C4779" t="s">
        <v>47</v>
      </c>
      <c r="D4779">
        <v>9834447</v>
      </c>
      <c r="E4779" t="s">
        <v>48</v>
      </c>
      <c r="F4779" t="s">
        <v>49</v>
      </c>
      <c r="G4779" s="30">
        <v>0</v>
      </c>
    </row>
    <row r="4780" spans="1:7" x14ac:dyDescent="0.25">
      <c r="A4780" t="s">
        <v>45</v>
      </c>
      <c r="B4780" t="s">
        <v>46</v>
      </c>
      <c r="C4780" t="s">
        <v>47</v>
      </c>
      <c r="D4780">
        <v>9835008</v>
      </c>
      <c r="E4780" t="s">
        <v>48</v>
      </c>
      <c r="F4780" t="s">
        <v>49</v>
      </c>
      <c r="G4780" s="30">
        <v>0</v>
      </c>
    </row>
    <row r="4781" spans="1:7" x14ac:dyDescent="0.25">
      <c r="A4781" t="s">
        <v>118</v>
      </c>
      <c r="B4781" t="s">
        <v>119</v>
      </c>
      <c r="C4781" t="s">
        <v>56</v>
      </c>
      <c r="D4781">
        <v>9838898</v>
      </c>
      <c r="E4781" t="s">
        <v>53</v>
      </c>
      <c r="F4781" t="s">
        <v>49</v>
      </c>
      <c r="G4781" s="30">
        <v>736810.18265016598</v>
      </c>
    </row>
    <row r="4782" spans="1:7" x14ac:dyDescent="0.25">
      <c r="A4782" t="s">
        <v>90</v>
      </c>
      <c r="B4782" t="s">
        <v>91</v>
      </c>
      <c r="C4782" t="s">
        <v>81</v>
      </c>
      <c r="D4782">
        <v>9840372</v>
      </c>
      <c r="E4782" t="s">
        <v>53</v>
      </c>
      <c r="F4782" t="s">
        <v>49</v>
      </c>
      <c r="G4782" s="30">
        <v>122290.822715506</v>
      </c>
    </row>
    <row r="4783" spans="1:7" x14ac:dyDescent="0.25">
      <c r="A4783" t="s">
        <v>45</v>
      </c>
      <c r="B4783" t="s">
        <v>46</v>
      </c>
      <c r="C4783" t="s">
        <v>47</v>
      </c>
      <c r="D4783">
        <v>9843065</v>
      </c>
      <c r="E4783" t="s">
        <v>48</v>
      </c>
      <c r="F4783" t="s">
        <v>49</v>
      </c>
      <c r="G4783" s="30">
        <v>0</v>
      </c>
    </row>
    <row r="4784" spans="1:7" x14ac:dyDescent="0.25">
      <c r="A4784" t="s">
        <v>82</v>
      </c>
      <c r="B4784" t="s">
        <v>83</v>
      </c>
      <c r="C4784" t="s">
        <v>56</v>
      </c>
      <c r="D4784">
        <v>9843477</v>
      </c>
      <c r="E4784" t="s">
        <v>53</v>
      </c>
      <c r="F4784" t="s">
        <v>49</v>
      </c>
      <c r="G4784" s="30">
        <v>370577.51538755902</v>
      </c>
    </row>
    <row r="4785" spans="1:7" x14ac:dyDescent="0.25">
      <c r="A4785" t="s">
        <v>88</v>
      </c>
      <c r="B4785" t="s">
        <v>89</v>
      </c>
      <c r="C4785" t="s">
        <v>78</v>
      </c>
      <c r="D4785">
        <v>9843513</v>
      </c>
      <c r="E4785" t="s">
        <v>53</v>
      </c>
      <c r="F4785" t="s">
        <v>49</v>
      </c>
      <c r="G4785" s="30">
        <v>33270.2727734375</v>
      </c>
    </row>
    <row r="4786" spans="1:7" x14ac:dyDescent="0.25">
      <c r="A4786" t="s">
        <v>118</v>
      </c>
      <c r="B4786" t="s">
        <v>119</v>
      </c>
      <c r="C4786" t="s">
        <v>56</v>
      </c>
      <c r="D4786">
        <v>9851441</v>
      </c>
      <c r="E4786" t="s">
        <v>53</v>
      </c>
      <c r="F4786" t="s">
        <v>49</v>
      </c>
      <c r="G4786" s="30">
        <v>69116.820004642199</v>
      </c>
    </row>
    <row r="4787" spans="1:7" x14ac:dyDescent="0.25">
      <c r="A4787" t="s">
        <v>68</v>
      </c>
      <c r="B4787" t="s">
        <v>69</v>
      </c>
      <c r="C4787" t="s">
        <v>56</v>
      </c>
      <c r="D4787">
        <v>9852583</v>
      </c>
      <c r="E4787" t="s">
        <v>48</v>
      </c>
      <c r="F4787" t="s">
        <v>49</v>
      </c>
      <c r="G4787" s="30">
        <v>0</v>
      </c>
    </row>
    <row r="4788" spans="1:7" x14ac:dyDescent="0.25">
      <c r="A4788" t="s">
        <v>79</v>
      </c>
      <c r="B4788" t="s">
        <v>80</v>
      </c>
      <c r="C4788" t="s">
        <v>81</v>
      </c>
      <c r="D4788">
        <v>9852699</v>
      </c>
      <c r="E4788" t="s">
        <v>53</v>
      </c>
      <c r="F4788" t="s">
        <v>49</v>
      </c>
      <c r="G4788" s="30">
        <v>22557.745328799301</v>
      </c>
    </row>
    <row r="4789" spans="1:7" x14ac:dyDescent="0.25">
      <c r="A4789" t="s">
        <v>92</v>
      </c>
      <c r="B4789" t="s">
        <v>93</v>
      </c>
      <c r="C4789" t="s">
        <v>81</v>
      </c>
      <c r="D4789">
        <v>9852895</v>
      </c>
      <c r="E4789" t="s">
        <v>53</v>
      </c>
      <c r="F4789" t="s">
        <v>49</v>
      </c>
      <c r="G4789" s="30">
        <v>85033.768771981704</v>
      </c>
    </row>
    <row r="4790" spans="1:7" x14ac:dyDescent="0.25">
      <c r="A4790" t="s">
        <v>57</v>
      </c>
      <c r="B4790" t="s">
        <v>58</v>
      </c>
      <c r="C4790" t="s">
        <v>56</v>
      </c>
      <c r="D4790">
        <v>9854294</v>
      </c>
      <c r="E4790" t="s">
        <v>48</v>
      </c>
      <c r="F4790" t="s">
        <v>49</v>
      </c>
      <c r="G4790" s="30">
        <v>0</v>
      </c>
    </row>
    <row r="4791" spans="1:7" x14ac:dyDescent="0.25">
      <c r="A4791" t="s">
        <v>45</v>
      </c>
      <c r="B4791" t="s">
        <v>46</v>
      </c>
      <c r="C4791" t="s">
        <v>47</v>
      </c>
      <c r="D4791">
        <v>9861735</v>
      </c>
      <c r="E4791" t="s">
        <v>48</v>
      </c>
      <c r="F4791" t="s">
        <v>49</v>
      </c>
      <c r="G4791" s="30">
        <v>0</v>
      </c>
    </row>
    <row r="4792" spans="1:7" x14ac:dyDescent="0.25">
      <c r="A4792" t="s">
        <v>45</v>
      </c>
      <c r="B4792" t="s">
        <v>46</v>
      </c>
      <c r="C4792" t="s">
        <v>47</v>
      </c>
      <c r="D4792">
        <v>9861744</v>
      </c>
      <c r="E4792" t="s">
        <v>48</v>
      </c>
      <c r="F4792" t="s">
        <v>49</v>
      </c>
      <c r="G4792" s="30">
        <v>0</v>
      </c>
    </row>
    <row r="4793" spans="1:7" x14ac:dyDescent="0.25">
      <c r="A4793" t="s">
        <v>50</v>
      </c>
      <c r="B4793" t="s">
        <v>51</v>
      </c>
      <c r="C4793" t="s">
        <v>52</v>
      </c>
      <c r="D4793">
        <v>9864700</v>
      </c>
      <c r="E4793" t="s">
        <v>53</v>
      </c>
      <c r="F4793" t="s">
        <v>49</v>
      </c>
      <c r="G4793" s="30">
        <v>77637.501436314793</v>
      </c>
    </row>
    <row r="4794" spans="1:7" x14ac:dyDescent="0.25">
      <c r="A4794" t="s">
        <v>90</v>
      </c>
      <c r="B4794" t="s">
        <v>91</v>
      </c>
      <c r="C4794" t="s">
        <v>81</v>
      </c>
      <c r="D4794">
        <v>9870484</v>
      </c>
      <c r="E4794" t="s">
        <v>53</v>
      </c>
      <c r="F4794" t="s">
        <v>49</v>
      </c>
      <c r="G4794" s="30">
        <v>700738.51597902202</v>
      </c>
    </row>
    <row r="4795" spans="1:7" x14ac:dyDescent="0.25">
      <c r="A4795" t="s">
        <v>61</v>
      </c>
      <c r="B4795" t="s">
        <v>62</v>
      </c>
      <c r="C4795" t="s">
        <v>56</v>
      </c>
      <c r="D4795">
        <v>9870749</v>
      </c>
      <c r="E4795" t="s">
        <v>48</v>
      </c>
      <c r="F4795" t="s">
        <v>49</v>
      </c>
      <c r="G4795" s="30">
        <v>0</v>
      </c>
    </row>
    <row r="4796" spans="1:7" x14ac:dyDescent="0.25">
      <c r="A4796" t="s">
        <v>45</v>
      </c>
      <c r="B4796" t="s">
        <v>46</v>
      </c>
      <c r="C4796" t="s">
        <v>47</v>
      </c>
      <c r="D4796">
        <v>9872457</v>
      </c>
      <c r="E4796" t="s">
        <v>53</v>
      </c>
      <c r="F4796" t="s">
        <v>49</v>
      </c>
      <c r="G4796" s="30">
        <v>18624.790163668698</v>
      </c>
    </row>
    <row r="4797" spans="1:7" x14ac:dyDescent="0.25">
      <c r="A4797" t="s">
        <v>65</v>
      </c>
      <c r="B4797" t="s">
        <v>66</v>
      </c>
      <c r="C4797" t="s">
        <v>67</v>
      </c>
      <c r="D4797">
        <v>9880109</v>
      </c>
      <c r="E4797" t="s">
        <v>53</v>
      </c>
      <c r="F4797" t="s">
        <v>49</v>
      </c>
      <c r="G4797" s="30">
        <v>480376.302783505</v>
      </c>
    </row>
    <row r="4798" spans="1:7" x14ac:dyDescent="0.25">
      <c r="A4798" t="s">
        <v>45</v>
      </c>
      <c r="B4798" t="s">
        <v>46</v>
      </c>
      <c r="C4798" t="s">
        <v>47</v>
      </c>
      <c r="D4798">
        <v>9889227</v>
      </c>
      <c r="E4798" t="s">
        <v>48</v>
      </c>
      <c r="F4798" t="s">
        <v>49</v>
      </c>
      <c r="G4798" s="30">
        <v>0</v>
      </c>
    </row>
    <row r="4799" spans="1:7" x14ac:dyDescent="0.25">
      <c r="A4799" t="s">
        <v>96</v>
      </c>
      <c r="B4799" t="s">
        <v>97</v>
      </c>
      <c r="C4799" t="s">
        <v>81</v>
      </c>
      <c r="D4799">
        <v>9893035</v>
      </c>
      <c r="E4799" t="s">
        <v>53</v>
      </c>
      <c r="F4799" t="s">
        <v>49</v>
      </c>
      <c r="G4799" s="30">
        <v>12994.896261412699</v>
      </c>
    </row>
    <row r="4800" spans="1:7" x14ac:dyDescent="0.25">
      <c r="A4800" t="s">
        <v>57</v>
      </c>
      <c r="B4800" t="s">
        <v>58</v>
      </c>
      <c r="C4800" t="s">
        <v>56</v>
      </c>
      <c r="D4800">
        <v>9899412</v>
      </c>
      <c r="E4800" t="s">
        <v>48</v>
      </c>
      <c r="F4800" t="s">
        <v>49</v>
      </c>
      <c r="G4800" s="30">
        <v>0</v>
      </c>
    </row>
    <row r="4801" spans="1:7" x14ac:dyDescent="0.25">
      <c r="A4801" t="s">
        <v>86</v>
      </c>
      <c r="B4801" t="s">
        <v>87</v>
      </c>
      <c r="C4801" t="s">
        <v>78</v>
      </c>
      <c r="D4801">
        <v>9899451</v>
      </c>
      <c r="E4801" t="s">
        <v>53</v>
      </c>
      <c r="F4801" t="s">
        <v>49</v>
      </c>
      <c r="G4801" s="30">
        <v>852946.360108005</v>
      </c>
    </row>
    <row r="4802" spans="1:7" x14ac:dyDescent="0.25">
      <c r="A4802" t="s">
        <v>122</v>
      </c>
      <c r="B4802" t="s">
        <v>123</v>
      </c>
      <c r="C4802" t="s">
        <v>52</v>
      </c>
      <c r="D4802">
        <v>9901543</v>
      </c>
      <c r="E4802" t="s">
        <v>53</v>
      </c>
      <c r="F4802" t="s">
        <v>49</v>
      </c>
      <c r="G4802" s="30">
        <v>1394831.5926356299</v>
      </c>
    </row>
    <row r="4803" spans="1:7" x14ac:dyDescent="0.25">
      <c r="A4803" t="s">
        <v>90</v>
      </c>
      <c r="B4803" t="s">
        <v>91</v>
      </c>
      <c r="C4803" t="s">
        <v>81</v>
      </c>
      <c r="D4803">
        <v>9903216</v>
      </c>
      <c r="E4803" t="s">
        <v>53</v>
      </c>
      <c r="F4803" t="s">
        <v>49</v>
      </c>
      <c r="G4803" s="30">
        <v>640007.47482827597</v>
      </c>
    </row>
    <row r="4804" spans="1:7" x14ac:dyDescent="0.25">
      <c r="A4804" t="s">
        <v>45</v>
      </c>
      <c r="B4804" t="s">
        <v>46</v>
      </c>
      <c r="C4804" t="s">
        <v>47</v>
      </c>
      <c r="D4804">
        <v>9903548</v>
      </c>
      <c r="E4804" t="s">
        <v>48</v>
      </c>
      <c r="F4804" t="s">
        <v>49</v>
      </c>
      <c r="G4804" s="30">
        <v>0</v>
      </c>
    </row>
    <row r="4805" spans="1:7" x14ac:dyDescent="0.25">
      <c r="A4805" t="s">
        <v>70</v>
      </c>
      <c r="B4805" t="s">
        <v>71</v>
      </c>
      <c r="C4805" t="s">
        <v>47</v>
      </c>
      <c r="D4805">
        <v>9904500</v>
      </c>
      <c r="E4805" t="s">
        <v>53</v>
      </c>
      <c r="F4805" t="s">
        <v>49</v>
      </c>
      <c r="G4805" s="30">
        <v>1923385.76953125</v>
      </c>
    </row>
    <row r="4806" spans="1:7" x14ac:dyDescent="0.25">
      <c r="A4806" t="s">
        <v>86</v>
      </c>
      <c r="B4806" t="s">
        <v>87</v>
      </c>
      <c r="C4806" t="s">
        <v>78</v>
      </c>
      <c r="D4806">
        <v>9905518</v>
      </c>
      <c r="E4806" t="s">
        <v>53</v>
      </c>
      <c r="F4806" t="s">
        <v>49</v>
      </c>
      <c r="G4806" s="30">
        <v>44869.7081801647</v>
      </c>
    </row>
    <row r="4807" spans="1:7" x14ac:dyDescent="0.25">
      <c r="A4807" t="s">
        <v>90</v>
      </c>
      <c r="B4807" t="s">
        <v>91</v>
      </c>
      <c r="C4807" t="s">
        <v>81</v>
      </c>
      <c r="D4807">
        <v>9905752</v>
      </c>
      <c r="E4807" t="s">
        <v>53</v>
      </c>
      <c r="F4807" t="s">
        <v>49</v>
      </c>
      <c r="G4807" s="30">
        <v>265714.621031255</v>
      </c>
    </row>
    <row r="4808" spans="1:7" x14ac:dyDescent="0.25">
      <c r="A4808" t="s">
        <v>118</v>
      </c>
      <c r="B4808" t="s">
        <v>119</v>
      </c>
      <c r="C4808" t="s">
        <v>56</v>
      </c>
      <c r="D4808">
        <v>9906401</v>
      </c>
      <c r="E4808" t="s">
        <v>53</v>
      </c>
      <c r="F4808" t="s">
        <v>49</v>
      </c>
      <c r="G4808" s="30">
        <v>71682.443630733207</v>
      </c>
    </row>
    <row r="4809" spans="1:7" x14ac:dyDescent="0.25">
      <c r="A4809" t="s">
        <v>45</v>
      </c>
      <c r="B4809" t="s">
        <v>46</v>
      </c>
      <c r="C4809" t="s">
        <v>47</v>
      </c>
      <c r="D4809">
        <v>9908301</v>
      </c>
      <c r="E4809" t="s">
        <v>48</v>
      </c>
      <c r="F4809" t="s">
        <v>49</v>
      </c>
      <c r="G4809" s="30">
        <v>0</v>
      </c>
    </row>
    <row r="4810" spans="1:7" x14ac:dyDescent="0.25">
      <c r="A4810" t="s">
        <v>74</v>
      </c>
      <c r="B4810" t="s">
        <v>75</v>
      </c>
      <c r="C4810" t="s">
        <v>67</v>
      </c>
      <c r="D4810">
        <v>9908976</v>
      </c>
      <c r="E4810" t="s">
        <v>48</v>
      </c>
      <c r="F4810" t="s">
        <v>49</v>
      </c>
      <c r="G4810" s="30">
        <v>-1.99</v>
      </c>
    </row>
    <row r="4811" spans="1:7" x14ac:dyDescent="0.25">
      <c r="A4811" t="s">
        <v>86</v>
      </c>
      <c r="B4811" t="s">
        <v>87</v>
      </c>
      <c r="C4811" t="s">
        <v>78</v>
      </c>
      <c r="D4811">
        <v>9909731</v>
      </c>
      <c r="E4811" t="s">
        <v>53</v>
      </c>
      <c r="F4811" t="s">
        <v>49</v>
      </c>
      <c r="G4811" s="30">
        <v>1080998.6498362201</v>
      </c>
    </row>
    <row r="4812" spans="1:7" x14ac:dyDescent="0.25">
      <c r="A4812" t="s">
        <v>50</v>
      </c>
      <c r="B4812" t="s">
        <v>51</v>
      </c>
      <c r="C4812" t="s">
        <v>52</v>
      </c>
      <c r="D4812">
        <v>9911755</v>
      </c>
      <c r="E4812" t="s">
        <v>53</v>
      </c>
      <c r="F4812" t="s">
        <v>49</v>
      </c>
      <c r="G4812" s="30">
        <v>781.29714300552098</v>
      </c>
    </row>
    <row r="4813" spans="1:7" x14ac:dyDescent="0.25">
      <c r="A4813" t="s">
        <v>45</v>
      </c>
      <c r="B4813" t="s">
        <v>46</v>
      </c>
      <c r="C4813" t="s">
        <v>47</v>
      </c>
      <c r="D4813">
        <v>9912064</v>
      </c>
      <c r="E4813" t="s">
        <v>53</v>
      </c>
      <c r="F4813" t="s">
        <v>49</v>
      </c>
      <c r="G4813" s="30">
        <v>13898.5675977707</v>
      </c>
    </row>
    <row r="4814" spans="1:7" x14ac:dyDescent="0.25">
      <c r="A4814" t="s">
        <v>45</v>
      </c>
      <c r="B4814" t="s">
        <v>46</v>
      </c>
      <c r="C4814" t="s">
        <v>47</v>
      </c>
      <c r="D4814">
        <v>9925057</v>
      </c>
      <c r="E4814" t="s">
        <v>48</v>
      </c>
      <c r="F4814" t="s">
        <v>49</v>
      </c>
      <c r="G4814" s="30">
        <v>0</v>
      </c>
    </row>
    <row r="4815" spans="1:7" x14ac:dyDescent="0.25">
      <c r="A4815" t="s">
        <v>45</v>
      </c>
      <c r="B4815" t="s">
        <v>46</v>
      </c>
      <c r="C4815" t="s">
        <v>47</v>
      </c>
      <c r="D4815">
        <v>9926664</v>
      </c>
      <c r="E4815" t="s">
        <v>48</v>
      </c>
      <c r="F4815" t="s">
        <v>49</v>
      </c>
      <c r="G4815" s="30">
        <v>0.46</v>
      </c>
    </row>
    <row r="4816" spans="1:7" x14ac:dyDescent="0.25">
      <c r="A4816" t="s">
        <v>54</v>
      </c>
      <c r="B4816" t="s">
        <v>55</v>
      </c>
      <c r="C4816" t="s">
        <v>56</v>
      </c>
      <c r="D4816">
        <v>9936267</v>
      </c>
      <c r="E4816" t="s">
        <v>53</v>
      </c>
      <c r="F4816" t="s">
        <v>49</v>
      </c>
      <c r="G4816" s="30">
        <v>94480.010188168395</v>
      </c>
    </row>
    <row r="4817" spans="1:7" x14ac:dyDescent="0.25">
      <c r="A4817" t="s">
        <v>45</v>
      </c>
      <c r="B4817" t="s">
        <v>46</v>
      </c>
      <c r="C4817" t="s">
        <v>47</v>
      </c>
      <c r="D4817">
        <v>9946458</v>
      </c>
      <c r="E4817" t="s">
        <v>48</v>
      </c>
      <c r="F4817" t="s">
        <v>49</v>
      </c>
      <c r="G4817" s="30">
        <v>0</v>
      </c>
    </row>
    <row r="4818" spans="1:7" x14ac:dyDescent="0.25">
      <c r="A4818" t="s">
        <v>63</v>
      </c>
      <c r="B4818" t="s">
        <v>64</v>
      </c>
      <c r="C4818" t="s">
        <v>56</v>
      </c>
      <c r="D4818">
        <v>9947295</v>
      </c>
      <c r="E4818" t="s">
        <v>53</v>
      </c>
      <c r="F4818" t="s">
        <v>49</v>
      </c>
      <c r="G4818" s="30">
        <v>840507.08879805997</v>
      </c>
    </row>
    <row r="4819" spans="1:7" x14ac:dyDescent="0.25">
      <c r="A4819" t="s">
        <v>61</v>
      </c>
      <c r="B4819" t="s">
        <v>62</v>
      </c>
      <c r="C4819" t="s">
        <v>56</v>
      </c>
      <c r="D4819">
        <v>9947555</v>
      </c>
      <c r="E4819" t="s">
        <v>48</v>
      </c>
      <c r="F4819" t="s">
        <v>49</v>
      </c>
      <c r="G4819" s="30">
        <v>0</v>
      </c>
    </row>
    <row r="4820" spans="1:7" x14ac:dyDescent="0.25">
      <c r="A4820" t="s">
        <v>50</v>
      </c>
      <c r="B4820" t="s">
        <v>51</v>
      </c>
      <c r="C4820" t="s">
        <v>52</v>
      </c>
      <c r="D4820">
        <v>9947645</v>
      </c>
      <c r="E4820" t="s">
        <v>48</v>
      </c>
      <c r="F4820" t="s">
        <v>49</v>
      </c>
      <c r="G4820" s="30">
        <v>0</v>
      </c>
    </row>
    <row r="4821" spans="1:7" x14ac:dyDescent="0.25">
      <c r="A4821" t="s">
        <v>45</v>
      </c>
      <c r="B4821" t="s">
        <v>46</v>
      </c>
      <c r="C4821" t="s">
        <v>47</v>
      </c>
      <c r="D4821">
        <v>9948447</v>
      </c>
      <c r="E4821" t="s">
        <v>48</v>
      </c>
      <c r="F4821" t="s">
        <v>49</v>
      </c>
      <c r="G4821" s="30">
        <v>0</v>
      </c>
    </row>
    <row r="4822" spans="1:7" x14ac:dyDescent="0.25">
      <c r="A4822" t="s">
        <v>45</v>
      </c>
      <c r="B4822" t="s">
        <v>46</v>
      </c>
      <c r="C4822" t="s">
        <v>47</v>
      </c>
      <c r="D4822">
        <v>9948516</v>
      </c>
      <c r="E4822" t="s">
        <v>48</v>
      </c>
      <c r="F4822" t="s">
        <v>49</v>
      </c>
      <c r="G4822" s="30">
        <v>0</v>
      </c>
    </row>
    <row r="4823" spans="1:7" x14ac:dyDescent="0.25">
      <c r="A4823" t="s">
        <v>45</v>
      </c>
      <c r="B4823" t="s">
        <v>46</v>
      </c>
      <c r="C4823" t="s">
        <v>47</v>
      </c>
      <c r="D4823">
        <v>9954186</v>
      </c>
      <c r="E4823" t="s">
        <v>53</v>
      </c>
      <c r="F4823" t="s">
        <v>49</v>
      </c>
      <c r="G4823" s="30">
        <v>5487.0864794967001</v>
      </c>
    </row>
    <row r="4824" spans="1:7" x14ac:dyDescent="0.25">
      <c r="A4824" t="s">
        <v>120</v>
      </c>
      <c r="B4824" t="s">
        <v>121</v>
      </c>
      <c r="C4824" t="s">
        <v>67</v>
      </c>
      <c r="D4824">
        <v>9954693</v>
      </c>
      <c r="E4824" t="s">
        <v>53</v>
      </c>
      <c r="F4824" t="s">
        <v>49</v>
      </c>
      <c r="G4824" s="30">
        <v>1260223.7049763401</v>
      </c>
    </row>
    <row r="4825" spans="1:7" x14ac:dyDescent="0.25">
      <c r="A4825" t="s">
        <v>45</v>
      </c>
      <c r="B4825" t="s">
        <v>46</v>
      </c>
      <c r="C4825" t="s">
        <v>47</v>
      </c>
      <c r="D4825">
        <v>9954813</v>
      </c>
      <c r="E4825" t="s">
        <v>48</v>
      </c>
      <c r="F4825" t="s">
        <v>49</v>
      </c>
      <c r="G4825" s="30">
        <v>0</v>
      </c>
    </row>
    <row r="4826" spans="1:7" x14ac:dyDescent="0.25">
      <c r="A4826" t="s">
        <v>45</v>
      </c>
      <c r="B4826" t="s">
        <v>46</v>
      </c>
      <c r="C4826" t="s">
        <v>47</v>
      </c>
      <c r="D4826">
        <v>9955077</v>
      </c>
      <c r="E4826" t="s">
        <v>48</v>
      </c>
      <c r="F4826" t="s">
        <v>49</v>
      </c>
      <c r="G4826" s="30">
        <v>63.04</v>
      </c>
    </row>
    <row r="4827" spans="1:7" x14ac:dyDescent="0.25">
      <c r="A4827" t="s">
        <v>45</v>
      </c>
      <c r="B4827" t="s">
        <v>46</v>
      </c>
      <c r="C4827" t="s">
        <v>47</v>
      </c>
      <c r="D4827">
        <v>9955924</v>
      </c>
      <c r="E4827" t="s">
        <v>48</v>
      </c>
      <c r="F4827" t="s">
        <v>49</v>
      </c>
      <c r="G4827" s="30">
        <v>0</v>
      </c>
    </row>
    <row r="4828" spans="1:7" x14ac:dyDescent="0.25">
      <c r="A4828" t="s">
        <v>45</v>
      </c>
      <c r="B4828" t="s">
        <v>46</v>
      </c>
      <c r="C4828" t="s">
        <v>47</v>
      </c>
      <c r="D4828">
        <v>9956380</v>
      </c>
      <c r="E4828" t="s">
        <v>48</v>
      </c>
      <c r="F4828" t="s">
        <v>49</v>
      </c>
      <c r="G4828" s="30">
        <v>78.78</v>
      </c>
    </row>
    <row r="4829" spans="1:7" x14ac:dyDescent="0.25">
      <c r="A4829" t="s">
        <v>50</v>
      </c>
      <c r="B4829" t="s">
        <v>51</v>
      </c>
      <c r="C4829" t="s">
        <v>52</v>
      </c>
      <c r="D4829">
        <v>9964757</v>
      </c>
      <c r="E4829" t="s">
        <v>53</v>
      </c>
      <c r="F4829" t="s">
        <v>49</v>
      </c>
      <c r="G4829" s="30">
        <v>100</v>
      </c>
    </row>
    <row r="4830" spans="1:7" x14ac:dyDescent="0.25">
      <c r="A4830" t="s">
        <v>94</v>
      </c>
      <c r="B4830" t="s">
        <v>95</v>
      </c>
      <c r="C4830" t="s">
        <v>78</v>
      </c>
      <c r="D4830">
        <v>9969333</v>
      </c>
      <c r="E4830" t="s">
        <v>53</v>
      </c>
      <c r="F4830" t="s">
        <v>49</v>
      </c>
      <c r="G4830" s="30">
        <v>276577.350657681</v>
      </c>
    </row>
    <row r="4831" spans="1:7" x14ac:dyDescent="0.25">
      <c r="A4831" t="s">
        <v>50</v>
      </c>
      <c r="B4831" t="s">
        <v>51</v>
      </c>
      <c r="C4831" t="s">
        <v>52</v>
      </c>
      <c r="D4831">
        <v>9971217</v>
      </c>
      <c r="E4831" t="s">
        <v>53</v>
      </c>
      <c r="F4831" t="s">
        <v>49</v>
      </c>
      <c r="G4831" s="30">
        <v>5573.73</v>
      </c>
    </row>
    <row r="4832" spans="1:7" x14ac:dyDescent="0.25">
      <c r="A4832" t="s">
        <v>45</v>
      </c>
      <c r="B4832" t="s">
        <v>46</v>
      </c>
      <c r="C4832" t="s">
        <v>47</v>
      </c>
      <c r="D4832">
        <v>9978017</v>
      </c>
      <c r="E4832" t="s">
        <v>48</v>
      </c>
      <c r="F4832" t="s">
        <v>49</v>
      </c>
      <c r="G4832" s="30">
        <v>0</v>
      </c>
    </row>
    <row r="4833" spans="1:7" x14ac:dyDescent="0.25">
      <c r="A4833" t="s">
        <v>45</v>
      </c>
      <c r="B4833" t="s">
        <v>46</v>
      </c>
      <c r="C4833" t="s">
        <v>47</v>
      </c>
      <c r="D4833">
        <v>9981649</v>
      </c>
      <c r="E4833" t="s">
        <v>48</v>
      </c>
      <c r="F4833" t="s">
        <v>49</v>
      </c>
      <c r="G4833" s="30">
        <v>0</v>
      </c>
    </row>
    <row r="4834" spans="1:7" x14ac:dyDescent="0.25">
      <c r="A4834" t="s">
        <v>45</v>
      </c>
      <c r="B4834" t="s">
        <v>46</v>
      </c>
      <c r="C4834" t="s">
        <v>47</v>
      </c>
      <c r="D4834">
        <v>9981651</v>
      </c>
      <c r="E4834" t="s">
        <v>48</v>
      </c>
      <c r="F4834" t="s">
        <v>49</v>
      </c>
      <c r="G4834" s="30">
        <v>0</v>
      </c>
    </row>
    <row r="4835" spans="1:7" x14ac:dyDescent="0.25">
      <c r="A4835" t="s">
        <v>45</v>
      </c>
      <c r="B4835" t="s">
        <v>46</v>
      </c>
      <c r="C4835" t="s">
        <v>47</v>
      </c>
      <c r="D4835">
        <v>9989936</v>
      </c>
      <c r="E4835" t="s">
        <v>48</v>
      </c>
      <c r="F4835" t="s">
        <v>49</v>
      </c>
      <c r="G4835" s="30">
        <v>0</v>
      </c>
    </row>
    <row r="4836" spans="1:7" x14ac:dyDescent="0.25">
      <c r="A4836" t="s">
        <v>96</v>
      </c>
      <c r="B4836" t="s">
        <v>97</v>
      </c>
      <c r="C4836" t="s">
        <v>81</v>
      </c>
      <c r="D4836">
        <v>9994063</v>
      </c>
      <c r="E4836" t="s">
        <v>48</v>
      </c>
      <c r="F4836" t="s">
        <v>49</v>
      </c>
      <c r="G4836" s="30">
        <v>0</v>
      </c>
    </row>
    <row r="4837" spans="1:7" x14ac:dyDescent="0.25">
      <c r="A4837" t="s">
        <v>106</v>
      </c>
      <c r="B4837" t="s">
        <v>107</v>
      </c>
      <c r="C4837" t="s">
        <v>56</v>
      </c>
      <c r="D4837">
        <v>9996049</v>
      </c>
      <c r="E4837" t="s">
        <v>53</v>
      </c>
      <c r="F4837" t="s">
        <v>49</v>
      </c>
      <c r="G4837" s="30">
        <v>1349.1589789653699</v>
      </c>
    </row>
    <row r="4838" spans="1:7" x14ac:dyDescent="0.25">
      <c r="A4838" t="s">
        <v>45</v>
      </c>
      <c r="B4838" t="s">
        <v>46</v>
      </c>
      <c r="C4838" t="s">
        <v>47</v>
      </c>
      <c r="D4838">
        <v>9996594</v>
      </c>
      <c r="E4838" t="s">
        <v>48</v>
      </c>
      <c r="F4838" t="s">
        <v>49</v>
      </c>
      <c r="G4838" s="30">
        <v>0</v>
      </c>
    </row>
    <row r="4839" spans="1:7" x14ac:dyDescent="0.25">
      <c r="A4839" t="s">
        <v>45</v>
      </c>
      <c r="B4839" t="s">
        <v>46</v>
      </c>
      <c r="C4839" t="s">
        <v>47</v>
      </c>
      <c r="D4839">
        <v>10000688</v>
      </c>
      <c r="E4839" t="s">
        <v>48</v>
      </c>
      <c r="F4839" t="s">
        <v>49</v>
      </c>
      <c r="G4839" s="30">
        <v>0</v>
      </c>
    </row>
    <row r="4840" spans="1:7" x14ac:dyDescent="0.25">
      <c r="A4840" t="s">
        <v>106</v>
      </c>
      <c r="B4840" t="s">
        <v>107</v>
      </c>
      <c r="C4840" t="s">
        <v>56</v>
      </c>
      <c r="D4840">
        <v>10001020</v>
      </c>
      <c r="E4840" t="s">
        <v>48</v>
      </c>
      <c r="F4840" t="s">
        <v>49</v>
      </c>
      <c r="G4840" s="30">
        <v>0</v>
      </c>
    </row>
    <row r="4841" spans="1:7" x14ac:dyDescent="0.25">
      <c r="A4841" t="s">
        <v>45</v>
      </c>
      <c r="B4841" t="s">
        <v>46</v>
      </c>
      <c r="C4841" t="s">
        <v>47</v>
      </c>
      <c r="D4841">
        <v>10001332</v>
      </c>
      <c r="E4841" t="s">
        <v>48</v>
      </c>
      <c r="F4841" t="s">
        <v>49</v>
      </c>
      <c r="G4841" s="30">
        <v>0</v>
      </c>
    </row>
    <row r="4842" spans="1:7" x14ac:dyDescent="0.25">
      <c r="A4842" t="s">
        <v>45</v>
      </c>
      <c r="B4842" t="s">
        <v>46</v>
      </c>
      <c r="C4842" t="s">
        <v>47</v>
      </c>
      <c r="D4842">
        <v>11000569</v>
      </c>
      <c r="E4842" t="s">
        <v>48</v>
      </c>
      <c r="F4842" t="s">
        <v>49</v>
      </c>
      <c r="G4842" s="30">
        <v>0</v>
      </c>
    </row>
    <row r="4843" spans="1:7" x14ac:dyDescent="0.25">
      <c r="A4843" t="s">
        <v>61</v>
      </c>
      <c r="B4843" t="s">
        <v>62</v>
      </c>
      <c r="C4843" t="s">
        <v>56</v>
      </c>
      <c r="D4843">
        <v>11002236</v>
      </c>
      <c r="E4843" t="s">
        <v>48</v>
      </c>
      <c r="F4843" t="s">
        <v>49</v>
      </c>
      <c r="G4843" s="30">
        <v>0.28999999999999998</v>
      </c>
    </row>
    <row r="4844" spans="1:7" x14ac:dyDescent="0.25">
      <c r="A4844" t="s">
        <v>45</v>
      </c>
      <c r="B4844" t="s">
        <v>46</v>
      </c>
      <c r="C4844" t="s">
        <v>47</v>
      </c>
      <c r="D4844">
        <v>11004587</v>
      </c>
      <c r="E4844" t="s">
        <v>48</v>
      </c>
      <c r="F4844" t="s">
        <v>49</v>
      </c>
      <c r="G4844" s="30">
        <v>0</v>
      </c>
    </row>
    <row r="4845" spans="1:7" x14ac:dyDescent="0.25">
      <c r="A4845" t="s">
        <v>45</v>
      </c>
      <c r="B4845" t="s">
        <v>46</v>
      </c>
      <c r="C4845" t="s">
        <v>47</v>
      </c>
      <c r="D4845">
        <v>11007001</v>
      </c>
      <c r="E4845" t="s">
        <v>48</v>
      </c>
      <c r="F4845" t="s">
        <v>49</v>
      </c>
      <c r="G4845" s="30">
        <v>0</v>
      </c>
    </row>
    <row r="4846" spans="1:7" x14ac:dyDescent="0.25">
      <c r="A4846" t="s">
        <v>45</v>
      </c>
      <c r="B4846" t="s">
        <v>46</v>
      </c>
      <c r="C4846" t="s">
        <v>47</v>
      </c>
      <c r="D4846">
        <v>11008466</v>
      </c>
      <c r="E4846" t="s">
        <v>48</v>
      </c>
      <c r="F4846" t="s">
        <v>49</v>
      </c>
      <c r="G4846" s="30">
        <v>0</v>
      </c>
    </row>
    <row r="4847" spans="1:7" x14ac:dyDescent="0.25">
      <c r="A4847" t="s">
        <v>45</v>
      </c>
      <c r="B4847" t="s">
        <v>46</v>
      </c>
      <c r="C4847" t="s">
        <v>47</v>
      </c>
      <c r="D4847">
        <v>11009006</v>
      </c>
      <c r="E4847" t="s">
        <v>48</v>
      </c>
      <c r="F4847" t="s">
        <v>49</v>
      </c>
      <c r="G4847" s="30">
        <v>7.17</v>
      </c>
    </row>
    <row r="4848" spans="1:7" x14ac:dyDescent="0.25">
      <c r="A4848" t="s">
        <v>50</v>
      </c>
      <c r="B4848" t="s">
        <v>51</v>
      </c>
      <c r="C4848" t="s">
        <v>52</v>
      </c>
      <c r="D4848">
        <v>11009401</v>
      </c>
      <c r="E4848" t="s">
        <v>53</v>
      </c>
      <c r="F4848" t="s">
        <v>49</v>
      </c>
      <c r="G4848" s="30">
        <v>77746.907203035997</v>
      </c>
    </row>
    <row r="4849" spans="1:7" x14ac:dyDescent="0.25">
      <c r="A4849" t="s">
        <v>118</v>
      </c>
      <c r="B4849" t="s">
        <v>119</v>
      </c>
      <c r="C4849" t="s">
        <v>56</v>
      </c>
      <c r="D4849">
        <v>11010970</v>
      </c>
      <c r="E4849" t="s">
        <v>53</v>
      </c>
      <c r="F4849" t="s">
        <v>49</v>
      </c>
      <c r="G4849" s="30">
        <v>171877.75365302601</v>
      </c>
    </row>
    <row r="4850" spans="1:7" x14ac:dyDescent="0.25">
      <c r="A4850" t="s">
        <v>45</v>
      </c>
      <c r="B4850" t="s">
        <v>46</v>
      </c>
      <c r="C4850" t="s">
        <v>47</v>
      </c>
      <c r="D4850">
        <v>11014041</v>
      </c>
      <c r="E4850" t="s">
        <v>48</v>
      </c>
      <c r="F4850" t="s">
        <v>49</v>
      </c>
      <c r="G4850" s="30">
        <v>0</v>
      </c>
    </row>
    <row r="4851" spans="1:7" x14ac:dyDescent="0.25">
      <c r="A4851" t="s">
        <v>50</v>
      </c>
      <c r="B4851" t="s">
        <v>51</v>
      </c>
      <c r="C4851" t="s">
        <v>52</v>
      </c>
      <c r="D4851">
        <v>11014706</v>
      </c>
      <c r="E4851" t="s">
        <v>53</v>
      </c>
      <c r="F4851" t="s">
        <v>49</v>
      </c>
      <c r="G4851" s="30">
        <v>94077.406419552906</v>
      </c>
    </row>
    <row r="4852" spans="1:7" x14ac:dyDescent="0.25">
      <c r="A4852" t="s">
        <v>45</v>
      </c>
      <c r="B4852" t="s">
        <v>46</v>
      </c>
      <c r="C4852" t="s">
        <v>47</v>
      </c>
      <c r="D4852">
        <v>11016549</v>
      </c>
      <c r="E4852" t="s">
        <v>48</v>
      </c>
      <c r="F4852" t="s">
        <v>49</v>
      </c>
      <c r="G4852" s="30">
        <v>0</v>
      </c>
    </row>
    <row r="4853" spans="1:7" x14ac:dyDescent="0.25">
      <c r="A4853" t="s">
        <v>45</v>
      </c>
      <c r="B4853" t="s">
        <v>46</v>
      </c>
      <c r="C4853" t="s">
        <v>47</v>
      </c>
      <c r="D4853">
        <v>11017051</v>
      </c>
      <c r="E4853" t="s">
        <v>48</v>
      </c>
      <c r="F4853" t="s">
        <v>49</v>
      </c>
      <c r="G4853" s="30">
        <v>0</v>
      </c>
    </row>
    <row r="4854" spans="1:7" x14ac:dyDescent="0.25">
      <c r="A4854" t="s">
        <v>61</v>
      </c>
      <c r="B4854" t="s">
        <v>62</v>
      </c>
      <c r="C4854" t="s">
        <v>56</v>
      </c>
      <c r="D4854">
        <v>11017609</v>
      </c>
      <c r="E4854" t="s">
        <v>53</v>
      </c>
      <c r="F4854" t="s">
        <v>49</v>
      </c>
      <c r="G4854" s="30">
        <v>1453936.43090732</v>
      </c>
    </row>
    <row r="4855" spans="1:7" x14ac:dyDescent="0.25">
      <c r="A4855" t="s">
        <v>45</v>
      </c>
      <c r="B4855" t="s">
        <v>46</v>
      </c>
      <c r="C4855" t="s">
        <v>47</v>
      </c>
      <c r="D4855">
        <v>11019770</v>
      </c>
      <c r="E4855" t="s">
        <v>48</v>
      </c>
      <c r="F4855" t="s">
        <v>49</v>
      </c>
      <c r="G4855" s="30">
        <v>0</v>
      </c>
    </row>
    <row r="4856" spans="1:7" x14ac:dyDescent="0.25">
      <c r="A4856" t="s">
        <v>61</v>
      </c>
      <c r="B4856" t="s">
        <v>62</v>
      </c>
      <c r="C4856" t="s">
        <v>56</v>
      </c>
      <c r="D4856">
        <v>11020206</v>
      </c>
      <c r="E4856" t="s">
        <v>53</v>
      </c>
      <c r="F4856" t="s">
        <v>49</v>
      </c>
      <c r="G4856" s="30">
        <v>132.13999999999999</v>
      </c>
    </row>
    <row r="4857" spans="1:7" x14ac:dyDescent="0.25">
      <c r="A4857" t="s">
        <v>45</v>
      </c>
      <c r="B4857" t="s">
        <v>46</v>
      </c>
      <c r="C4857" t="s">
        <v>47</v>
      </c>
      <c r="D4857">
        <v>11020260</v>
      </c>
      <c r="E4857" t="s">
        <v>48</v>
      </c>
      <c r="F4857" t="s">
        <v>49</v>
      </c>
      <c r="G4857" s="30">
        <v>0</v>
      </c>
    </row>
    <row r="4858" spans="1:7" x14ac:dyDescent="0.25">
      <c r="A4858" t="s">
        <v>61</v>
      </c>
      <c r="B4858" t="s">
        <v>62</v>
      </c>
      <c r="C4858" t="s">
        <v>56</v>
      </c>
      <c r="D4858">
        <v>11022341</v>
      </c>
      <c r="E4858" t="s">
        <v>48</v>
      </c>
      <c r="F4858" t="s">
        <v>49</v>
      </c>
      <c r="G4858" s="30">
        <v>0</v>
      </c>
    </row>
    <row r="4859" spans="1:7" x14ac:dyDescent="0.25">
      <c r="A4859" t="s">
        <v>114</v>
      </c>
      <c r="B4859" t="s">
        <v>115</v>
      </c>
      <c r="C4859" t="s">
        <v>56</v>
      </c>
      <c r="D4859">
        <v>11028879</v>
      </c>
      <c r="E4859" t="s">
        <v>53</v>
      </c>
      <c r="F4859" t="s">
        <v>49</v>
      </c>
      <c r="G4859" s="30">
        <v>444778.783730469</v>
      </c>
    </row>
    <row r="4860" spans="1:7" x14ac:dyDescent="0.25">
      <c r="A4860" t="s">
        <v>114</v>
      </c>
      <c r="B4860" t="s">
        <v>115</v>
      </c>
      <c r="C4860" t="s">
        <v>56</v>
      </c>
      <c r="D4860">
        <v>11029072</v>
      </c>
      <c r="E4860" t="s">
        <v>53</v>
      </c>
      <c r="F4860" t="s">
        <v>49</v>
      </c>
      <c r="G4860" s="30">
        <v>830991.25675781199</v>
      </c>
    </row>
    <row r="4861" spans="1:7" x14ac:dyDescent="0.25">
      <c r="A4861" t="s">
        <v>45</v>
      </c>
      <c r="B4861" t="s">
        <v>46</v>
      </c>
      <c r="C4861" t="s">
        <v>47</v>
      </c>
      <c r="D4861">
        <v>11030528</v>
      </c>
      <c r="E4861" t="s">
        <v>48</v>
      </c>
      <c r="F4861" t="s">
        <v>49</v>
      </c>
      <c r="G4861" s="30">
        <v>0</v>
      </c>
    </row>
    <row r="4862" spans="1:7" x14ac:dyDescent="0.25">
      <c r="A4862" t="s">
        <v>50</v>
      </c>
      <c r="B4862" t="s">
        <v>51</v>
      </c>
      <c r="C4862" t="s">
        <v>52</v>
      </c>
      <c r="D4862">
        <v>11034006</v>
      </c>
      <c r="E4862" t="s">
        <v>53</v>
      </c>
      <c r="F4862" t="s">
        <v>49</v>
      </c>
      <c r="G4862" s="30">
        <v>36357.75</v>
      </c>
    </row>
    <row r="4863" spans="1:7" x14ac:dyDescent="0.25">
      <c r="A4863" t="s">
        <v>116</v>
      </c>
      <c r="B4863" t="s">
        <v>117</v>
      </c>
      <c r="C4863" t="s">
        <v>47</v>
      </c>
      <c r="D4863">
        <v>11035067</v>
      </c>
      <c r="E4863" t="s">
        <v>53</v>
      </c>
      <c r="F4863" t="s">
        <v>49</v>
      </c>
      <c r="G4863" s="30">
        <v>58200.438873067003</v>
      </c>
    </row>
    <row r="4864" spans="1:7" x14ac:dyDescent="0.25">
      <c r="A4864" t="s">
        <v>45</v>
      </c>
      <c r="B4864" t="s">
        <v>46</v>
      </c>
      <c r="C4864" t="s">
        <v>47</v>
      </c>
      <c r="D4864">
        <v>11035264</v>
      </c>
      <c r="E4864" t="s">
        <v>48</v>
      </c>
      <c r="F4864" t="s">
        <v>49</v>
      </c>
      <c r="G4864" s="30">
        <v>0</v>
      </c>
    </row>
    <row r="4865" spans="1:7" x14ac:dyDescent="0.25">
      <c r="A4865" t="s">
        <v>45</v>
      </c>
      <c r="B4865" t="s">
        <v>46</v>
      </c>
      <c r="C4865" t="s">
        <v>47</v>
      </c>
      <c r="D4865">
        <v>11037068</v>
      </c>
      <c r="E4865" t="s">
        <v>48</v>
      </c>
      <c r="F4865" t="s">
        <v>49</v>
      </c>
      <c r="G4865" s="30">
        <v>0</v>
      </c>
    </row>
    <row r="4866" spans="1:7" x14ac:dyDescent="0.25">
      <c r="A4866" t="s">
        <v>57</v>
      </c>
      <c r="B4866" t="s">
        <v>58</v>
      </c>
      <c r="C4866" t="s">
        <v>56</v>
      </c>
      <c r="D4866">
        <v>11042506</v>
      </c>
      <c r="E4866" t="s">
        <v>53</v>
      </c>
      <c r="F4866" t="s">
        <v>49</v>
      </c>
      <c r="G4866" s="30">
        <v>471590.527326571</v>
      </c>
    </row>
    <row r="4867" spans="1:7" x14ac:dyDescent="0.25">
      <c r="A4867" t="s">
        <v>45</v>
      </c>
      <c r="B4867" t="s">
        <v>46</v>
      </c>
      <c r="C4867" t="s">
        <v>47</v>
      </c>
      <c r="D4867">
        <v>11042687</v>
      </c>
      <c r="E4867" t="s">
        <v>48</v>
      </c>
      <c r="F4867" t="s">
        <v>49</v>
      </c>
      <c r="G4867" s="30">
        <v>0</v>
      </c>
    </row>
    <row r="4868" spans="1:7" x14ac:dyDescent="0.25">
      <c r="A4868" t="s">
        <v>50</v>
      </c>
      <c r="B4868" t="s">
        <v>51</v>
      </c>
      <c r="C4868" t="s">
        <v>52</v>
      </c>
      <c r="D4868">
        <v>11042806</v>
      </c>
      <c r="E4868" t="s">
        <v>53</v>
      </c>
      <c r="F4868" t="s">
        <v>49</v>
      </c>
      <c r="G4868" s="30">
        <v>37919.450477847698</v>
      </c>
    </row>
    <row r="4869" spans="1:7" x14ac:dyDescent="0.25">
      <c r="A4869" t="s">
        <v>61</v>
      </c>
      <c r="B4869" t="s">
        <v>62</v>
      </c>
      <c r="C4869" t="s">
        <v>56</v>
      </c>
      <c r="D4869">
        <v>11046825</v>
      </c>
      <c r="E4869" t="s">
        <v>48</v>
      </c>
      <c r="F4869" t="s">
        <v>49</v>
      </c>
      <c r="G4869" s="30">
        <v>0</v>
      </c>
    </row>
    <row r="4870" spans="1:7" x14ac:dyDescent="0.25">
      <c r="A4870" t="s">
        <v>45</v>
      </c>
      <c r="B4870" t="s">
        <v>46</v>
      </c>
      <c r="C4870" t="s">
        <v>47</v>
      </c>
      <c r="D4870">
        <v>11049708</v>
      </c>
      <c r="E4870" t="s">
        <v>48</v>
      </c>
      <c r="F4870" t="s">
        <v>49</v>
      </c>
      <c r="G4870" s="30">
        <v>0</v>
      </c>
    </row>
    <row r="4871" spans="1:7" x14ac:dyDescent="0.25">
      <c r="A4871" t="s">
        <v>96</v>
      </c>
      <c r="B4871" t="s">
        <v>97</v>
      </c>
      <c r="C4871" t="s">
        <v>81</v>
      </c>
      <c r="D4871">
        <v>11051407</v>
      </c>
      <c r="E4871" t="s">
        <v>53</v>
      </c>
      <c r="F4871" t="s">
        <v>49</v>
      </c>
      <c r="G4871" s="30">
        <v>340931.33409473102</v>
      </c>
    </row>
    <row r="4872" spans="1:7" x14ac:dyDescent="0.25">
      <c r="A4872" t="s">
        <v>45</v>
      </c>
      <c r="B4872" t="s">
        <v>46</v>
      </c>
      <c r="C4872" t="s">
        <v>47</v>
      </c>
      <c r="D4872">
        <v>11053349</v>
      </c>
      <c r="E4872" t="s">
        <v>48</v>
      </c>
      <c r="F4872" t="s">
        <v>49</v>
      </c>
      <c r="G4872" s="30">
        <v>0</v>
      </c>
    </row>
    <row r="4873" spans="1:7" x14ac:dyDescent="0.25">
      <c r="A4873" t="s">
        <v>63</v>
      </c>
      <c r="B4873" t="s">
        <v>64</v>
      </c>
      <c r="C4873" t="s">
        <v>56</v>
      </c>
      <c r="D4873">
        <v>11056973</v>
      </c>
      <c r="E4873" t="s">
        <v>53</v>
      </c>
      <c r="F4873" t="s">
        <v>49</v>
      </c>
      <c r="G4873" s="30">
        <v>262371.171818331</v>
      </c>
    </row>
    <row r="4874" spans="1:7" x14ac:dyDescent="0.25">
      <c r="A4874" t="s">
        <v>112</v>
      </c>
      <c r="B4874" t="s">
        <v>113</v>
      </c>
      <c r="C4874" t="s">
        <v>81</v>
      </c>
      <c r="D4874">
        <v>11057450</v>
      </c>
      <c r="E4874" t="s">
        <v>53</v>
      </c>
      <c r="F4874" t="s">
        <v>49</v>
      </c>
      <c r="G4874" s="30">
        <v>115809.34507061599</v>
      </c>
    </row>
    <row r="4875" spans="1:7" x14ac:dyDescent="0.25">
      <c r="A4875" t="s">
        <v>116</v>
      </c>
      <c r="B4875" t="s">
        <v>117</v>
      </c>
      <c r="C4875" t="s">
        <v>47</v>
      </c>
      <c r="D4875">
        <v>11059755</v>
      </c>
      <c r="E4875" t="s">
        <v>53</v>
      </c>
      <c r="F4875" t="s">
        <v>49</v>
      </c>
      <c r="G4875" s="30">
        <v>447607.168442678</v>
      </c>
    </row>
    <row r="4876" spans="1:7" x14ac:dyDescent="0.25">
      <c r="A4876" t="s">
        <v>50</v>
      </c>
      <c r="B4876" t="s">
        <v>51</v>
      </c>
      <c r="C4876" t="s">
        <v>52</v>
      </c>
      <c r="D4876">
        <v>11061965</v>
      </c>
      <c r="E4876" t="s">
        <v>53</v>
      </c>
      <c r="F4876" t="s">
        <v>49</v>
      </c>
      <c r="G4876" s="30">
        <v>41921.645869238098</v>
      </c>
    </row>
    <row r="4877" spans="1:7" x14ac:dyDescent="0.25">
      <c r="A4877" t="s">
        <v>106</v>
      </c>
      <c r="B4877" t="s">
        <v>107</v>
      </c>
      <c r="C4877" t="s">
        <v>56</v>
      </c>
      <c r="D4877">
        <v>11063006</v>
      </c>
      <c r="E4877" t="s">
        <v>53</v>
      </c>
      <c r="F4877" t="s">
        <v>49</v>
      </c>
      <c r="G4877" s="30">
        <v>924125.17</v>
      </c>
    </row>
    <row r="4878" spans="1:7" x14ac:dyDescent="0.25">
      <c r="A4878" t="s">
        <v>54</v>
      </c>
      <c r="B4878" t="s">
        <v>55</v>
      </c>
      <c r="C4878" t="s">
        <v>56</v>
      </c>
      <c r="D4878">
        <v>11064265</v>
      </c>
      <c r="E4878" t="s">
        <v>48</v>
      </c>
      <c r="F4878" t="s">
        <v>49</v>
      </c>
      <c r="G4878" s="30">
        <v>5.1100000000000003</v>
      </c>
    </row>
    <row r="4879" spans="1:7" x14ac:dyDescent="0.25">
      <c r="A4879" t="s">
        <v>45</v>
      </c>
      <c r="B4879" t="s">
        <v>46</v>
      </c>
      <c r="C4879" t="s">
        <v>47</v>
      </c>
      <c r="D4879">
        <v>11075471</v>
      </c>
      <c r="E4879" t="s">
        <v>48</v>
      </c>
      <c r="F4879" t="s">
        <v>49</v>
      </c>
      <c r="G4879" s="30">
        <v>0</v>
      </c>
    </row>
    <row r="4880" spans="1:7" x14ac:dyDescent="0.25">
      <c r="A4880" t="s">
        <v>45</v>
      </c>
      <c r="B4880" t="s">
        <v>46</v>
      </c>
      <c r="C4880" t="s">
        <v>47</v>
      </c>
      <c r="D4880">
        <v>11081113</v>
      </c>
      <c r="E4880" t="s">
        <v>53</v>
      </c>
      <c r="F4880" t="s">
        <v>49</v>
      </c>
      <c r="G4880" s="30">
        <v>129267.70093750001</v>
      </c>
    </row>
    <row r="4881" spans="1:7" x14ac:dyDescent="0.25">
      <c r="A4881" t="s">
        <v>88</v>
      </c>
      <c r="B4881" t="s">
        <v>89</v>
      </c>
      <c r="C4881" t="s">
        <v>78</v>
      </c>
      <c r="D4881">
        <v>11085879</v>
      </c>
      <c r="E4881" t="s">
        <v>53</v>
      </c>
      <c r="F4881" t="s">
        <v>49</v>
      </c>
      <c r="G4881" s="30">
        <v>106689.59181396601</v>
      </c>
    </row>
    <row r="4882" spans="1:7" x14ac:dyDescent="0.25">
      <c r="A4882" t="s">
        <v>82</v>
      </c>
      <c r="B4882" t="s">
        <v>83</v>
      </c>
      <c r="C4882" t="s">
        <v>56</v>
      </c>
      <c r="D4882">
        <v>11086078</v>
      </c>
      <c r="E4882" t="s">
        <v>53</v>
      </c>
      <c r="F4882" t="s">
        <v>49</v>
      </c>
      <c r="G4882" s="30">
        <v>338811.440788707</v>
      </c>
    </row>
    <row r="4883" spans="1:7" x14ac:dyDescent="0.25">
      <c r="A4883" t="s">
        <v>63</v>
      </c>
      <c r="B4883" t="s">
        <v>64</v>
      </c>
      <c r="C4883" t="s">
        <v>56</v>
      </c>
      <c r="D4883">
        <v>11089219</v>
      </c>
      <c r="E4883" t="s">
        <v>53</v>
      </c>
      <c r="F4883" t="s">
        <v>49</v>
      </c>
      <c r="G4883" s="30">
        <v>443.86</v>
      </c>
    </row>
    <row r="4884" spans="1:7" x14ac:dyDescent="0.25">
      <c r="A4884" t="s">
        <v>128</v>
      </c>
      <c r="B4884" t="s">
        <v>129</v>
      </c>
      <c r="C4884" t="s">
        <v>130</v>
      </c>
      <c r="D4884">
        <v>11089667</v>
      </c>
      <c r="E4884" t="s">
        <v>53</v>
      </c>
      <c r="F4884" t="s">
        <v>49</v>
      </c>
      <c r="G4884" s="30">
        <v>604389.87702262495</v>
      </c>
    </row>
    <row r="4885" spans="1:7" x14ac:dyDescent="0.25">
      <c r="A4885" t="s">
        <v>79</v>
      </c>
      <c r="B4885" t="s">
        <v>80</v>
      </c>
      <c r="C4885" t="s">
        <v>81</v>
      </c>
      <c r="D4885">
        <v>11090907</v>
      </c>
      <c r="E4885" t="s">
        <v>53</v>
      </c>
      <c r="F4885" t="s">
        <v>49</v>
      </c>
      <c r="G4885" s="30">
        <v>47714.625654056399</v>
      </c>
    </row>
    <row r="4886" spans="1:7" x14ac:dyDescent="0.25">
      <c r="A4886" t="s">
        <v>45</v>
      </c>
      <c r="B4886" t="s">
        <v>46</v>
      </c>
      <c r="C4886" t="s">
        <v>47</v>
      </c>
      <c r="D4886">
        <v>11093126</v>
      </c>
      <c r="E4886" t="s">
        <v>48</v>
      </c>
      <c r="F4886" t="s">
        <v>49</v>
      </c>
      <c r="G4886" s="30">
        <v>0</v>
      </c>
    </row>
    <row r="4887" spans="1:7" x14ac:dyDescent="0.25">
      <c r="A4887" t="s">
        <v>61</v>
      </c>
      <c r="B4887" t="s">
        <v>62</v>
      </c>
      <c r="C4887" t="s">
        <v>56</v>
      </c>
      <c r="D4887">
        <v>11095724</v>
      </c>
      <c r="E4887" t="s">
        <v>48</v>
      </c>
      <c r="F4887" t="s">
        <v>49</v>
      </c>
      <c r="G4887" s="30">
        <v>0</v>
      </c>
    </row>
    <row r="4888" spans="1:7" x14ac:dyDescent="0.25">
      <c r="A4888" t="s">
        <v>50</v>
      </c>
      <c r="B4888" t="s">
        <v>51</v>
      </c>
      <c r="C4888" t="s">
        <v>52</v>
      </c>
      <c r="D4888">
        <v>11098480</v>
      </c>
      <c r="E4888" t="s">
        <v>53</v>
      </c>
      <c r="F4888" t="s">
        <v>49</v>
      </c>
      <c r="G4888" s="30">
        <v>21606.194997518902</v>
      </c>
    </row>
    <row r="4889" spans="1:7" x14ac:dyDescent="0.25">
      <c r="A4889" t="s">
        <v>45</v>
      </c>
      <c r="B4889" t="s">
        <v>46</v>
      </c>
      <c r="C4889" t="s">
        <v>47</v>
      </c>
      <c r="D4889">
        <v>11101240</v>
      </c>
      <c r="E4889" t="s">
        <v>48</v>
      </c>
      <c r="F4889" t="s">
        <v>49</v>
      </c>
      <c r="G4889" s="30">
        <v>0</v>
      </c>
    </row>
    <row r="4890" spans="1:7" x14ac:dyDescent="0.25">
      <c r="A4890" t="s">
        <v>45</v>
      </c>
      <c r="B4890" t="s">
        <v>46</v>
      </c>
      <c r="C4890" t="s">
        <v>47</v>
      </c>
      <c r="D4890">
        <v>11108614</v>
      </c>
      <c r="E4890" t="s">
        <v>48</v>
      </c>
      <c r="F4890" t="s">
        <v>49</v>
      </c>
      <c r="G4890" s="30">
        <v>0</v>
      </c>
    </row>
    <row r="4891" spans="1:7" x14ac:dyDescent="0.25">
      <c r="A4891" t="s">
        <v>72</v>
      </c>
      <c r="B4891" t="s">
        <v>73</v>
      </c>
      <c r="C4891" t="s">
        <v>67</v>
      </c>
      <c r="D4891">
        <v>11110355</v>
      </c>
      <c r="E4891" t="s">
        <v>48</v>
      </c>
      <c r="F4891" t="s">
        <v>49</v>
      </c>
      <c r="G4891" s="30">
        <v>7.2</v>
      </c>
    </row>
    <row r="4892" spans="1:7" x14ac:dyDescent="0.25">
      <c r="A4892" t="s">
        <v>76</v>
      </c>
      <c r="B4892" t="s">
        <v>77</v>
      </c>
      <c r="C4892" t="s">
        <v>78</v>
      </c>
      <c r="D4892">
        <v>11110862</v>
      </c>
      <c r="E4892" t="s">
        <v>53</v>
      </c>
      <c r="F4892" t="s">
        <v>49</v>
      </c>
      <c r="G4892" s="30">
        <v>177562.58859241899</v>
      </c>
    </row>
    <row r="4893" spans="1:7" x14ac:dyDescent="0.25">
      <c r="A4893" t="s">
        <v>63</v>
      </c>
      <c r="B4893" t="s">
        <v>64</v>
      </c>
      <c r="C4893" t="s">
        <v>56</v>
      </c>
      <c r="D4893">
        <v>11112618</v>
      </c>
      <c r="E4893" t="s">
        <v>53</v>
      </c>
      <c r="F4893" t="s">
        <v>49</v>
      </c>
      <c r="G4893" s="30">
        <v>458702.46748052002</v>
      </c>
    </row>
    <row r="4894" spans="1:7" x14ac:dyDescent="0.25">
      <c r="A4894" t="s">
        <v>45</v>
      </c>
      <c r="B4894" t="s">
        <v>46</v>
      </c>
      <c r="C4894" t="s">
        <v>47</v>
      </c>
      <c r="D4894">
        <v>11112912</v>
      </c>
      <c r="E4894" t="s">
        <v>48</v>
      </c>
      <c r="F4894" t="s">
        <v>49</v>
      </c>
      <c r="G4894" s="30">
        <v>0</v>
      </c>
    </row>
    <row r="4895" spans="1:7" x14ac:dyDescent="0.25">
      <c r="A4895" t="s">
        <v>50</v>
      </c>
      <c r="B4895" t="s">
        <v>51</v>
      </c>
      <c r="C4895" t="s">
        <v>52</v>
      </c>
      <c r="D4895">
        <v>11113280</v>
      </c>
      <c r="E4895" t="s">
        <v>53</v>
      </c>
      <c r="F4895" t="s">
        <v>49</v>
      </c>
      <c r="G4895" s="30">
        <v>101</v>
      </c>
    </row>
    <row r="4896" spans="1:7" x14ac:dyDescent="0.25">
      <c r="A4896" t="s">
        <v>45</v>
      </c>
      <c r="B4896" t="s">
        <v>46</v>
      </c>
      <c r="C4896" t="s">
        <v>47</v>
      </c>
      <c r="D4896">
        <v>11115810</v>
      </c>
      <c r="E4896" t="s">
        <v>48</v>
      </c>
      <c r="F4896" t="s">
        <v>49</v>
      </c>
      <c r="G4896" s="30">
        <v>0</v>
      </c>
    </row>
    <row r="4897" spans="1:7" x14ac:dyDescent="0.25">
      <c r="A4897" t="s">
        <v>45</v>
      </c>
      <c r="B4897" t="s">
        <v>46</v>
      </c>
      <c r="C4897" t="s">
        <v>47</v>
      </c>
      <c r="D4897">
        <v>11117405</v>
      </c>
      <c r="E4897" t="s">
        <v>48</v>
      </c>
      <c r="F4897" t="s">
        <v>49</v>
      </c>
      <c r="G4897" s="30">
        <v>0</v>
      </c>
    </row>
    <row r="4898" spans="1:7" x14ac:dyDescent="0.25">
      <c r="A4898" t="s">
        <v>122</v>
      </c>
      <c r="B4898" t="s">
        <v>123</v>
      </c>
      <c r="C4898" t="s">
        <v>52</v>
      </c>
      <c r="D4898">
        <v>11117532</v>
      </c>
      <c r="E4898" t="s">
        <v>53</v>
      </c>
      <c r="F4898" t="s">
        <v>49</v>
      </c>
      <c r="G4898" s="30">
        <v>59953.440000000002</v>
      </c>
    </row>
    <row r="4899" spans="1:7" x14ac:dyDescent="0.25">
      <c r="A4899" t="s">
        <v>96</v>
      </c>
      <c r="B4899" t="s">
        <v>97</v>
      </c>
      <c r="C4899" t="s">
        <v>81</v>
      </c>
      <c r="D4899">
        <v>11117575</v>
      </c>
      <c r="E4899" t="s">
        <v>53</v>
      </c>
      <c r="F4899" t="s">
        <v>49</v>
      </c>
      <c r="G4899" s="30">
        <v>14274.999237575301</v>
      </c>
    </row>
    <row r="4900" spans="1:7" x14ac:dyDescent="0.25">
      <c r="A4900" t="s">
        <v>61</v>
      </c>
      <c r="B4900" t="s">
        <v>62</v>
      </c>
      <c r="C4900" t="s">
        <v>56</v>
      </c>
      <c r="D4900">
        <v>11118552</v>
      </c>
      <c r="E4900" t="s">
        <v>53</v>
      </c>
      <c r="F4900" t="s">
        <v>49</v>
      </c>
      <c r="G4900" s="30">
        <v>283556.95062926802</v>
      </c>
    </row>
    <row r="4901" spans="1:7" x14ac:dyDescent="0.25">
      <c r="A4901" t="s">
        <v>45</v>
      </c>
      <c r="B4901" t="s">
        <v>46</v>
      </c>
      <c r="C4901" t="s">
        <v>47</v>
      </c>
      <c r="D4901">
        <v>11119558</v>
      </c>
      <c r="E4901" t="s">
        <v>48</v>
      </c>
      <c r="F4901" t="s">
        <v>49</v>
      </c>
      <c r="G4901" s="30">
        <v>0</v>
      </c>
    </row>
    <row r="4902" spans="1:7" x14ac:dyDescent="0.25">
      <c r="A4902" t="s">
        <v>124</v>
      </c>
      <c r="B4902" t="s">
        <v>125</v>
      </c>
      <c r="C4902" t="s">
        <v>78</v>
      </c>
      <c r="D4902">
        <v>11121861</v>
      </c>
      <c r="E4902" t="s">
        <v>53</v>
      </c>
      <c r="F4902" t="s">
        <v>49</v>
      </c>
      <c r="G4902" s="30">
        <v>315882.57688048598</v>
      </c>
    </row>
    <row r="4903" spans="1:7" x14ac:dyDescent="0.25">
      <c r="A4903" t="s">
        <v>63</v>
      </c>
      <c r="B4903" t="s">
        <v>64</v>
      </c>
      <c r="C4903" t="s">
        <v>56</v>
      </c>
      <c r="D4903">
        <v>11126013</v>
      </c>
      <c r="E4903" t="s">
        <v>53</v>
      </c>
      <c r="F4903" t="s">
        <v>49</v>
      </c>
      <c r="G4903" s="30">
        <v>1433067.6483247001</v>
      </c>
    </row>
    <row r="4904" spans="1:7" x14ac:dyDescent="0.25">
      <c r="A4904" t="s">
        <v>45</v>
      </c>
      <c r="B4904" t="s">
        <v>46</v>
      </c>
      <c r="C4904" t="s">
        <v>47</v>
      </c>
      <c r="D4904">
        <v>11128541</v>
      </c>
      <c r="E4904" t="s">
        <v>48</v>
      </c>
      <c r="F4904" t="s">
        <v>49</v>
      </c>
      <c r="G4904" s="30">
        <v>0</v>
      </c>
    </row>
    <row r="4905" spans="1:7" x14ac:dyDescent="0.25">
      <c r="A4905" t="s">
        <v>45</v>
      </c>
      <c r="B4905" t="s">
        <v>46</v>
      </c>
      <c r="C4905" t="s">
        <v>47</v>
      </c>
      <c r="D4905">
        <v>11128825</v>
      </c>
      <c r="E4905" t="s">
        <v>48</v>
      </c>
      <c r="F4905" t="s">
        <v>49</v>
      </c>
      <c r="G4905" s="30">
        <v>0</v>
      </c>
    </row>
    <row r="4906" spans="1:7" x14ac:dyDescent="0.25">
      <c r="A4906" t="s">
        <v>57</v>
      </c>
      <c r="B4906" t="s">
        <v>58</v>
      </c>
      <c r="C4906" t="s">
        <v>56</v>
      </c>
      <c r="D4906">
        <v>11129016</v>
      </c>
      <c r="E4906" t="s">
        <v>48</v>
      </c>
      <c r="F4906" t="s">
        <v>49</v>
      </c>
      <c r="G4906" s="30">
        <v>0</v>
      </c>
    </row>
    <row r="4907" spans="1:7" x14ac:dyDescent="0.25">
      <c r="A4907" t="s">
        <v>106</v>
      </c>
      <c r="B4907" t="s">
        <v>107</v>
      </c>
      <c r="C4907" t="s">
        <v>56</v>
      </c>
      <c r="D4907">
        <v>11131053</v>
      </c>
      <c r="E4907" t="s">
        <v>53</v>
      </c>
      <c r="F4907" t="s">
        <v>49</v>
      </c>
      <c r="G4907" s="30">
        <v>219533.28001154101</v>
      </c>
    </row>
    <row r="4908" spans="1:7" x14ac:dyDescent="0.25">
      <c r="A4908" t="s">
        <v>61</v>
      </c>
      <c r="B4908" t="s">
        <v>62</v>
      </c>
      <c r="C4908" t="s">
        <v>56</v>
      </c>
      <c r="D4908">
        <v>11132579</v>
      </c>
      <c r="E4908" t="s">
        <v>48</v>
      </c>
      <c r="F4908" t="s">
        <v>49</v>
      </c>
      <c r="G4908" s="30">
        <v>0</v>
      </c>
    </row>
    <row r="4909" spans="1:7" x14ac:dyDescent="0.25">
      <c r="A4909" t="s">
        <v>45</v>
      </c>
      <c r="B4909" t="s">
        <v>46</v>
      </c>
      <c r="C4909" t="s">
        <v>47</v>
      </c>
      <c r="D4909">
        <v>11138789</v>
      </c>
      <c r="E4909" t="s">
        <v>48</v>
      </c>
      <c r="F4909" t="s">
        <v>49</v>
      </c>
      <c r="G4909" s="30">
        <v>0</v>
      </c>
    </row>
    <row r="4910" spans="1:7" x14ac:dyDescent="0.25">
      <c r="A4910" t="s">
        <v>120</v>
      </c>
      <c r="B4910" t="s">
        <v>121</v>
      </c>
      <c r="C4910" t="s">
        <v>67</v>
      </c>
      <c r="D4910">
        <v>11142853</v>
      </c>
      <c r="E4910" t="s">
        <v>53</v>
      </c>
      <c r="F4910" t="s">
        <v>49</v>
      </c>
      <c r="G4910" s="30">
        <v>3052012.6133893402</v>
      </c>
    </row>
    <row r="4911" spans="1:7" x14ac:dyDescent="0.25">
      <c r="A4911" t="s">
        <v>68</v>
      </c>
      <c r="B4911" t="s">
        <v>69</v>
      </c>
      <c r="C4911" t="s">
        <v>56</v>
      </c>
      <c r="D4911">
        <v>11144339</v>
      </c>
      <c r="E4911" t="s">
        <v>53</v>
      </c>
      <c r="F4911" t="s">
        <v>49</v>
      </c>
      <c r="G4911" s="30">
        <v>8291.9305603130997</v>
      </c>
    </row>
    <row r="4912" spans="1:7" x14ac:dyDescent="0.25">
      <c r="A4912" t="s">
        <v>106</v>
      </c>
      <c r="B4912" t="s">
        <v>107</v>
      </c>
      <c r="C4912" t="s">
        <v>56</v>
      </c>
      <c r="D4912">
        <v>11150533</v>
      </c>
      <c r="E4912" t="s">
        <v>53</v>
      </c>
      <c r="F4912" t="s">
        <v>49</v>
      </c>
      <c r="G4912" s="30">
        <v>248747.02439524099</v>
      </c>
    </row>
    <row r="4913" spans="1:7" x14ac:dyDescent="0.25">
      <c r="A4913" t="s">
        <v>45</v>
      </c>
      <c r="B4913" t="s">
        <v>46</v>
      </c>
      <c r="C4913" t="s">
        <v>47</v>
      </c>
      <c r="D4913">
        <v>11153879</v>
      </c>
      <c r="E4913" t="s">
        <v>48</v>
      </c>
      <c r="F4913" t="s">
        <v>49</v>
      </c>
      <c r="G4913" s="30">
        <v>0</v>
      </c>
    </row>
    <row r="4914" spans="1:7" x14ac:dyDescent="0.25">
      <c r="A4914" t="s">
        <v>45</v>
      </c>
      <c r="B4914" t="s">
        <v>46</v>
      </c>
      <c r="C4914" t="s">
        <v>47</v>
      </c>
      <c r="D4914">
        <v>11155209</v>
      </c>
      <c r="E4914" t="s">
        <v>48</v>
      </c>
      <c r="F4914" t="s">
        <v>49</v>
      </c>
      <c r="G4914" s="30">
        <v>0.63</v>
      </c>
    </row>
    <row r="4915" spans="1:7" x14ac:dyDescent="0.25">
      <c r="A4915" t="s">
        <v>45</v>
      </c>
      <c r="B4915" t="s">
        <v>46</v>
      </c>
      <c r="C4915" t="s">
        <v>47</v>
      </c>
      <c r="D4915">
        <v>11156893</v>
      </c>
      <c r="E4915" t="s">
        <v>48</v>
      </c>
      <c r="F4915" t="s">
        <v>49</v>
      </c>
      <c r="G4915" s="30">
        <v>0</v>
      </c>
    </row>
    <row r="4916" spans="1:7" x14ac:dyDescent="0.25">
      <c r="A4916" t="s">
        <v>45</v>
      </c>
      <c r="B4916" t="s">
        <v>46</v>
      </c>
      <c r="C4916" t="s">
        <v>47</v>
      </c>
      <c r="D4916">
        <v>11157870</v>
      </c>
      <c r="E4916" t="s">
        <v>48</v>
      </c>
      <c r="F4916" t="s">
        <v>49</v>
      </c>
      <c r="G4916" s="30">
        <v>64.239999999999995</v>
      </c>
    </row>
    <row r="4917" spans="1:7" x14ac:dyDescent="0.25">
      <c r="A4917" t="s">
        <v>45</v>
      </c>
      <c r="B4917" t="s">
        <v>46</v>
      </c>
      <c r="C4917" t="s">
        <v>47</v>
      </c>
      <c r="D4917">
        <v>11161138</v>
      </c>
      <c r="E4917" t="s">
        <v>48</v>
      </c>
      <c r="F4917" t="s">
        <v>49</v>
      </c>
      <c r="G4917" s="30">
        <v>0</v>
      </c>
    </row>
    <row r="4918" spans="1:7" x14ac:dyDescent="0.25">
      <c r="A4918" t="s">
        <v>118</v>
      </c>
      <c r="B4918" t="s">
        <v>119</v>
      </c>
      <c r="C4918" t="s">
        <v>56</v>
      </c>
      <c r="D4918">
        <v>11162852</v>
      </c>
      <c r="E4918" t="s">
        <v>53</v>
      </c>
      <c r="F4918" t="s">
        <v>49</v>
      </c>
      <c r="G4918" s="30">
        <v>4030053.9544513002</v>
      </c>
    </row>
    <row r="4919" spans="1:7" x14ac:dyDescent="0.25">
      <c r="A4919" t="s">
        <v>118</v>
      </c>
      <c r="B4919" t="s">
        <v>119</v>
      </c>
      <c r="C4919" t="s">
        <v>56</v>
      </c>
      <c r="D4919">
        <v>11164256</v>
      </c>
      <c r="E4919" t="s">
        <v>53</v>
      </c>
      <c r="F4919" t="s">
        <v>49</v>
      </c>
      <c r="G4919" s="30">
        <v>1088508.2164068201</v>
      </c>
    </row>
    <row r="4920" spans="1:7" x14ac:dyDescent="0.25">
      <c r="A4920" t="s">
        <v>45</v>
      </c>
      <c r="B4920" t="s">
        <v>46</v>
      </c>
      <c r="C4920" t="s">
        <v>47</v>
      </c>
      <c r="D4920">
        <v>11165201</v>
      </c>
      <c r="E4920" t="s">
        <v>48</v>
      </c>
      <c r="F4920" t="s">
        <v>49</v>
      </c>
      <c r="G4920" s="30">
        <v>5</v>
      </c>
    </row>
    <row r="4921" spans="1:7" x14ac:dyDescent="0.25">
      <c r="A4921" t="s">
        <v>45</v>
      </c>
      <c r="B4921" t="s">
        <v>46</v>
      </c>
      <c r="C4921" t="s">
        <v>47</v>
      </c>
      <c r="D4921">
        <v>11166619</v>
      </c>
      <c r="E4921" t="s">
        <v>48</v>
      </c>
      <c r="F4921" t="s">
        <v>49</v>
      </c>
      <c r="G4921" s="30">
        <v>0</v>
      </c>
    </row>
    <row r="4922" spans="1:7" x14ac:dyDescent="0.25">
      <c r="A4922" t="s">
        <v>45</v>
      </c>
      <c r="B4922" t="s">
        <v>46</v>
      </c>
      <c r="C4922" t="s">
        <v>47</v>
      </c>
      <c r="D4922">
        <v>11169726</v>
      </c>
      <c r="E4922" t="s">
        <v>48</v>
      </c>
      <c r="F4922" t="s">
        <v>49</v>
      </c>
      <c r="G4922" s="30">
        <v>0</v>
      </c>
    </row>
    <row r="4923" spans="1:7" x14ac:dyDescent="0.25">
      <c r="A4923" t="s">
        <v>50</v>
      </c>
      <c r="B4923" t="s">
        <v>51</v>
      </c>
      <c r="C4923" t="s">
        <v>52</v>
      </c>
      <c r="D4923">
        <v>11170913</v>
      </c>
      <c r="E4923" t="s">
        <v>53</v>
      </c>
      <c r="F4923" t="s">
        <v>49</v>
      </c>
      <c r="G4923" s="30">
        <v>653.28</v>
      </c>
    </row>
    <row r="4924" spans="1:7" x14ac:dyDescent="0.25">
      <c r="A4924" t="s">
        <v>45</v>
      </c>
      <c r="B4924" t="s">
        <v>46</v>
      </c>
      <c r="C4924" t="s">
        <v>47</v>
      </c>
      <c r="D4924">
        <v>11171801</v>
      </c>
      <c r="E4924" t="s">
        <v>48</v>
      </c>
      <c r="F4924" t="s">
        <v>49</v>
      </c>
      <c r="G4924" s="30">
        <v>0</v>
      </c>
    </row>
    <row r="4925" spans="1:7" x14ac:dyDescent="0.25">
      <c r="A4925" t="s">
        <v>68</v>
      </c>
      <c r="B4925" t="s">
        <v>69</v>
      </c>
      <c r="C4925" t="s">
        <v>56</v>
      </c>
      <c r="D4925">
        <v>11173250</v>
      </c>
      <c r="E4925" t="s">
        <v>53</v>
      </c>
      <c r="F4925" t="s">
        <v>49</v>
      </c>
      <c r="G4925" s="30">
        <v>401202.58612166398</v>
      </c>
    </row>
    <row r="4926" spans="1:7" x14ac:dyDescent="0.25">
      <c r="A4926" t="s">
        <v>120</v>
      </c>
      <c r="B4926" t="s">
        <v>121</v>
      </c>
      <c r="C4926" t="s">
        <v>67</v>
      </c>
      <c r="D4926">
        <v>11173877</v>
      </c>
      <c r="E4926" t="s">
        <v>48</v>
      </c>
      <c r="F4926" t="s">
        <v>49</v>
      </c>
      <c r="G4926" s="30">
        <v>0</v>
      </c>
    </row>
    <row r="4927" spans="1:7" x14ac:dyDescent="0.25">
      <c r="A4927" t="s">
        <v>50</v>
      </c>
      <c r="B4927" t="s">
        <v>51</v>
      </c>
      <c r="C4927" t="s">
        <v>52</v>
      </c>
      <c r="D4927">
        <v>11176608</v>
      </c>
      <c r="E4927" t="s">
        <v>53</v>
      </c>
      <c r="F4927" t="s">
        <v>49</v>
      </c>
      <c r="G4927" s="30">
        <v>12680.0043379118</v>
      </c>
    </row>
    <row r="4928" spans="1:7" x14ac:dyDescent="0.25">
      <c r="A4928" t="s">
        <v>118</v>
      </c>
      <c r="B4928" t="s">
        <v>119</v>
      </c>
      <c r="C4928" t="s">
        <v>56</v>
      </c>
      <c r="D4928">
        <v>11181240</v>
      </c>
      <c r="E4928" t="s">
        <v>53</v>
      </c>
      <c r="F4928" t="s">
        <v>49</v>
      </c>
      <c r="G4928" s="30">
        <v>1613021.60455969</v>
      </c>
    </row>
    <row r="4929" spans="1:7" x14ac:dyDescent="0.25">
      <c r="A4929" t="s">
        <v>50</v>
      </c>
      <c r="B4929" t="s">
        <v>51</v>
      </c>
      <c r="C4929" t="s">
        <v>52</v>
      </c>
      <c r="D4929">
        <v>11181301</v>
      </c>
      <c r="E4929" t="s">
        <v>53</v>
      </c>
      <c r="F4929" t="s">
        <v>49</v>
      </c>
      <c r="G4929" s="30">
        <v>8107.98</v>
      </c>
    </row>
    <row r="4930" spans="1:7" x14ac:dyDescent="0.25">
      <c r="A4930" t="s">
        <v>45</v>
      </c>
      <c r="B4930" t="s">
        <v>46</v>
      </c>
      <c r="C4930" t="s">
        <v>47</v>
      </c>
      <c r="D4930">
        <v>11186788</v>
      </c>
      <c r="E4930" t="s">
        <v>48</v>
      </c>
      <c r="F4930" t="s">
        <v>49</v>
      </c>
      <c r="G4930" s="30">
        <v>0</v>
      </c>
    </row>
    <row r="4931" spans="1:7" x14ac:dyDescent="0.25">
      <c r="A4931" t="s">
        <v>45</v>
      </c>
      <c r="B4931" t="s">
        <v>46</v>
      </c>
      <c r="C4931" t="s">
        <v>47</v>
      </c>
      <c r="D4931">
        <v>11187511</v>
      </c>
      <c r="E4931" t="s">
        <v>48</v>
      </c>
      <c r="F4931" t="s">
        <v>49</v>
      </c>
      <c r="G4931" s="30">
        <v>0</v>
      </c>
    </row>
    <row r="4932" spans="1:7" x14ac:dyDescent="0.25">
      <c r="A4932" t="s">
        <v>50</v>
      </c>
      <c r="B4932" t="s">
        <v>51</v>
      </c>
      <c r="C4932" t="s">
        <v>52</v>
      </c>
      <c r="D4932">
        <v>11195050</v>
      </c>
      <c r="E4932" t="s">
        <v>53</v>
      </c>
      <c r="F4932" t="s">
        <v>49</v>
      </c>
      <c r="G4932" s="30">
        <v>11460.3848091648</v>
      </c>
    </row>
    <row r="4933" spans="1:7" x14ac:dyDescent="0.25">
      <c r="A4933" t="s">
        <v>94</v>
      </c>
      <c r="B4933" t="s">
        <v>95</v>
      </c>
      <c r="C4933" t="s">
        <v>78</v>
      </c>
      <c r="D4933">
        <v>11195975</v>
      </c>
      <c r="E4933" t="s">
        <v>53</v>
      </c>
      <c r="F4933" t="s">
        <v>49</v>
      </c>
      <c r="G4933" s="30">
        <v>211871.571123153</v>
      </c>
    </row>
    <row r="4934" spans="1:7" x14ac:dyDescent="0.25">
      <c r="A4934" t="s">
        <v>90</v>
      </c>
      <c r="B4934" t="s">
        <v>91</v>
      </c>
      <c r="C4934" t="s">
        <v>81</v>
      </c>
      <c r="D4934">
        <v>11197559</v>
      </c>
      <c r="E4934" t="s">
        <v>53</v>
      </c>
      <c r="F4934" t="s">
        <v>49</v>
      </c>
      <c r="G4934" s="30">
        <v>163596.59033944501</v>
      </c>
    </row>
    <row r="4935" spans="1:7" x14ac:dyDescent="0.25">
      <c r="A4935" t="s">
        <v>45</v>
      </c>
      <c r="B4935" t="s">
        <v>46</v>
      </c>
      <c r="C4935" t="s">
        <v>47</v>
      </c>
      <c r="D4935">
        <v>11198753</v>
      </c>
      <c r="E4935" t="s">
        <v>48</v>
      </c>
      <c r="F4935" t="s">
        <v>49</v>
      </c>
      <c r="G4935" s="30">
        <v>0</v>
      </c>
    </row>
    <row r="4936" spans="1:7" x14ac:dyDescent="0.25">
      <c r="A4936" t="s">
        <v>45</v>
      </c>
      <c r="B4936" t="s">
        <v>46</v>
      </c>
      <c r="C4936" t="s">
        <v>47</v>
      </c>
      <c r="D4936">
        <v>11199506</v>
      </c>
      <c r="E4936" t="s">
        <v>48</v>
      </c>
      <c r="F4936" t="s">
        <v>49</v>
      </c>
      <c r="G4936" s="30">
        <v>0</v>
      </c>
    </row>
    <row r="4937" spans="1:7" x14ac:dyDescent="0.25">
      <c r="A4937" t="s">
        <v>45</v>
      </c>
      <c r="B4937" t="s">
        <v>46</v>
      </c>
      <c r="C4937" t="s">
        <v>47</v>
      </c>
      <c r="D4937">
        <v>11199561</v>
      </c>
      <c r="E4937" t="s">
        <v>48</v>
      </c>
      <c r="F4937" t="s">
        <v>49</v>
      </c>
      <c r="G4937" s="30">
        <v>0</v>
      </c>
    </row>
    <row r="4938" spans="1:7" x14ac:dyDescent="0.25">
      <c r="A4938" t="s">
        <v>61</v>
      </c>
      <c r="B4938" t="s">
        <v>62</v>
      </c>
      <c r="C4938" t="s">
        <v>56</v>
      </c>
      <c r="D4938">
        <v>11200009</v>
      </c>
      <c r="E4938" t="s">
        <v>48</v>
      </c>
      <c r="F4938" t="s">
        <v>49</v>
      </c>
      <c r="G4938" s="30">
        <v>0</v>
      </c>
    </row>
    <row r="4939" spans="1:7" x14ac:dyDescent="0.25">
      <c r="A4939" t="s">
        <v>45</v>
      </c>
      <c r="B4939" t="s">
        <v>46</v>
      </c>
      <c r="C4939" t="s">
        <v>47</v>
      </c>
      <c r="D4939">
        <v>11203513</v>
      </c>
      <c r="E4939" t="s">
        <v>48</v>
      </c>
      <c r="F4939" t="s">
        <v>49</v>
      </c>
      <c r="G4939" s="30">
        <v>0</v>
      </c>
    </row>
    <row r="4940" spans="1:7" x14ac:dyDescent="0.25">
      <c r="A4940" t="s">
        <v>45</v>
      </c>
      <c r="B4940" t="s">
        <v>46</v>
      </c>
      <c r="C4940" t="s">
        <v>47</v>
      </c>
      <c r="D4940">
        <v>11207078</v>
      </c>
      <c r="E4940" t="s">
        <v>48</v>
      </c>
      <c r="F4940" t="s">
        <v>49</v>
      </c>
      <c r="G4940" s="30">
        <v>4.75</v>
      </c>
    </row>
    <row r="4941" spans="1:7" x14ac:dyDescent="0.25">
      <c r="A4941" t="s">
        <v>90</v>
      </c>
      <c r="B4941" t="s">
        <v>91</v>
      </c>
      <c r="C4941" t="s">
        <v>81</v>
      </c>
      <c r="D4941">
        <v>11212439</v>
      </c>
      <c r="E4941" t="s">
        <v>53</v>
      </c>
      <c r="F4941" t="s">
        <v>49</v>
      </c>
      <c r="G4941" s="30">
        <v>700084.96282351203</v>
      </c>
    </row>
    <row r="4942" spans="1:7" x14ac:dyDescent="0.25">
      <c r="A4942" t="s">
        <v>112</v>
      </c>
      <c r="B4942" t="s">
        <v>113</v>
      </c>
      <c r="C4942" t="s">
        <v>81</v>
      </c>
      <c r="D4942">
        <v>11213155</v>
      </c>
      <c r="E4942" t="s">
        <v>53</v>
      </c>
      <c r="F4942" t="s">
        <v>49</v>
      </c>
      <c r="G4942" s="30">
        <v>99489.572232453094</v>
      </c>
    </row>
    <row r="4943" spans="1:7" x14ac:dyDescent="0.25">
      <c r="A4943" t="s">
        <v>79</v>
      </c>
      <c r="B4943" t="s">
        <v>80</v>
      </c>
      <c r="C4943" t="s">
        <v>81</v>
      </c>
      <c r="D4943">
        <v>11214440</v>
      </c>
      <c r="E4943" t="s">
        <v>53</v>
      </c>
      <c r="F4943" t="s">
        <v>49</v>
      </c>
      <c r="G4943" s="30">
        <v>82385.235749084895</v>
      </c>
    </row>
    <row r="4944" spans="1:7" x14ac:dyDescent="0.25">
      <c r="A4944" t="s">
        <v>45</v>
      </c>
      <c r="B4944" t="s">
        <v>46</v>
      </c>
      <c r="C4944" t="s">
        <v>47</v>
      </c>
      <c r="D4944">
        <v>11216174</v>
      </c>
      <c r="E4944" t="s">
        <v>48</v>
      </c>
      <c r="F4944" t="s">
        <v>49</v>
      </c>
      <c r="G4944" s="30">
        <v>0</v>
      </c>
    </row>
    <row r="4945" spans="1:7" x14ac:dyDescent="0.25">
      <c r="A4945" t="s">
        <v>45</v>
      </c>
      <c r="B4945" t="s">
        <v>46</v>
      </c>
      <c r="C4945" t="s">
        <v>47</v>
      </c>
      <c r="D4945">
        <v>11216828</v>
      </c>
      <c r="E4945" t="s">
        <v>48</v>
      </c>
      <c r="F4945" t="s">
        <v>49</v>
      </c>
      <c r="G4945" s="30">
        <v>0</v>
      </c>
    </row>
    <row r="4946" spans="1:7" x14ac:dyDescent="0.25">
      <c r="A4946" t="s">
        <v>86</v>
      </c>
      <c r="B4946" t="s">
        <v>87</v>
      </c>
      <c r="C4946" t="s">
        <v>78</v>
      </c>
      <c r="D4946">
        <v>11219465</v>
      </c>
      <c r="E4946" t="s">
        <v>53</v>
      </c>
      <c r="F4946" t="s">
        <v>49</v>
      </c>
      <c r="G4946" s="30">
        <v>3232612.1376763298</v>
      </c>
    </row>
    <row r="4947" spans="1:7" x14ac:dyDescent="0.25">
      <c r="A4947" t="s">
        <v>45</v>
      </c>
      <c r="B4947" t="s">
        <v>46</v>
      </c>
      <c r="C4947" t="s">
        <v>47</v>
      </c>
      <c r="D4947">
        <v>11219471</v>
      </c>
      <c r="E4947" t="s">
        <v>48</v>
      </c>
      <c r="F4947" t="s">
        <v>49</v>
      </c>
      <c r="G4947" s="30">
        <v>0</v>
      </c>
    </row>
    <row r="4948" spans="1:7" x14ac:dyDescent="0.25">
      <c r="A4948" t="s">
        <v>133</v>
      </c>
      <c r="B4948" t="s">
        <v>134</v>
      </c>
      <c r="C4948" t="s">
        <v>47</v>
      </c>
      <c r="D4948">
        <v>11220113</v>
      </c>
      <c r="E4948" t="s">
        <v>53</v>
      </c>
      <c r="F4948" t="s">
        <v>49</v>
      </c>
      <c r="G4948" s="30">
        <v>146761.85573253501</v>
      </c>
    </row>
    <row r="4949" spans="1:7" x14ac:dyDescent="0.25">
      <c r="A4949" t="s">
        <v>45</v>
      </c>
      <c r="B4949" t="s">
        <v>46</v>
      </c>
      <c r="C4949" t="s">
        <v>47</v>
      </c>
      <c r="D4949">
        <v>11225049</v>
      </c>
      <c r="E4949" t="s">
        <v>48</v>
      </c>
      <c r="F4949" t="s">
        <v>49</v>
      </c>
      <c r="G4949" s="30">
        <v>0</v>
      </c>
    </row>
    <row r="4950" spans="1:7" x14ac:dyDescent="0.25">
      <c r="A4950" t="s">
        <v>50</v>
      </c>
      <c r="B4950" t="s">
        <v>51</v>
      </c>
      <c r="C4950" t="s">
        <v>52</v>
      </c>
      <c r="D4950">
        <v>11225148</v>
      </c>
      <c r="E4950" t="s">
        <v>53</v>
      </c>
      <c r="F4950" t="s">
        <v>49</v>
      </c>
      <c r="G4950" s="30">
        <v>46725.970761718803</v>
      </c>
    </row>
    <row r="4951" spans="1:7" x14ac:dyDescent="0.25">
      <c r="A4951" t="s">
        <v>45</v>
      </c>
      <c r="B4951" t="s">
        <v>46</v>
      </c>
      <c r="C4951" t="s">
        <v>47</v>
      </c>
      <c r="D4951">
        <v>11225194</v>
      </c>
      <c r="E4951" t="s">
        <v>48</v>
      </c>
      <c r="F4951" t="s">
        <v>49</v>
      </c>
      <c r="G4951" s="30">
        <v>0</v>
      </c>
    </row>
    <row r="4952" spans="1:7" x14ac:dyDescent="0.25">
      <c r="A4952" t="s">
        <v>59</v>
      </c>
      <c r="B4952" t="s">
        <v>60</v>
      </c>
      <c r="C4952" t="s">
        <v>56</v>
      </c>
      <c r="D4952">
        <v>11225848</v>
      </c>
      <c r="E4952" t="s">
        <v>53</v>
      </c>
      <c r="F4952" t="s">
        <v>49</v>
      </c>
      <c r="G4952" s="30">
        <v>110.88213091364599</v>
      </c>
    </row>
    <row r="4953" spans="1:7" x14ac:dyDescent="0.25">
      <c r="A4953" t="s">
        <v>116</v>
      </c>
      <c r="B4953" t="s">
        <v>117</v>
      </c>
      <c r="C4953" t="s">
        <v>47</v>
      </c>
      <c r="D4953">
        <v>11238024</v>
      </c>
      <c r="E4953" t="s">
        <v>48</v>
      </c>
      <c r="F4953" t="s">
        <v>49</v>
      </c>
      <c r="G4953" s="30">
        <v>0</v>
      </c>
    </row>
    <row r="4954" spans="1:7" x14ac:dyDescent="0.25">
      <c r="A4954" t="s">
        <v>45</v>
      </c>
      <c r="B4954" t="s">
        <v>46</v>
      </c>
      <c r="C4954" t="s">
        <v>47</v>
      </c>
      <c r="D4954">
        <v>11238205</v>
      </c>
      <c r="E4954" t="s">
        <v>48</v>
      </c>
      <c r="F4954" t="s">
        <v>49</v>
      </c>
      <c r="G4954" s="30">
        <v>0</v>
      </c>
    </row>
    <row r="4955" spans="1:7" x14ac:dyDescent="0.25">
      <c r="A4955" t="s">
        <v>50</v>
      </c>
      <c r="B4955" t="s">
        <v>51</v>
      </c>
      <c r="C4955" t="s">
        <v>52</v>
      </c>
      <c r="D4955">
        <v>11240191</v>
      </c>
      <c r="E4955" t="s">
        <v>53</v>
      </c>
      <c r="F4955" t="s">
        <v>49</v>
      </c>
      <c r="G4955" s="30">
        <v>500</v>
      </c>
    </row>
    <row r="4956" spans="1:7" x14ac:dyDescent="0.25">
      <c r="A4956" t="s">
        <v>68</v>
      </c>
      <c r="B4956" t="s">
        <v>69</v>
      </c>
      <c r="C4956" t="s">
        <v>56</v>
      </c>
      <c r="D4956">
        <v>11245335</v>
      </c>
      <c r="E4956" t="s">
        <v>53</v>
      </c>
      <c r="F4956" t="s">
        <v>49</v>
      </c>
      <c r="G4956" s="30">
        <v>32173.732759340299</v>
      </c>
    </row>
    <row r="4957" spans="1:7" x14ac:dyDescent="0.25">
      <c r="A4957" t="s">
        <v>59</v>
      </c>
      <c r="B4957" t="s">
        <v>60</v>
      </c>
      <c r="C4957" t="s">
        <v>56</v>
      </c>
      <c r="D4957">
        <v>11252595</v>
      </c>
      <c r="E4957" t="s">
        <v>48</v>
      </c>
      <c r="F4957" t="s">
        <v>49</v>
      </c>
      <c r="G4957" s="30">
        <v>0</v>
      </c>
    </row>
    <row r="4958" spans="1:7" x14ac:dyDescent="0.25">
      <c r="A4958" t="s">
        <v>63</v>
      </c>
      <c r="B4958" t="s">
        <v>64</v>
      </c>
      <c r="C4958" t="s">
        <v>56</v>
      </c>
      <c r="D4958">
        <v>11254380</v>
      </c>
      <c r="E4958" t="s">
        <v>53</v>
      </c>
      <c r="F4958" t="s">
        <v>49</v>
      </c>
      <c r="G4958" s="30">
        <v>262402.60763046303</v>
      </c>
    </row>
    <row r="4959" spans="1:7" x14ac:dyDescent="0.25">
      <c r="A4959" t="s">
        <v>45</v>
      </c>
      <c r="B4959" t="s">
        <v>46</v>
      </c>
      <c r="C4959" t="s">
        <v>47</v>
      </c>
      <c r="D4959">
        <v>11256918</v>
      </c>
      <c r="E4959" t="s">
        <v>48</v>
      </c>
      <c r="F4959" t="s">
        <v>49</v>
      </c>
      <c r="G4959" s="30">
        <v>0</v>
      </c>
    </row>
    <row r="4960" spans="1:7" x14ac:dyDescent="0.25">
      <c r="A4960" t="s">
        <v>128</v>
      </c>
      <c r="B4960" t="s">
        <v>129</v>
      </c>
      <c r="C4960" t="s">
        <v>130</v>
      </c>
      <c r="D4960">
        <v>11259022</v>
      </c>
      <c r="E4960" t="s">
        <v>53</v>
      </c>
      <c r="F4960" t="s">
        <v>49</v>
      </c>
      <c r="G4960" s="30">
        <v>1631581.07500518</v>
      </c>
    </row>
    <row r="4961" spans="1:7" x14ac:dyDescent="0.25">
      <c r="A4961" t="s">
        <v>45</v>
      </c>
      <c r="B4961" t="s">
        <v>46</v>
      </c>
      <c r="C4961" t="s">
        <v>47</v>
      </c>
      <c r="D4961">
        <v>11260022</v>
      </c>
      <c r="E4961" t="s">
        <v>48</v>
      </c>
      <c r="F4961" t="s">
        <v>49</v>
      </c>
      <c r="G4961" s="30">
        <v>0</v>
      </c>
    </row>
    <row r="4962" spans="1:7" x14ac:dyDescent="0.25">
      <c r="A4962" t="s">
        <v>45</v>
      </c>
      <c r="B4962" t="s">
        <v>46</v>
      </c>
      <c r="C4962" t="s">
        <v>47</v>
      </c>
      <c r="D4962">
        <v>11262022</v>
      </c>
      <c r="E4962" t="s">
        <v>48</v>
      </c>
      <c r="F4962" t="s">
        <v>49</v>
      </c>
      <c r="G4962" s="30">
        <v>0</v>
      </c>
    </row>
    <row r="4963" spans="1:7" x14ac:dyDescent="0.25">
      <c r="A4963" t="s">
        <v>92</v>
      </c>
      <c r="B4963" t="s">
        <v>93</v>
      </c>
      <c r="C4963" t="s">
        <v>81</v>
      </c>
      <c r="D4963">
        <v>11263657</v>
      </c>
      <c r="E4963" t="s">
        <v>48</v>
      </c>
      <c r="F4963" t="s">
        <v>49</v>
      </c>
      <c r="G4963" s="30">
        <v>0</v>
      </c>
    </row>
    <row r="4964" spans="1:7" x14ac:dyDescent="0.25">
      <c r="A4964" t="s">
        <v>45</v>
      </c>
      <c r="B4964" t="s">
        <v>46</v>
      </c>
      <c r="C4964" t="s">
        <v>47</v>
      </c>
      <c r="D4964">
        <v>11264027</v>
      </c>
      <c r="E4964" t="s">
        <v>48</v>
      </c>
      <c r="F4964" t="s">
        <v>49</v>
      </c>
      <c r="G4964" s="30">
        <v>0</v>
      </c>
    </row>
    <row r="4965" spans="1:7" x14ac:dyDescent="0.25">
      <c r="A4965" t="s">
        <v>45</v>
      </c>
      <c r="B4965" t="s">
        <v>46</v>
      </c>
      <c r="C4965" t="s">
        <v>47</v>
      </c>
      <c r="D4965">
        <v>11278437</v>
      </c>
      <c r="E4965" t="s">
        <v>48</v>
      </c>
      <c r="F4965" t="s">
        <v>49</v>
      </c>
      <c r="G4965" s="30">
        <v>0</v>
      </c>
    </row>
    <row r="4966" spans="1:7" x14ac:dyDescent="0.25">
      <c r="A4966" t="s">
        <v>50</v>
      </c>
      <c r="B4966" t="s">
        <v>51</v>
      </c>
      <c r="C4966" t="s">
        <v>52</v>
      </c>
      <c r="D4966">
        <v>11279516</v>
      </c>
      <c r="E4966" t="s">
        <v>53</v>
      </c>
      <c r="F4966" t="s">
        <v>49</v>
      </c>
      <c r="G4966" s="30">
        <v>110.53</v>
      </c>
    </row>
    <row r="4967" spans="1:7" x14ac:dyDescent="0.25">
      <c r="A4967" t="s">
        <v>88</v>
      </c>
      <c r="B4967" t="s">
        <v>89</v>
      </c>
      <c r="C4967" t="s">
        <v>78</v>
      </c>
      <c r="D4967">
        <v>11280031</v>
      </c>
      <c r="E4967" t="s">
        <v>53</v>
      </c>
      <c r="F4967" t="s">
        <v>49</v>
      </c>
      <c r="G4967" s="30">
        <v>110939.37521104699</v>
      </c>
    </row>
    <row r="4968" spans="1:7" x14ac:dyDescent="0.25">
      <c r="A4968" t="s">
        <v>112</v>
      </c>
      <c r="B4968" t="s">
        <v>113</v>
      </c>
      <c r="C4968" t="s">
        <v>81</v>
      </c>
      <c r="D4968">
        <v>11281568</v>
      </c>
      <c r="E4968" t="s">
        <v>53</v>
      </c>
      <c r="F4968" t="s">
        <v>49</v>
      </c>
      <c r="G4968" s="30">
        <v>4907238.0632931404</v>
      </c>
    </row>
    <row r="4969" spans="1:7" x14ac:dyDescent="0.25">
      <c r="A4969" t="s">
        <v>50</v>
      </c>
      <c r="B4969" t="s">
        <v>51</v>
      </c>
      <c r="C4969" t="s">
        <v>52</v>
      </c>
      <c r="D4969">
        <v>11288379</v>
      </c>
      <c r="E4969" t="s">
        <v>53</v>
      </c>
      <c r="F4969" t="s">
        <v>49</v>
      </c>
      <c r="G4969" s="30">
        <v>83070.852265537804</v>
      </c>
    </row>
    <row r="4970" spans="1:7" x14ac:dyDescent="0.25">
      <c r="A4970" t="s">
        <v>90</v>
      </c>
      <c r="B4970" t="s">
        <v>91</v>
      </c>
      <c r="C4970" t="s">
        <v>81</v>
      </c>
      <c r="D4970">
        <v>11288503</v>
      </c>
      <c r="E4970" t="s">
        <v>53</v>
      </c>
      <c r="F4970" t="s">
        <v>49</v>
      </c>
      <c r="G4970" s="30">
        <v>59878.862171857298</v>
      </c>
    </row>
    <row r="4971" spans="1:7" x14ac:dyDescent="0.25">
      <c r="A4971" t="s">
        <v>45</v>
      </c>
      <c r="B4971" t="s">
        <v>46</v>
      </c>
      <c r="C4971" t="s">
        <v>47</v>
      </c>
      <c r="D4971">
        <v>11289208</v>
      </c>
      <c r="E4971" t="s">
        <v>48</v>
      </c>
      <c r="F4971" t="s">
        <v>49</v>
      </c>
      <c r="G4971" s="30">
        <v>0</v>
      </c>
    </row>
    <row r="4972" spans="1:7" x14ac:dyDescent="0.25">
      <c r="A4972" t="s">
        <v>45</v>
      </c>
      <c r="B4972" t="s">
        <v>46</v>
      </c>
      <c r="C4972" t="s">
        <v>47</v>
      </c>
      <c r="D4972">
        <v>11289417</v>
      </c>
      <c r="E4972" t="s">
        <v>48</v>
      </c>
      <c r="F4972" t="s">
        <v>49</v>
      </c>
      <c r="G4972" s="30">
        <v>0</v>
      </c>
    </row>
    <row r="4973" spans="1:7" x14ac:dyDescent="0.25">
      <c r="A4973" t="s">
        <v>88</v>
      </c>
      <c r="B4973" t="s">
        <v>89</v>
      </c>
      <c r="C4973" t="s">
        <v>78</v>
      </c>
      <c r="D4973">
        <v>11289912</v>
      </c>
      <c r="E4973" t="s">
        <v>53</v>
      </c>
      <c r="F4973" t="s">
        <v>49</v>
      </c>
      <c r="G4973" s="30">
        <v>155596.60461912901</v>
      </c>
    </row>
    <row r="4974" spans="1:7" x14ac:dyDescent="0.25">
      <c r="A4974" t="s">
        <v>45</v>
      </c>
      <c r="B4974" t="s">
        <v>46</v>
      </c>
      <c r="C4974" t="s">
        <v>47</v>
      </c>
      <c r="D4974">
        <v>11294392</v>
      </c>
      <c r="E4974" t="s">
        <v>53</v>
      </c>
      <c r="F4974" t="s">
        <v>49</v>
      </c>
      <c r="G4974" s="30">
        <v>14424.070258477699</v>
      </c>
    </row>
    <row r="4975" spans="1:7" x14ac:dyDescent="0.25">
      <c r="A4975" t="s">
        <v>45</v>
      </c>
      <c r="B4975" t="s">
        <v>46</v>
      </c>
      <c r="C4975" t="s">
        <v>47</v>
      </c>
      <c r="D4975">
        <v>11295409</v>
      </c>
      <c r="E4975" t="s">
        <v>48</v>
      </c>
      <c r="F4975" t="s">
        <v>49</v>
      </c>
      <c r="G4975" s="30">
        <v>0</v>
      </c>
    </row>
    <row r="4976" spans="1:7" x14ac:dyDescent="0.25">
      <c r="A4976" t="s">
        <v>88</v>
      </c>
      <c r="B4976" t="s">
        <v>89</v>
      </c>
      <c r="C4976" t="s">
        <v>78</v>
      </c>
      <c r="D4976">
        <v>11295815</v>
      </c>
      <c r="E4976" t="s">
        <v>53</v>
      </c>
      <c r="F4976" t="s">
        <v>49</v>
      </c>
      <c r="G4976" s="30">
        <v>168489.91203124999</v>
      </c>
    </row>
    <row r="4977" spans="1:7" x14ac:dyDescent="0.25">
      <c r="A4977" t="s">
        <v>90</v>
      </c>
      <c r="B4977" t="s">
        <v>91</v>
      </c>
      <c r="C4977" t="s">
        <v>81</v>
      </c>
      <c r="D4977">
        <v>11296360</v>
      </c>
      <c r="E4977" t="s">
        <v>53</v>
      </c>
      <c r="F4977" t="s">
        <v>49</v>
      </c>
      <c r="G4977" s="30">
        <v>202861.64824642599</v>
      </c>
    </row>
    <row r="4978" spans="1:7" x14ac:dyDescent="0.25">
      <c r="A4978" t="s">
        <v>68</v>
      </c>
      <c r="B4978" t="s">
        <v>69</v>
      </c>
      <c r="C4978" t="s">
        <v>56</v>
      </c>
      <c r="D4978">
        <v>11296954</v>
      </c>
      <c r="E4978" t="s">
        <v>53</v>
      </c>
      <c r="F4978" t="s">
        <v>49</v>
      </c>
      <c r="G4978" s="30">
        <v>116922.15109375</v>
      </c>
    </row>
    <row r="4979" spans="1:7" x14ac:dyDescent="0.25">
      <c r="A4979" t="s">
        <v>118</v>
      </c>
      <c r="B4979" t="s">
        <v>119</v>
      </c>
      <c r="C4979" t="s">
        <v>56</v>
      </c>
      <c r="D4979">
        <v>11300988</v>
      </c>
      <c r="E4979" t="s">
        <v>48</v>
      </c>
      <c r="F4979" t="s">
        <v>49</v>
      </c>
      <c r="G4979" s="30">
        <v>0</v>
      </c>
    </row>
    <row r="4980" spans="1:7" x14ac:dyDescent="0.25">
      <c r="A4980" t="s">
        <v>45</v>
      </c>
      <c r="B4980" t="s">
        <v>46</v>
      </c>
      <c r="C4980" t="s">
        <v>47</v>
      </c>
      <c r="D4980">
        <v>11301678</v>
      </c>
      <c r="E4980" t="s">
        <v>48</v>
      </c>
      <c r="F4980" t="s">
        <v>49</v>
      </c>
      <c r="G4980" s="30">
        <v>0</v>
      </c>
    </row>
    <row r="4981" spans="1:7" x14ac:dyDescent="0.25">
      <c r="A4981" t="s">
        <v>45</v>
      </c>
      <c r="B4981" t="s">
        <v>46</v>
      </c>
      <c r="C4981" t="s">
        <v>47</v>
      </c>
      <c r="D4981">
        <v>11301772</v>
      </c>
      <c r="E4981" t="s">
        <v>48</v>
      </c>
      <c r="F4981" t="s">
        <v>49</v>
      </c>
      <c r="G4981" s="30">
        <v>0</v>
      </c>
    </row>
    <row r="4982" spans="1:7" x14ac:dyDescent="0.25">
      <c r="A4982" t="s">
        <v>45</v>
      </c>
      <c r="B4982" t="s">
        <v>46</v>
      </c>
      <c r="C4982" t="s">
        <v>47</v>
      </c>
      <c r="D4982">
        <v>11301955</v>
      </c>
      <c r="E4982" t="s">
        <v>48</v>
      </c>
      <c r="F4982" t="s">
        <v>49</v>
      </c>
      <c r="G4982" s="30">
        <v>0</v>
      </c>
    </row>
    <row r="4983" spans="1:7" x14ac:dyDescent="0.25">
      <c r="A4983" t="s">
        <v>68</v>
      </c>
      <c r="B4983" t="s">
        <v>69</v>
      </c>
      <c r="C4983" t="s">
        <v>56</v>
      </c>
      <c r="D4983">
        <v>11302736</v>
      </c>
      <c r="E4983" t="s">
        <v>53</v>
      </c>
      <c r="F4983" t="s">
        <v>49</v>
      </c>
      <c r="G4983" s="30">
        <v>62403.909218749999</v>
      </c>
    </row>
    <row r="4984" spans="1:7" x14ac:dyDescent="0.25">
      <c r="A4984" t="s">
        <v>45</v>
      </c>
      <c r="B4984" t="s">
        <v>46</v>
      </c>
      <c r="C4984" t="s">
        <v>47</v>
      </c>
      <c r="D4984">
        <v>11302980</v>
      </c>
      <c r="E4984" t="s">
        <v>48</v>
      </c>
      <c r="F4984" t="s">
        <v>49</v>
      </c>
      <c r="G4984" s="30">
        <v>0</v>
      </c>
    </row>
    <row r="4985" spans="1:7" x14ac:dyDescent="0.25">
      <c r="A4985" t="s">
        <v>61</v>
      </c>
      <c r="B4985" t="s">
        <v>62</v>
      </c>
      <c r="C4985" t="s">
        <v>56</v>
      </c>
      <c r="D4985">
        <v>11302986</v>
      </c>
      <c r="E4985" t="s">
        <v>53</v>
      </c>
      <c r="F4985" t="s">
        <v>49</v>
      </c>
      <c r="G4985" s="30">
        <v>195829.45041413599</v>
      </c>
    </row>
    <row r="4986" spans="1:7" x14ac:dyDescent="0.25">
      <c r="A4986" t="s">
        <v>116</v>
      </c>
      <c r="B4986" t="s">
        <v>117</v>
      </c>
      <c r="C4986" t="s">
        <v>47</v>
      </c>
      <c r="D4986">
        <v>11308446</v>
      </c>
      <c r="E4986" t="s">
        <v>53</v>
      </c>
      <c r="F4986" t="s">
        <v>49</v>
      </c>
      <c r="G4986" s="30">
        <v>72689.210000000006</v>
      </c>
    </row>
    <row r="4987" spans="1:7" x14ac:dyDescent="0.25">
      <c r="A4987" t="s">
        <v>106</v>
      </c>
      <c r="B4987" t="s">
        <v>107</v>
      </c>
      <c r="C4987" t="s">
        <v>56</v>
      </c>
      <c r="D4987">
        <v>11309392</v>
      </c>
      <c r="E4987" t="s">
        <v>53</v>
      </c>
      <c r="F4987" t="s">
        <v>49</v>
      </c>
      <c r="G4987" s="30">
        <v>12248.8096484375</v>
      </c>
    </row>
    <row r="4988" spans="1:7" x14ac:dyDescent="0.25">
      <c r="A4988" t="s">
        <v>45</v>
      </c>
      <c r="B4988" t="s">
        <v>46</v>
      </c>
      <c r="C4988" t="s">
        <v>47</v>
      </c>
      <c r="D4988">
        <v>11310218</v>
      </c>
      <c r="E4988" t="s">
        <v>48</v>
      </c>
      <c r="F4988" t="s">
        <v>49</v>
      </c>
      <c r="G4988" s="30">
        <v>0</v>
      </c>
    </row>
    <row r="4989" spans="1:7" x14ac:dyDescent="0.25">
      <c r="A4989" t="s">
        <v>92</v>
      </c>
      <c r="B4989" t="s">
        <v>93</v>
      </c>
      <c r="C4989" t="s">
        <v>81</v>
      </c>
      <c r="D4989">
        <v>11310476</v>
      </c>
      <c r="E4989" t="s">
        <v>53</v>
      </c>
      <c r="F4989" t="s">
        <v>49</v>
      </c>
      <c r="G4989" s="30">
        <v>7910.5978843951498</v>
      </c>
    </row>
    <row r="4990" spans="1:7" x14ac:dyDescent="0.25">
      <c r="A4990" t="s">
        <v>61</v>
      </c>
      <c r="B4990" t="s">
        <v>62</v>
      </c>
      <c r="C4990" t="s">
        <v>56</v>
      </c>
      <c r="D4990">
        <v>11313197</v>
      </c>
      <c r="E4990" t="s">
        <v>48</v>
      </c>
      <c r="F4990" t="s">
        <v>49</v>
      </c>
      <c r="G4990" s="30">
        <v>42.72</v>
      </c>
    </row>
    <row r="4991" spans="1:7" x14ac:dyDescent="0.25">
      <c r="A4991" t="s">
        <v>50</v>
      </c>
      <c r="B4991" t="s">
        <v>51</v>
      </c>
      <c r="C4991" t="s">
        <v>52</v>
      </c>
      <c r="D4991">
        <v>11314614</v>
      </c>
      <c r="E4991" t="s">
        <v>53</v>
      </c>
      <c r="F4991" t="s">
        <v>49</v>
      </c>
      <c r="G4991" s="30">
        <v>75287.816016002602</v>
      </c>
    </row>
    <row r="4992" spans="1:7" x14ac:dyDescent="0.25">
      <c r="A4992" t="s">
        <v>50</v>
      </c>
      <c r="B4992" t="s">
        <v>51</v>
      </c>
      <c r="C4992" t="s">
        <v>52</v>
      </c>
      <c r="D4992">
        <v>11320412</v>
      </c>
      <c r="E4992" t="s">
        <v>48</v>
      </c>
      <c r="F4992" t="s">
        <v>49</v>
      </c>
      <c r="G4992" s="30">
        <v>0</v>
      </c>
    </row>
    <row r="4993" spans="1:7" x14ac:dyDescent="0.25">
      <c r="A4993" t="s">
        <v>68</v>
      </c>
      <c r="B4993" t="s">
        <v>69</v>
      </c>
      <c r="C4993" t="s">
        <v>56</v>
      </c>
      <c r="D4993">
        <v>11320867</v>
      </c>
      <c r="E4993" t="s">
        <v>53</v>
      </c>
      <c r="F4993" t="s">
        <v>49</v>
      </c>
      <c r="G4993" s="30">
        <v>475124.55316568102</v>
      </c>
    </row>
    <row r="4994" spans="1:7" x14ac:dyDescent="0.25">
      <c r="A4994" t="s">
        <v>94</v>
      </c>
      <c r="B4994" t="s">
        <v>95</v>
      </c>
      <c r="C4994" t="s">
        <v>78</v>
      </c>
      <c r="D4994">
        <v>11320993</v>
      </c>
      <c r="E4994" t="s">
        <v>53</v>
      </c>
      <c r="F4994" t="s">
        <v>49</v>
      </c>
      <c r="G4994" s="30">
        <v>68892.645000000004</v>
      </c>
    </row>
    <row r="4995" spans="1:7" x14ac:dyDescent="0.25">
      <c r="A4995" t="s">
        <v>45</v>
      </c>
      <c r="B4995" t="s">
        <v>46</v>
      </c>
      <c r="C4995" t="s">
        <v>47</v>
      </c>
      <c r="D4995">
        <v>11323390</v>
      </c>
      <c r="E4995" t="s">
        <v>48</v>
      </c>
      <c r="F4995" t="s">
        <v>49</v>
      </c>
      <c r="G4995" s="30">
        <v>0</v>
      </c>
    </row>
    <row r="4996" spans="1:7" x14ac:dyDescent="0.25">
      <c r="A4996" t="s">
        <v>118</v>
      </c>
      <c r="B4996" t="s">
        <v>119</v>
      </c>
      <c r="C4996" t="s">
        <v>56</v>
      </c>
      <c r="D4996">
        <v>11323528</v>
      </c>
      <c r="E4996" t="s">
        <v>53</v>
      </c>
      <c r="F4996" t="s">
        <v>49</v>
      </c>
      <c r="G4996" s="30">
        <v>48212.709692266901</v>
      </c>
    </row>
    <row r="4997" spans="1:7" x14ac:dyDescent="0.25">
      <c r="A4997" t="s">
        <v>68</v>
      </c>
      <c r="B4997" t="s">
        <v>69</v>
      </c>
      <c r="C4997" t="s">
        <v>56</v>
      </c>
      <c r="D4997">
        <v>11324156</v>
      </c>
      <c r="E4997" t="s">
        <v>48</v>
      </c>
      <c r="F4997" t="s">
        <v>49</v>
      </c>
      <c r="G4997" s="30">
        <v>0</v>
      </c>
    </row>
    <row r="4998" spans="1:7" x14ac:dyDescent="0.25">
      <c r="A4998" t="s">
        <v>45</v>
      </c>
      <c r="B4998" t="s">
        <v>46</v>
      </c>
      <c r="C4998" t="s">
        <v>47</v>
      </c>
      <c r="D4998">
        <v>11329695</v>
      </c>
      <c r="E4998" t="s">
        <v>48</v>
      </c>
      <c r="F4998" t="s">
        <v>49</v>
      </c>
      <c r="G4998" s="30">
        <v>0</v>
      </c>
    </row>
    <row r="4999" spans="1:7" x14ac:dyDescent="0.25">
      <c r="A4999" t="s">
        <v>45</v>
      </c>
      <c r="B4999" t="s">
        <v>46</v>
      </c>
      <c r="C4999" t="s">
        <v>47</v>
      </c>
      <c r="D4999">
        <v>11329975</v>
      </c>
      <c r="E4999" t="s">
        <v>48</v>
      </c>
      <c r="F4999" t="s">
        <v>49</v>
      </c>
      <c r="G4999" s="30">
        <v>0</v>
      </c>
    </row>
    <row r="5000" spans="1:7" x14ac:dyDescent="0.25">
      <c r="A5000" t="s">
        <v>50</v>
      </c>
      <c r="B5000" t="s">
        <v>51</v>
      </c>
      <c r="C5000" t="s">
        <v>52</v>
      </c>
      <c r="D5000">
        <v>11330921</v>
      </c>
      <c r="E5000" t="s">
        <v>53</v>
      </c>
      <c r="F5000" t="s">
        <v>49</v>
      </c>
      <c r="G5000" s="30">
        <v>1072.8699999999999</v>
      </c>
    </row>
    <row r="5001" spans="1:7" x14ac:dyDescent="0.25">
      <c r="A5001" t="s">
        <v>50</v>
      </c>
      <c r="B5001" t="s">
        <v>51</v>
      </c>
      <c r="C5001" t="s">
        <v>52</v>
      </c>
      <c r="D5001">
        <v>11333051</v>
      </c>
      <c r="E5001" t="s">
        <v>53</v>
      </c>
      <c r="F5001" t="s">
        <v>49</v>
      </c>
      <c r="G5001" s="30">
        <v>20997.735619401199</v>
      </c>
    </row>
    <row r="5002" spans="1:7" x14ac:dyDescent="0.25">
      <c r="A5002" t="s">
        <v>86</v>
      </c>
      <c r="B5002" t="s">
        <v>87</v>
      </c>
      <c r="C5002" t="s">
        <v>78</v>
      </c>
      <c r="D5002">
        <v>11334431</v>
      </c>
      <c r="E5002" t="s">
        <v>53</v>
      </c>
      <c r="F5002" t="s">
        <v>49</v>
      </c>
      <c r="G5002" s="30">
        <v>155934.74143251701</v>
      </c>
    </row>
    <row r="5003" spans="1:7" x14ac:dyDescent="0.25">
      <c r="A5003" t="s">
        <v>59</v>
      </c>
      <c r="B5003" t="s">
        <v>60</v>
      </c>
      <c r="C5003" t="s">
        <v>56</v>
      </c>
      <c r="D5003">
        <v>11338368</v>
      </c>
      <c r="E5003" t="s">
        <v>53</v>
      </c>
      <c r="F5003" t="s">
        <v>49</v>
      </c>
      <c r="G5003" s="30">
        <v>75735.3597678308</v>
      </c>
    </row>
    <row r="5004" spans="1:7" x14ac:dyDescent="0.25">
      <c r="A5004" t="s">
        <v>45</v>
      </c>
      <c r="B5004" t="s">
        <v>46</v>
      </c>
      <c r="C5004" t="s">
        <v>47</v>
      </c>
      <c r="D5004">
        <v>11338760</v>
      </c>
      <c r="E5004" t="s">
        <v>48</v>
      </c>
      <c r="F5004" t="s">
        <v>49</v>
      </c>
      <c r="G5004" s="30">
        <v>0</v>
      </c>
    </row>
    <row r="5005" spans="1:7" x14ac:dyDescent="0.25">
      <c r="A5005" t="s">
        <v>68</v>
      </c>
      <c r="B5005" t="s">
        <v>69</v>
      </c>
      <c r="C5005" t="s">
        <v>56</v>
      </c>
      <c r="D5005">
        <v>11341190</v>
      </c>
      <c r="E5005" t="s">
        <v>48</v>
      </c>
      <c r="F5005" t="s">
        <v>49</v>
      </c>
      <c r="G5005" s="30">
        <v>0</v>
      </c>
    </row>
    <row r="5006" spans="1:7" x14ac:dyDescent="0.25">
      <c r="A5006" t="s">
        <v>61</v>
      </c>
      <c r="B5006" t="s">
        <v>62</v>
      </c>
      <c r="C5006" t="s">
        <v>56</v>
      </c>
      <c r="D5006">
        <v>11343756</v>
      </c>
      <c r="E5006" t="s">
        <v>53</v>
      </c>
      <c r="F5006" t="s">
        <v>49</v>
      </c>
      <c r="G5006" s="30">
        <v>161459.23956889799</v>
      </c>
    </row>
    <row r="5007" spans="1:7" x14ac:dyDescent="0.25">
      <c r="A5007" t="s">
        <v>112</v>
      </c>
      <c r="B5007" t="s">
        <v>113</v>
      </c>
      <c r="C5007" t="s">
        <v>81</v>
      </c>
      <c r="D5007">
        <v>11345365</v>
      </c>
      <c r="E5007" t="s">
        <v>53</v>
      </c>
      <c r="F5007" t="s">
        <v>49</v>
      </c>
      <c r="G5007" s="30">
        <v>297909.383477367</v>
      </c>
    </row>
    <row r="5008" spans="1:7" x14ac:dyDescent="0.25">
      <c r="A5008" t="s">
        <v>50</v>
      </c>
      <c r="B5008" t="s">
        <v>51</v>
      </c>
      <c r="C5008" t="s">
        <v>52</v>
      </c>
      <c r="D5008">
        <v>11345664</v>
      </c>
      <c r="E5008" t="s">
        <v>53</v>
      </c>
      <c r="F5008" t="s">
        <v>49</v>
      </c>
      <c r="G5008" s="30">
        <v>47780.580605468698</v>
      </c>
    </row>
    <row r="5009" spans="1:7" x14ac:dyDescent="0.25">
      <c r="A5009" t="s">
        <v>45</v>
      </c>
      <c r="B5009" t="s">
        <v>46</v>
      </c>
      <c r="C5009" t="s">
        <v>47</v>
      </c>
      <c r="D5009">
        <v>11355133</v>
      </c>
      <c r="E5009" t="s">
        <v>53</v>
      </c>
      <c r="F5009" t="s">
        <v>49</v>
      </c>
      <c r="G5009" s="30">
        <v>113.19258674454299</v>
      </c>
    </row>
    <row r="5010" spans="1:7" x14ac:dyDescent="0.25">
      <c r="A5010" t="s">
        <v>90</v>
      </c>
      <c r="B5010" t="s">
        <v>91</v>
      </c>
      <c r="C5010" t="s">
        <v>81</v>
      </c>
      <c r="D5010">
        <v>11355702</v>
      </c>
      <c r="E5010" t="s">
        <v>53</v>
      </c>
      <c r="F5010" t="s">
        <v>49</v>
      </c>
      <c r="G5010" s="30">
        <v>743510.07254355995</v>
      </c>
    </row>
    <row r="5011" spans="1:7" x14ac:dyDescent="0.25">
      <c r="A5011" t="s">
        <v>45</v>
      </c>
      <c r="B5011" t="s">
        <v>46</v>
      </c>
      <c r="C5011" t="s">
        <v>47</v>
      </c>
      <c r="D5011">
        <v>11357235</v>
      </c>
      <c r="E5011" t="s">
        <v>53</v>
      </c>
      <c r="F5011" t="s">
        <v>49</v>
      </c>
      <c r="G5011" s="30">
        <v>2830.62159091899</v>
      </c>
    </row>
    <row r="5012" spans="1:7" x14ac:dyDescent="0.25">
      <c r="A5012" t="s">
        <v>45</v>
      </c>
      <c r="B5012" t="s">
        <v>46</v>
      </c>
      <c r="C5012" t="s">
        <v>47</v>
      </c>
      <c r="D5012">
        <v>11360645</v>
      </c>
      <c r="E5012" t="s">
        <v>48</v>
      </c>
      <c r="F5012" t="s">
        <v>49</v>
      </c>
      <c r="G5012" s="30">
        <v>0</v>
      </c>
    </row>
    <row r="5013" spans="1:7" x14ac:dyDescent="0.25">
      <c r="A5013" t="s">
        <v>61</v>
      </c>
      <c r="B5013" t="s">
        <v>62</v>
      </c>
      <c r="C5013" t="s">
        <v>56</v>
      </c>
      <c r="D5013">
        <v>11360746</v>
      </c>
      <c r="E5013" t="s">
        <v>48</v>
      </c>
      <c r="F5013" t="s">
        <v>49</v>
      </c>
      <c r="G5013" s="30">
        <v>7.28</v>
      </c>
    </row>
    <row r="5014" spans="1:7" x14ac:dyDescent="0.25">
      <c r="A5014" t="s">
        <v>45</v>
      </c>
      <c r="B5014" t="s">
        <v>46</v>
      </c>
      <c r="C5014" t="s">
        <v>47</v>
      </c>
      <c r="D5014">
        <v>11362621</v>
      </c>
      <c r="E5014" t="s">
        <v>48</v>
      </c>
      <c r="F5014" t="s">
        <v>49</v>
      </c>
      <c r="G5014" s="30">
        <v>0</v>
      </c>
    </row>
    <row r="5015" spans="1:7" x14ac:dyDescent="0.25">
      <c r="A5015" t="s">
        <v>50</v>
      </c>
      <c r="B5015" t="s">
        <v>51</v>
      </c>
      <c r="C5015" t="s">
        <v>52</v>
      </c>
      <c r="D5015">
        <v>11362853</v>
      </c>
      <c r="E5015" t="s">
        <v>48</v>
      </c>
      <c r="F5015" t="s">
        <v>49</v>
      </c>
      <c r="G5015" s="30">
        <v>0</v>
      </c>
    </row>
    <row r="5016" spans="1:7" x14ac:dyDescent="0.25">
      <c r="A5016" t="s">
        <v>50</v>
      </c>
      <c r="B5016" t="s">
        <v>51</v>
      </c>
      <c r="C5016" t="s">
        <v>52</v>
      </c>
      <c r="D5016">
        <v>11363010</v>
      </c>
      <c r="E5016" t="s">
        <v>53</v>
      </c>
      <c r="F5016" t="s">
        <v>49</v>
      </c>
      <c r="G5016" s="30">
        <v>2356.931384947</v>
      </c>
    </row>
    <row r="5017" spans="1:7" x14ac:dyDescent="0.25">
      <c r="A5017" t="s">
        <v>61</v>
      </c>
      <c r="B5017" t="s">
        <v>62</v>
      </c>
      <c r="C5017" t="s">
        <v>56</v>
      </c>
      <c r="D5017">
        <v>11363485</v>
      </c>
      <c r="E5017" t="s">
        <v>53</v>
      </c>
      <c r="F5017" t="s">
        <v>49</v>
      </c>
      <c r="G5017" s="30">
        <v>222.84</v>
      </c>
    </row>
    <row r="5018" spans="1:7" x14ac:dyDescent="0.25">
      <c r="A5018" t="s">
        <v>45</v>
      </c>
      <c r="B5018" t="s">
        <v>46</v>
      </c>
      <c r="C5018" t="s">
        <v>47</v>
      </c>
      <c r="D5018">
        <v>11364689</v>
      </c>
      <c r="E5018" t="s">
        <v>48</v>
      </c>
      <c r="F5018" t="s">
        <v>49</v>
      </c>
      <c r="G5018" s="30">
        <v>0</v>
      </c>
    </row>
    <row r="5019" spans="1:7" x14ac:dyDescent="0.25">
      <c r="A5019" t="s">
        <v>45</v>
      </c>
      <c r="B5019" t="s">
        <v>46</v>
      </c>
      <c r="C5019" t="s">
        <v>47</v>
      </c>
      <c r="D5019">
        <v>11365018</v>
      </c>
      <c r="E5019" t="s">
        <v>48</v>
      </c>
      <c r="F5019" t="s">
        <v>49</v>
      </c>
      <c r="G5019" s="30">
        <v>0</v>
      </c>
    </row>
    <row r="5020" spans="1:7" x14ac:dyDescent="0.25">
      <c r="A5020" t="s">
        <v>65</v>
      </c>
      <c r="B5020" t="s">
        <v>66</v>
      </c>
      <c r="C5020" t="s">
        <v>67</v>
      </c>
      <c r="D5020">
        <v>11366097</v>
      </c>
      <c r="E5020" t="s">
        <v>53</v>
      </c>
      <c r="F5020" t="s">
        <v>49</v>
      </c>
      <c r="G5020" s="30">
        <v>13175.83</v>
      </c>
    </row>
    <row r="5021" spans="1:7" x14ac:dyDescent="0.25">
      <c r="A5021" t="s">
        <v>45</v>
      </c>
      <c r="B5021" t="s">
        <v>46</v>
      </c>
      <c r="C5021" t="s">
        <v>47</v>
      </c>
      <c r="D5021">
        <v>11368314</v>
      </c>
      <c r="E5021" t="s">
        <v>48</v>
      </c>
      <c r="F5021" t="s">
        <v>49</v>
      </c>
      <c r="G5021" s="30">
        <v>0</v>
      </c>
    </row>
    <row r="5022" spans="1:7" x14ac:dyDescent="0.25">
      <c r="A5022" t="s">
        <v>50</v>
      </c>
      <c r="B5022" t="s">
        <v>51</v>
      </c>
      <c r="C5022" t="s">
        <v>52</v>
      </c>
      <c r="D5022">
        <v>11372164</v>
      </c>
      <c r="E5022" t="s">
        <v>53</v>
      </c>
      <c r="F5022" t="s">
        <v>49</v>
      </c>
      <c r="G5022" s="30">
        <v>56771.632690874503</v>
      </c>
    </row>
    <row r="5023" spans="1:7" x14ac:dyDescent="0.25">
      <c r="A5023" t="s">
        <v>45</v>
      </c>
      <c r="B5023" t="s">
        <v>46</v>
      </c>
      <c r="C5023" t="s">
        <v>47</v>
      </c>
      <c r="D5023">
        <v>11374533</v>
      </c>
      <c r="E5023" t="s">
        <v>48</v>
      </c>
      <c r="F5023" t="s">
        <v>49</v>
      </c>
      <c r="G5023" s="30">
        <v>0</v>
      </c>
    </row>
    <row r="5024" spans="1:7" x14ac:dyDescent="0.25">
      <c r="A5024" t="s">
        <v>45</v>
      </c>
      <c r="B5024" t="s">
        <v>46</v>
      </c>
      <c r="C5024" t="s">
        <v>47</v>
      </c>
      <c r="D5024">
        <v>11376053</v>
      </c>
      <c r="E5024" t="s">
        <v>53</v>
      </c>
      <c r="F5024" t="s">
        <v>49</v>
      </c>
      <c r="G5024" s="30">
        <v>23587.895467348</v>
      </c>
    </row>
    <row r="5025" spans="1:7" x14ac:dyDescent="0.25">
      <c r="A5025" t="s">
        <v>45</v>
      </c>
      <c r="B5025" t="s">
        <v>46</v>
      </c>
      <c r="C5025" t="s">
        <v>47</v>
      </c>
      <c r="D5025">
        <v>11377195</v>
      </c>
      <c r="E5025" t="s">
        <v>48</v>
      </c>
      <c r="F5025" t="s">
        <v>49</v>
      </c>
      <c r="G5025" s="30">
        <v>0</v>
      </c>
    </row>
    <row r="5026" spans="1:7" x14ac:dyDescent="0.25">
      <c r="A5026" t="s">
        <v>82</v>
      </c>
      <c r="B5026" t="s">
        <v>83</v>
      </c>
      <c r="C5026" t="s">
        <v>56</v>
      </c>
      <c r="D5026">
        <v>11377608</v>
      </c>
      <c r="E5026" t="s">
        <v>48</v>
      </c>
      <c r="F5026" t="s">
        <v>49</v>
      </c>
      <c r="G5026" s="30">
        <v>0</v>
      </c>
    </row>
    <row r="5027" spans="1:7" x14ac:dyDescent="0.25">
      <c r="A5027" t="s">
        <v>45</v>
      </c>
      <c r="B5027" t="s">
        <v>46</v>
      </c>
      <c r="C5027" t="s">
        <v>47</v>
      </c>
      <c r="D5027">
        <v>11383550</v>
      </c>
      <c r="E5027" t="s">
        <v>48</v>
      </c>
      <c r="F5027" t="s">
        <v>49</v>
      </c>
      <c r="G5027" s="30">
        <v>0</v>
      </c>
    </row>
    <row r="5028" spans="1:7" x14ac:dyDescent="0.25">
      <c r="A5028" t="s">
        <v>50</v>
      </c>
      <c r="B5028" t="s">
        <v>51</v>
      </c>
      <c r="C5028" t="s">
        <v>52</v>
      </c>
      <c r="D5028">
        <v>11384088</v>
      </c>
      <c r="E5028" t="s">
        <v>53</v>
      </c>
      <c r="F5028" t="s">
        <v>49</v>
      </c>
      <c r="G5028" s="30">
        <v>40765.458124999997</v>
      </c>
    </row>
    <row r="5029" spans="1:7" x14ac:dyDescent="0.25">
      <c r="A5029" t="s">
        <v>45</v>
      </c>
      <c r="B5029" t="s">
        <v>46</v>
      </c>
      <c r="C5029" t="s">
        <v>47</v>
      </c>
      <c r="D5029">
        <v>11384821</v>
      </c>
      <c r="E5029" t="s">
        <v>53</v>
      </c>
      <c r="F5029" t="s">
        <v>49</v>
      </c>
      <c r="G5029" s="30">
        <v>67.13</v>
      </c>
    </row>
    <row r="5030" spans="1:7" x14ac:dyDescent="0.25">
      <c r="A5030" t="s">
        <v>50</v>
      </c>
      <c r="B5030" t="s">
        <v>51</v>
      </c>
      <c r="C5030" t="s">
        <v>52</v>
      </c>
      <c r="D5030">
        <v>11385732</v>
      </c>
      <c r="E5030" t="s">
        <v>53</v>
      </c>
      <c r="F5030" t="s">
        <v>49</v>
      </c>
      <c r="G5030" s="30">
        <v>3831.9479681528301</v>
      </c>
    </row>
    <row r="5031" spans="1:7" x14ac:dyDescent="0.25">
      <c r="A5031" t="s">
        <v>59</v>
      </c>
      <c r="B5031" t="s">
        <v>60</v>
      </c>
      <c r="C5031" t="s">
        <v>56</v>
      </c>
      <c r="D5031">
        <v>11387306</v>
      </c>
      <c r="E5031" t="s">
        <v>53</v>
      </c>
      <c r="F5031" t="s">
        <v>49</v>
      </c>
      <c r="G5031" s="30">
        <v>170159.89084800199</v>
      </c>
    </row>
    <row r="5032" spans="1:7" x14ac:dyDescent="0.25">
      <c r="A5032" t="s">
        <v>45</v>
      </c>
      <c r="B5032" t="s">
        <v>46</v>
      </c>
      <c r="C5032" t="s">
        <v>47</v>
      </c>
      <c r="D5032">
        <v>11388540</v>
      </c>
      <c r="E5032" t="s">
        <v>48</v>
      </c>
      <c r="F5032" t="s">
        <v>49</v>
      </c>
      <c r="G5032" s="30">
        <v>0</v>
      </c>
    </row>
    <row r="5033" spans="1:7" x14ac:dyDescent="0.25">
      <c r="A5033" t="s">
        <v>45</v>
      </c>
      <c r="B5033" t="s">
        <v>46</v>
      </c>
      <c r="C5033" t="s">
        <v>47</v>
      </c>
      <c r="D5033">
        <v>11388759</v>
      </c>
      <c r="E5033" t="s">
        <v>48</v>
      </c>
      <c r="F5033" t="s">
        <v>49</v>
      </c>
      <c r="G5033" s="30">
        <v>2.85</v>
      </c>
    </row>
    <row r="5034" spans="1:7" x14ac:dyDescent="0.25">
      <c r="A5034" t="s">
        <v>50</v>
      </c>
      <c r="B5034" t="s">
        <v>51</v>
      </c>
      <c r="C5034" t="s">
        <v>52</v>
      </c>
      <c r="D5034">
        <v>11389423</v>
      </c>
      <c r="E5034" t="s">
        <v>53</v>
      </c>
      <c r="F5034" t="s">
        <v>49</v>
      </c>
      <c r="G5034" s="30">
        <v>671.76145080694005</v>
      </c>
    </row>
    <row r="5035" spans="1:7" x14ac:dyDescent="0.25">
      <c r="A5035" t="s">
        <v>76</v>
      </c>
      <c r="B5035" t="s">
        <v>77</v>
      </c>
      <c r="C5035" t="s">
        <v>78</v>
      </c>
      <c r="D5035">
        <v>11389535</v>
      </c>
      <c r="E5035" t="s">
        <v>53</v>
      </c>
      <c r="F5035" t="s">
        <v>49</v>
      </c>
      <c r="G5035" s="30">
        <v>2023113.83371879</v>
      </c>
    </row>
    <row r="5036" spans="1:7" x14ac:dyDescent="0.25">
      <c r="A5036" t="s">
        <v>45</v>
      </c>
      <c r="B5036" t="s">
        <v>46</v>
      </c>
      <c r="C5036" t="s">
        <v>47</v>
      </c>
      <c r="D5036">
        <v>11392356</v>
      </c>
      <c r="E5036" t="s">
        <v>48</v>
      </c>
      <c r="F5036" t="s">
        <v>49</v>
      </c>
      <c r="G5036" s="30">
        <v>0</v>
      </c>
    </row>
    <row r="5037" spans="1:7" x14ac:dyDescent="0.25">
      <c r="A5037" t="s">
        <v>61</v>
      </c>
      <c r="B5037" t="s">
        <v>62</v>
      </c>
      <c r="C5037" t="s">
        <v>56</v>
      </c>
      <c r="D5037">
        <v>11394341</v>
      </c>
      <c r="E5037" t="s">
        <v>48</v>
      </c>
      <c r="F5037" t="s">
        <v>49</v>
      </c>
      <c r="G5037" s="30">
        <v>0</v>
      </c>
    </row>
    <row r="5038" spans="1:7" x14ac:dyDescent="0.25">
      <c r="A5038" t="s">
        <v>57</v>
      </c>
      <c r="B5038" t="s">
        <v>58</v>
      </c>
      <c r="C5038" t="s">
        <v>56</v>
      </c>
      <c r="D5038">
        <v>11395296</v>
      </c>
      <c r="E5038" t="s">
        <v>48</v>
      </c>
      <c r="F5038" t="s">
        <v>49</v>
      </c>
      <c r="G5038" s="30">
        <v>0</v>
      </c>
    </row>
    <row r="5039" spans="1:7" x14ac:dyDescent="0.25">
      <c r="A5039" t="s">
        <v>57</v>
      </c>
      <c r="B5039" t="s">
        <v>58</v>
      </c>
      <c r="C5039" t="s">
        <v>56</v>
      </c>
      <c r="D5039">
        <v>11399368</v>
      </c>
      <c r="E5039" t="s">
        <v>48</v>
      </c>
      <c r="F5039" t="s">
        <v>49</v>
      </c>
      <c r="G5039" s="30">
        <v>0</v>
      </c>
    </row>
    <row r="5040" spans="1:7" x14ac:dyDescent="0.25">
      <c r="A5040" t="s">
        <v>50</v>
      </c>
      <c r="B5040" t="s">
        <v>51</v>
      </c>
      <c r="C5040" t="s">
        <v>52</v>
      </c>
      <c r="D5040">
        <v>11401180</v>
      </c>
      <c r="E5040" t="s">
        <v>48</v>
      </c>
      <c r="F5040" t="s">
        <v>49</v>
      </c>
      <c r="G5040" s="30">
        <v>0</v>
      </c>
    </row>
    <row r="5041" spans="1:7" x14ac:dyDescent="0.25">
      <c r="A5041" t="s">
        <v>50</v>
      </c>
      <c r="B5041" t="s">
        <v>51</v>
      </c>
      <c r="C5041" t="s">
        <v>52</v>
      </c>
      <c r="D5041">
        <v>11401482</v>
      </c>
      <c r="E5041" t="s">
        <v>53</v>
      </c>
      <c r="F5041" t="s">
        <v>49</v>
      </c>
      <c r="G5041" s="30">
        <v>20991.82</v>
      </c>
    </row>
    <row r="5042" spans="1:7" x14ac:dyDescent="0.25">
      <c r="A5042" t="s">
        <v>68</v>
      </c>
      <c r="B5042" t="s">
        <v>69</v>
      </c>
      <c r="C5042" t="s">
        <v>56</v>
      </c>
      <c r="D5042">
        <v>11401519</v>
      </c>
      <c r="E5042" t="s">
        <v>48</v>
      </c>
      <c r="F5042" t="s">
        <v>49</v>
      </c>
      <c r="G5042" s="30">
        <v>0</v>
      </c>
    </row>
    <row r="5043" spans="1:7" x14ac:dyDescent="0.25">
      <c r="A5043" t="s">
        <v>50</v>
      </c>
      <c r="B5043" t="s">
        <v>51</v>
      </c>
      <c r="C5043" t="s">
        <v>52</v>
      </c>
      <c r="D5043">
        <v>11404491</v>
      </c>
      <c r="E5043" t="s">
        <v>53</v>
      </c>
      <c r="F5043" t="s">
        <v>49</v>
      </c>
      <c r="G5043" s="30">
        <v>110.058434937984</v>
      </c>
    </row>
    <row r="5044" spans="1:7" x14ac:dyDescent="0.25">
      <c r="A5044" t="s">
        <v>45</v>
      </c>
      <c r="B5044" t="s">
        <v>46</v>
      </c>
      <c r="C5044" t="s">
        <v>47</v>
      </c>
      <c r="D5044">
        <v>11406290</v>
      </c>
      <c r="E5044" t="s">
        <v>48</v>
      </c>
      <c r="F5044" t="s">
        <v>49</v>
      </c>
      <c r="G5044" s="30">
        <v>0</v>
      </c>
    </row>
    <row r="5045" spans="1:7" x14ac:dyDescent="0.25">
      <c r="A5045" t="s">
        <v>118</v>
      </c>
      <c r="B5045" t="s">
        <v>119</v>
      </c>
      <c r="C5045" t="s">
        <v>56</v>
      </c>
      <c r="D5045">
        <v>11410082</v>
      </c>
      <c r="E5045" t="s">
        <v>48</v>
      </c>
      <c r="F5045" t="s">
        <v>49</v>
      </c>
      <c r="G5045" s="30">
        <v>0</v>
      </c>
    </row>
    <row r="5046" spans="1:7" x14ac:dyDescent="0.25">
      <c r="A5046" t="s">
        <v>45</v>
      </c>
      <c r="B5046" t="s">
        <v>46</v>
      </c>
      <c r="C5046" t="s">
        <v>47</v>
      </c>
      <c r="D5046">
        <v>11413130</v>
      </c>
      <c r="E5046" t="s">
        <v>48</v>
      </c>
      <c r="F5046" t="s">
        <v>49</v>
      </c>
      <c r="G5046" s="30">
        <v>0</v>
      </c>
    </row>
    <row r="5047" spans="1:7" x14ac:dyDescent="0.25">
      <c r="A5047" t="s">
        <v>50</v>
      </c>
      <c r="B5047" t="s">
        <v>51</v>
      </c>
      <c r="C5047" t="s">
        <v>52</v>
      </c>
      <c r="D5047">
        <v>11414602</v>
      </c>
      <c r="E5047" t="s">
        <v>53</v>
      </c>
      <c r="F5047" t="s">
        <v>49</v>
      </c>
      <c r="G5047" s="30">
        <v>69739.607100946901</v>
      </c>
    </row>
    <row r="5048" spans="1:7" x14ac:dyDescent="0.25">
      <c r="A5048" t="s">
        <v>63</v>
      </c>
      <c r="B5048" t="s">
        <v>64</v>
      </c>
      <c r="C5048" t="s">
        <v>56</v>
      </c>
      <c r="D5048">
        <v>11415639</v>
      </c>
      <c r="E5048" t="s">
        <v>53</v>
      </c>
      <c r="F5048" t="s">
        <v>49</v>
      </c>
      <c r="G5048" s="30">
        <v>593394.78859375999</v>
      </c>
    </row>
    <row r="5049" spans="1:7" x14ac:dyDescent="0.25">
      <c r="A5049" t="s">
        <v>50</v>
      </c>
      <c r="B5049" t="s">
        <v>51</v>
      </c>
      <c r="C5049" t="s">
        <v>52</v>
      </c>
      <c r="D5049">
        <v>11417712</v>
      </c>
      <c r="E5049" t="s">
        <v>48</v>
      </c>
      <c r="F5049" t="s">
        <v>49</v>
      </c>
      <c r="G5049" s="30">
        <v>0</v>
      </c>
    </row>
    <row r="5050" spans="1:7" x14ac:dyDescent="0.25">
      <c r="A5050" t="s">
        <v>118</v>
      </c>
      <c r="B5050" t="s">
        <v>119</v>
      </c>
      <c r="C5050" t="s">
        <v>56</v>
      </c>
      <c r="D5050">
        <v>11418248</v>
      </c>
      <c r="E5050" t="s">
        <v>53</v>
      </c>
      <c r="F5050" t="s">
        <v>49</v>
      </c>
      <c r="G5050" s="30">
        <v>495241.03020639502</v>
      </c>
    </row>
    <row r="5051" spans="1:7" x14ac:dyDescent="0.25">
      <c r="A5051" t="s">
        <v>118</v>
      </c>
      <c r="B5051" t="s">
        <v>119</v>
      </c>
      <c r="C5051" t="s">
        <v>56</v>
      </c>
      <c r="D5051">
        <v>11418608</v>
      </c>
      <c r="E5051" t="s">
        <v>53</v>
      </c>
      <c r="F5051" t="s">
        <v>49</v>
      </c>
      <c r="G5051" s="30">
        <v>73640.755156283805</v>
      </c>
    </row>
    <row r="5052" spans="1:7" x14ac:dyDescent="0.25">
      <c r="A5052" t="s">
        <v>45</v>
      </c>
      <c r="B5052" t="s">
        <v>46</v>
      </c>
      <c r="C5052" t="s">
        <v>47</v>
      </c>
      <c r="D5052">
        <v>11420346</v>
      </c>
      <c r="E5052" t="s">
        <v>48</v>
      </c>
      <c r="F5052" t="s">
        <v>49</v>
      </c>
      <c r="G5052" s="30">
        <v>0</v>
      </c>
    </row>
    <row r="5053" spans="1:7" x14ac:dyDescent="0.25">
      <c r="A5053" t="s">
        <v>61</v>
      </c>
      <c r="B5053" t="s">
        <v>62</v>
      </c>
      <c r="C5053" t="s">
        <v>56</v>
      </c>
      <c r="D5053">
        <v>11422868</v>
      </c>
      <c r="E5053" t="s">
        <v>48</v>
      </c>
      <c r="F5053" t="s">
        <v>49</v>
      </c>
      <c r="G5053" s="30">
        <v>0</v>
      </c>
    </row>
    <row r="5054" spans="1:7" x14ac:dyDescent="0.25">
      <c r="A5054" t="s">
        <v>45</v>
      </c>
      <c r="B5054" t="s">
        <v>46</v>
      </c>
      <c r="C5054" t="s">
        <v>47</v>
      </c>
      <c r="D5054">
        <v>11423016</v>
      </c>
      <c r="E5054" t="s">
        <v>48</v>
      </c>
      <c r="F5054" t="s">
        <v>49</v>
      </c>
      <c r="G5054" s="30">
        <v>0</v>
      </c>
    </row>
    <row r="5055" spans="1:7" x14ac:dyDescent="0.25">
      <c r="A5055" t="s">
        <v>45</v>
      </c>
      <c r="B5055" t="s">
        <v>46</v>
      </c>
      <c r="C5055" t="s">
        <v>47</v>
      </c>
      <c r="D5055">
        <v>11423354</v>
      </c>
      <c r="E5055" t="s">
        <v>48</v>
      </c>
      <c r="F5055" t="s">
        <v>49</v>
      </c>
      <c r="G5055" s="30">
        <v>0</v>
      </c>
    </row>
    <row r="5056" spans="1:7" x14ac:dyDescent="0.25">
      <c r="A5056" t="s">
        <v>45</v>
      </c>
      <c r="B5056" t="s">
        <v>46</v>
      </c>
      <c r="C5056" t="s">
        <v>47</v>
      </c>
      <c r="D5056">
        <v>11423455</v>
      </c>
      <c r="E5056" t="s">
        <v>48</v>
      </c>
      <c r="F5056" t="s">
        <v>49</v>
      </c>
      <c r="G5056" s="30">
        <v>0</v>
      </c>
    </row>
    <row r="5057" spans="1:7" x14ac:dyDescent="0.25">
      <c r="A5057" t="s">
        <v>45</v>
      </c>
      <c r="B5057" t="s">
        <v>46</v>
      </c>
      <c r="C5057" t="s">
        <v>47</v>
      </c>
      <c r="D5057">
        <v>11423880</v>
      </c>
      <c r="E5057" t="s">
        <v>48</v>
      </c>
      <c r="F5057" t="s">
        <v>49</v>
      </c>
      <c r="G5057" s="30">
        <v>0</v>
      </c>
    </row>
    <row r="5058" spans="1:7" x14ac:dyDescent="0.25">
      <c r="A5058" t="s">
        <v>45</v>
      </c>
      <c r="B5058" t="s">
        <v>46</v>
      </c>
      <c r="C5058" t="s">
        <v>47</v>
      </c>
      <c r="D5058">
        <v>11424001</v>
      </c>
      <c r="E5058" t="s">
        <v>48</v>
      </c>
      <c r="F5058" t="s">
        <v>49</v>
      </c>
      <c r="G5058" s="30">
        <v>0</v>
      </c>
    </row>
    <row r="5059" spans="1:7" x14ac:dyDescent="0.25">
      <c r="A5059" t="s">
        <v>92</v>
      </c>
      <c r="B5059" t="s">
        <v>93</v>
      </c>
      <c r="C5059" t="s">
        <v>81</v>
      </c>
      <c r="D5059">
        <v>11427535</v>
      </c>
      <c r="E5059" t="s">
        <v>53</v>
      </c>
      <c r="F5059" t="s">
        <v>49</v>
      </c>
      <c r="G5059" s="30">
        <v>54320.459360379798</v>
      </c>
    </row>
    <row r="5060" spans="1:7" x14ac:dyDescent="0.25">
      <c r="A5060" t="s">
        <v>45</v>
      </c>
      <c r="B5060" t="s">
        <v>46</v>
      </c>
      <c r="C5060" t="s">
        <v>47</v>
      </c>
      <c r="D5060">
        <v>11429657</v>
      </c>
      <c r="E5060" t="s">
        <v>53</v>
      </c>
      <c r="F5060" t="s">
        <v>49</v>
      </c>
      <c r="G5060" s="30">
        <v>70699.866455078096</v>
      </c>
    </row>
    <row r="5061" spans="1:7" x14ac:dyDescent="0.25">
      <c r="A5061" t="s">
        <v>54</v>
      </c>
      <c r="B5061" t="s">
        <v>55</v>
      </c>
      <c r="C5061" t="s">
        <v>56</v>
      </c>
      <c r="D5061">
        <v>11435284</v>
      </c>
      <c r="E5061" t="s">
        <v>53</v>
      </c>
      <c r="F5061" t="s">
        <v>49</v>
      </c>
      <c r="G5061" s="30">
        <v>25404.723519444899</v>
      </c>
    </row>
    <row r="5062" spans="1:7" x14ac:dyDescent="0.25">
      <c r="A5062" t="s">
        <v>92</v>
      </c>
      <c r="B5062" t="s">
        <v>93</v>
      </c>
      <c r="C5062" t="s">
        <v>81</v>
      </c>
      <c r="D5062">
        <v>11438596</v>
      </c>
      <c r="E5062" t="s">
        <v>48</v>
      </c>
      <c r="F5062" t="s">
        <v>49</v>
      </c>
      <c r="G5062" s="30">
        <v>0</v>
      </c>
    </row>
    <row r="5063" spans="1:7" x14ac:dyDescent="0.25">
      <c r="A5063" t="s">
        <v>104</v>
      </c>
      <c r="B5063" t="s">
        <v>105</v>
      </c>
      <c r="C5063" t="s">
        <v>78</v>
      </c>
      <c r="D5063">
        <v>11438710</v>
      </c>
      <c r="E5063" t="s">
        <v>53</v>
      </c>
      <c r="F5063" t="s">
        <v>49</v>
      </c>
      <c r="G5063" s="30">
        <v>113651.29692666901</v>
      </c>
    </row>
    <row r="5064" spans="1:7" x14ac:dyDescent="0.25">
      <c r="A5064" t="s">
        <v>68</v>
      </c>
      <c r="B5064" t="s">
        <v>69</v>
      </c>
      <c r="C5064" t="s">
        <v>56</v>
      </c>
      <c r="D5064">
        <v>11439133</v>
      </c>
      <c r="E5064" t="s">
        <v>53</v>
      </c>
      <c r="F5064" t="s">
        <v>49</v>
      </c>
      <c r="G5064" s="30">
        <v>39202480.520000003</v>
      </c>
    </row>
    <row r="5065" spans="1:7" x14ac:dyDescent="0.25">
      <c r="A5065" t="s">
        <v>50</v>
      </c>
      <c r="B5065" t="s">
        <v>51</v>
      </c>
      <c r="C5065" t="s">
        <v>52</v>
      </c>
      <c r="D5065">
        <v>11439456</v>
      </c>
      <c r="E5065" t="s">
        <v>53</v>
      </c>
      <c r="F5065" t="s">
        <v>49</v>
      </c>
      <c r="G5065" s="30">
        <v>4591.3629221651599</v>
      </c>
    </row>
    <row r="5066" spans="1:7" x14ac:dyDescent="0.25">
      <c r="A5066" t="s">
        <v>50</v>
      </c>
      <c r="B5066" t="s">
        <v>51</v>
      </c>
      <c r="C5066" t="s">
        <v>52</v>
      </c>
      <c r="D5066">
        <v>11440278</v>
      </c>
      <c r="E5066" t="s">
        <v>53</v>
      </c>
      <c r="F5066" t="s">
        <v>49</v>
      </c>
      <c r="G5066" s="30">
        <v>9780.2860937500009</v>
      </c>
    </row>
    <row r="5067" spans="1:7" x14ac:dyDescent="0.25">
      <c r="A5067" t="s">
        <v>82</v>
      </c>
      <c r="B5067" t="s">
        <v>83</v>
      </c>
      <c r="C5067" t="s">
        <v>56</v>
      </c>
      <c r="D5067">
        <v>11440518</v>
      </c>
      <c r="E5067" t="s">
        <v>48</v>
      </c>
      <c r="F5067" t="s">
        <v>49</v>
      </c>
      <c r="G5067" s="30">
        <v>0</v>
      </c>
    </row>
    <row r="5068" spans="1:7" x14ac:dyDescent="0.25">
      <c r="A5068" t="s">
        <v>50</v>
      </c>
      <c r="B5068" t="s">
        <v>51</v>
      </c>
      <c r="C5068" t="s">
        <v>52</v>
      </c>
      <c r="D5068">
        <v>11444326</v>
      </c>
      <c r="E5068" t="s">
        <v>53</v>
      </c>
      <c r="F5068" t="s">
        <v>49</v>
      </c>
      <c r="G5068" s="30">
        <v>13395.714645550401</v>
      </c>
    </row>
    <row r="5069" spans="1:7" x14ac:dyDescent="0.25">
      <c r="A5069" t="s">
        <v>74</v>
      </c>
      <c r="B5069" t="s">
        <v>75</v>
      </c>
      <c r="C5069" t="s">
        <v>67</v>
      </c>
      <c r="D5069">
        <v>11446108</v>
      </c>
      <c r="E5069" t="s">
        <v>53</v>
      </c>
      <c r="F5069" t="s">
        <v>49</v>
      </c>
      <c r="G5069" s="30">
        <v>100300.57225535699</v>
      </c>
    </row>
    <row r="5070" spans="1:7" x14ac:dyDescent="0.25">
      <c r="A5070" t="s">
        <v>45</v>
      </c>
      <c r="B5070" t="s">
        <v>46</v>
      </c>
      <c r="C5070" t="s">
        <v>47</v>
      </c>
      <c r="D5070">
        <v>11447241</v>
      </c>
      <c r="E5070" t="s">
        <v>48</v>
      </c>
      <c r="F5070" t="s">
        <v>49</v>
      </c>
      <c r="G5070" s="30">
        <v>0</v>
      </c>
    </row>
    <row r="5071" spans="1:7" x14ac:dyDescent="0.25">
      <c r="A5071" t="s">
        <v>61</v>
      </c>
      <c r="B5071" t="s">
        <v>62</v>
      </c>
      <c r="C5071" t="s">
        <v>56</v>
      </c>
      <c r="D5071">
        <v>11447813</v>
      </c>
      <c r="E5071" t="s">
        <v>48</v>
      </c>
      <c r="F5071" t="s">
        <v>49</v>
      </c>
      <c r="G5071" s="30">
        <v>0</v>
      </c>
    </row>
    <row r="5072" spans="1:7" x14ac:dyDescent="0.25">
      <c r="A5072" t="s">
        <v>45</v>
      </c>
      <c r="B5072" t="s">
        <v>46</v>
      </c>
      <c r="C5072" t="s">
        <v>47</v>
      </c>
      <c r="D5072">
        <v>11450294</v>
      </c>
      <c r="E5072" t="s">
        <v>48</v>
      </c>
      <c r="F5072" t="s">
        <v>49</v>
      </c>
      <c r="G5072" s="30">
        <v>0</v>
      </c>
    </row>
    <row r="5073" spans="1:7" x14ac:dyDescent="0.25">
      <c r="A5073" t="s">
        <v>84</v>
      </c>
      <c r="B5073" t="s">
        <v>85</v>
      </c>
      <c r="C5073" t="s">
        <v>67</v>
      </c>
      <c r="D5073">
        <v>11452612</v>
      </c>
      <c r="E5073" t="s">
        <v>53</v>
      </c>
      <c r="F5073" t="s">
        <v>49</v>
      </c>
      <c r="G5073" s="30">
        <v>17652801.3192816</v>
      </c>
    </row>
    <row r="5074" spans="1:7" x14ac:dyDescent="0.25">
      <c r="A5074" t="s">
        <v>106</v>
      </c>
      <c r="B5074" t="s">
        <v>107</v>
      </c>
      <c r="C5074" t="s">
        <v>56</v>
      </c>
      <c r="D5074">
        <v>11452945</v>
      </c>
      <c r="E5074" t="s">
        <v>53</v>
      </c>
      <c r="F5074" t="s">
        <v>49</v>
      </c>
      <c r="G5074" s="30">
        <v>150814.03391649001</v>
      </c>
    </row>
    <row r="5075" spans="1:7" x14ac:dyDescent="0.25">
      <c r="A5075" t="s">
        <v>102</v>
      </c>
      <c r="B5075" t="s">
        <v>103</v>
      </c>
      <c r="C5075" t="s">
        <v>47</v>
      </c>
      <c r="D5075">
        <v>11452946</v>
      </c>
      <c r="E5075" t="s">
        <v>53</v>
      </c>
      <c r="F5075" t="s">
        <v>49</v>
      </c>
      <c r="G5075" s="30">
        <v>191508.14246764101</v>
      </c>
    </row>
    <row r="5076" spans="1:7" x14ac:dyDescent="0.25">
      <c r="A5076" t="s">
        <v>45</v>
      </c>
      <c r="B5076" t="s">
        <v>46</v>
      </c>
      <c r="C5076" t="s">
        <v>47</v>
      </c>
      <c r="D5076">
        <v>11453157</v>
      </c>
      <c r="E5076" t="s">
        <v>48</v>
      </c>
      <c r="F5076" t="s">
        <v>49</v>
      </c>
      <c r="G5076" s="30">
        <v>0.05</v>
      </c>
    </row>
    <row r="5077" spans="1:7" x14ac:dyDescent="0.25">
      <c r="A5077" t="s">
        <v>45</v>
      </c>
      <c r="B5077" t="s">
        <v>46</v>
      </c>
      <c r="C5077" t="s">
        <v>47</v>
      </c>
      <c r="D5077">
        <v>11453209</v>
      </c>
      <c r="E5077" t="s">
        <v>48</v>
      </c>
      <c r="F5077" t="s">
        <v>49</v>
      </c>
      <c r="G5077" s="30">
        <v>0</v>
      </c>
    </row>
    <row r="5078" spans="1:7" x14ac:dyDescent="0.25">
      <c r="A5078" t="s">
        <v>45</v>
      </c>
      <c r="B5078" t="s">
        <v>46</v>
      </c>
      <c r="C5078" t="s">
        <v>47</v>
      </c>
      <c r="D5078">
        <v>11453777</v>
      </c>
      <c r="E5078" t="s">
        <v>48</v>
      </c>
      <c r="F5078" t="s">
        <v>49</v>
      </c>
      <c r="G5078" s="30">
        <v>0</v>
      </c>
    </row>
    <row r="5079" spans="1:7" x14ac:dyDescent="0.25">
      <c r="A5079" t="s">
        <v>106</v>
      </c>
      <c r="B5079" t="s">
        <v>107</v>
      </c>
      <c r="C5079" t="s">
        <v>56</v>
      </c>
      <c r="D5079">
        <v>11453806</v>
      </c>
      <c r="E5079" t="s">
        <v>48</v>
      </c>
      <c r="F5079" t="s">
        <v>49</v>
      </c>
      <c r="G5079" s="30">
        <v>0</v>
      </c>
    </row>
    <row r="5080" spans="1:7" x14ac:dyDescent="0.25">
      <c r="A5080" t="s">
        <v>45</v>
      </c>
      <c r="B5080" t="s">
        <v>46</v>
      </c>
      <c r="C5080" t="s">
        <v>47</v>
      </c>
      <c r="D5080">
        <v>11454735</v>
      </c>
      <c r="E5080" t="s">
        <v>48</v>
      </c>
      <c r="F5080" t="s">
        <v>49</v>
      </c>
      <c r="G5080" s="30">
        <v>15.89</v>
      </c>
    </row>
    <row r="5081" spans="1:7" x14ac:dyDescent="0.25">
      <c r="A5081" t="s">
        <v>45</v>
      </c>
      <c r="B5081" t="s">
        <v>46</v>
      </c>
      <c r="C5081" t="s">
        <v>47</v>
      </c>
      <c r="D5081">
        <v>11454741</v>
      </c>
      <c r="E5081" t="s">
        <v>48</v>
      </c>
      <c r="F5081" t="s">
        <v>49</v>
      </c>
      <c r="G5081" s="30">
        <v>0</v>
      </c>
    </row>
    <row r="5082" spans="1:7" x14ac:dyDescent="0.25">
      <c r="A5082" t="s">
        <v>61</v>
      </c>
      <c r="B5082" t="s">
        <v>62</v>
      </c>
      <c r="C5082" t="s">
        <v>56</v>
      </c>
      <c r="D5082">
        <v>11456974</v>
      </c>
      <c r="E5082" t="s">
        <v>53</v>
      </c>
      <c r="F5082" t="s">
        <v>49</v>
      </c>
      <c r="G5082" s="30">
        <v>266261.93969333102</v>
      </c>
    </row>
    <row r="5083" spans="1:7" x14ac:dyDescent="0.25">
      <c r="A5083" t="s">
        <v>57</v>
      </c>
      <c r="B5083" t="s">
        <v>58</v>
      </c>
      <c r="C5083" t="s">
        <v>56</v>
      </c>
      <c r="D5083">
        <v>11457394</v>
      </c>
      <c r="E5083" t="s">
        <v>53</v>
      </c>
      <c r="F5083" t="s">
        <v>49</v>
      </c>
      <c r="G5083" s="30">
        <v>110663.43113836199</v>
      </c>
    </row>
    <row r="5084" spans="1:7" x14ac:dyDescent="0.25">
      <c r="A5084" t="s">
        <v>45</v>
      </c>
      <c r="B5084" t="s">
        <v>46</v>
      </c>
      <c r="C5084" t="s">
        <v>47</v>
      </c>
      <c r="D5084">
        <v>11457471</v>
      </c>
      <c r="E5084" t="s">
        <v>48</v>
      </c>
      <c r="F5084" t="s">
        <v>49</v>
      </c>
      <c r="G5084" s="30">
        <v>0.24</v>
      </c>
    </row>
    <row r="5085" spans="1:7" x14ac:dyDescent="0.25">
      <c r="A5085" t="s">
        <v>61</v>
      </c>
      <c r="B5085" t="s">
        <v>62</v>
      </c>
      <c r="C5085" t="s">
        <v>56</v>
      </c>
      <c r="D5085">
        <v>11461616</v>
      </c>
      <c r="E5085" t="s">
        <v>48</v>
      </c>
      <c r="F5085" t="s">
        <v>49</v>
      </c>
      <c r="G5085" s="30">
        <v>0</v>
      </c>
    </row>
    <row r="5086" spans="1:7" x14ac:dyDescent="0.25">
      <c r="A5086" t="s">
        <v>74</v>
      </c>
      <c r="B5086" t="s">
        <v>75</v>
      </c>
      <c r="C5086" t="s">
        <v>67</v>
      </c>
      <c r="D5086">
        <v>11462303</v>
      </c>
      <c r="E5086" t="s">
        <v>53</v>
      </c>
      <c r="F5086" t="s">
        <v>49</v>
      </c>
      <c r="G5086" s="30">
        <v>2425961.6074218801</v>
      </c>
    </row>
    <row r="5087" spans="1:7" x14ac:dyDescent="0.25">
      <c r="A5087" t="s">
        <v>57</v>
      </c>
      <c r="B5087" t="s">
        <v>58</v>
      </c>
      <c r="C5087" t="s">
        <v>56</v>
      </c>
      <c r="D5087">
        <v>11465593</v>
      </c>
      <c r="E5087" t="s">
        <v>53</v>
      </c>
      <c r="F5087" t="s">
        <v>49</v>
      </c>
      <c r="G5087" s="30">
        <v>110913.32602639501</v>
      </c>
    </row>
    <row r="5088" spans="1:7" x14ac:dyDescent="0.25">
      <c r="A5088" t="s">
        <v>45</v>
      </c>
      <c r="B5088" t="s">
        <v>46</v>
      </c>
      <c r="C5088" t="s">
        <v>47</v>
      </c>
      <c r="D5088">
        <v>11465694</v>
      </c>
      <c r="E5088" t="s">
        <v>48</v>
      </c>
      <c r="F5088" t="s">
        <v>49</v>
      </c>
      <c r="G5088" s="30">
        <v>0</v>
      </c>
    </row>
    <row r="5089" spans="1:7" x14ac:dyDescent="0.25">
      <c r="A5089" t="s">
        <v>45</v>
      </c>
      <c r="B5089" t="s">
        <v>46</v>
      </c>
      <c r="C5089" t="s">
        <v>47</v>
      </c>
      <c r="D5089">
        <v>11466285</v>
      </c>
      <c r="E5089" t="s">
        <v>53</v>
      </c>
      <c r="F5089" t="s">
        <v>49</v>
      </c>
      <c r="G5089" s="30">
        <v>131.24096459485901</v>
      </c>
    </row>
    <row r="5090" spans="1:7" x14ac:dyDescent="0.25">
      <c r="A5090" t="s">
        <v>82</v>
      </c>
      <c r="B5090" t="s">
        <v>83</v>
      </c>
      <c r="C5090" t="s">
        <v>56</v>
      </c>
      <c r="D5090">
        <v>11466475</v>
      </c>
      <c r="E5090" t="s">
        <v>53</v>
      </c>
      <c r="F5090" t="s">
        <v>49</v>
      </c>
      <c r="G5090" s="30">
        <v>245702.69905109101</v>
      </c>
    </row>
    <row r="5091" spans="1:7" x14ac:dyDescent="0.25">
      <c r="A5091" t="s">
        <v>54</v>
      </c>
      <c r="B5091" t="s">
        <v>55</v>
      </c>
      <c r="C5091" t="s">
        <v>56</v>
      </c>
      <c r="D5091">
        <v>11469951</v>
      </c>
      <c r="E5091" t="s">
        <v>53</v>
      </c>
      <c r="F5091" t="s">
        <v>49</v>
      </c>
      <c r="G5091" s="30">
        <v>35290.490360005897</v>
      </c>
    </row>
    <row r="5092" spans="1:7" x14ac:dyDescent="0.25">
      <c r="A5092" t="s">
        <v>45</v>
      </c>
      <c r="B5092" t="s">
        <v>46</v>
      </c>
      <c r="C5092" t="s">
        <v>47</v>
      </c>
      <c r="D5092">
        <v>11470530</v>
      </c>
      <c r="E5092" t="s">
        <v>53</v>
      </c>
      <c r="F5092" t="s">
        <v>49</v>
      </c>
      <c r="G5092" s="30">
        <v>105708.850685406</v>
      </c>
    </row>
    <row r="5093" spans="1:7" x14ac:dyDescent="0.25">
      <c r="A5093" t="s">
        <v>114</v>
      </c>
      <c r="B5093" t="s">
        <v>115</v>
      </c>
      <c r="C5093" t="s">
        <v>56</v>
      </c>
      <c r="D5093">
        <v>11479959</v>
      </c>
      <c r="E5093" t="s">
        <v>53</v>
      </c>
      <c r="F5093" t="s">
        <v>49</v>
      </c>
      <c r="G5093" s="30">
        <v>155437.176577595</v>
      </c>
    </row>
    <row r="5094" spans="1:7" x14ac:dyDescent="0.25">
      <c r="A5094" t="s">
        <v>114</v>
      </c>
      <c r="B5094" t="s">
        <v>115</v>
      </c>
      <c r="C5094" t="s">
        <v>56</v>
      </c>
      <c r="D5094">
        <v>11479965</v>
      </c>
      <c r="E5094" t="s">
        <v>53</v>
      </c>
      <c r="F5094" t="s">
        <v>49</v>
      </c>
      <c r="G5094" s="30">
        <v>136811.551207193</v>
      </c>
    </row>
    <row r="5095" spans="1:7" x14ac:dyDescent="0.25">
      <c r="A5095" t="s">
        <v>92</v>
      </c>
      <c r="B5095" t="s">
        <v>93</v>
      </c>
      <c r="C5095" t="s">
        <v>81</v>
      </c>
      <c r="D5095">
        <v>11485605</v>
      </c>
      <c r="E5095" t="s">
        <v>53</v>
      </c>
      <c r="F5095" t="s">
        <v>49</v>
      </c>
      <c r="G5095" s="30">
        <v>5052.47</v>
      </c>
    </row>
    <row r="5096" spans="1:7" x14ac:dyDescent="0.25">
      <c r="A5096" t="s">
        <v>45</v>
      </c>
      <c r="B5096" t="s">
        <v>46</v>
      </c>
      <c r="C5096" t="s">
        <v>47</v>
      </c>
      <c r="D5096">
        <v>11485811</v>
      </c>
      <c r="E5096" t="s">
        <v>48</v>
      </c>
      <c r="F5096" t="s">
        <v>49</v>
      </c>
      <c r="G5096" s="30">
        <v>0</v>
      </c>
    </row>
    <row r="5097" spans="1:7" x14ac:dyDescent="0.25">
      <c r="A5097" t="s">
        <v>120</v>
      </c>
      <c r="B5097" t="s">
        <v>121</v>
      </c>
      <c r="C5097" t="s">
        <v>67</v>
      </c>
      <c r="D5097">
        <v>11488880</v>
      </c>
      <c r="E5097" t="s">
        <v>53</v>
      </c>
      <c r="F5097" t="s">
        <v>49</v>
      </c>
      <c r="G5097" s="30">
        <v>346651.244140625</v>
      </c>
    </row>
    <row r="5098" spans="1:7" x14ac:dyDescent="0.25">
      <c r="A5098" t="s">
        <v>45</v>
      </c>
      <c r="B5098" t="s">
        <v>46</v>
      </c>
      <c r="C5098" t="s">
        <v>47</v>
      </c>
      <c r="D5098">
        <v>11491055</v>
      </c>
      <c r="E5098" t="s">
        <v>53</v>
      </c>
      <c r="F5098" t="s">
        <v>49</v>
      </c>
      <c r="G5098" s="30">
        <v>13336.2750149769</v>
      </c>
    </row>
    <row r="5099" spans="1:7" x14ac:dyDescent="0.25">
      <c r="A5099" t="s">
        <v>45</v>
      </c>
      <c r="B5099" t="s">
        <v>46</v>
      </c>
      <c r="C5099" t="s">
        <v>47</v>
      </c>
      <c r="D5099">
        <v>11491135</v>
      </c>
      <c r="E5099" t="s">
        <v>48</v>
      </c>
      <c r="F5099" t="s">
        <v>49</v>
      </c>
      <c r="G5099" s="30">
        <v>0</v>
      </c>
    </row>
    <row r="5100" spans="1:7" x14ac:dyDescent="0.25">
      <c r="A5100" t="s">
        <v>50</v>
      </c>
      <c r="B5100" t="s">
        <v>51</v>
      </c>
      <c r="C5100" t="s">
        <v>52</v>
      </c>
      <c r="D5100">
        <v>11491174</v>
      </c>
      <c r="E5100" t="s">
        <v>53</v>
      </c>
      <c r="F5100" t="s">
        <v>49</v>
      </c>
      <c r="G5100" s="30">
        <v>56965.075583190897</v>
      </c>
    </row>
    <row r="5101" spans="1:7" x14ac:dyDescent="0.25">
      <c r="A5101" t="s">
        <v>45</v>
      </c>
      <c r="B5101" t="s">
        <v>46</v>
      </c>
      <c r="C5101" t="s">
        <v>47</v>
      </c>
      <c r="D5101">
        <v>11492003</v>
      </c>
      <c r="E5101" t="s">
        <v>48</v>
      </c>
      <c r="F5101" t="s">
        <v>49</v>
      </c>
      <c r="G5101" s="30">
        <v>0</v>
      </c>
    </row>
    <row r="5102" spans="1:7" x14ac:dyDescent="0.25">
      <c r="A5102" t="s">
        <v>50</v>
      </c>
      <c r="B5102" t="s">
        <v>51</v>
      </c>
      <c r="C5102" t="s">
        <v>52</v>
      </c>
      <c r="D5102">
        <v>11492441</v>
      </c>
      <c r="E5102" t="s">
        <v>53</v>
      </c>
      <c r="F5102" t="s">
        <v>49</v>
      </c>
      <c r="G5102" s="30">
        <v>21710.447922338299</v>
      </c>
    </row>
    <row r="5103" spans="1:7" x14ac:dyDescent="0.25">
      <c r="A5103" t="s">
        <v>50</v>
      </c>
      <c r="B5103" t="s">
        <v>51</v>
      </c>
      <c r="C5103" t="s">
        <v>52</v>
      </c>
      <c r="D5103">
        <v>11494106</v>
      </c>
      <c r="E5103" t="s">
        <v>53</v>
      </c>
      <c r="F5103" t="s">
        <v>49</v>
      </c>
      <c r="G5103" s="30">
        <v>57874.38</v>
      </c>
    </row>
    <row r="5104" spans="1:7" x14ac:dyDescent="0.25">
      <c r="A5104" t="s">
        <v>102</v>
      </c>
      <c r="B5104" t="s">
        <v>103</v>
      </c>
      <c r="C5104" t="s">
        <v>47</v>
      </c>
      <c r="D5104">
        <v>11496850</v>
      </c>
      <c r="E5104" t="s">
        <v>53</v>
      </c>
      <c r="F5104" t="s">
        <v>49</v>
      </c>
      <c r="G5104" s="30">
        <v>128152.75573724</v>
      </c>
    </row>
    <row r="5105" spans="1:7" x14ac:dyDescent="0.25">
      <c r="A5105" t="s">
        <v>102</v>
      </c>
      <c r="B5105" t="s">
        <v>103</v>
      </c>
      <c r="C5105" t="s">
        <v>47</v>
      </c>
      <c r="D5105">
        <v>11497201</v>
      </c>
      <c r="E5105" t="s">
        <v>53</v>
      </c>
      <c r="F5105" t="s">
        <v>49</v>
      </c>
      <c r="G5105" s="30">
        <v>129803.625491007</v>
      </c>
    </row>
    <row r="5106" spans="1:7" x14ac:dyDescent="0.25">
      <c r="A5106" t="s">
        <v>59</v>
      </c>
      <c r="B5106" t="s">
        <v>60</v>
      </c>
      <c r="C5106" t="s">
        <v>56</v>
      </c>
      <c r="D5106">
        <v>11502810</v>
      </c>
      <c r="E5106" t="s">
        <v>53</v>
      </c>
      <c r="F5106" t="s">
        <v>49</v>
      </c>
      <c r="G5106" s="30">
        <v>8707.9605447516406</v>
      </c>
    </row>
    <row r="5107" spans="1:7" x14ac:dyDescent="0.25">
      <c r="A5107" t="s">
        <v>45</v>
      </c>
      <c r="B5107" t="s">
        <v>46</v>
      </c>
      <c r="C5107" t="s">
        <v>47</v>
      </c>
      <c r="D5107">
        <v>11503337</v>
      </c>
      <c r="E5107" t="s">
        <v>48</v>
      </c>
      <c r="F5107" t="s">
        <v>49</v>
      </c>
      <c r="G5107" s="30">
        <v>0</v>
      </c>
    </row>
    <row r="5108" spans="1:7" x14ac:dyDescent="0.25">
      <c r="A5108" t="s">
        <v>45</v>
      </c>
      <c r="B5108" t="s">
        <v>46</v>
      </c>
      <c r="C5108" t="s">
        <v>47</v>
      </c>
      <c r="D5108">
        <v>11504007</v>
      </c>
      <c r="E5108" t="s">
        <v>48</v>
      </c>
      <c r="F5108" t="s">
        <v>49</v>
      </c>
      <c r="G5108" s="30">
        <v>0</v>
      </c>
    </row>
    <row r="5109" spans="1:7" x14ac:dyDescent="0.25">
      <c r="A5109" t="s">
        <v>116</v>
      </c>
      <c r="B5109" t="s">
        <v>117</v>
      </c>
      <c r="C5109" t="s">
        <v>47</v>
      </c>
      <c r="D5109">
        <v>11504213</v>
      </c>
      <c r="E5109" t="s">
        <v>53</v>
      </c>
      <c r="F5109" t="s">
        <v>49</v>
      </c>
      <c r="G5109" s="30">
        <v>140124.135075784</v>
      </c>
    </row>
    <row r="5110" spans="1:7" x14ac:dyDescent="0.25">
      <c r="A5110" t="s">
        <v>61</v>
      </c>
      <c r="B5110" t="s">
        <v>62</v>
      </c>
      <c r="C5110" t="s">
        <v>56</v>
      </c>
      <c r="D5110">
        <v>11505644</v>
      </c>
      <c r="E5110" t="s">
        <v>48</v>
      </c>
      <c r="F5110" t="s">
        <v>49</v>
      </c>
      <c r="G5110" s="30">
        <v>0</v>
      </c>
    </row>
    <row r="5111" spans="1:7" x14ac:dyDescent="0.25">
      <c r="A5111" t="s">
        <v>61</v>
      </c>
      <c r="B5111" t="s">
        <v>62</v>
      </c>
      <c r="C5111" t="s">
        <v>56</v>
      </c>
      <c r="D5111">
        <v>11509564</v>
      </c>
      <c r="E5111" t="s">
        <v>53</v>
      </c>
      <c r="F5111" t="s">
        <v>49</v>
      </c>
      <c r="G5111" s="30">
        <v>4390.6499999999996</v>
      </c>
    </row>
    <row r="5112" spans="1:7" x14ac:dyDescent="0.25">
      <c r="A5112" t="s">
        <v>74</v>
      </c>
      <c r="B5112" t="s">
        <v>75</v>
      </c>
      <c r="C5112" t="s">
        <v>67</v>
      </c>
      <c r="D5112">
        <v>11510709</v>
      </c>
      <c r="E5112" t="s">
        <v>48</v>
      </c>
      <c r="F5112" t="s">
        <v>49</v>
      </c>
      <c r="G5112" s="30">
        <v>0</v>
      </c>
    </row>
    <row r="5113" spans="1:7" x14ac:dyDescent="0.25">
      <c r="A5113" t="s">
        <v>114</v>
      </c>
      <c r="B5113" t="s">
        <v>115</v>
      </c>
      <c r="C5113" t="s">
        <v>56</v>
      </c>
      <c r="D5113">
        <v>11511375</v>
      </c>
      <c r="E5113" t="s">
        <v>48</v>
      </c>
      <c r="F5113" t="s">
        <v>49</v>
      </c>
      <c r="G5113" s="30">
        <v>0</v>
      </c>
    </row>
    <row r="5114" spans="1:7" x14ac:dyDescent="0.25">
      <c r="A5114" t="s">
        <v>74</v>
      </c>
      <c r="B5114" t="s">
        <v>75</v>
      </c>
      <c r="C5114" t="s">
        <v>67</v>
      </c>
      <c r="D5114">
        <v>11512567</v>
      </c>
      <c r="E5114" t="s">
        <v>53</v>
      </c>
      <c r="F5114" t="s">
        <v>49</v>
      </c>
      <c r="G5114" s="30">
        <v>1930281.50797647</v>
      </c>
    </row>
    <row r="5115" spans="1:7" x14ac:dyDescent="0.25">
      <c r="A5115" t="s">
        <v>45</v>
      </c>
      <c r="B5115" t="s">
        <v>46</v>
      </c>
      <c r="C5115" t="s">
        <v>47</v>
      </c>
      <c r="D5115">
        <v>11513246</v>
      </c>
      <c r="E5115" t="s">
        <v>48</v>
      </c>
      <c r="F5115" t="s">
        <v>49</v>
      </c>
      <c r="G5115" s="30">
        <v>0</v>
      </c>
    </row>
    <row r="5116" spans="1:7" x14ac:dyDescent="0.25">
      <c r="A5116" t="s">
        <v>50</v>
      </c>
      <c r="B5116" t="s">
        <v>51</v>
      </c>
      <c r="C5116" t="s">
        <v>52</v>
      </c>
      <c r="D5116">
        <v>11521963</v>
      </c>
      <c r="E5116" t="s">
        <v>48</v>
      </c>
      <c r="F5116" t="s">
        <v>49</v>
      </c>
      <c r="G5116" s="30">
        <v>0</v>
      </c>
    </row>
    <row r="5117" spans="1:7" x14ac:dyDescent="0.25">
      <c r="A5117" t="s">
        <v>45</v>
      </c>
      <c r="B5117" t="s">
        <v>46</v>
      </c>
      <c r="C5117" t="s">
        <v>47</v>
      </c>
      <c r="D5117">
        <v>11522438</v>
      </c>
      <c r="E5117" t="s">
        <v>48</v>
      </c>
      <c r="F5117" t="s">
        <v>49</v>
      </c>
      <c r="G5117" s="30">
        <v>0</v>
      </c>
    </row>
    <row r="5118" spans="1:7" x14ac:dyDescent="0.25">
      <c r="A5118" t="s">
        <v>86</v>
      </c>
      <c r="B5118" t="s">
        <v>87</v>
      </c>
      <c r="C5118" t="s">
        <v>78</v>
      </c>
      <c r="D5118">
        <v>11524596</v>
      </c>
      <c r="E5118" t="s">
        <v>53</v>
      </c>
      <c r="F5118" t="s">
        <v>49</v>
      </c>
      <c r="G5118" s="30">
        <v>1429217.8603499299</v>
      </c>
    </row>
    <row r="5119" spans="1:7" x14ac:dyDescent="0.25">
      <c r="A5119" t="s">
        <v>50</v>
      </c>
      <c r="B5119" t="s">
        <v>51</v>
      </c>
      <c r="C5119" t="s">
        <v>52</v>
      </c>
      <c r="D5119">
        <v>11526476</v>
      </c>
      <c r="E5119" t="s">
        <v>53</v>
      </c>
      <c r="F5119" t="s">
        <v>49</v>
      </c>
      <c r="G5119" s="30">
        <v>1746.37</v>
      </c>
    </row>
    <row r="5120" spans="1:7" x14ac:dyDescent="0.25">
      <c r="A5120" t="s">
        <v>45</v>
      </c>
      <c r="B5120" t="s">
        <v>46</v>
      </c>
      <c r="C5120" t="s">
        <v>47</v>
      </c>
      <c r="D5120">
        <v>11526594</v>
      </c>
      <c r="E5120" t="s">
        <v>48</v>
      </c>
      <c r="F5120" t="s">
        <v>49</v>
      </c>
      <c r="G5120" s="30">
        <v>0</v>
      </c>
    </row>
    <row r="5121" spans="1:7" x14ac:dyDescent="0.25">
      <c r="A5121" t="s">
        <v>45</v>
      </c>
      <c r="B5121" t="s">
        <v>46</v>
      </c>
      <c r="C5121" t="s">
        <v>47</v>
      </c>
      <c r="D5121">
        <v>11526647</v>
      </c>
      <c r="E5121" t="s">
        <v>48</v>
      </c>
      <c r="F5121" t="s">
        <v>49</v>
      </c>
      <c r="G5121" s="30">
        <v>0</v>
      </c>
    </row>
    <row r="5122" spans="1:7" x14ac:dyDescent="0.25">
      <c r="A5122" t="s">
        <v>57</v>
      </c>
      <c r="B5122" t="s">
        <v>58</v>
      </c>
      <c r="C5122" t="s">
        <v>56</v>
      </c>
      <c r="D5122">
        <v>11527138</v>
      </c>
      <c r="E5122" t="s">
        <v>53</v>
      </c>
      <c r="F5122" t="s">
        <v>49</v>
      </c>
      <c r="G5122" s="30">
        <v>116274.752145511</v>
      </c>
    </row>
    <row r="5123" spans="1:7" x14ac:dyDescent="0.25">
      <c r="A5123" t="s">
        <v>112</v>
      </c>
      <c r="B5123" t="s">
        <v>113</v>
      </c>
      <c r="C5123" t="s">
        <v>81</v>
      </c>
      <c r="D5123">
        <v>11527362</v>
      </c>
      <c r="E5123" t="s">
        <v>53</v>
      </c>
      <c r="F5123" t="s">
        <v>49</v>
      </c>
      <c r="G5123" s="30">
        <v>401915.10859317501</v>
      </c>
    </row>
    <row r="5124" spans="1:7" x14ac:dyDescent="0.25">
      <c r="A5124" t="s">
        <v>45</v>
      </c>
      <c r="B5124" t="s">
        <v>46</v>
      </c>
      <c r="C5124" t="s">
        <v>47</v>
      </c>
      <c r="D5124">
        <v>11529021</v>
      </c>
      <c r="E5124" t="s">
        <v>53</v>
      </c>
      <c r="F5124" t="s">
        <v>49</v>
      </c>
      <c r="G5124" s="30">
        <v>148706.166015625</v>
      </c>
    </row>
    <row r="5125" spans="1:7" x14ac:dyDescent="0.25">
      <c r="A5125" t="s">
        <v>68</v>
      </c>
      <c r="B5125" t="s">
        <v>69</v>
      </c>
      <c r="C5125" t="s">
        <v>56</v>
      </c>
      <c r="D5125">
        <v>11531756</v>
      </c>
      <c r="E5125" t="s">
        <v>53</v>
      </c>
      <c r="F5125" t="s">
        <v>49</v>
      </c>
      <c r="G5125" s="30">
        <v>60450.98046875</v>
      </c>
    </row>
    <row r="5126" spans="1:7" x14ac:dyDescent="0.25">
      <c r="A5126" t="s">
        <v>68</v>
      </c>
      <c r="B5126" t="s">
        <v>69</v>
      </c>
      <c r="C5126" t="s">
        <v>56</v>
      </c>
      <c r="D5126">
        <v>11532693</v>
      </c>
      <c r="E5126" t="s">
        <v>53</v>
      </c>
      <c r="F5126" t="s">
        <v>49</v>
      </c>
      <c r="G5126" s="30">
        <v>305520.21261031</v>
      </c>
    </row>
    <row r="5127" spans="1:7" x14ac:dyDescent="0.25">
      <c r="A5127" t="s">
        <v>76</v>
      </c>
      <c r="B5127" t="s">
        <v>77</v>
      </c>
      <c r="C5127" t="s">
        <v>78</v>
      </c>
      <c r="D5127">
        <v>11533530</v>
      </c>
      <c r="E5127" t="s">
        <v>53</v>
      </c>
      <c r="F5127" t="s">
        <v>49</v>
      </c>
      <c r="G5127" s="30">
        <v>154614.825625</v>
      </c>
    </row>
    <row r="5128" spans="1:7" x14ac:dyDescent="0.25">
      <c r="A5128" t="s">
        <v>92</v>
      </c>
      <c r="B5128" t="s">
        <v>93</v>
      </c>
      <c r="C5128" t="s">
        <v>81</v>
      </c>
      <c r="D5128">
        <v>11534878</v>
      </c>
      <c r="E5128" t="s">
        <v>53</v>
      </c>
      <c r="F5128" t="s">
        <v>49</v>
      </c>
      <c r="G5128" s="30">
        <v>6917.3430262090496</v>
      </c>
    </row>
    <row r="5129" spans="1:7" x14ac:dyDescent="0.25">
      <c r="A5129" t="s">
        <v>65</v>
      </c>
      <c r="B5129" t="s">
        <v>66</v>
      </c>
      <c r="C5129" t="s">
        <v>67</v>
      </c>
      <c r="D5129">
        <v>11535416</v>
      </c>
      <c r="E5129" t="s">
        <v>53</v>
      </c>
      <c r="F5129" t="s">
        <v>49</v>
      </c>
      <c r="G5129" s="30">
        <v>2910.77</v>
      </c>
    </row>
    <row r="5130" spans="1:7" x14ac:dyDescent="0.25">
      <c r="A5130" t="s">
        <v>45</v>
      </c>
      <c r="B5130" t="s">
        <v>46</v>
      </c>
      <c r="C5130" t="s">
        <v>47</v>
      </c>
      <c r="D5130">
        <v>11538830</v>
      </c>
      <c r="E5130" t="s">
        <v>48</v>
      </c>
      <c r="F5130" t="s">
        <v>49</v>
      </c>
      <c r="G5130" s="30">
        <v>0</v>
      </c>
    </row>
    <row r="5131" spans="1:7" x14ac:dyDescent="0.25">
      <c r="A5131" t="s">
        <v>45</v>
      </c>
      <c r="B5131" t="s">
        <v>46</v>
      </c>
      <c r="C5131" t="s">
        <v>47</v>
      </c>
      <c r="D5131">
        <v>11538945</v>
      </c>
      <c r="E5131" t="s">
        <v>48</v>
      </c>
      <c r="F5131" t="s">
        <v>49</v>
      </c>
      <c r="G5131" s="30">
        <v>0</v>
      </c>
    </row>
    <row r="5132" spans="1:7" x14ac:dyDescent="0.25">
      <c r="A5132" t="s">
        <v>112</v>
      </c>
      <c r="B5132" t="s">
        <v>113</v>
      </c>
      <c r="C5132" t="s">
        <v>81</v>
      </c>
      <c r="D5132">
        <v>11539869</v>
      </c>
      <c r="E5132" t="s">
        <v>53</v>
      </c>
      <c r="F5132" t="s">
        <v>49</v>
      </c>
      <c r="G5132" s="30">
        <v>213335.58805406801</v>
      </c>
    </row>
    <row r="5133" spans="1:7" x14ac:dyDescent="0.25">
      <c r="A5133" t="s">
        <v>50</v>
      </c>
      <c r="B5133" t="s">
        <v>51</v>
      </c>
      <c r="C5133" t="s">
        <v>52</v>
      </c>
      <c r="D5133">
        <v>11541318</v>
      </c>
      <c r="E5133" t="s">
        <v>48</v>
      </c>
      <c r="F5133" t="s">
        <v>49</v>
      </c>
      <c r="G5133" s="30">
        <v>0</v>
      </c>
    </row>
    <row r="5134" spans="1:7" x14ac:dyDescent="0.25">
      <c r="A5134" t="s">
        <v>135</v>
      </c>
      <c r="B5134" t="s">
        <v>136</v>
      </c>
      <c r="C5134" t="s">
        <v>56</v>
      </c>
      <c r="D5134">
        <v>11542188</v>
      </c>
      <c r="E5134" t="s">
        <v>53</v>
      </c>
      <c r="F5134" t="s">
        <v>49</v>
      </c>
      <c r="G5134" s="30">
        <v>717739.15008785098</v>
      </c>
    </row>
    <row r="5135" spans="1:7" x14ac:dyDescent="0.25">
      <c r="A5135" t="s">
        <v>45</v>
      </c>
      <c r="B5135" t="s">
        <v>46</v>
      </c>
      <c r="C5135" t="s">
        <v>47</v>
      </c>
      <c r="D5135">
        <v>11549531</v>
      </c>
      <c r="E5135" t="s">
        <v>48</v>
      </c>
      <c r="F5135" t="s">
        <v>49</v>
      </c>
      <c r="G5135" s="30">
        <v>0</v>
      </c>
    </row>
    <row r="5136" spans="1:7" x14ac:dyDescent="0.25">
      <c r="A5136" t="s">
        <v>45</v>
      </c>
      <c r="B5136" t="s">
        <v>46</v>
      </c>
      <c r="C5136" t="s">
        <v>47</v>
      </c>
      <c r="D5136">
        <v>11550618</v>
      </c>
      <c r="E5136" t="s">
        <v>48</v>
      </c>
      <c r="F5136" t="s">
        <v>49</v>
      </c>
      <c r="G5136" s="30">
        <v>0</v>
      </c>
    </row>
    <row r="5137" spans="1:7" x14ac:dyDescent="0.25">
      <c r="A5137" t="s">
        <v>76</v>
      </c>
      <c r="B5137" t="s">
        <v>77</v>
      </c>
      <c r="C5137" t="s">
        <v>78</v>
      </c>
      <c r="D5137">
        <v>11551174</v>
      </c>
      <c r="E5137" t="s">
        <v>53</v>
      </c>
      <c r="F5137" t="s">
        <v>49</v>
      </c>
      <c r="G5137" s="30">
        <v>243847.53589656699</v>
      </c>
    </row>
    <row r="5138" spans="1:7" x14ac:dyDescent="0.25">
      <c r="A5138" t="s">
        <v>45</v>
      </c>
      <c r="B5138" t="s">
        <v>46</v>
      </c>
      <c r="C5138" t="s">
        <v>47</v>
      </c>
      <c r="D5138">
        <v>11551248</v>
      </c>
      <c r="E5138" t="s">
        <v>48</v>
      </c>
      <c r="F5138" t="s">
        <v>49</v>
      </c>
      <c r="G5138" s="30">
        <v>0</v>
      </c>
    </row>
    <row r="5139" spans="1:7" x14ac:dyDescent="0.25">
      <c r="A5139" t="s">
        <v>50</v>
      </c>
      <c r="B5139" t="s">
        <v>51</v>
      </c>
      <c r="C5139" t="s">
        <v>52</v>
      </c>
      <c r="D5139">
        <v>11555479</v>
      </c>
      <c r="E5139" t="s">
        <v>53</v>
      </c>
      <c r="F5139" t="s">
        <v>49</v>
      </c>
      <c r="G5139" s="30">
        <v>23686.29</v>
      </c>
    </row>
    <row r="5140" spans="1:7" x14ac:dyDescent="0.25">
      <c r="A5140" t="s">
        <v>65</v>
      </c>
      <c r="B5140" t="s">
        <v>66</v>
      </c>
      <c r="C5140" t="s">
        <v>67</v>
      </c>
      <c r="D5140">
        <v>11555592</v>
      </c>
      <c r="E5140" t="s">
        <v>53</v>
      </c>
      <c r="F5140" t="s">
        <v>49</v>
      </c>
      <c r="G5140" s="30">
        <v>474165.39113958803</v>
      </c>
    </row>
    <row r="5141" spans="1:7" x14ac:dyDescent="0.25">
      <c r="A5141" t="s">
        <v>45</v>
      </c>
      <c r="B5141" t="s">
        <v>46</v>
      </c>
      <c r="C5141" t="s">
        <v>47</v>
      </c>
      <c r="D5141">
        <v>11555771</v>
      </c>
      <c r="E5141" t="s">
        <v>48</v>
      </c>
      <c r="F5141" t="s">
        <v>49</v>
      </c>
      <c r="G5141" s="30">
        <v>0</v>
      </c>
    </row>
    <row r="5142" spans="1:7" x14ac:dyDescent="0.25">
      <c r="A5142" t="s">
        <v>68</v>
      </c>
      <c r="B5142" t="s">
        <v>69</v>
      </c>
      <c r="C5142" t="s">
        <v>56</v>
      </c>
      <c r="D5142">
        <v>11557101</v>
      </c>
      <c r="E5142" t="s">
        <v>53</v>
      </c>
      <c r="F5142" t="s">
        <v>49</v>
      </c>
      <c r="G5142" s="30">
        <v>867.05581311006597</v>
      </c>
    </row>
    <row r="5143" spans="1:7" x14ac:dyDescent="0.25">
      <c r="A5143" t="s">
        <v>102</v>
      </c>
      <c r="B5143" t="s">
        <v>103</v>
      </c>
      <c r="C5143" t="s">
        <v>47</v>
      </c>
      <c r="D5143">
        <v>11560744</v>
      </c>
      <c r="E5143" t="s">
        <v>53</v>
      </c>
      <c r="F5143" t="s">
        <v>49</v>
      </c>
      <c r="G5143" s="30">
        <v>47915.285371093698</v>
      </c>
    </row>
    <row r="5144" spans="1:7" x14ac:dyDescent="0.25">
      <c r="A5144" t="s">
        <v>45</v>
      </c>
      <c r="B5144" t="s">
        <v>46</v>
      </c>
      <c r="C5144" t="s">
        <v>47</v>
      </c>
      <c r="D5144">
        <v>11561078</v>
      </c>
      <c r="E5144" t="s">
        <v>48</v>
      </c>
      <c r="F5144" t="s">
        <v>49</v>
      </c>
      <c r="G5144" s="30">
        <v>0</v>
      </c>
    </row>
    <row r="5145" spans="1:7" x14ac:dyDescent="0.25">
      <c r="A5145" t="s">
        <v>76</v>
      </c>
      <c r="B5145" t="s">
        <v>77</v>
      </c>
      <c r="C5145" t="s">
        <v>78</v>
      </c>
      <c r="D5145">
        <v>11561581</v>
      </c>
      <c r="E5145" t="s">
        <v>53</v>
      </c>
      <c r="F5145" t="s">
        <v>49</v>
      </c>
      <c r="G5145" s="30">
        <v>1007515.41547469</v>
      </c>
    </row>
    <row r="5146" spans="1:7" x14ac:dyDescent="0.25">
      <c r="A5146" t="s">
        <v>100</v>
      </c>
      <c r="B5146" t="s">
        <v>101</v>
      </c>
      <c r="C5146" t="s">
        <v>52</v>
      </c>
      <c r="D5146">
        <v>11563539</v>
      </c>
      <c r="E5146" t="s">
        <v>48</v>
      </c>
      <c r="F5146" t="s">
        <v>49</v>
      </c>
      <c r="G5146" s="30">
        <v>0</v>
      </c>
    </row>
    <row r="5147" spans="1:7" x14ac:dyDescent="0.25">
      <c r="A5147" t="s">
        <v>50</v>
      </c>
      <c r="B5147" t="s">
        <v>51</v>
      </c>
      <c r="C5147" t="s">
        <v>52</v>
      </c>
      <c r="D5147">
        <v>11564635</v>
      </c>
      <c r="E5147" t="s">
        <v>53</v>
      </c>
      <c r="F5147" t="s">
        <v>49</v>
      </c>
      <c r="G5147" s="30">
        <v>125.14647574710899</v>
      </c>
    </row>
    <row r="5148" spans="1:7" x14ac:dyDescent="0.25">
      <c r="A5148" t="s">
        <v>57</v>
      </c>
      <c r="B5148" t="s">
        <v>58</v>
      </c>
      <c r="C5148" t="s">
        <v>56</v>
      </c>
      <c r="D5148">
        <v>11567229</v>
      </c>
      <c r="E5148" t="s">
        <v>48</v>
      </c>
      <c r="F5148" t="s">
        <v>49</v>
      </c>
      <c r="G5148" s="30">
        <v>0</v>
      </c>
    </row>
    <row r="5149" spans="1:7" x14ac:dyDescent="0.25">
      <c r="A5149" t="s">
        <v>114</v>
      </c>
      <c r="B5149" t="s">
        <v>115</v>
      </c>
      <c r="C5149" t="s">
        <v>56</v>
      </c>
      <c r="D5149">
        <v>11570714</v>
      </c>
      <c r="E5149" t="s">
        <v>48</v>
      </c>
      <c r="F5149" t="s">
        <v>49</v>
      </c>
      <c r="G5149" s="30">
        <v>0</v>
      </c>
    </row>
    <row r="5150" spans="1:7" x14ac:dyDescent="0.25">
      <c r="A5150" t="s">
        <v>88</v>
      </c>
      <c r="B5150" t="s">
        <v>89</v>
      </c>
      <c r="C5150" t="s">
        <v>78</v>
      </c>
      <c r="D5150">
        <v>11574263</v>
      </c>
      <c r="E5150" t="s">
        <v>53</v>
      </c>
      <c r="F5150" t="s">
        <v>49</v>
      </c>
      <c r="G5150" s="30">
        <v>298543.64648943802</v>
      </c>
    </row>
    <row r="5151" spans="1:7" x14ac:dyDescent="0.25">
      <c r="A5151" t="s">
        <v>116</v>
      </c>
      <c r="B5151" t="s">
        <v>117</v>
      </c>
      <c r="C5151" t="s">
        <v>47</v>
      </c>
      <c r="D5151">
        <v>11574745</v>
      </c>
      <c r="E5151" t="s">
        <v>53</v>
      </c>
      <c r="F5151" t="s">
        <v>49</v>
      </c>
      <c r="G5151" s="30">
        <v>232420.00629389801</v>
      </c>
    </row>
    <row r="5152" spans="1:7" x14ac:dyDescent="0.25">
      <c r="A5152" t="s">
        <v>118</v>
      </c>
      <c r="B5152" t="s">
        <v>119</v>
      </c>
      <c r="C5152" t="s">
        <v>56</v>
      </c>
      <c r="D5152">
        <v>11578109</v>
      </c>
      <c r="E5152" t="s">
        <v>53</v>
      </c>
      <c r="F5152" t="s">
        <v>49</v>
      </c>
      <c r="G5152" s="30">
        <v>112962.847770158</v>
      </c>
    </row>
    <row r="5153" spans="1:7" x14ac:dyDescent="0.25">
      <c r="A5153" t="s">
        <v>86</v>
      </c>
      <c r="B5153" t="s">
        <v>87</v>
      </c>
      <c r="C5153" t="s">
        <v>78</v>
      </c>
      <c r="D5153">
        <v>11587978</v>
      </c>
      <c r="E5153" t="s">
        <v>48</v>
      </c>
      <c r="F5153" t="s">
        <v>49</v>
      </c>
      <c r="G5153" s="30">
        <v>0</v>
      </c>
    </row>
    <row r="5154" spans="1:7" x14ac:dyDescent="0.25">
      <c r="A5154" t="s">
        <v>70</v>
      </c>
      <c r="B5154" t="s">
        <v>71</v>
      </c>
      <c r="C5154" t="s">
        <v>47</v>
      </c>
      <c r="D5154">
        <v>11589455</v>
      </c>
      <c r="E5154" t="s">
        <v>53</v>
      </c>
      <c r="F5154" t="s">
        <v>49</v>
      </c>
      <c r="G5154" s="30">
        <v>127978.697427729</v>
      </c>
    </row>
    <row r="5155" spans="1:7" x14ac:dyDescent="0.25">
      <c r="A5155" t="s">
        <v>45</v>
      </c>
      <c r="B5155" t="s">
        <v>46</v>
      </c>
      <c r="C5155" t="s">
        <v>47</v>
      </c>
      <c r="D5155">
        <v>11590133</v>
      </c>
      <c r="E5155" t="s">
        <v>48</v>
      </c>
      <c r="F5155" t="s">
        <v>49</v>
      </c>
      <c r="G5155" s="30">
        <v>0</v>
      </c>
    </row>
    <row r="5156" spans="1:7" x14ac:dyDescent="0.25">
      <c r="A5156" t="s">
        <v>45</v>
      </c>
      <c r="B5156" t="s">
        <v>46</v>
      </c>
      <c r="C5156" t="s">
        <v>47</v>
      </c>
      <c r="D5156">
        <v>11590487</v>
      </c>
      <c r="E5156" t="s">
        <v>48</v>
      </c>
      <c r="F5156" t="s">
        <v>49</v>
      </c>
      <c r="G5156" s="30">
        <v>0</v>
      </c>
    </row>
    <row r="5157" spans="1:7" x14ac:dyDescent="0.25">
      <c r="A5157" t="s">
        <v>45</v>
      </c>
      <c r="B5157" t="s">
        <v>46</v>
      </c>
      <c r="C5157" t="s">
        <v>47</v>
      </c>
      <c r="D5157">
        <v>11593158</v>
      </c>
      <c r="E5157" t="s">
        <v>48</v>
      </c>
      <c r="F5157" t="s">
        <v>49</v>
      </c>
      <c r="G5157" s="30">
        <v>0</v>
      </c>
    </row>
    <row r="5158" spans="1:7" x14ac:dyDescent="0.25">
      <c r="A5158" t="s">
        <v>45</v>
      </c>
      <c r="B5158" t="s">
        <v>46</v>
      </c>
      <c r="C5158" t="s">
        <v>47</v>
      </c>
      <c r="D5158">
        <v>11593942</v>
      </c>
      <c r="E5158" t="s">
        <v>48</v>
      </c>
      <c r="F5158" t="s">
        <v>49</v>
      </c>
      <c r="G5158" s="30">
        <v>0</v>
      </c>
    </row>
    <row r="5159" spans="1:7" x14ac:dyDescent="0.25">
      <c r="A5159" t="s">
        <v>45</v>
      </c>
      <c r="B5159" t="s">
        <v>46</v>
      </c>
      <c r="C5159" t="s">
        <v>47</v>
      </c>
      <c r="D5159">
        <v>11594528</v>
      </c>
      <c r="E5159" t="s">
        <v>53</v>
      </c>
      <c r="F5159" t="s">
        <v>49</v>
      </c>
      <c r="G5159" s="30">
        <v>417.08089066426299</v>
      </c>
    </row>
    <row r="5160" spans="1:7" x14ac:dyDescent="0.25">
      <c r="A5160" t="s">
        <v>102</v>
      </c>
      <c r="B5160" t="s">
        <v>103</v>
      </c>
      <c r="C5160" t="s">
        <v>47</v>
      </c>
      <c r="D5160">
        <v>11595644</v>
      </c>
      <c r="E5160" t="s">
        <v>53</v>
      </c>
      <c r="F5160" t="s">
        <v>49</v>
      </c>
      <c r="G5160" s="30">
        <v>65261.738587591797</v>
      </c>
    </row>
    <row r="5161" spans="1:7" x14ac:dyDescent="0.25">
      <c r="A5161" t="s">
        <v>50</v>
      </c>
      <c r="B5161" t="s">
        <v>51</v>
      </c>
      <c r="C5161" t="s">
        <v>52</v>
      </c>
      <c r="D5161">
        <v>11595696</v>
      </c>
      <c r="E5161" t="s">
        <v>53</v>
      </c>
      <c r="F5161" t="s">
        <v>49</v>
      </c>
      <c r="G5161" s="30">
        <v>3362.0556087159898</v>
      </c>
    </row>
    <row r="5162" spans="1:7" x14ac:dyDescent="0.25">
      <c r="A5162" t="s">
        <v>45</v>
      </c>
      <c r="B5162" t="s">
        <v>46</v>
      </c>
      <c r="C5162" t="s">
        <v>47</v>
      </c>
      <c r="D5162">
        <v>11595830</v>
      </c>
      <c r="E5162" t="s">
        <v>48</v>
      </c>
      <c r="F5162" t="s">
        <v>49</v>
      </c>
      <c r="G5162" s="30">
        <v>0</v>
      </c>
    </row>
    <row r="5163" spans="1:7" x14ac:dyDescent="0.25">
      <c r="A5163" t="s">
        <v>45</v>
      </c>
      <c r="B5163" t="s">
        <v>46</v>
      </c>
      <c r="C5163" t="s">
        <v>47</v>
      </c>
      <c r="D5163">
        <v>11595931</v>
      </c>
      <c r="E5163" t="s">
        <v>48</v>
      </c>
      <c r="F5163" t="s">
        <v>49</v>
      </c>
      <c r="G5163" s="30">
        <v>0</v>
      </c>
    </row>
    <row r="5164" spans="1:7" x14ac:dyDescent="0.25">
      <c r="A5164" t="s">
        <v>112</v>
      </c>
      <c r="B5164" t="s">
        <v>113</v>
      </c>
      <c r="C5164" t="s">
        <v>81</v>
      </c>
      <c r="D5164">
        <v>11596106</v>
      </c>
      <c r="E5164" t="s">
        <v>53</v>
      </c>
      <c r="F5164" t="s">
        <v>49</v>
      </c>
      <c r="G5164" s="30">
        <v>7882761.6549173398</v>
      </c>
    </row>
    <row r="5165" spans="1:7" x14ac:dyDescent="0.25">
      <c r="A5165" t="s">
        <v>45</v>
      </c>
      <c r="B5165" t="s">
        <v>46</v>
      </c>
      <c r="C5165" t="s">
        <v>47</v>
      </c>
      <c r="D5165">
        <v>11596355</v>
      </c>
      <c r="E5165" t="s">
        <v>48</v>
      </c>
      <c r="F5165" t="s">
        <v>49</v>
      </c>
      <c r="G5165" s="30">
        <v>0</v>
      </c>
    </row>
    <row r="5166" spans="1:7" x14ac:dyDescent="0.25">
      <c r="A5166" t="s">
        <v>88</v>
      </c>
      <c r="B5166" t="s">
        <v>89</v>
      </c>
      <c r="C5166" t="s">
        <v>78</v>
      </c>
      <c r="D5166">
        <v>11596457</v>
      </c>
      <c r="E5166" t="s">
        <v>53</v>
      </c>
      <c r="F5166" t="s">
        <v>49</v>
      </c>
      <c r="G5166" s="30">
        <v>101829.578125</v>
      </c>
    </row>
    <row r="5167" spans="1:7" x14ac:dyDescent="0.25">
      <c r="A5167" t="s">
        <v>50</v>
      </c>
      <c r="B5167" t="s">
        <v>51</v>
      </c>
      <c r="C5167" t="s">
        <v>52</v>
      </c>
      <c r="D5167">
        <v>11599362</v>
      </c>
      <c r="E5167" t="s">
        <v>53</v>
      </c>
      <c r="F5167" t="s">
        <v>49</v>
      </c>
      <c r="G5167" s="30">
        <v>6700.9256148075201</v>
      </c>
    </row>
    <row r="5168" spans="1:7" x14ac:dyDescent="0.25">
      <c r="A5168" t="s">
        <v>45</v>
      </c>
      <c r="B5168" t="s">
        <v>46</v>
      </c>
      <c r="C5168" t="s">
        <v>47</v>
      </c>
      <c r="D5168">
        <v>11600847</v>
      </c>
      <c r="E5168" t="s">
        <v>48</v>
      </c>
      <c r="F5168" t="s">
        <v>49</v>
      </c>
      <c r="G5168" s="30">
        <v>0</v>
      </c>
    </row>
    <row r="5169" spans="1:7" x14ac:dyDescent="0.25">
      <c r="A5169" t="s">
        <v>94</v>
      </c>
      <c r="B5169" t="s">
        <v>95</v>
      </c>
      <c r="C5169" t="s">
        <v>78</v>
      </c>
      <c r="D5169">
        <v>11600952</v>
      </c>
      <c r="E5169" t="s">
        <v>53</v>
      </c>
      <c r="F5169" t="s">
        <v>49</v>
      </c>
      <c r="G5169" s="30">
        <v>371060.59519059397</v>
      </c>
    </row>
    <row r="5170" spans="1:7" x14ac:dyDescent="0.25">
      <c r="A5170" t="s">
        <v>50</v>
      </c>
      <c r="B5170" t="s">
        <v>51</v>
      </c>
      <c r="C5170" t="s">
        <v>52</v>
      </c>
      <c r="D5170">
        <v>11601138</v>
      </c>
      <c r="E5170" t="s">
        <v>53</v>
      </c>
      <c r="F5170" t="s">
        <v>49</v>
      </c>
      <c r="G5170" s="30">
        <v>189.20957215942599</v>
      </c>
    </row>
    <row r="5171" spans="1:7" x14ac:dyDescent="0.25">
      <c r="A5171" t="s">
        <v>45</v>
      </c>
      <c r="B5171" t="s">
        <v>46</v>
      </c>
      <c r="C5171" t="s">
        <v>47</v>
      </c>
      <c r="D5171">
        <v>11602664</v>
      </c>
      <c r="E5171" t="s">
        <v>48</v>
      </c>
      <c r="F5171" t="s">
        <v>49</v>
      </c>
      <c r="G5171" s="30">
        <v>0</v>
      </c>
    </row>
    <row r="5172" spans="1:7" x14ac:dyDescent="0.25">
      <c r="A5172" t="s">
        <v>118</v>
      </c>
      <c r="B5172" t="s">
        <v>119</v>
      </c>
      <c r="C5172" t="s">
        <v>56</v>
      </c>
      <c r="D5172">
        <v>11603419</v>
      </c>
      <c r="E5172" t="s">
        <v>53</v>
      </c>
      <c r="F5172" t="s">
        <v>49</v>
      </c>
      <c r="G5172" s="30">
        <v>73564.964904445194</v>
      </c>
    </row>
    <row r="5173" spans="1:7" x14ac:dyDescent="0.25">
      <c r="A5173" t="s">
        <v>45</v>
      </c>
      <c r="B5173" t="s">
        <v>46</v>
      </c>
      <c r="C5173" t="s">
        <v>47</v>
      </c>
      <c r="D5173">
        <v>11604878</v>
      </c>
      <c r="E5173" t="s">
        <v>48</v>
      </c>
      <c r="F5173" t="s">
        <v>49</v>
      </c>
      <c r="G5173" s="30">
        <v>0</v>
      </c>
    </row>
    <row r="5174" spans="1:7" x14ac:dyDescent="0.25">
      <c r="A5174" t="s">
        <v>50</v>
      </c>
      <c r="B5174" t="s">
        <v>51</v>
      </c>
      <c r="C5174" t="s">
        <v>52</v>
      </c>
      <c r="D5174">
        <v>11605208</v>
      </c>
      <c r="E5174" t="s">
        <v>53</v>
      </c>
      <c r="F5174" t="s">
        <v>49</v>
      </c>
      <c r="G5174" s="30">
        <v>-19.87</v>
      </c>
    </row>
    <row r="5175" spans="1:7" x14ac:dyDescent="0.25">
      <c r="A5175" t="s">
        <v>45</v>
      </c>
      <c r="B5175" t="s">
        <v>46</v>
      </c>
      <c r="C5175" t="s">
        <v>47</v>
      </c>
      <c r="D5175">
        <v>11605242</v>
      </c>
      <c r="E5175" t="s">
        <v>48</v>
      </c>
      <c r="F5175" t="s">
        <v>49</v>
      </c>
      <c r="G5175" s="30">
        <v>85.96</v>
      </c>
    </row>
    <row r="5176" spans="1:7" x14ac:dyDescent="0.25">
      <c r="A5176" t="s">
        <v>45</v>
      </c>
      <c r="B5176" t="s">
        <v>46</v>
      </c>
      <c r="C5176" t="s">
        <v>47</v>
      </c>
      <c r="D5176">
        <v>11605455</v>
      </c>
      <c r="E5176" t="s">
        <v>48</v>
      </c>
      <c r="F5176" t="s">
        <v>49</v>
      </c>
      <c r="G5176" s="30">
        <v>0</v>
      </c>
    </row>
    <row r="5177" spans="1:7" x14ac:dyDescent="0.25">
      <c r="A5177" t="s">
        <v>50</v>
      </c>
      <c r="B5177" t="s">
        <v>51</v>
      </c>
      <c r="C5177" t="s">
        <v>52</v>
      </c>
      <c r="D5177">
        <v>11606092</v>
      </c>
      <c r="E5177" t="s">
        <v>53</v>
      </c>
      <c r="F5177" t="s">
        <v>49</v>
      </c>
      <c r="G5177" s="30">
        <v>31243.719771542601</v>
      </c>
    </row>
    <row r="5178" spans="1:7" x14ac:dyDescent="0.25">
      <c r="A5178" t="s">
        <v>45</v>
      </c>
      <c r="B5178" t="s">
        <v>46</v>
      </c>
      <c r="C5178" t="s">
        <v>47</v>
      </c>
      <c r="D5178">
        <v>11606114</v>
      </c>
      <c r="E5178" t="s">
        <v>48</v>
      </c>
      <c r="F5178" t="s">
        <v>49</v>
      </c>
      <c r="G5178" s="30">
        <v>-0.34</v>
      </c>
    </row>
    <row r="5179" spans="1:7" x14ac:dyDescent="0.25">
      <c r="A5179" t="s">
        <v>45</v>
      </c>
      <c r="B5179" t="s">
        <v>46</v>
      </c>
      <c r="C5179" t="s">
        <v>47</v>
      </c>
      <c r="D5179">
        <v>11606401</v>
      </c>
      <c r="E5179" t="s">
        <v>48</v>
      </c>
      <c r="F5179" t="s">
        <v>49</v>
      </c>
      <c r="G5179" s="30">
        <v>0</v>
      </c>
    </row>
    <row r="5180" spans="1:7" x14ac:dyDescent="0.25">
      <c r="A5180" t="s">
        <v>45</v>
      </c>
      <c r="B5180" t="s">
        <v>46</v>
      </c>
      <c r="C5180" t="s">
        <v>47</v>
      </c>
      <c r="D5180">
        <v>11606454</v>
      </c>
      <c r="E5180" t="s">
        <v>48</v>
      </c>
      <c r="F5180" t="s">
        <v>49</v>
      </c>
      <c r="G5180" s="30">
        <v>0</v>
      </c>
    </row>
    <row r="5181" spans="1:7" x14ac:dyDescent="0.25">
      <c r="A5181" t="s">
        <v>76</v>
      </c>
      <c r="B5181" t="s">
        <v>77</v>
      </c>
      <c r="C5181" t="s">
        <v>78</v>
      </c>
      <c r="D5181">
        <v>11607782</v>
      </c>
      <c r="E5181" t="s">
        <v>53</v>
      </c>
      <c r="F5181" t="s">
        <v>49</v>
      </c>
      <c r="G5181" s="30">
        <v>-220.99</v>
      </c>
    </row>
    <row r="5182" spans="1:7" x14ac:dyDescent="0.25">
      <c r="A5182" t="s">
        <v>112</v>
      </c>
      <c r="B5182" t="s">
        <v>113</v>
      </c>
      <c r="C5182" t="s">
        <v>81</v>
      </c>
      <c r="D5182">
        <v>11610754</v>
      </c>
      <c r="E5182" t="s">
        <v>48</v>
      </c>
      <c r="F5182" t="s">
        <v>49</v>
      </c>
      <c r="G5182" s="30">
        <v>0</v>
      </c>
    </row>
    <row r="5183" spans="1:7" x14ac:dyDescent="0.25">
      <c r="A5183" t="s">
        <v>45</v>
      </c>
      <c r="B5183" t="s">
        <v>46</v>
      </c>
      <c r="C5183" t="s">
        <v>47</v>
      </c>
      <c r="D5183">
        <v>11611137</v>
      </c>
      <c r="E5183" t="s">
        <v>48</v>
      </c>
      <c r="F5183" t="s">
        <v>49</v>
      </c>
      <c r="G5183" s="30">
        <v>0</v>
      </c>
    </row>
    <row r="5184" spans="1:7" x14ac:dyDescent="0.25">
      <c r="A5184" t="s">
        <v>45</v>
      </c>
      <c r="B5184" t="s">
        <v>46</v>
      </c>
      <c r="C5184" t="s">
        <v>47</v>
      </c>
      <c r="D5184">
        <v>11611142</v>
      </c>
      <c r="E5184" t="s">
        <v>48</v>
      </c>
      <c r="F5184" t="s">
        <v>49</v>
      </c>
      <c r="G5184" s="30">
        <v>0</v>
      </c>
    </row>
    <row r="5185" spans="1:7" x14ac:dyDescent="0.25">
      <c r="A5185" t="s">
        <v>45</v>
      </c>
      <c r="B5185" t="s">
        <v>46</v>
      </c>
      <c r="C5185" t="s">
        <v>47</v>
      </c>
      <c r="D5185">
        <v>11611656</v>
      </c>
      <c r="E5185" t="s">
        <v>48</v>
      </c>
      <c r="F5185" t="s">
        <v>49</v>
      </c>
      <c r="G5185" s="30">
        <v>0</v>
      </c>
    </row>
    <row r="5186" spans="1:7" x14ac:dyDescent="0.25">
      <c r="A5186" t="s">
        <v>50</v>
      </c>
      <c r="B5186" t="s">
        <v>51</v>
      </c>
      <c r="C5186" t="s">
        <v>52</v>
      </c>
      <c r="D5186">
        <v>11612786</v>
      </c>
      <c r="E5186" t="s">
        <v>53</v>
      </c>
      <c r="F5186" t="s">
        <v>49</v>
      </c>
      <c r="G5186" s="30">
        <v>127.961872468867</v>
      </c>
    </row>
    <row r="5187" spans="1:7" x14ac:dyDescent="0.25">
      <c r="A5187" t="s">
        <v>45</v>
      </c>
      <c r="B5187" t="s">
        <v>46</v>
      </c>
      <c r="C5187" t="s">
        <v>47</v>
      </c>
      <c r="D5187">
        <v>11613064</v>
      </c>
      <c r="E5187" t="s">
        <v>48</v>
      </c>
      <c r="F5187" t="s">
        <v>49</v>
      </c>
      <c r="G5187" s="30">
        <v>0</v>
      </c>
    </row>
    <row r="5188" spans="1:7" x14ac:dyDescent="0.25">
      <c r="A5188" t="s">
        <v>122</v>
      </c>
      <c r="B5188" t="s">
        <v>123</v>
      </c>
      <c r="C5188" t="s">
        <v>52</v>
      </c>
      <c r="D5188">
        <v>11613461</v>
      </c>
      <c r="E5188" t="s">
        <v>53</v>
      </c>
      <c r="F5188" t="s">
        <v>49</v>
      </c>
      <c r="G5188" s="30">
        <v>2278525.79675854</v>
      </c>
    </row>
    <row r="5189" spans="1:7" x14ac:dyDescent="0.25">
      <c r="A5189" t="s">
        <v>118</v>
      </c>
      <c r="B5189" t="s">
        <v>119</v>
      </c>
      <c r="C5189" t="s">
        <v>56</v>
      </c>
      <c r="D5189">
        <v>11614998</v>
      </c>
      <c r="E5189" t="s">
        <v>53</v>
      </c>
      <c r="F5189" t="s">
        <v>49</v>
      </c>
      <c r="G5189" s="30">
        <v>258813.92476256899</v>
      </c>
    </row>
    <row r="5190" spans="1:7" x14ac:dyDescent="0.25">
      <c r="A5190" t="s">
        <v>50</v>
      </c>
      <c r="B5190" t="s">
        <v>51</v>
      </c>
      <c r="C5190" t="s">
        <v>52</v>
      </c>
      <c r="D5190">
        <v>11616086</v>
      </c>
      <c r="E5190" t="s">
        <v>53</v>
      </c>
      <c r="F5190" t="s">
        <v>49</v>
      </c>
      <c r="G5190" s="30">
        <v>14027.62</v>
      </c>
    </row>
    <row r="5191" spans="1:7" x14ac:dyDescent="0.25">
      <c r="A5191" t="s">
        <v>94</v>
      </c>
      <c r="B5191" t="s">
        <v>95</v>
      </c>
      <c r="C5191" t="s">
        <v>78</v>
      </c>
      <c r="D5191">
        <v>11622148</v>
      </c>
      <c r="E5191" t="s">
        <v>53</v>
      </c>
      <c r="F5191" t="s">
        <v>49</v>
      </c>
      <c r="G5191" s="30">
        <v>264669.84388182202</v>
      </c>
    </row>
    <row r="5192" spans="1:7" x14ac:dyDescent="0.25">
      <c r="A5192" t="s">
        <v>45</v>
      </c>
      <c r="B5192" t="s">
        <v>46</v>
      </c>
      <c r="C5192" t="s">
        <v>47</v>
      </c>
      <c r="D5192">
        <v>11624419</v>
      </c>
      <c r="E5192" t="s">
        <v>53</v>
      </c>
      <c r="F5192" t="s">
        <v>49</v>
      </c>
      <c r="G5192" s="30">
        <v>11199.5089843859</v>
      </c>
    </row>
    <row r="5193" spans="1:7" x14ac:dyDescent="0.25">
      <c r="A5193" t="s">
        <v>45</v>
      </c>
      <c r="B5193" t="s">
        <v>46</v>
      </c>
      <c r="C5193" t="s">
        <v>47</v>
      </c>
      <c r="D5193">
        <v>11624550</v>
      </c>
      <c r="E5193" t="s">
        <v>48</v>
      </c>
      <c r="F5193" t="s">
        <v>49</v>
      </c>
      <c r="G5193" s="30">
        <v>0</v>
      </c>
    </row>
    <row r="5194" spans="1:7" x14ac:dyDescent="0.25">
      <c r="A5194" t="s">
        <v>59</v>
      </c>
      <c r="B5194" t="s">
        <v>60</v>
      </c>
      <c r="C5194" t="s">
        <v>56</v>
      </c>
      <c r="D5194">
        <v>11625092</v>
      </c>
      <c r="E5194" t="s">
        <v>48</v>
      </c>
      <c r="F5194" t="s">
        <v>49</v>
      </c>
      <c r="G5194" s="30">
        <v>0</v>
      </c>
    </row>
    <row r="5195" spans="1:7" x14ac:dyDescent="0.25">
      <c r="A5195" t="s">
        <v>45</v>
      </c>
      <c r="B5195" t="s">
        <v>46</v>
      </c>
      <c r="C5195" t="s">
        <v>47</v>
      </c>
      <c r="D5195">
        <v>11625109</v>
      </c>
      <c r="E5195" t="s">
        <v>48</v>
      </c>
      <c r="F5195" t="s">
        <v>49</v>
      </c>
      <c r="G5195" s="30">
        <v>0</v>
      </c>
    </row>
    <row r="5196" spans="1:7" x14ac:dyDescent="0.25">
      <c r="A5196" t="s">
        <v>45</v>
      </c>
      <c r="B5196" t="s">
        <v>46</v>
      </c>
      <c r="C5196" t="s">
        <v>47</v>
      </c>
      <c r="D5196">
        <v>11628784</v>
      </c>
      <c r="E5196" t="s">
        <v>48</v>
      </c>
      <c r="F5196" t="s">
        <v>49</v>
      </c>
      <c r="G5196" s="30">
        <v>0</v>
      </c>
    </row>
    <row r="5197" spans="1:7" x14ac:dyDescent="0.25">
      <c r="A5197" t="s">
        <v>45</v>
      </c>
      <c r="B5197" t="s">
        <v>46</v>
      </c>
      <c r="C5197" t="s">
        <v>47</v>
      </c>
      <c r="D5197">
        <v>11629741</v>
      </c>
      <c r="E5197" t="s">
        <v>48</v>
      </c>
      <c r="F5197" t="s">
        <v>49</v>
      </c>
      <c r="G5197" s="30">
        <v>0</v>
      </c>
    </row>
    <row r="5198" spans="1:7" x14ac:dyDescent="0.25">
      <c r="A5198" t="s">
        <v>45</v>
      </c>
      <c r="B5198" t="s">
        <v>46</v>
      </c>
      <c r="C5198" t="s">
        <v>47</v>
      </c>
      <c r="D5198">
        <v>11630088</v>
      </c>
      <c r="E5198" t="s">
        <v>48</v>
      </c>
      <c r="F5198" t="s">
        <v>49</v>
      </c>
      <c r="G5198" s="30">
        <v>0</v>
      </c>
    </row>
    <row r="5199" spans="1:7" x14ac:dyDescent="0.25">
      <c r="A5199" t="s">
        <v>45</v>
      </c>
      <c r="B5199" t="s">
        <v>46</v>
      </c>
      <c r="C5199" t="s">
        <v>47</v>
      </c>
      <c r="D5199">
        <v>11630919</v>
      </c>
      <c r="E5199" t="s">
        <v>48</v>
      </c>
      <c r="F5199" t="s">
        <v>49</v>
      </c>
      <c r="G5199" s="30">
        <v>0</v>
      </c>
    </row>
    <row r="5200" spans="1:7" x14ac:dyDescent="0.25">
      <c r="A5200" t="s">
        <v>45</v>
      </c>
      <c r="B5200" t="s">
        <v>46</v>
      </c>
      <c r="C5200" t="s">
        <v>47</v>
      </c>
      <c r="D5200">
        <v>11630920</v>
      </c>
      <c r="E5200" t="s">
        <v>48</v>
      </c>
      <c r="F5200" t="s">
        <v>49</v>
      </c>
      <c r="G5200" s="30">
        <v>0</v>
      </c>
    </row>
    <row r="5201" spans="1:7" x14ac:dyDescent="0.25">
      <c r="A5201" t="s">
        <v>114</v>
      </c>
      <c r="B5201" t="s">
        <v>115</v>
      </c>
      <c r="C5201" t="s">
        <v>56</v>
      </c>
      <c r="D5201">
        <v>11631096</v>
      </c>
      <c r="E5201" t="s">
        <v>48</v>
      </c>
      <c r="F5201" t="s">
        <v>49</v>
      </c>
      <c r="G5201" s="30">
        <v>0</v>
      </c>
    </row>
    <row r="5202" spans="1:7" x14ac:dyDescent="0.25">
      <c r="A5202" t="s">
        <v>45</v>
      </c>
      <c r="B5202" t="s">
        <v>46</v>
      </c>
      <c r="C5202" t="s">
        <v>47</v>
      </c>
      <c r="D5202">
        <v>11631342</v>
      </c>
      <c r="E5202" t="s">
        <v>48</v>
      </c>
      <c r="F5202" t="s">
        <v>49</v>
      </c>
      <c r="G5202" s="30">
        <v>0</v>
      </c>
    </row>
    <row r="5203" spans="1:7" x14ac:dyDescent="0.25">
      <c r="A5203" t="s">
        <v>45</v>
      </c>
      <c r="B5203" t="s">
        <v>46</v>
      </c>
      <c r="C5203" t="s">
        <v>47</v>
      </c>
      <c r="D5203">
        <v>11632487</v>
      </c>
      <c r="E5203" t="s">
        <v>48</v>
      </c>
      <c r="F5203" t="s">
        <v>49</v>
      </c>
      <c r="G5203" s="30">
        <v>0</v>
      </c>
    </row>
    <row r="5204" spans="1:7" x14ac:dyDescent="0.25">
      <c r="A5204" t="s">
        <v>50</v>
      </c>
      <c r="B5204" t="s">
        <v>51</v>
      </c>
      <c r="C5204" t="s">
        <v>52</v>
      </c>
      <c r="D5204">
        <v>11632499</v>
      </c>
      <c r="E5204" t="s">
        <v>53</v>
      </c>
      <c r="F5204" t="s">
        <v>49</v>
      </c>
      <c r="G5204" s="30">
        <v>54095.023780800999</v>
      </c>
    </row>
    <row r="5205" spans="1:7" x14ac:dyDescent="0.25">
      <c r="A5205" t="s">
        <v>45</v>
      </c>
      <c r="B5205" t="s">
        <v>46</v>
      </c>
      <c r="C5205" t="s">
        <v>47</v>
      </c>
      <c r="D5205">
        <v>11633874</v>
      </c>
      <c r="E5205" t="s">
        <v>48</v>
      </c>
      <c r="F5205" t="s">
        <v>49</v>
      </c>
      <c r="G5205" s="30">
        <v>0</v>
      </c>
    </row>
    <row r="5206" spans="1:7" x14ac:dyDescent="0.25">
      <c r="A5206" t="s">
        <v>68</v>
      </c>
      <c r="B5206" t="s">
        <v>69</v>
      </c>
      <c r="C5206" t="s">
        <v>56</v>
      </c>
      <c r="D5206">
        <v>11635533</v>
      </c>
      <c r="E5206" t="s">
        <v>53</v>
      </c>
      <c r="F5206" t="s">
        <v>49</v>
      </c>
      <c r="G5206" s="30">
        <v>12214.6525774775</v>
      </c>
    </row>
    <row r="5207" spans="1:7" x14ac:dyDescent="0.25">
      <c r="A5207" t="s">
        <v>45</v>
      </c>
      <c r="B5207" t="s">
        <v>46</v>
      </c>
      <c r="C5207" t="s">
        <v>47</v>
      </c>
      <c r="D5207">
        <v>11636079</v>
      </c>
      <c r="E5207" t="s">
        <v>48</v>
      </c>
      <c r="F5207" t="s">
        <v>49</v>
      </c>
      <c r="G5207" s="30">
        <v>0</v>
      </c>
    </row>
    <row r="5208" spans="1:7" x14ac:dyDescent="0.25">
      <c r="A5208" t="s">
        <v>45</v>
      </c>
      <c r="B5208" t="s">
        <v>46</v>
      </c>
      <c r="C5208" t="s">
        <v>47</v>
      </c>
      <c r="D5208">
        <v>11636158</v>
      </c>
      <c r="E5208" t="s">
        <v>48</v>
      </c>
      <c r="F5208" t="s">
        <v>49</v>
      </c>
      <c r="G5208" s="30">
        <v>0</v>
      </c>
    </row>
    <row r="5209" spans="1:7" x14ac:dyDescent="0.25">
      <c r="A5209" t="s">
        <v>118</v>
      </c>
      <c r="B5209" t="s">
        <v>119</v>
      </c>
      <c r="C5209" t="s">
        <v>56</v>
      </c>
      <c r="D5209">
        <v>11636511</v>
      </c>
      <c r="E5209" t="s">
        <v>53</v>
      </c>
      <c r="F5209" t="s">
        <v>49</v>
      </c>
      <c r="G5209" s="30">
        <v>17640.660391519999</v>
      </c>
    </row>
    <row r="5210" spans="1:7" x14ac:dyDescent="0.25">
      <c r="A5210" t="s">
        <v>102</v>
      </c>
      <c r="B5210" t="s">
        <v>103</v>
      </c>
      <c r="C5210" t="s">
        <v>47</v>
      </c>
      <c r="D5210">
        <v>11636864</v>
      </c>
      <c r="E5210" t="s">
        <v>53</v>
      </c>
      <c r="F5210" t="s">
        <v>49</v>
      </c>
      <c r="G5210" s="30">
        <v>85657.18</v>
      </c>
    </row>
    <row r="5211" spans="1:7" x14ac:dyDescent="0.25">
      <c r="A5211" t="s">
        <v>86</v>
      </c>
      <c r="B5211" t="s">
        <v>87</v>
      </c>
      <c r="C5211" t="s">
        <v>78</v>
      </c>
      <c r="D5211">
        <v>11636878</v>
      </c>
      <c r="E5211" t="s">
        <v>53</v>
      </c>
      <c r="F5211" t="s">
        <v>49</v>
      </c>
      <c r="G5211" s="30">
        <v>140130.35399501899</v>
      </c>
    </row>
    <row r="5212" spans="1:7" x14ac:dyDescent="0.25">
      <c r="A5212" t="s">
        <v>45</v>
      </c>
      <c r="B5212" t="s">
        <v>46</v>
      </c>
      <c r="C5212" t="s">
        <v>47</v>
      </c>
      <c r="D5212">
        <v>11637183</v>
      </c>
      <c r="E5212" t="s">
        <v>48</v>
      </c>
      <c r="F5212" t="s">
        <v>49</v>
      </c>
      <c r="G5212" s="30">
        <v>0</v>
      </c>
    </row>
    <row r="5213" spans="1:7" x14ac:dyDescent="0.25">
      <c r="A5213" t="s">
        <v>122</v>
      </c>
      <c r="B5213" t="s">
        <v>123</v>
      </c>
      <c r="C5213" t="s">
        <v>52</v>
      </c>
      <c r="D5213">
        <v>11638075</v>
      </c>
      <c r="E5213" t="s">
        <v>53</v>
      </c>
      <c r="F5213" t="s">
        <v>49</v>
      </c>
      <c r="G5213" s="30">
        <v>383593.75377559901</v>
      </c>
    </row>
    <row r="5214" spans="1:7" x14ac:dyDescent="0.25">
      <c r="A5214" t="s">
        <v>45</v>
      </c>
      <c r="B5214" t="s">
        <v>46</v>
      </c>
      <c r="C5214" t="s">
        <v>47</v>
      </c>
      <c r="D5214">
        <v>11638445</v>
      </c>
      <c r="E5214" t="s">
        <v>48</v>
      </c>
      <c r="F5214" t="s">
        <v>49</v>
      </c>
      <c r="G5214" s="30">
        <v>0</v>
      </c>
    </row>
    <row r="5215" spans="1:7" x14ac:dyDescent="0.25">
      <c r="A5215" t="s">
        <v>45</v>
      </c>
      <c r="B5215" t="s">
        <v>46</v>
      </c>
      <c r="C5215" t="s">
        <v>47</v>
      </c>
      <c r="D5215">
        <v>11639388</v>
      </c>
      <c r="E5215" t="s">
        <v>48</v>
      </c>
      <c r="F5215" t="s">
        <v>49</v>
      </c>
      <c r="G5215" s="30">
        <v>0</v>
      </c>
    </row>
    <row r="5216" spans="1:7" x14ac:dyDescent="0.25">
      <c r="A5216" t="s">
        <v>45</v>
      </c>
      <c r="B5216" t="s">
        <v>46</v>
      </c>
      <c r="C5216" t="s">
        <v>47</v>
      </c>
      <c r="D5216">
        <v>11639609</v>
      </c>
      <c r="E5216" t="s">
        <v>48</v>
      </c>
      <c r="F5216" t="s">
        <v>49</v>
      </c>
      <c r="G5216" s="30">
        <v>0</v>
      </c>
    </row>
    <row r="5217" spans="1:7" x14ac:dyDescent="0.25">
      <c r="A5217" t="s">
        <v>50</v>
      </c>
      <c r="B5217" t="s">
        <v>51</v>
      </c>
      <c r="C5217" t="s">
        <v>52</v>
      </c>
      <c r="D5217">
        <v>11640222</v>
      </c>
      <c r="E5217" t="s">
        <v>53</v>
      </c>
      <c r="F5217" t="s">
        <v>49</v>
      </c>
      <c r="G5217" s="30">
        <v>24564.508251925301</v>
      </c>
    </row>
    <row r="5218" spans="1:7" x14ac:dyDescent="0.25">
      <c r="A5218" t="s">
        <v>45</v>
      </c>
      <c r="B5218" t="s">
        <v>46</v>
      </c>
      <c r="C5218" t="s">
        <v>47</v>
      </c>
      <c r="D5218">
        <v>11643322</v>
      </c>
      <c r="E5218" t="s">
        <v>48</v>
      </c>
      <c r="F5218" t="s">
        <v>49</v>
      </c>
      <c r="G5218" s="30">
        <v>0</v>
      </c>
    </row>
    <row r="5219" spans="1:7" x14ac:dyDescent="0.25">
      <c r="A5219" t="s">
        <v>118</v>
      </c>
      <c r="B5219" t="s">
        <v>119</v>
      </c>
      <c r="C5219" t="s">
        <v>56</v>
      </c>
      <c r="D5219">
        <v>11644252</v>
      </c>
      <c r="E5219" t="s">
        <v>53</v>
      </c>
      <c r="F5219" t="s">
        <v>49</v>
      </c>
      <c r="G5219" s="30">
        <v>84394.526267082794</v>
      </c>
    </row>
    <row r="5220" spans="1:7" x14ac:dyDescent="0.25">
      <c r="A5220" t="s">
        <v>45</v>
      </c>
      <c r="B5220" t="s">
        <v>46</v>
      </c>
      <c r="C5220" t="s">
        <v>47</v>
      </c>
      <c r="D5220">
        <v>11644915</v>
      </c>
      <c r="E5220" t="s">
        <v>48</v>
      </c>
      <c r="F5220" t="s">
        <v>49</v>
      </c>
      <c r="G5220" s="30">
        <v>0.17</v>
      </c>
    </row>
    <row r="5221" spans="1:7" x14ac:dyDescent="0.25">
      <c r="A5221" t="s">
        <v>94</v>
      </c>
      <c r="B5221" t="s">
        <v>95</v>
      </c>
      <c r="C5221" t="s">
        <v>78</v>
      </c>
      <c r="D5221">
        <v>11646362</v>
      </c>
      <c r="E5221" t="s">
        <v>53</v>
      </c>
      <c r="F5221" t="s">
        <v>49</v>
      </c>
      <c r="G5221" s="30">
        <v>191483.64529417601</v>
      </c>
    </row>
    <row r="5222" spans="1:7" x14ac:dyDescent="0.25">
      <c r="A5222" t="s">
        <v>112</v>
      </c>
      <c r="B5222" t="s">
        <v>113</v>
      </c>
      <c r="C5222" t="s">
        <v>81</v>
      </c>
      <c r="D5222">
        <v>11647857</v>
      </c>
      <c r="E5222" t="s">
        <v>53</v>
      </c>
      <c r="F5222" t="s">
        <v>49</v>
      </c>
      <c r="G5222" s="30">
        <v>326157.51897536201</v>
      </c>
    </row>
    <row r="5223" spans="1:7" x14ac:dyDescent="0.25">
      <c r="A5223" t="s">
        <v>45</v>
      </c>
      <c r="B5223" t="s">
        <v>46</v>
      </c>
      <c r="C5223" t="s">
        <v>47</v>
      </c>
      <c r="D5223">
        <v>11647958</v>
      </c>
      <c r="E5223" t="s">
        <v>53</v>
      </c>
      <c r="F5223" t="s">
        <v>49</v>
      </c>
      <c r="G5223" s="30">
        <v>26210.1371446341</v>
      </c>
    </row>
    <row r="5224" spans="1:7" x14ac:dyDescent="0.25">
      <c r="A5224" t="s">
        <v>59</v>
      </c>
      <c r="B5224" t="s">
        <v>60</v>
      </c>
      <c r="C5224" t="s">
        <v>56</v>
      </c>
      <c r="D5224">
        <v>11648072</v>
      </c>
      <c r="E5224" t="s">
        <v>53</v>
      </c>
      <c r="F5224" t="s">
        <v>49</v>
      </c>
      <c r="G5224" s="30">
        <v>498864.76087712502</v>
      </c>
    </row>
    <row r="5225" spans="1:7" x14ac:dyDescent="0.25">
      <c r="A5225" t="s">
        <v>45</v>
      </c>
      <c r="B5225" t="s">
        <v>46</v>
      </c>
      <c r="C5225" t="s">
        <v>47</v>
      </c>
      <c r="D5225">
        <v>11655263</v>
      </c>
      <c r="E5225" t="s">
        <v>48</v>
      </c>
      <c r="F5225" t="s">
        <v>49</v>
      </c>
      <c r="G5225" s="30">
        <v>0</v>
      </c>
    </row>
    <row r="5226" spans="1:7" x14ac:dyDescent="0.25">
      <c r="A5226" t="s">
        <v>94</v>
      </c>
      <c r="B5226" t="s">
        <v>95</v>
      </c>
      <c r="C5226" t="s">
        <v>78</v>
      </c>
      <c r="D5226">
        <v>11656645</v>
      </c>
      <c r="E5226" t="s">
        <v>53</v>
      </c>
      <c r="F5226" t="s">
        <v>49</v>
      </c>
      <c r="G5226" s="30">
        <v>299839.13693986199</v>
      </c>
    </row>
    <row r="5227" spans="1:7" x14ac:dyDescent="0.25">
      <c r="A5227" t="s">
        <v>61</v>
      </c>
      <c r="B5227" t="s">
        <v>62</v>
      </c>
      <c r="C5227" t="s">
        <v>56</v>
      </c>
      <c r="D5227">
        <v>11659386</v>
      </c>
      <c r="E5227" t="s">
        <v>48</v>
      </c>
      <c r="F5227" t="s">
        <v>49</v>
      </c>
      <c r="G5227" s="30">
        <v>0</v>
      </c>
    </row>
    <row r="5228" spans="1:7" x14ac:dyDescent="0.25">
      <c r="A5228" t="s">
        <v>61</v>
      </c>
      <c r="B5228" t="s">
        <v>62</v>
      </c>
      <c r="C5228" t="s">
        <v>56</v>
      </c>
      <c r="D5228">
        <v>11659505</v>
      </c>
      <c r="E5228" t="s">
        <v>53</v>
      </c>
      <c r="F5228" t="s">
        <v>49</v>
      </c>
      <c r="G5228" s="30">
        <v>182952.84</v>
      </c>
    </row>
    <row r="5229" spans="1:7" x14ac:dyDescent="0.25">
      <c r="A5229" t="s">
        <v>68</v>
      </c>
      <c r="B5229" t="s">
        <v>69</v>
      </c>
      <c r="C5229" t="s">
        <v>56</v>
      </c>
      <c r="D5229">
        <v>11660926</v>
      </c>
      <c r="E5229" t="s">
        <v>48</v>
      </c>
      <c r="F5229" t="s">
        <v>49</v>
      </c>
      <c r="G5229" s="30">
        <v>0</v>
      </c>
    </row>
    <row r="5230" spans="1:7" x14ac:dyDescent="0.25">
      <c r="A5230" t="s">
        <v>50</v>
      </c>
      <c r="B5230" t="s">
        <v>51</v>
      </c>
      <c r="C5230" t="s">
        <v>52</v>
      </c>
      <c r="D5230">
        <v>11661721</v>
      </c>
      <c r="E5230" t="s">
        <v>53</v>
      </c>
      <c r="F5230" t="s">
        <v>49</v>
      </c>
      <c r="G5230" s="30">
        <v>-11.31</v>
      </c>
    </row>
    <row r="5231" spans="1:7" x14ac:dyDescent="0.25">
      <c r="A5231" t="s">
        <v>45</v>
      </c>
      <c r="B5231" t="s">
        <v>46</v>
      </c>
      <c r="C5231" t="s">
        <v>47</v>
      </c>
      <c r="D5231">
        <v>11663300</v>
      </c>
      <c r="E5231" t="s">
        <v>48</v>
      </c>
      <c r="F5231" t="s">
        <v>49</v>
      </c>
      <c r="G5231" s="30">
        <v>0</v>
      </c>
    </row>
    <row r="5232" spans="1:7" x14ac:dyDescent="0.25">
      <c r="A5232" t="s">
        <v>45</v>
      </c>
      <c r="B5232" t="s">
        <v>46</v>
      </c>
      <c r="C5232" t="s">
        <v>47</v>
      </c>
      <c r="D5232">
        <v>11665451</v>
      </c>
      <c r="E5232" t="s">
        <v>48</v>
      </c>
      <c r="F5232" t="s">
        <v>49</v>
      </c>
      <c r="G5232" s="30">
        <v>0</v>
      </c>
    </row>
    <row r="5233" spans="1:7" x14ac:dyDescent="0.25">
      <c r="A5233" t="s">
        <v>50</v>
      </c>
      <c r="B5233" t="s">
        <v>51</v>
      </c>
      <c r="C5233" t="s">
        <v>52</v>
      </c>
      <c r="D5233">
        <v>11669559</v>
      </c>
      <c r="E5233" t="s">
        <v>53</v>
      </c>
      <c r="F5233" t="s">
        <v>49</v>
      </c>
      <c r="G5233" s="30">
        <v>36320.720184372003</v>
      </c>
    </row>
    <row r="5234" spans="1:7" x14ac:dyDescent="0.25">
      <c r="A5234" t="s">
        <v>45</v>
      </c>
      <c r="B5234" t="s">
        <v>46</v>
      </c>
      <c r="C5234" t="s">
        <v>47</v>
      </c>
      <c r="D5234">
        <v>11673093</v>
      </c>
      <c r="E5234" t="s">
        <v>53</v>
      </c>
      <c r="F5234" t="s">
        <v>49</v>
      </c>
      <c r="G5234" s="30">
        <v>153957.21691421999</v>
      </c>
    </row>
    <row r="5235" spans="1:7" x14ac:dyDescent="0.25">
      <c r="A5235" t="s">
        <v>82</v>
      </c>
      <c r="B5235" t="s">
        <v>83</v>
      </c>
      <c r="C5235" t="s">
        <v>56</v>
      </c>
      <c r="D5235">
        <v>11673200</v>
      </c>
      <c r="E5235" t="s">
        <v>53</v>
      </c>
      <c r="F5235" t="s">
        <v>49</v>
      </c>
      <c r="G5235" s="30">
        <v>1078139.9533148699</v>
      </c>
    </row>
    <row r="5236" spans="1:7" x14ac:dyDescent="0.25">
      <c r="A5236" t="s">
        <v>112</v>
      </c>
      <c r="B5236" t="s">
        <v>113</v>
      </c>
      <c r="C5236" t="s">
        <v>81</v>
      </c>
      <c r="D5236">
        <v>11673845</v>
      </c>
      <c r="E5236" t="s">
        <v>53</v>
      </c>
      <c r="F5236" t="s">
        <v>49</v>
      </c>
      <c r="G5236" s="30">
        <v>71136.783272271598</v>
      </c>
    </row>
    <row r="5237" spans="1:7" x14ac:dyDescent="0.25">
      <c r="A5237" t="s">
        <v>50</v>
      </c>
      <c r="B5237" t="s">
        <v>51</v>
      </c>
      <c r="C5237" t="s">
        <v>52</v>
      </c>
      <c r="D5237">
        <v>11676964</v>
      </c>
      <c r="E5237" t="s">
        <v>53</v>
      </c>
      <c r="F5237" t="s">
        <v>49</v>
      </c>
      <c r="G5237" s="30">
        <v>31229.7633558136</v>
      </c>
    </row>
    <row r="5238" spans="1:7" x14ac:dyDescent="0.25">
      <c r="A5238" t="s">
        <v>45</v>
      </c>
      <c r="B5238" t="s">
        <v>46</v>
      </c>
      <c r="C5238" t="s">
        <v>47</v>
      </c>
      <c r="D5238">
        <v>11678775</v>
      </c>
      <c r="E5238" t="s">
        <v>48</v>
      </c>
      <c r="F5238" t="s">
        <v>49</v>
      </c>
      <c r="G5238" s="30">
        <v>0</v>
      </c>
    </row>
    <row r="5239" spans="1:7" x14ac:dyDescent="0.25">
      <c r="A5239" t="s">
        <v>50</v>
      </c>
      <c r="B5239" t="s">
        <v>51</v>
      </c>
      <c r="C5239" t="s">
        <v>52</v>
      </c>
      <c r="D5239">
        <v>11678845</v>
      </c>
      <c r="E5239" t="s">
        <v>53</v>
      </c>
      <c r="F5239" t="s">
        <v>49</v>
      </c>
      <c r="G5239" s="30">
        <v>1737.3834006</v>
      </c>
    </row>
    <row r="5240" spans="1:7" x14ac:dyDescent="0.25">
      <c r="A5240" t="s">
        <v>50</v>
      </c>
      <c r="B5240" t="s">
        <v>51</v>
      </c>
      <c r="C5240" t="s">
        <v>52</v>
      </c>
      <c r="D5240">
        <v>11679854</v>
      </c>
      <c r="E5240" t="s">
        <v>48</v>
      </c>
      <c r="F5240" t="s">
        <v>49</v>
      </c>
      <c r="G5240" s="30">
        <v>0</v>
      </c>
    </row>
    <row r="5241" spans="1:7" x14ac:dyDescent="0.25">
      <c r="A5241" t="s">
        <v>72</v>
      </c>
      <c r="B5241" t="s">
        <v>73</v>
      </c>
      <c r="C5241" t="s">
        <v>67</v>
      </c>
      <c r="D5241">
        <v>11680672</v>
      </c>
      <c r="E5241" t="s">
        <v>53</v>
      </c>
      <c r="F5241" t="s">
        <v>49</v>
      </c>
      <c r="G5241" s="30">
        <v>367606.08465106902</v>
      </c>
    </row>
    <row r="5242" spans="1:7" x14ac:dyDescent="0.25">
      <c r="A5242" t="s">
        <v>116</v>
      </c>
      <c r="B5242" t="s">
        <v>117</v>
      </c>
      <c r="C5242" t="s">
        <v>47</v>
      </c>
      <c r="D5242">
        <v>11681401</v>
      </c>
      <c r="E5242" t="s">
        <v>53</v>
      </c>
      <c r="F5242" t="s">
        <v>49</v>
      </c>
      <c r="G5242" s="30">
        <v>259677.83138695601</v>
      </c>
    </row>
    <row r="5243" spans="1:7" x14ac:dyDescent="0.25">
      <c r="A5243" t="s">
        <v>61</v>
      </c>
      <c r="B5243" t="s">
        <v>62</v>
      </c>
      <c r="C5243" t="s">
        <v>56</v>
      </c>
      <c r="D5243">
        <v>11681787</v>
      </c>
      <c r="E5243" t="s">
        <v>48</v>
      </c>
      <c r="F5243" t="s">
        <v>49</v>
      </c>
      <c r="G5243" s="30">
        <v>0</v>
      </c>
    </row>
    <row r="5244" spans="1:7" x14ac:dyDescent="0.25">
      <c r="A5244" t="s">
        <v>61</v>
      </c>
      <c r="B5244" t="s">
        <v>62</v>
      </c>
      <c r="C5244" t="s">
        <v>56</v>
      </c>
      <c r="D5244">
        <v>11682183</v>
      </c>
      <c r="E5244" t="s">
        <v>48</v>
      </c>
      <c r="F5244" t="s">
        <v>49</v>
      </c>
      <c r="G5244" s="30">
        <v>0</v>
      </c>
    </row>
    <row r="5245" spans="1:7" x14ac:dyDescent="0.25">
      <c r="A5245" t="s">
        <v>100</v>
      </c>
      <c r="B5245" t="s">
        <v>101</v>
      </c>
      <c r="C5245" t="s">
        <v>52</v>
      </c>
      <c r="D5245">
        <v>11682473</v>
      </c>
      <c r="E5245" t="s">
        <v>53</v>
      </c>
      <c r="F5245" t="s">
        <v>49</v>
      </c>
      <c r="G5245" s="30">
        <v>147035.07411745799</v>
      </c>
    </row>
    <row r="5246" spans="1:7" x14ac:dyDescent="0.25">
      <c r="A5246" t="s">
        <v>61</v>
      </c>
      <c r="B5246" t="s">
        <v>62</v>
      </c>
      <c r="C5246" t="s">
        <v>56</v>
      </c>
      <c r="D5246">
        <v>11682635</v>
      </c>
      <c r="E5246" t="s">
        <v>48</v>
      </c>
      <c r="F5246" t="s">
        <v>49</v>
      </c>
      <c r="G5246" s="30">
        <v>46.2</v>
      </c>
    </row>
    <row r="5247" spans="1:7" x14ac:dyDescent="0.25">
      <c r="A5247" t="s">
        <v>61</v>
      </c>
      <c r="B5247" t="s">
        <v>62</v>
      </c>
      <c r="C5247" t="s">
        <v>56</v>
      </c>
      <c r="D5247">
        <v>11683879</v>
      </c>
      <c r="E5247" t="s">
        <v>48</v>
      </c>
      <c r="F5247" t="s">
        <v>49</v>
      </c>
      <c r="G5247" s="30">
        <v>0</v>
      </c>
    </row>
    <row r="5248" spans="1:7" x14ac:dyDescent="0.25">
      <c r="A5248" t="s">
        <v>94</v>
      </c>
      <c r="B5248" t="s">
        <v>95</v>
      </c>
      <c r="C5248" t="s">
        <v>78</v>
      </c>
      <c r="D5248">
        <v>11683898</v>
      </c>
      <c r="E5248" t="s">
        <v>53</v>
      </c>
      <c r="F5248" t="s">
        <v>49</v>
      </c>
      <c r="G5248" s="30">
        <v>112862.36491448199</v>
      </c>
    </row>
    <row r="5249" spans="1:7" x14ac:dyDescent="0.25">
      <c r="A5249" t="s">
        <v>61</v>
      </c>
      <c r="B5249" t="s">
        <v>62</v>
      </c>
      <c r="C5249" t="s">
        <v>56</v>
      </c>
      <c r="D5249">
        <v>11686091</v>
      </c>
      <c r="E5249" t="s">
        <v>48</v>
      </c>
      <c r="F5249" t="s">
        <v>49</v>
      </c>
      <c r="G5249" s="30">
        <v>10</v>
      </c>
    </row>
    <row r="5250" spans="1:7" x14ac:dyDescent="0.25">
      <c r="A5250" t="s">
        <v>61</v>
      </c>
      <c r="B5250" t="s">
        <v>62</v>
      </c>
      <c r="C5250" t="s">
        <v>56</v>
      </c>
      <c r="D5250">
        <v>11686118</v>
      </c>
      <c r="E5250" t="s">
        <v>48</v>
      </c>
      <c r="F5250" t="s">
        <v>49</v>
      </c>
      <c r="G5250" s="30">
        <v>0.02</v>
      </c>
    </row>
    <row r="5251" spans="1:7" x14ac:dyDescent="0.25">
      <c r="A5251" t="s">
        <v>61</v>
      </c>
      <c r="B5251" t="s">
        <v>62</v>
      </c>
      <c r="C5251" t="s">
        <v>56</v>
      </c>
      <c r="D5251">
        <v>11686521</v>
      </c>
      <c r="E5251" t="s">
        <v>48</v>
      </c>
      <c r="F5251" t="s">
        <v>49</v>
      </c>
      <c r="G5251" s="30">
        <v>0</v>
      </c>
    </row>
    <row r="5252" spans="1:7" x14ac:dyDescent="0.25">
      <c r="A5252" t="s">
        <v>45</v>
      </c>
      <c r="B5252" t="s">
        <v>46</v>
      </c>
      <c r="C5252" t="s">
        <v>47</v>
      </c>
      <c r="D5252">
        <v>11686898</v>
      </c>
      <c r="E5252" t="s">
        <v>48</v>
      </c>
      <c r="F5252" t="s">
        <v>49</v>
      </c>
      <c r="G5252" s="30">
        <v>0</v>
      </c>
    </row>
    <row r="5253" spans="1:7" x14ac:dyDescent="0.25">
      <c r="A5253" t="s">
        <v>61</v>
      </c>
      <c r="B5253" t="s">
        <v>62</v>
      </c>
      <c r="C5253" t="s">
        <v>56</v>
      </c>
      <c r="D5253">
        <v>11686927</v>
      </c>
      <c r="E5253" t="s">
        <v>48</v>
      </c>
      <c r="F5253" t="s">
        <v>49</v>
      </c>
      <c r="G5253" s="30">
        <v>0</v>
      </c>
    </row>
    <row r="5254" spans="1:7" x14ac:dyDescent="0.25">
      <c r="A5254" t="s">
        <v>61</v>
      </c>
      <c r="B5254" t="s">
        <v>62</v>
      </c>
      <c r="C5254" t="s">
        <v>56</v>
      </c>
      <c r="D5254">
        <v>11691682</v>
      </c>
      <c r="E5254" t="s">
        <v>48</v>
      </c>
      <c r="F5254" t="s">
        <v>49</v>
      </c>
      <c r="G5254" s="30">
        <v>81.290000000000006</v>
      </c>
    </row>
    <row r="5255" spans="1:7" x14ac:dyDescent="0.25">
      <c r="A5255" t="s">
        <v>57</v>
      </c>
      <c r="B5255" t="s">
        <v>58</v>
      </c>
      <c r="C5255" t="s">
        <v>56</v>
      </c>
      <c r="D5255">
        <v>11692476</v>
      </c>
      <c r="E5255" t="s">
        <v>48</v>
      </c>
      <c r="F5255" t="s">
        <v>49</v>
      </c>
      <c r="G5255" s="30">
        <v>0</v>
      </c>
    </row>
    <row r="5256" spans="1:7" x14ac:dyDescent="0.25">
      <c r="A5256" t="s">
        <v>61</v>
      </c>
      <c r="B5256" t="s">
        <v>62</v>
      </c>
      <c r="C5256" t="s">
        <v>56</v>
      </c>
      <c r="D5256">
        <v>11692550</v>
      </c>
      <c r="E5256" t="s">
        <v>48</v>
      </c>
      <c r="F5256" t="s">
        <v>49</v>
      </c>
      <c r="G5256" s="30">
        <v>0</v>
      </c>
    </row>
    <row r="5257" spans="1:7" x14ac:dyDescent="0.25">
      <c r="A5257" t="s">
        <v>61</v>
      </c>
      <c r="B5257" t="s">
        <v>62</v>
      </c>
      <c r="C5257" t="s">
        <v>56</v>
      </c>
      <c r="D5257">
        <v>11693156</v>
      </c>
      <c r="E5257" t="s">
        <v>48</v>
      </c>
      <c r="F5257" t="s">
        <v>49</v>
      </c>
      <c r="G5257" s="30">
        <v>0</v>
      </c>
    </row>
    <row r="5258" spans="1:7" x14ac:dyDescent="0.25">
      <c r="A5258" t="s">
        <v>45</v>
      </c>
      <c r="B5258" t="s">
        <v>46</v>
      </c>
      <c r="C5258" t="s">
        <v>47</v>
      </c>
      <c r="D5258">
        <v>11694202</v>
      </c>
      <c r="E5258" t="s">
        <v>48</v>
      </c>
      <c r="F5258" t="s">
        <v>49</v>
      </c>
      <c r="G5258" s="30">
        <v>0</v>
      </c>
    </row>
    <row r="5259" spans="1:7" x14ac:dyDescent="0.25">
      <c r="A5259" t="s">
        <v>61</v>
      </c>
      <c r="B5259" t="s">
        <v>62</v>
      </c>
      <c r="C5259" t="s">
        <v>56</v>
      </c>
      <c r="D5259">
        <v>11694747</v>
      </c>
      <c r="E5259" t="s">
        <v>48</v>
      </c>
      <c r="F5259" t="s">
        <v>49</v>
      </c>
      <c r="G5259" s="30">
        <v>0</v>
      </c>
    </row>
    <row r="5260" spans="1:7" x14ac:dyDescent="0.25">
      <c r="A5260" t="s">
        <v>61</v>
      </c>
      <c r="B5260" t="s">
        <v>62</v>
      </c>
      <c r="C5260" t="s">
        <v>56</v>
      </c>
      <c r="D5260">
        <v>11694962</v>
      </c>
      <c r="E5260" t="s">
        <v>53</v>
      </c>
      <c r="F5260" t="s">
        <v>49</v>
      </c>
      <c r="G5260" s="30">
        <v>-1404.25</v>
      </c>
    </row>
    <row r="5261" spans="1:7" x14ac:dyDescent="0.25">
      <c r="A5261" t="s">
        <v>61</v>
      </c>
      <c r="B5261" t="s">
        <v>62</v>
      </c>
      <c r="C5261" t="s">
        <v>56</v>
      </c>
      <c r="D5261">
        <v>11695732</v>
      </c>
      <c r="E5261" t="s">
        <v>48</v>
      </c>
      <c r="F5261" t="s">
        <v>49</v>
      </c>
      <c r="G5261" s="30">
        <v>1.18</v>
      </c>
    </row>
    <row r="5262" spans="1:7" x14ac:dyDescent="0.25">
      <c r="A5262" t="s">
        <v>61</v>
      </c>
      <c r="B5262" t="s">
        <v>62</v>
      </c>
      <c r="C5262" t="s">
        <v>56</v>
      </c>
      <c r="D5262">
        <v>11695881</v>
      </c>
      <c r="E5262" t="s">
        <v>48</v>
      </c>
      <c r="F5262" t="s">
        <v>49</v>
      </c>
      <c r="G5262" s="30">
        <v>0</v>
      </c>
    </row>
    <row r="5263" spans="1:7" x14ac:dyDescent="0.25">
      <c r="A5263" t="s">
        <v>61</v>
      </c>
      <c r="B5263" t="s">
        <v>62</v>
      </c>
      <c r="C5263" t="s">
        <v>56</v>
      </c>
      <c r="D5263">
        <v>11696020</v>
      </c>
      <c r="E5263" t="s">
        <v>48</v>
      </c>
      <c r="F5263" t="s">
        <v>49</v>
      </c>
      <c r="G5263" s="30">
        <v>0</v>
      </c>
    </row>
    <row r="5264" spans="1:7" x14ac:dyDescent="0.25">
      <c r="A5264" t="s">
        <v>114</v>
      </c>
      <c r="B5264" t="s">
        <v>115</v>
      </c>
      <c r="C5264" t="s">
        <v>56</v>
      </c>
      <c r="D5264">
        <v>11696087</v>
      </c>
      <c r="E5264" t="s">
        <v>53</v>
      </c>
      <c r="F5264" t="s">
        <v>49</v>
      </c>
      <c r="G5264" s="30">
        <v>499617.51813031902</v>
      </c>
    </row>
    <row r="5265" spans="1:7" x14ac:dyDescent="0.25">
      <c r="A5265" t="s">
        <v>61</v>
      </c>
      <c r="B5265" t="s">
        <v>62</v>
      </c>
      <c r="C5265" t="s">
        <v>56</v>
      </c>
      <c r="D5265">
        <v>11696152</v>
      </c>
      <c r="E5265" t="s">
        <v>53</v>
      </c>
      <c r="F5265" t="s">
        <v>49</v>
      </c>
      <c r="G5265" s="30">
        <v>38218.043521215099</v>
      </c>
    </row>
    <row r="5266" spans="1:7" x14ac:dyDescent="0.25">
      <c r="A5266" t="s">
        <v>45</v>
      </c>
      <c r="B5266" t="s">
        <v>46</v>
      </c>
      <c r="C5266" t="s">
        <v>47</v>
      </c>
      <c r="D5266">
        <v>11696670</v>
      </c>
      <c r="E5266" t="s">
        <v>48</v>
      </c>
      <c r="F5266" t="s">
        <v>49</v>
      </c>
      <c r="G5266" s="30">
        <v>0</v>
      </c>
    </row>
    <row r="5267" spans="1:7" x14ac:dyDescent="0.25">
      <c r="A5267" t="s">
        <v>61</v>
      </c>
      <c r="B5267" t="s">
        <v>62</v>
      </c>
      <c r="C5267" t="s">
        <v>56</v>
      </c>
      <c r="D5267">
        <v>11697734</v>
      </c>
      <c r="E5267" t="s">
        <v>48</v>
      </c>
      <c r="F5267" t="s">
        <v>49</v>
      </c>
      <c r="G5267" s="30">
        <v>0</v>
      </c>
    </row>
    <row r="5268" spans="1:7" x14ac:dyDescent="0.25">
      <c r="A5268" t="s">
        <v>61</v>
      </c>
      <c r="B5268" t="s">
        <v>62</v>
      </c>
      <c r="C5268" t="s">
        <v>56</v>
      </c>
      <c r="D5268">
        <v>11698491</v>
      </c>
      <c r="E5268" t="s">
        <v>48</v>
      </c>
      <c r="F5268" t="s">
        <v>49</v>
      </c>
      <c r="G5268" s="30">
        <v>0</v>
      </c>
    </row>
    <row r="5269" spans="1:7" x14ac:dyDescent="0.25">
      <c r="A5269" t="s">
        <v>68</v>
      </c>
      <c r="B5269" t="s">
        <v>69</v>
      </c>
      <c r="C5269" t="s">
        <v>56</v>
      </c>
      <c r="D5269">
        <v>11698646</v>
      </c>
      <c r="E5269" t="s">
        <v>53</v>
      </c>
      <c r="F5269" t="s">
        <v>49</v>
      </c>
      <c r="G5269" s="30">
        <v>19572.3353960356</v>
      </c>
    </row>
    <row r="5270" spans="1:7" x14ac:dyDescent="0.25">
      <c r="A5270" t="s">
        <v>61</v>
      </c>
      <c r="B5270" t="s">
        <v>62</v>
      </c>
      <c r="C5270" t="s">
        <v>56</v>
      </c>
      <c r="D5270">
        <v>11700727</v>
      </c>
      <c r="E5270" t="s">
        <v>48</v>
      </c>
      <c r="F5270" t="s">
        <v>49</v>
      </c>
      <c r="G5270" s="30">
        <v>1.3</v>
      </c>
    </row>
    <row r="5271" spans="1:7" x14ac:dyDescent="0.25">
      <c r="A5271" t="s">
        <v>50</v>
      </c>
      <c r="B5271" t="s">
        <v>51</v>
      </c>
      <c r="C5271" t="s">
        <v>52</v>
      </c>
      <c r="D5271">
        <v>11701096</v>
      </c>
      <c r="E5271" t="s">
        <v>53</v>
      </c>
      <c r="F5271" t="s">
        <v>49</v>
      </c>
      <c r="G5271" s="30">
        <v>75453.128703157403</v>
      </c>
    </row>
    <row r="5272" spans="1:7" x14ac:dyDescent="0.25">
      <c r="A5272" t="s">
        <v>45</v>
      </c>
      <c r="B5272" t="s">
        <v>46</v>
      </c>
      <c r="C5272" t="s">
        <v>47</v>
      </c>
      <c r="D5272">
        <v>11702040</v>
      </c>
      <c r="E5272" t="s">
        <v>48</v>
      </c>
      <c r="F5272" t="s">
        <v>49</v>
      </c>
      <c r="G5272" s="30">
        <v>0.32</v>
      </c>
    </row>
    <row r="5273" spans="1:7" x14ac:dyDescent="0.25">
      <c r="A5273" t="s">
        <v>61</v>
      </c>
      <c r="B5273" t="s">
        <v>62</v>
      </c>
      <c r="C5273" t="s">
        <v>56</v>
      </c>
      <c r="D5273">
        <v>11705394</v>
      </c>
      <c r="E5273" t="s">
        <v>48</v>
      </c>
      <c r="F5273" t="s">
        <v>49</v>
      </c>
      <c r="G5273" s="30">
        <v>0</v>
      </c>
    </row>
    <row r="5274" spans="1:7" x14ac:dyDescent="0.25">
      <c r="A5274" t="s">
        <v>61</v>
      </c>
      <c r="B5274" t="s">
        <v>62</v>
      </c>
      <c r="C5274" t="s">
        <v>56</v>
      </c>
      <c r="D5274">
        <v>11705593</v>
      </c>
      <c r="E5274" t="s">
        <v>48</v>
      </c>
      <c r="F5274" t="s">
        <v>49</v>
      </c>
      <c r="G5274" s="30">
        <v>0</v>
      </c>
    </row>
    <row r="5275" spans="1:7" x14ac:dyDescent="0.25">
      <c r="A5275" t="s">
        <v>92</v>
      </c>
      <c r="B5275" t="s">
        <v>93</v>
      </c>
      <c r="C5275" t="s">
        <v>81</v>
      </c>
      <c r="D5275">
        <v>11705603</v>
      </c>
      <c r="E5275" t="s">
        <v>53</v>
      </c>
      <c r="F5275" t="s">
        <v>49</v>
      </c>
      <c r="G5275" s="30">
        <v>71672.827812500007</v>
      </c>
    </row>
    <row r="5276" spans="1:7" x14ac:dyDescent="0.25">
      <c r="A5276" t="s">
        <v>61</v>
      </c>
      <c r="B5276" t="s">
        <v>62</v>
      </c>
      <c r="C5276" t="s">
        <v>56</v>
      </c>
      <c r="D5276">
        <v>11706328</v>
      </c>
      <c r="E5276" t="s">
        <v>48</v>
      </c>
      <c r="F5276" t="s">
        <v>49</v>
      </c>
      <c r="G5276" s="30">
        <v>0</v>
      </c>
    </row>
    <row r="5277" spans="1:7" x14ac:dyDescent="0.25">
      <c r="A5277" t="s">
        <v>61</v>
      </c>
      <c r="B5277" t="s">
        <v>62</v>
      </c>
      <c r="C5277" t="s">
        <v>56</v>
      </c>
      <c r="D5277">
        <v>11706406</v>
      </c>
      <c r="E5277" t="s">
        <v>53</v>
      </c>
      <c r="F5277" t="s">
        <v>49</v>
      </c>
      <c r="G5277" s="30">
        <v>-206.86</v>
      </c>
    </row>
    <row r="5278" spans="1:7" x14ac:dyDescent="0.25">
      <c r="A5278" t="s">
        <v>133</v>
      </c>
      <c r="B5278" t="s">
        <v>134</v>
      </c>
      <c r="C5278" t="s">
        <v>47</v>
      </c>
      <c r="D5278">
        <v>11706786</v>
      </c>
      <c r="E5278" t="s">
        <v>53</v>
      </c>
      <c r="F5278" t="s">
        <v>49</v>
      </c>
      <c r="G5278" s="30">
        <v>186746.37434655699</v>
      </c>
    </row>
    <row r="5279" spans="1:7" x14ac:dyDescent="0.25">
      <c r="A5279" t="s">
        <v>70</v>
      </c>
      <c r="B5279" t="s">
        <v>71</v>
      </c>
      <c r="C5279" t="s">
        <v>47</v>
      </c>
      <c r="D5279">
        <v>11707897</v>
      </c>
      <c r="E5279" t="s">
        <v>53</v>
      </c>
      <c r="F5279" t="s">
        <v>49</v>
      </c>
      <c r="G5279" s="30">
        <v>165809.19737564001</v>
      </c>
    </row>
    <row r="5280" spans="1:7" x14ac:dyDescent="0.25">
      <c r="A5280" t="s">
        <v>118</v>
      </c>
      <c r="B5280" t="s">
        <v>119</v>
      </c>
      <c r="C5280" t="s">
        <v>56</v>
      </c>
      <c r="D5280">
        <v>11711968</v>
      </c>
      <c r="E5280" t="s">
        <v>53</v>
      </c>
      <c r="F5280" t="s">
        <v>49</v>
      </c>
      <c r="G5280" s="30">
        <v>63897.684341448199</v>
      </c>
    </row>
    <row r="5281" spans="1:7" x14ac:dyDescent="0.25">
      <c r="A5281" t="s">
        <v>45</v>
      </c>
      <c r="B5281" t="s">
        <v>46</v>
      </c>
      <c r="C5281" t="s">
        <v>47</v>
      </c>
      <c r="D5281">
        <v>11712616</v>
      </c>
      <c r="E5281" t="s">
        <v>48</v>
      </c>
      <c r="F5281" t="s">
        <v>49</v>
      </c>
      <c r="G5281" s="30">
        <v>5</v>
      </c>
    </row>
    <row r="5282" spans="1:7" x14ac:dyDescent="0.25">
      <c r="A5282" t="s">
        <v>61</v>
      </c>
      <c r="B5282" t="s">
        <v>62</v>
      </c>
      <c r="C5282" t="s">
        <v>56</v>
      </c>
      <c r="D5282">
        <v>11713791</v>
      </c>
      <c r="E5282" t="s">
        <v>48</v>
      </c>
      <c r="F5282" t="s">
        <v>49</v>
      </c>
      <c r="G5282" s="30">
        <v>0</v>
      </c>
    </row>
    <row r="5283" spans="1:7" x14ac:dyDescent="0.25">
      <c r="A5283" t="s">
        <v>45</v>
      </c>
      <c r="B5283" t="s">
        <v>46</v>
      </c>
      <c r="C5283" t="s">
        <v>47</v>
      </c>
      <c r="D5283">
        <v>11714179</v>
      </c>
      <c r="E5283" t="s">
        <v>48</v>
      </c>
      <c r="F5283" t="s">
        <v>49</v>
      </c>
      <c r="G5283" s="30">
        <v>0.53</v>
      </c>
    </row>
    <row r="5284" spans="1:7" x14ac:dyDescent="0.25">
      <c r="A5284" t="s">
        <v>72</v>
      </c>
      <c r="B5284" t="s">
        <v>73</v>
      </c>
      <c r="C5284" t="s">
        <v>67</v>
      </c>
      <c r="D5284">
        <v>11715038</v>
      </c>
      <c r="E5284" t="s">
        <v>53</v>
      </c>
      <c r="F5284" t="s">
        <v>49</v>
      </c>
      <c r="G5284" s="30">
        <v>344083.63</v>
      </c>
    </row>
    <row r="5285" spans="1:7" x14ac:dyDescent="0.25">
      <c r="A5285" t="s">
        <v>61</v>
      </c>
      <c r="B5285" t="s">
        <v>62</v>
      </c>
      <c r="C5285" t="s">
        <v>56</v>
      </c>
      <c r="D5285">
        <v>11716526</v>
      </c>
      <c r="E5285" t="s">
        <v>48</v>
      </c>
      <c r="F5285" t="s">
        <v>49</v>
      </c>
      <c r="G5285" s="30">
        <v>0</v>
      </c>
    </row>
    <row r="5286" spans="1:7" x14ac:dyDescent="0.25">
      <c r="A5286" t="s">
        <v>68</v>
      </c>
      <c r="B5286" t="s">
        <v>69</v>
      </c>
      <c r="C5286" t="s">
        <v>56</v>
      </c>
      <c r="D5286">
        <v>11716945</v>
      </c>
      <c r="E5286" t="s">
        <v>48</v>
      </c>
      <c r="F5286" t="s">
        <v>49</v>
      </c>
      <c r="G5286" s="30">
        <v>0</v>
      </c>
    </row>
    <row r="5287" spans="1:7" x14ac:dyDescent="0.25">
      <c r="A5287" t="s">
        <v>61</v>
      </c>
      <c r="B5287" t="s">
        <v>62</v>
      </c>
      <c r="C5287" t="s">
        <v>56</v>
      </c>
      <c r="D5287">
        <v>11718054</v>
      </c>
      <c r="E5287" t="s">
        <v>48</v>
      </c>
      <c r="F5287" t="s">
        <v>49</v>
      </c>
      <c r="G5287" s="30">
        <v>0</v>
      </c>
    </row>
    <row r="5288" spans="1:7" x14ac:dyDescent="0.25">
      <c r="A5288" t="s">
        <v>61</v>
      </c>
      <c r="B5288" t="s">
        <v>62</v>
      </c>
      <c r="C5288" t="s">
        <v>56</v>
      </c>
      <c r="D5288">
        <v>11720647</v>
      </c>
      <c r="E5288" t="s">
        <v>48</v>
      </c>
      <c r="F5288" t="s">
        <v>49</v>
      </c>
      <c r="G5288" s="30">
        <v>0</v>
      </c>
    </row>
    <row r="5289" spans="1:7" x14ac:dyDescent="0.25">
      <c r="A5289" t="s">
        <v>61</v>
      </c>
      <c r="B5289" t="s">
        <v>62</v>
      </c>
      <c r="C5289" t="s">
        <v>56</v>
      </c>
      <c r="D5289">
        <v>11721335</v>
      </c>
      <c r="E5289" t="s">
        <v>48</v>
      </c>
      <c r="F5289" t="s">
        <v>49</v>
      </c>
      <c r="G5289" s="30">
        <v>0</v>
      </c>
    </row>
    <row r="5290" spans="1:7" x14ac:dyDescent="0.25">
      <c r="A5290" t="s">
        <v>61</v>
      </c>
      <c r="B5290" t="s">
        <v>62</v>
      </c>
      <c r="C5290" t="s">
        <v>56</v>
      </c>
      <c r="D5290">
        <v>11722855</v>
      </c>
      <c r="E5290" t="s">
        <v>53</v>
      </c>
      <c r="F5290" t="s">
        <v>49</v>
      </c>
      <c r="G5290" s="30">
        <v>237.32</v>
      </c>
    </row>
    <row r="5291" spans="1:7" x14ac:dyDescent="0.25">
      <c r="A5291" t="s">
        <v>61</v>
      </c>
      <c r="B5291" t="s">
        <v>62</v>
      </c>
      <c r="C5291" t="s">
        <v>56</v>
      </c>
      <c r="D5291">
        <v>11723620</v>
      </c>
      <c r="E5291" t="s">
        <v>48</v>
      </c>
      <c r="F5291" t="s">
        <v>49</v>
      </c>
      <c r="G5291" s="30">
        <v>0</v>
      </c>
    </row>
    <row r="5292" spans="1:7" x14ac:dyDescent="0.25">
      <c r="A5292" t="s">
        <v>61</v>
      </c>
      <c r="B5292" t="s">
        <v>62</v>
      </c>
      <c r="C5292" t="s">
        <v>56</v>
      </c>
      <c r="D5292">
        <v>11724274</v>
      </c>
      <c r="E5292" t="s">
        <v>48</v>
      </c>
      <c r="F5292" t="s">
        <v>49</v>
      </c>
      <c r="G5292" s="30">
        <v>0.9</v>
      </c>
    </row>
    <row r="5293" spans="1:7" x14ac:dyDescent="0.25">
      <c r="A5293" t="s">
        <v>61</v>
      </c>
      <c r="B5293" t="s">
        <v>62</v>
      </c>
      <c r="C5293" t="s">
        <v>56</v>
      </c>
      <c r="D5293">
        <v>11725398</v>
      </c>
      <c r="E5293" t="s">
        <v>48</v>
      </c>
      <c r="F5293" t="s">
        <v>49</v>
      </c>
      <c r="G5293" s="30">
        <v>0</v>
      </c>
    </row>
    <row r="5294" spans="1:7" x14ac:dyDescent="0.25">
      <c r="A5294" t="s">
        <v>61</v>
      </c>
      <c r="B5294" t="s">
        <v>62</v>
      </c>
      <c r="C5294" t="s">
        <v>56</v>
      </c>
      <c r="D5294">
        <v>11728049</v>
      </c>
      <c r="E5294" t="s">
        <v>48</v>
      </c>
      <c r="F5294" t="s">
        <v>49</v>
      </c>
      <c r="G5294" s="30">
        <v>0</v>
      </c>
    </row>
    <row r="5295" spans="1:7" x14ac:dyDescent="0.25">
      <c r="A5295" t="s">
        <v>45</v>
      </c>
      <c r="B5295" t="s">
        <v>46</v>
      </c>
      <c r="C5295" t="s">
        <v>47</v>
      </c>
      <c r="D5295">
        <v>11728342</v>
      </c>
      <c r="E5295" t="s">
        <v>48</v>
      </c>
      <c r="F5295" t="s">
        <v>49</v>
      </c>
      <c r="G5295" s="30">
        <v>0</v>
      </c>
    </row>
    <row r="5296" spans="1:7" x14ac:dyDescent="0.25">
      <c r="A5296" t="s">
        <v>61</v>
      </c>
      <c r="B5296" t="s">
        <v>62</v>
      </c>
      <c r="C5296" t="s">
        <v>56</v>
      </c>
      <c r="D5296">
        <v>11729535</v>
      </c>
      <c r="E5296" t="s">
        <v>48</v>
      </c>
      <c r="F5296" t="s">
        <v>49</v>
      </c>
      <c r="G5296" s="30">
        <v>0</v>
      </c>
    </row>
    <row r="5297" spans="1:7" x14ac:dyDescent="0.25">
      <c r="A5297" t="s">
        <v>61</v>
      </c>
      <c r="B5297" t="s">
        <v>62</v>
      </c>
      <c r="C5297" t="s">
        <v>56</v>
      </c>
      <c r="D5297">
        <v>11730074</v>
      </c>
      <c r="E5297" t="s">
        <v>53</v>
      </c>
      <c r="F5297" t="s">
        <v>49</v>
      </c>
      <c r="G5297" s="30">
        <v>-164.94</v>
      </c>
    </row>
    <row r="5298" spans="1:7" x14ac:dyDescent="0.25">
      <c r="A5298" t="s">
        <v>61</v>
      </c>
      <c r="B5298" t="s">
        <v>62</v>
      </c>
      <c r="C5298" t="s">
        <v>56</v>
      </c>
      <c r="D5298">
        <v>11730245</v>
      </c>
      <c r="E5298" t="s">
        <v>53</v>
      </c>
      <c r="F5298" t="s">
        <v>49</v>
      </c>
      <c r="G5298" s="30">
        <v>1089.9000000000001</v>
      </c>
    </row>
    <row r="5299" spans="1:7" x14ac:dyDescent="0.25">
      <c r="A5299" t="s">
        <v>61</v>
      </c>
      <c r="B5299" t="s">
        <v>62</v>
      </c>
      <c r="C5299" t="s">
        <v>56</v>
      </c>
      <c r="D5299">
        <v>11730837</v>
      </c>
      <c r="E5299" t="s">
        <v>48</v>
      </c>
      <c r="F5299" t="s">
        <v>49</v>
      </c>
      <c r="G5299" s="30">
        <v>0</v>
      </c>
    </row>
    <row r="5300" spans="1:7" x14ac:dyDescent="0.25">
      <c r="A5300" t="s">
        <v>61</v>
      </c>
      <c r="B5300" t="s">
        <v>62</v>
      </c>
      <c r="C5300" t="s">
        <v>56</v>
      </c>
      <c r="D5300">
        <v>11730932</v>
      </c>
      <c r="E5300" t="s">
        <v>48</v>
      </c>
      <c r="F5300" t="s">
        <v>49</v>
      </c>
      <c r="G5300" s="30">
        <v>0</v>
      </c>
    </row>
    <row r="5301" spans="1:7" x14ac:dyDescent="0.25">
      <c r="A5301" t="s">
        <v>61</v>
      </c>
      <c r="B5301" t="s">
        <v>62</v>
      </c>
      <c r="C5301" t="s">
        <v>56</v>
      </c>
      <c r="D5301">
        <v>11730998</v>
      </c>
      <c r="E5301" t="s">
        <v>48</v>
      </c>
      <c r="F5301" t="s">
        <v>49</v>
      </c>
      <c r="G5301" s="30">
        <v>0</v>
      </c>
    </row>
    <row r="5302" spans="1:7" x14ac:dyDescent="0.25">
      <c r="A5302" t="s">
        <v>61</v>
      </c>
      <c r="B5302" t="s">
        <v>62</v>
      </c>
      <c r="C5302" t="s">
        <v>56</v>
      </c>
      <c r="D5302">
        <v>11731015</v>
      </c>
      <c r="E5302" t="s">
        <v>48</v>
      </c>
      <c r="F5302" t="s">
        <v>49</v>
      </c>
      <c r="G5302" s="30">
        <v>0</v>
      </c>
    </row>
    <row r="5303" spans="1:7" x14ac:dyDescent="0.25">
      <c r="A5303" t="s">
        <v>61</v>
      </c>
      <c r="B5303" t="s">
        <v>62</v>
      </c>
      <c r="C5303" t="s">
        <v>56</v>
      </c>
      <c r="D5303">
        <v>11732153</v>
      </c>
      <c r="E5303" t="s">
        <v>48</v>
      </c>
      <c r="F5303" t="s">
        <v>49</v>
      </c>
      <c r="G5303" s="30">
        <v>0</v>
      </c>
    </row>
    <row r="5304" spans="1:7" x14ac:dyDescent="0.25">
      <c r="A5304" t="s">
        <v>61</v>
      </c>
      <c r="B5304" t="s">
        <v>62</v>
      </c>
      <c r="C5304" t="s">
        <v>56</v>
      </c>
      <c r="D5304">
        <v>11732246</v>
      </c>
      <c r="E5304" t="s">
        <v>48</v>
      </c>
      <c r="F5304" t="s">
        <v>49</v>
      </c>
      <c r="G5304" s="30">
        <v>0</v>
      </c>
    </row>
    <row r="5305" spans="1:7" x14ac:dyDescent="0.25">
      <c r="A5305" t="s">
        <v>45</v>
      </c>
      <c r="B5305" t="s">
        <v>46</v>
      </c>
      <c r="C5305" t="s">
        <v>47</v>
      </c>
      <c r="D5305">
        <v>11732795</v>
      </c>
      <c r="E5305" t="s">
        <v>48</v>
      </c>
      <c r="F5305" t="s">
        <v>49</v>
      </c>
      <c r="G5305" s="30">
        <v>0</v>
      </c>
    </row>
    <row r="5306" spans="1:7" x14ac:dyDescent="0.25">
      <c r="A5306" t="s">
        <v>54</v>
      </c>
      <c r="B5306" t="s">
        <v>55</v>
      </c>
      <c r="C5306" t="s">
        <v>56</v>
      </c>
      <c r="D5306">
        <v>11734569</v>
      </c>
      <c r="E5306" t="s">
        <v>53</v>
      </c>
      <c r="F5306" t="s">
        <v>49</v>
      </c>
      <c r="G5306" s="30">
        <v>119407.9695645</v>
      </c>
    </row>
    <row r="5307" spans="1:7" x14ac:dyDescent="0.25">
      <c r="A5307" t="s">
        <v>61</v>
      </c>
      <c r="B5307" t="s">
        <v>62</v>
      </c>
      <c r="C5307" t="s">
        <v>56</v>
      </c>
      <c r="D5307">
        <v>11736093</v>
      </c>
      <c r="E5307" t="s">
        <v>48</v>
      </c>
      <c r="F5307" t="s">
        <v>49</v>
      </c>
      <c r="G5307" s="30">
        <v>0.56999999999999995</v>
      </c>
    </row>
    <row r="5308" spans="1:7" x14ac:dyDescent="0.25">
      <c r="A5308" t="s">
        <v>98</v>
      </c>
      <c r="B5308" t="s">
        <v>99</v>
      </c>
      <c r="C5308" t="s">
        <v>81</v>
      </c>
      <c r="D5308">
        <v>11736119</v>
      </c>
      <c r="E5308" t="s">
        <v>53</v>
      </c>
      <c r="F5308" t="s">
        <v>49</v>
      </c>
      <c r="G5308" s="30">
        <v>4093.1938327200801</v>
      </c>
    </row>
    <row r="5309" spans="1:7" x14ac:dyDescent="0.25">
      <c r="A5309" t="s">
        <v>61</v>
      </c>
      <c r="B5309" t="s">
        <v>62</v>
      </c>
      <c r="C5309" t="s">
        <v>56</v>
      </c>
      <c r="D5309">
        <v>11737148</v>
      </c>
      <c r="E5309" t="s">
        <v>48</v>
      </c>
      <c r="F5309" t="s">
        <v>49</v>
      </c>
      <c r="G5309" s="30">
        <v>1.3</v>
      </c>
    </row>
    <row r="5310" spans="1:7" x14ac:dyDescent="0.25">
      <c r="A5310" t="s">
        <v>50</v>
      </c>
      <c r="B5310" t="s">
        <v>51</v>
      </c>
      <c r="C5310" t="s">
        <v>52</v>
      </c>
      <c r="D5310">
        <v>11737754</v>
      </c>
      <c r="E5310" t="s">
        <v>53</v>
      </c>
      <c r="F5310" t="s">
        <v>49</v>
      </c>
      <c r="G5310" s="30">
        <v>114.893874480934</v>
      </c>
    </row>
    <row r="5311" spans="1:7" x14ac:dyDescent="0.25">
      <c r="A5311" t="s">
        <v>61</v>
      </c>
      <c r="B5311" t="s">
        <v>62</v>
      </c>
      <c r="C5311" t="s">
        <v>56</v>
      </c>
      <c r="D5311">
        <v>11738043</v>
      </c>
      <c r="E5311" t="s">
        <v>48</v>
      </c>
      <c r="F5311" t="s">
        <v>49</v>
      </c>
      <c r="G5311" s="30">
        <v>33.26</v>
      </c>
    </row>
    <row r="5312" spans="1:7" x14ac:dyDescent="0.25">
      <c r="A5312" t="s">
        <v>61</v>
      </c>
      <c r="B5312" t="s">
        <v>62</v>
      </c>
      <c r="C5312" t="s">
        <v>56</v>
      </c>
      <c r="D5312">
        <v>11738270</v>
      </c>
      <c r="E5312" t="s">
        <v>53</v>
      </c>
      <c r="F5312" t="s">
        <v>49</v>
      </c>
      <c r="G5312" s="30">
        <v>-155.05000000000001</v>
      </c>
    </row>
    <row r="5313" spans="1:7" x14ac:dyDescent="0.25">
      <c r="A5313" t="s">
        <v>61</v>
      </c>
      <c r="B5313" t="s">
        <v>62</v>
      </c>
      <c r="C5313" t="s">
        <v>56</v>
      </c>
      <c r="D5313">
        <v>11738476</v>
      </c>
      <c r="E5313" t="s">
        <v>48</v>
      </c>
      <c r="F5313" t="s">
        <v>49</v>
      </c>
      <c r="G5313" s="30">
        <v>0</v>
      </c>
    </row>
    <row r="5314" spans="1:7" x14ac:dyDescent="0.25">
      <c r="A5314" t="s">
        <v>112</v>
      </c>
      <c r="B5314" t="s">
        <v>113</v>
      </c>
      <c r="C5314" t="s">
        <v>81</v>
      </c>
      <c r="D5314">
        <v>11738491</v>
      </c>
      <c r="E5314" t="s">
        <v>53</v>
      </c>
      <c r="F5314" t="s">
        <v>49</v>
      </c>
      <c r="G5314" s="30">
        <v>115879.965945017</v>
      </c>
    </row>
    <row r="5315" spans="1:7" x14ac:dyDescent="0.25">
      <c r="A5315" t="s">
        <v>61</v>
      </c>
      <c r="B5315" t="s">
        <v>62</v>
      </c>
      <c r="C5315" t="s">
        <v>56</v>
      </c>
      <c r="D5315">
        <v>11739017</v>
      </c>
      <c r="E5315" t="s">
        <v>48</v>
      </c>
      <c r="F5315" t="s">
        <v>49</v>
      </c>
      <c r="G5315" s="30">
        <v>0</v>
      </c>
    </row>
    <row r="5316" spans="1:7" x14ac:dyDescent="0.25">
      <c r="A5316" t="s">
        <v>61</v>
      </c>
      <c r="B5316" t="s">
        <v>62</v>
      </c>
      <c r="C5316" t="s">
        <v>56</v>
      </c>
      <c r="D5316">
        <v>11739634</v>
      </c>
      <c r="E5316" t="s">
        <v>48</v>
      </c>
      <c r="F5316" t="s">
        <v>49</v>
      </c>
      <c r="G5316" s="30">
        <v>0</v>
      </c>
    </row>
    <row r="5317" spans="1:7" x14ac:dyDescent="0.25">
      <c r="A5317" t="s">
        <v>61</v>
      </c>
      <c r="B5317" t="s">
        <v>62</v>
      </c>
      <c r="C5317" t="s">
        <v>56</v>
      </c>
      <c r="D5317">
        <v>11740774</v>
      </c>
      <c r="E5317" t="s">
        <v>48</v>
      </c>
      <c r="F5317" t="s">
        <v>49</v>
      </c>
      <c r="G5317" s="30">
        <v>0</v>
      </c>
    </row>
    <row r="5318" spans="1:7" x14ac:dyDescent="0.25">
      <c r="A5318" t="s">
        <v>61</v>
      </c>
      <c r="B5318" t="s">
        <v>62</v>
      </c>
      <c r="C5318" t="s">
        <v>56</v>
      </c>
      <c r="D5318">
        <v>11740920</v>
      </c>
      <c r="E5318" t="s">
        <v>48</v>
      </c>
      <c r="F5318" t="s">
        <v>49</v>
      </c>
      <c r="G5318" s="30">
        <v>0</v>
      </c>
    </row>
    <row r="5319" spans="1:7" x14ac:dyDescent="0.25">
      <c r="A5319" t="s">
        <v>61</v>
      </c>
      <c r="B5319" t="s">
        <v>62</v>
      </c>
      <c r="C5319" t="s">
        <v>56</v>
      </c>
      <c r="D5319">
        <v>11741611</v>
      </c>
      <c r="E5319" t="s">
        <v>48</v>
      </c>
      <c r="F5319" t="s">
        <v>49</v>
      </c>
      <c r="G5319" s="30">
        <v>0</v>
      </c>
    </row>
    <row r="5320" spans="1:7" x14ac:dyDescent="0.25">
      <c r="A5320" t="s">
        <v>102</v>
      </c>
      <c r="B5320" t="s">
        <v>103</v>
      </c>
      <c r="C5320" t="s">
        <v>47</v>
      </c>
      <c r="D5320">
        <v>11742759</v>
      </c>
      <c r="E5320" t="s">
        <v>53</v>
      </c>
      <c r="F5320" t="s">
        <v>49</v>
      </c>
      <c r="G5320" s="30">
        <v>264163.57407642802</v>
      </c>
    </row>
    <row r="5321" spans="1:7" x14ac:dyDescent="0.25">
      <c r="A5321" t="s">
        <v>61</v>
      </c>
      <c r="B5321" t="s">
        <v>62</v>
      </c>
      <c r="C5321" t="s">
        <v>56</v>
      </c>
      <c r="D5321">
        <v>11742763</v>
      </c>
      <c r="E5321" t="s">
        <v>48</v>
      </c>
      <c r="F5321" t="s">
        <v>49</v>
      </c>
      <c r="G5321" s="30">
        <v>0</v>
      </c>
    </row>
    <row r="5322" spans="1:7" x14ac:dyDescent="0.25">
      <c r="A5322" t="s">
        <v>61</v>
      </c>
      <c r="B5322" t="s">
        <v>62</v>
      </c>
      <c r="C5322" t="s">
        <v>56</v>
      </c>
      <c r="D5322">
        <v>11742993</v>
      </c>
      <c r="E5322" t="s">
        <v>48</v>
      </c>
      <c r="F5322" t="s">
        <v>49</v>
      </c>
      <c r="G5322" s="30">
        <v>0</v>
      </c>
    </row>
    <row r="5323" spans="1:7" x14ac:dyDescent="0.25">
      <c r="A5323" t="s">
        <v>61</v>
      </c>
      <c r="B5323" t="s">
        <v>62</v>
      </c>
      <c r="C5323" t="s">
        <v>56</v>
      </c>
      <c r="D5323">
        <v>11743608</v>
      </c>
      <c r="E5323" t="s">
        <v>48</v>
      </c>
      <c r="F5323" t="s">
        <v>49</v>
      </c>
      <c r="G5323" s="30">
        <v>0</v>
      </c>
    </row>
    <row r="5324" spans="1:7" x14ac:dyDescent="0.25">
      <c r="A5324" t="s">
        <v>82</v>
      </c>
      <c r="B5324" t="s">
        <v>83</v>
      </c>
      <c r="C5324" t="s">
        <v>56</v>
      </c>
      <c r="D5324">
        <v>11744046</v>
      </c>
      <c r="E5324" t="s">
        <v>53</v>
      </c>
      <c r="F5324" t="s">
        <v>49</v>
      </c>
      <c r="G5324" s="30">
        <v>864633.569448255</v>
      </c>
    </row>
    <row r="5325" spans="1:7" x14ac:dyDescent="0.25">
      <c r="A5325" t="s">
        <v>61</v>
      </c>
      <c r="B5325" t="s">
        <v>62</v>
      </c>
      <c r="C5325" t="s">
        <v>56</v>
      </c>
      <c r="D5325">
        <v>11744394</v>
      </c>
      <c r="E5325" t="s">
        <v>48</v>
      </c>
      <c r="F5325" t="s">
        <v>49</v>
      </c>
      <c r="G5325" s="30">
        <v>0</v>
      </c>
    </row>
    <row r="5326" spans="1:7" x14ac:dyDescent="0.25">
      <c r="A5326" t="s">
        <v>61</v>
      </c>
      <c r="B5326" t="s">
        <v>62</v>
      </c>
      <c r="C5326" t="s">
        <v>56</v>
      </c>
      <c r="D5326">
        <v>11744849</v>
      </c>
      <c r="E5326" t="s">
        <v>48</v>
      </c>
      <c r="F5326" t="s">
        <v>49</v>
      </c>
      <c r="G5326" s="30">
        <v>0</v>
      </c>
    </row>
    <row r="5327" spans="1:7" x14ac:dyDescent="0.25">
      <c r="A5327" t="s">
        <v>61</v>
      </c>
      <c r="B5327" t="s">
        <v>62</v>
      </c>
      <c r="C5327" t="s">
        <v>56</v>
      </c>
      <c r="D5327">
        <v>11745561</v>
      </c>
      <c r="E5327" t="s">
        <v>53</v>
      </c>
      <c r="F5327" t="s">
        <v>49</v>
      </c>
      <c r="G5327" s="30">
        <v>-247.39</v>
      </c>
    </row>
    <row r="5328" spans="1:7" x14ac:dyDescent="0.25">
      <c r="A5328" t="s">
        <v>61</v>
      </c>
      <c r="B5328" t="s">
        <v>62</v>
      </c>
      <c r="C5328" t="s">
        <v>56</v>
      </c>
      <c r="D5328">
        <v>11746131</v>
      </c>
      <c r="E5328" t="s">
        <v>48</v>
      </c>
      <c r="F5328" t="s">
        <v>49</v>
      </c>
      <c r="G5328" s="30">
        <v>17.489999999999998</v>
      </c>
    </row>
    <row r="5329" spans="1:7" x14ac:dyDescent="0.25">
      <c r="A5329" t="s">
        <v>61</v>
      </c>
      <c r="B5329" t="s">
        <v>62</v>
      </c>
      <c r="C5329" t="s">
        <v>56</v>
      </c>
      <c r="D5329">
        <v>11746606</v>
      </c>
      <c r="E5329" t="s">
        <v>48</v>
      </c>
      <c r="F5329" t="s">
        <v>49</v>
      </c>
      <c r="G5329" s="30">
        <v>0</v>
      </c>
    </row>
    <row r="5330" spans="1:7" x14ac:dyDescent="0.25">
      <c r="A5330" t="s">
        <v>61</v>
      </c>
      <c r="B5330" t="s">
        <v>62</v>
      </c>
      <c r="C5330" t="s">
        <v>56</v>
      </c>
      <c r="D5330">
        <v>11748221</v>
      </c>
      <c r="E5330" t="s">
        <v>48</v>
      </c>
      <c r="F5330" t="s">
        <v>49</v>
      </c>
      <c r="G5330" s="30">
        <v>0</v>
      </c>
    </row>
    <row r="5331" spans="1:7" x14ac:dyDescent="0.25">
      <c r="A5331" t="s">
        <v>61</v>
      </c>
      <c r="B5331" t="s">
        <v>62</v>
      </c>
      <c r="C5331" t="s">
        <v>56</v>
      </c>
      <c r="D5331">
        <v>11749845</v>
      </c>
      <c r="E5331" t="s">
        <v>53</v>
      </c>
      <c r="F5331" t="s">
        <v>49</v>
      </c>
      <c r="G5331" s="30">
        <v>-813.8</v>
      </c>
    </row>
    <row r="5332" spans="1:7" x14ac:dyDescent="0.25">
      <c r="A5332" t="s">
        <v>61</v>
      </c>
      <c r="B5332" t="s">
        <v>62</v>
      </c>
      <c r="C5332" t="s">
        <v>56</v>
      </c>
      <c r="D5332">
        <v>11750927</v>
      </c>
      <c r="E5332" t="s">
        <v>48</v>
      </c>
      <c r="F5332" t="s">
        <v>49</v>
      </c>
      <c r="G5332" s="30">
        <v>0</v>
      </c>
    </row>
    <row r="5333" spans="1:7" x14ac:dyDescent="0.25">
      <c r="A5333" t="s">
        <v>50</v>
      </c>
      <c r="B5333" t="s">
        <v>51</v>
      </c>
      <c r="C5333" t="s">
        <v>52</v>
      </c>
      <c r="D5333">
        <v>11751399</v>
      </c>
      <c r="E5333" t="s">
        <v>53</v>
      </c>
      <c r="F5333" t="s">
        <v>49</v>
      </c>
      <c r="G5333" s="30">
        <v>560</v>
      </c>
    </row>
    <row r="5334" spans="1:7" x14ac:dyDescent="0.25">
      <c r="A5334" t="s">
        <v>61</v>
      </c>
      <c r="B5334" t="s">
        <v>62</v>
      </c>
      <c r="C5334" t="s">
        <v>56</v>
      </c>
      <c r="D5334">
        <v>11751917</v>
      </c>
      <c r="E5334" t="s">
        <v>48</v>
      </c>
      <c r="F5334" t="s">
        <v>49</v>
      </c>
      <c r="G5334" s="30">
        <v>0</v>
      </c>
    </row>
    <row r="5335" spans="1:7" x14ac:dyDescent="0.25">
      <c r="A5335" t="s">
        <v>45</v>
      </c>
      <c r="B5335" t="s">
        <v>46</v>
      </c>
      <c r="C5335" t="s">
        <v>47</v>
      </c>
      <c r="D5335">
        <v>11752474</v>
      </c>
      <c r="E5335" t="s">
        <v>48</v>
      </c>
      <c r="F5335" t="s">
        <v>49</v>
      </c>
      <c r="G5335" s="30">
        <v>0</v>
      </c>
    </row>
    <row r="5336" spans="1:7" x14ac:dyDescent="0.25">
      <c r="A5336" t="s">
        <v>61</v>
      </c>
      <c r="B5336" t="s">
        <v>62</v>
      </c>
      <c r="C5336" t="s">
        <v>56</v>
      </c>
      <c r="D5336">
        <v>11752834</v>
      </c>
      <c r="E5336" t="s">
        <v>48</v>
      </c>
      <c r="F5336" t="s">
        <v>49</v>
      </c>
      <c r="G5336" s="30">
        <v>0</v>
      </c>
    </row>
    <row r="5337" spans="1:7" x14ac:dyDescent="0.25">
      <c r="A5337" t="s">
        <v>61</v>
      </c>
      <c r="B5337" t="s">
        <v>62</v>
      </c>
      <c r="C5337" t="s">
        <v>56</v>
      </c>
      <c r="D5337">
        <v>11755138</v>
      </c>
      <c r="E5337" t="s">
        <v>48</v>
      </c>
      <c r="F5337" t="s">
        <v>49</v>
      </c>
      <c r="G5337" s="30">
        <v>0</v>
      </c>
    </row>
    <row r="5338" spans="1:7" x14ac:dyDescent="0.25">
      <c r="A5338" t="s">
        <v>61</v>
      </c>
      <c r="B5338" t="s">
        <v>62</v>
      </c>
      <c r="C5338" t="s">
        <v>56</v>
      </c>
      <c r="D5338">
        <v>11755277</v>
      </c>
      <c r="E5338" t="s">
        <v>53</v>
      </c>
      <c r="F5338" t="s">
        <v>49</v>
      </c>
      <c r="G5338" s="30">
        <v>394.79</v>
      </c>
    </row>
    <row r="5339" spans="1:7" x14ac:dyDescent="0.25">
      <c r="A5339" t="s">
        <v>61</v>
      </c>
      <c r="B5339" t="s">
        <v>62</v>
      </c>
      <c r="C5339" t="s">
        <v>56</v>
      </c>
      <c r="D5339">
        <v>11755359</v>
      </c>
      <c r="E5339" t="s">
        <v>48</v>
      </c>
      <c r="F5339" t="s">
        <v>49</v>
      </c>
      <c r="G5339" s="30">
        <v>0</v>
      </c>
    </row>
    <row r="5340" spans="1:7" x14ac:dyDescent="0.25">
      <c r="A5340" t="s">
        <v>61</v>
      </c>
      <c r="B5340" t="s">
        <v>62</v>
      </c>
      <c r="C5340" t="s">
        <v>56</v>
      </c>
      <c r="D5340">
        <v>11755446</v>
      </c>
      <c r="E5340" t="s">
        <v>48</v>
      </c>
      <c r="F5340" t="s">
        <v>49</v>
      </c>
      <c r="G5340" s="30">
        <v>0</v>
      </c>
    </row>
    <row r="5341" spans="1:7" x14ac:dyDescent="0.25">
      <c r="A5341" t="s">
        <v>61</v>
      </c>
      <c r="B5341" t="s">
        <v>62</v>
      </c>
      <c r="C5341" t="s">
        <v>56</v>
      </c>
      <c r="D5341">
        <v>11755616</v>
      </c>
      <c r="E5341" t="s">
        <v>48</v>
      </c>
      <c r="F5341" t="s">
        <v>49</v>
      </c>
      <c r="G5341" s="30">
        <v>0</v>
      </c>
    </row>
    <row r="5342" spans="1:7" x14ac:dyDescent="0.25">
      <c r="A5342" t="s">
        <v>45</v>
      </c>
      <c r="B5342" t="s">
        <v>46</v>
      </c>
      <c r="C5342" t="s">
        <v>47</v>
      </c>
      <c r="D5342">
        <v>11756435</v>
      </c>
      <c r="E5342" t="s">
        <v>48</v>
      </c>
      <c r="F5342" t="s">
        <v>49</v>
      </c>
      <c r="G5342" s="30">
        <v>10.23</v>
      </c>
    </row>
    <row r="5343" spans="1:7" x14ac:dyDescent="0.25">
      <c r="A5343" t="s">
        <v>61</v>
      </c>
      <c r="B5343" t="s">
        <v>62</v>
      </c>
      <c r="C5343" t="s">
        <v>56</v>
      </c>
      <c r="D5343">
        <v>11756485</v>
      </c>
      <c r="E5343" t="s">
        <v>53</v>
      </c>
      <c r="F5343" t="s">
        <v>49</v>
      </c>
      <c r="G5343" s="30">
        <v>782.72</v>
      </c>
    </row>
    <row r="5344" spans="1:7" x14ac:dyDescent="0.25">
      <c r="A5344" t="s">
        <v>61</v>
      </c>
      <c r="B5344" t="s">
        <v>62</v>
      </c>
      <c r="C5344" t="s">
        <v>56</v>
      </c>
      <c r="D5344">
        <v>11756711</v>
      </c>
      <c r="E5344" t="s">
        <v>48</v>
      </c>
      <c r="F5344" t="s">
        <v>49</v>
      </c>
      <c r="G5344" s="30">
        <v>1.43</v>
      </c>
    </row>
    <row r="5345" spans="1:7" x14ac:dyDescent="0.25">
      <c r="A5345" t="s">
        <v>61</v>
      </c>
      <c r="B5345" t="s">
        <v>62</v>
      </c>
      <c r="C5345" t="s">
        <v>56</v>
      </c>
      <c r="D5345">
        <v>11757061</v>
      </c>
      <c r="E5345" t="s">
        <v>48</v>
      </c>
      <c r="F5345" t="s">
        <v>49</v>
      </c>
      <c r="G5345" s="30">
        <v>0</v>
      </c>
    </row>
    <row r="5346" spans="1:7" x14ac:dyDescent="0.25">
      <c r="A5346" t="s">
        <v>61</v>
      </c>
      <c r="B5346" t="s">
        <v>62</v>
      </c>
      <c r="C5346" t="s">
        <v>56</v>
      </c>
      <c r="D5346">
        <v>11757447</v>
      </c>
      <c r="E5346" t="s">
        <v>48</v>
      </c>
      <c r="F5346" t="s">
        <v>49</v>
      </c>
      <c r="G5346" s="30">
        <v>0</v>
      </c>
    </row>
    <row r="5347" spans="1:7" x14ac:dyDescent="0.25">
      <c r="A5347" t="s">
        <v>61</v>
      </c>
      <c r="B5347" t="s">
        <v>62</v>
      </c>
      <c r="C5347" t="s">
        <v>56</v>
      </c>
      <c r="D5347">
        <v>11757976</v>
      </c>
      <c r="E5347" t="s">
        <v>48</v>
      </c>
      <c r="F5347" t="s">
        <v>49</v>
      </c>
      <c r="G5347" s="30">
        <v>0</v>
      </c>
    </row>
    <row r="5348" spans="1:7" x14ac:dyDescent="0.25">
      <c r="A5348" t="s">
        <v>61</v>
      </c>
      <c r="B5348" t="s">
        <v>62</v>
      </c>
      <c r="C5348" t="s">
        <v>56</v>
      </c>
      <c r="D5348">
        <v>11758367</v>
      </c>
      <c r="E5348" t="s">
        <v>48</v>
      </c>
      <c r="F5348" t="s">
        <v>49</v>
      </c>
      <c r="G5348" s="30">
        <v>-33</v>
      </c>
    </row>
    <row r="5349" spans="1:7" x14ac:dyDescent="0.25">
      <c r="A5349" t="s">
        <v>61</v>
      </c>
      <c r="B5349" t="s">
        <v>62</v>
      </c>
      <c r="C5349" t="s">
        <v>56</v>
      </c>
      <c r="D5349">
        <v>11758421</v>
      </c>
      <c r="E5349" t="s">
        <v>48</v>
      </c>
      <c r="F5349" t="s">
        <v>49</v>
      </c>
      <c r="G5349" s="30">
        <v>6.01</v>
      </c>
    </row>
    <row r="5350" spans="1:7" x14ac:dyDescent="0.25">
      <c r="A5350" t="s">
        <v>61</v>
      </c>
      <c r="B5350" t="s">
        <v>62</v>
      </c>
      <c r="C5350" t="s">
        <v>56</v>
      </c>
      <c r="D5350">
        <v>11759137</v>
      </c>
      <c r="E5350" t="s">
        <v>48</v>
      </c>
      <c r="F5350" t="s">
        <v>49</v>
      </c>
      <c r="G5350" s="30">
        <v>0.83</v>
      </c>
    </row>
    <row r="5351" spans="1:7" x14ac:dyDescent="0.25">
      <c r="A5351" t="s">
        <v>61</v>
      </c>
      <c r="B5351" t="s">
        <v>62</v>
      </c>
      <c r="C5351" t="s">
        <v>56</v>
      </c>
      <c r="D5351">
        <v>11759400</v>
      </c>
      <c r="E5351" t="s">
        <v>53</v>
      </c>
      <c r="F5351" t="s">
        <v>49</v>
      </c>
      <c r="G5351" s="30">
        <v>-1095.6099999999999</v>
      </c>
    </row>
    <row r="5352" spans="1:7" x14ac:dyDescent="0.25">
      <c r="A5352" t="s">
        <v>61</v>
      </c>
      <c r="B5352" t="s">
        <v>62</v>
      </c>
      <c r="C5352" t="s">
        <v>56</v>
      </c>
      <c r="D5352">
        <v>11759410</v>
      </c>
      <c r="E5352" t="s">
        <v>48</v>
      </c>
      <c r="F5352" t="s">
        <v>49</v>
      </c>
      <c r="G5352" s="30">
        <v>0</v>
      </c>
    </row>
    <row r="5353" spans="1:7" x14ac:dyDescent="0.25">
      <c r="A5353" t="s">
        <v>61</v>
      </c>
      <c r="B5353" t="s">
        <v>62</v>
      </c>
      <c r="C5353" t="s">
        <v>56</v>
      </c>
      <c r="D5353">
        <v>11759874</v>
      </c>
      <c r="E5353" t="s">
        <v>48</v>
      </c>
      <c r="F5353" t="s">
        <v>49</v>
      </c>
      <c r="G5353" s="30">
        <v>0</v>
      </c>
    </row>
    <row r="5354" spans="1:7" x14ac:dyDescent="0.25">
      <c r="A5354" t="s">
        <v>61</v>
      </c>
      <c r="B5354" t="s">
        <v>62</v>
      </c>
      <c r="C5354" t="s">
        <v>56</v>
      </c>
      <c r="D5354">
        <v>11760715</v>
      </c>
      <c r="E5354" t="s">
        <v>48</v>
      </c>
      <c r="F5354" t="s">
        <v>49</v>
      </c>
      <c r="G5354" s="30">
        <v>0.16</v>
      </c>
    </row>
    <row r="5355" spans="1:7" x14ac:dyDescent="0.25">
      <c r="A5355" t="s">
        <v>61</v>
      </c>
      <c r="B5355" t="s">
        <v>62</v>
      </c>
      <c r="C5355" t="s">
        <v>56</v>
      </c>
      <c r="D5355">
        <v>11762670</v>
      </c>
      <c r="E5355" t="s">
        <v>48</v>
      </c>
      <c r="F5355" t="s">
        <v>49</v>
      </c>
      <c r="G5355" s="30">
        <v>0</v>
      </c>
    </row>
    <row r="5356" spans="1:7" x14ac:dyDescent="0.25">
      <c r="A5356" t="s">
        <v>61</v>
      </c>
      <c r="B5356" t="s">
        <v>62</v>
      </c>
      <c r="C5356" t="s">
        <v>56</v>
      </c>
      <c r="D5356">
        <v>11764908</v>
      </c>
      <c r="E5356" t="s">
        <v>48</v>
      </c>
      <c r="F5356" t="s">
        <v>49</v>
      </c>
      <c r="G5356" s="30">
        <v>0</v>
      </c>
    </row>
    <row r="5357" spans="1:7" x14ac:dyDescent="0.25">
      <c r="A5357" t="s">
        <v>45</v>
      </c>
      <c r="B5357" t="s">
        <v>46</v>
      </c>
      <c r="C5357" t="s">
        <v>47</v>
      </c>
      <c r="D5357">
        <v>11765372</v>
      </c>
      <c r="E5357" t="s">
        <v>53</v>
      </c>
      <c r="F5357" t="s">
        <v>49</v>
      </c>
      <c r="G5357" s="30">
        <v>52433.400044506503</v>
      </c>
    </row>
    <row r="5358" spans="1:7" x14ac:dyDescent="0.25">
      <c r="A5358" t="s">
        <v>94</v>
      </c>
      <c r="B5358" t="s">
        <v>95</v>
      </c>
      <c r="C5358" t="s">
        <v>78</v>
      </c>
      <c r="D5358">
        <v>11765586</v>
      </c>
      <c r="E5358" t="s">
        <v>53</v>
      </c>
      <c r="F5358" t="s">
        <v>49</v>
      </c>
      <c r="G5358" s="30">
        <v>807553.72775588499</v>
      </c>
    </row>
    <row r="5359" spans="1:7" x14ac:dyDescent="0.25">
      <c r="A5359" t="s">
        <v>61</v>
      </c>
      <c r="B5359" t="s">
        <v>62</v>
      </c>
      <c r="C5359" t="s">
        <v>56</v>
      </c>
      <c r="D5359">
        <v>11765981</v>
      </c>
      <c r="E5359" t="s">
        <v>48</v>
      </c>
      <c r="F5359" t="s">
        <v>49</v>
      </c>
      <c r="G5359" s="30">
        <v>0</v>
      </c>
    </row>
    <row r="5360" spans="1:7" x14ac:dyDescent="0.25">
      <c r="A5360" t="s">
        <v>61</v>
      </c>
      <c r="B5360" t="s">
        <v>62</v>
      </c>
      <c r="C5360" t="s">
        <v>56</v>
      </c>
      <c r="D5360">
        <v>11766878</v>
      </c>
      <c r="E5360" t="s">
        <v>48</v>
      </c>
      <c r="F5360" t="s">
        <v>49</v>
      </c>
      <c r="G5360" s="30">
        <v>0</v>
      </c>
    </row>
    <row r="5361" spans="1:7" x14ac:dyDescent="0.25">
      <c r="A5361" t="s">
        <v>61</v>
      </c>
      <c r="B5361" t="s">
        <v>62</v>
      </c>
      <c r="C5361" t="s">
        <v>56</v>
      </c>
      <c r="D5361">
        <v>11767033</v>
      </c>
      <c r="E5361" t="s">
        <v>48</v>
      </c>
      <c r="F5361" t="s">
        <v>49</v>
      </c>
      <c r="G5361" s="30">
        <v>0</v>
      </c>
    </row>
    <row r="5362" spans="1:7" x14ac:dyDescent="0.25">
      <c r="A5362" t="s">
        <v>61</v>
      </c>
      <c r="B5362" t="s">
        <v>62</v>
      </c>
      <c r="C5362" t="s">
        <v>56</v>
      </c>
      <c r="D5362">
        <v>11767338</v>
      </c>
      <c r="E5362" t="s">
        <v>48</v>
      </c>
      <c r="F5362" t="s">
        <v>49</v>
      </c>
      <c r="G5362" s="30">
        <v>98.52</v>
      </c>
    </row>
    <row r="5363" spans="1:7" x14ac:dyDescent="0.25">
      <c r="A5363" t="s">
        <v>61</v>
      </c>
      <c r="B5363" t="s">
        <v>62</v>
      </c>
      <c r="C5363" t="s">
        <v>56</v>
      </c>
      <c r="D5363">
        <v>11767473</v>
      </c>
      <c r="E5363" t="s">
        <v>48</v>
      </c>
      <c r="F5363" t="s">
        <v>49</v>
      </c>
      <c r="G5363" s="30">
        <v>0.95</v>
      </c>
    </row>
    <row r="5364" spans="1:7" x14ac:dyDescent="0.25">
      <c r="A5364" t="s">
        <v>61</v>
      </c>
      <c r="B5364" t="s">
        <v>62</v>
      </c>
      <c r="C5364" t="s">
        <v>56</v>
      </c>
      <c r="D5364">
        <v>11767574</v>
      </c>
      <c r="E5364" t="s">
        <v>48</v>
      </c>
      <c r="F5364" t="s">
        <v>49</v>
      </c>
      <c r="G5364" s="30">
        <v>0</v>
      </c>
    </row>
    <row r="5365" spans="1:7" x14ac:dyDescent="0.25">
      <c r="A5365" t="s">
        <v>61</v>
      </c>
      <c r="B5365" t="s">
        <v>62</v>
      </c>
      <c r="C5365" t="s">
        <v>56</v>
      </c>
      <c r="D5365">
        <v>11767884</v>
      </c>
      <c r="E5365" t="s">
        <v>48</v>
      </c>
      <c r="F5365" t="s">
        <v>49</v>
      </c>
      <c r="G5365" s="30">
        <v>0</v>
      </c>
    </row>
    <row r="5366" spans="1:7" x14ac:dyDescent="0.25">
      <c r="A5366" t="s">
        <v>61</v>
      </c>
      <c r="B5366" t="s">
        <v>62</v>
      </c>
      <c r="C5366" t="s">
        <v>56</v>
      </c>
      <c r="D5366">
        <v>11767914</v>
      </c>
      <c r="E5366" t="s">
        <v>53</v>
      </c>
      <c r="F5366" t="s">
        <v>49</v>
      </c>
      <c r="G5366" s="30">
        <v>289.01</v>
      </c>
    </row>
    <row r="5367" spans="1:7" x14ac:dyDescent="0.25">
      <c r="A5367" t="s">
        <v>45</v>
      </c>
      <c r="B5367" t="s">
        <v>46</v>
      </c>
      <c r="C5367" t="s">
        <v>47</v>
      </c>
      <c r="D5367">
        <v>11768327</v>
      </c>
      <c r="E5367" t="s">
        <v>48</v>
      </c>
      <c r="F5367" t="s">
        <v>49</v>
      </c>
      <c r="G5367" s="30">
        <v>0</v>
      </c>
    </row>
    <row r="5368" spans="1:7" x14ac:dyDescent="0.25">
      <c r="A5368" t="s">
        <v>61</v>
      </c>
      <c r="B5368" t="s">
        <v>62</v>
      </c>
      <c r="C5368" t="s">
        <v>56</v>
      </c>
      <c r="D5368">
        <v>11768365</v>
      </c>
      <c r="E5368" t="s">
        <v>53</v>
      </c>
      <c r="F5368" t="s">
        <v>49</v>
      </c>
      <c r="G5368" s="30">
        <v>90.7</v>
      </c>
    </row>
    <row r="5369" spans="1:7" x14ac:dyDescent="0.25">
      <c r="A5369" t="s">
        <v>61</v>
      </c>
      <c r="B5369" t="s">
        <v>62</v>
      </c>
      <c r="C5369" t="s">
        <v>56</v>
      </c>
      <c r="D5369">
        <v>11768653</v>
      </c>
      <c r="E5369" t="s">
        <v>48</v>
      </c>
      <c r="F5369" t="s">
        <v>49</v>
      </c>
      <c r="G5369" s="30">
        <v>0</v>
      </c>
    </row>
    <row r="5370" spans="1:7" x14ac:dyDescent="0.25">
      <c r="A5370" t="s">
        <v>61</v>
      </c>
      <c r="B5370" t="s">
        <v>62</v>
      </c>
      <c r="C5370" t="s">
        <v>56</v>
      </c>
      <c r="D5370">
        <v>11768951</v>
      </c>
      <c r="E5370" t="s">
        <v>48</v>
      </c>
      <c r="F5370" t="s">
        <v>49</v>
      </c>
      <c r="G5370" s="30">
        <v>0</v>
      </c>
    </row>
    <row r="5371" spans="1:7" x14ac:dyDescent="0.25">
      <c r="A5371" t="s">
        <v>61</v>
      </c>
      <c r="B5371" t="s">
        <v>62</v>
      </c>
      <c r="C5371" t="s">
        <v>56</v>
      </c>
      <c r="D5371">
        <v>11768975</v>
      </c>
      <c r="E5371" t="s">
        <v>48</v>
      </c>
      <c r="F5371" t="s">
        <v>49</v>
      </c>
      <c r="G5371" s="30">
        <v>0</v>
      </c>
    </row>
    <row r="5372" spans="1:7" x14ac:dyDescent="0.25">
      <c r="A5372" t="s">
        <v>61</v>
      </c>
      <c r="B5372" t="s">
        <v>62</v>
      </c>
      <c r="C5372" t="s">
        <v>56</v>
      </c>
      <c r="D5372">
        <v>11769005</v>
      </c>
      <c r="E5372" t="s">
        <v>48</v>
      </c>
      <c r="F5372" t="s">
        <v>49</v>
      </c>
      <c r="G5372" s="30">
        <v>0</v>
      </c>
    </row>
    <row r="5373" spans="1:7" x14ac:dyDescent="0.25">
      <c r="A5373" t="s">
        <v>50</v>
      </c>
      <c r="B5373" t="s">
        <v>51</v>
      </c>
      <c r="C5373" t="s">
        <v>52</v>
      </c>
      <c r="D5373">
        <v>11769187</v>
      </c>
      <c r="E5373" t="s">
        <v>53</v>
      </c>
      <c r="F5373" t="s">
        <v>49</v>
      </c>
      <c r="G5373" s="30">
        <v>20144.459739716502</v>
      </c>
    </row>
    <row r="5374" spans="1:7" x14ac:dyDescent="0.25">
      <c r="A5374" t="s">
        <v>82</v>
      </c>
      <c r="B5374" t="s">
        <v>83</v>
      </c>
      <c r="C5374" t="s">
        <v>56</v>
      </c>
      <c r="D5374">
        <v>11769314</v>
      </c>
      <c r="E5374" t="s">
        <v>53</v>
      </c>
      <c r="F5374" t="s">
        <v>49</v>
      </c>
      <c r="G5374" s="30">
        <v>50269.056014486698</v>
      </c>
    </row>
    <row r="5375" spans="1:7" x14ac:dyDescent="0.25">
      <c r="A5375" t="s">
        <v>61</v>
      </c>
      <c r="B5375" t="s">
        <v>62</v>
      </c>
      <c r="C5375" t="s">
        <v>56</v>
      </c>
      <c r="D5375">
        <v>11769324</v>
      </c>
      <c r="E5375" t="s">
        <v>48</v>
      </c>
      <c r="F5375" t="s">
        <v>49</v>
      </c>
      <c r="G5375" s="30">
        <v>0</v>
      </c>
    </row>
    <row r="5376" spans="1:7" x14ac:dyDescent="0.25">
      <c r="A5376" t="s">
        <v>61</v>
      </c>
      <c r="B5376" t="s">
        <v>62</v>
      </c>
      <c r="C5376" t="s">
        <v>56</v>
      </c>
      <c r="D5376">
        <v>11769361</v>
      </c>
      <c r="E5376" t="s">
        <v>48</v>
      </c>
      <c r="F5376" t="s">
        <v>49</v>
      </c>
      <c r="G5376" s="30">
        <v>0</v>
      </c>
    </row>
    <row r="5377" spans="1:7" x14ac:dyDescent="0.25">
      <c r="A5377" t="s">
        <v>61</v>
      </c>
      <c r="B5377" t="s">
        <v>62</v>
      </c>
      <c r="C5377" t="s">
        <v>56</v>
      </c>
      <c r="D5377">
        <v>11769629</v>
      </c>
      <c r="E5377" t="s">
        <v>48</v>
      </c>
      <c r="F5377" t="s">
        <v>49</v>
      </c>
      <c r="G5377" s="30">
        <v>0</v>
      </c>
    </row>
    <row r="5378" spans="1:7" x14ac:dyDescent="0.25">
      <c r="A5378" t="s">
        <v>112</v>
      </c>
      <c r="B5378" t="s">
        <v>113</v>
      </c>
      <c r="C5378" t="s">
        <v>81</v>
      </c>
      <c r="D5378">
        <v>11770231</v>
      </c>
      <c r="E5378" t="s">
        <v>53</v>
      </c>
      <c r="F5378" t="s">
        <v>49</v>
      </c>
      <c r="G5378" s="30">
        <v>134072.40640752501</v>
      </c>
    </row>
    <row r="5379" spans="1:7" x14ac:dyDescent="0.25">
      <c r="A5379" t="s">
        <v>50</v>
      </c>
      <c r="B5379" t="s">
        <v>51</v>
      </c>
      <c r="C5379" t="s">
        <v>52</v>
      </c>
      <c r="D5379">
        <v>11770544</v>
      </c>
      <c r="E5379" t="s">
        <v>53</v>
      </c>
      <c r="F5379" t="s">
        <v>49</v>
      </c>
      <c r="G5379" s="30">
        <v>12851.525693359399</v>
      </c>
    </row>
    <row r="5380" spans="1:7" x14ac:dyDescent="0.25">
      <c r="A5380" t="s">
        <v>61</v>
      </c>
      <c r="B5380" t="s">
        <v>62</v>
      </c>
      <c r="C5380" t="s">
        <v>56</v>
      </c>
      <c r="D5380">
        <v>11770902</v>
      </c>
      <c r="E5380" t="s">
        <v>48</v>
      </c>
      <c r="F5380" t="s">
        <v>49</v>
      </c>
      <c r="G5380" s="30">
        <v>0</v>
      </c>
    </row>
    <row r="5381" spans="1:7" x14ac:dyDescent="0.25">
      <c r="A5381" t="s">
        <v>61</v>
      </c>
      <c r="B5381" t="s">
        <v>62</v>
      </c>
      <c r="C5381" t="s">
        <v>56</v>
      </c>
      <c r="D5381">
        <v>11771698</v>
      </c>
      <c r="E5381" t="s">
        <v>48</v>
      </c>
      <c r="F5381" t="s">
        <v>49</v>
      </c>
      <c r="G5381" s="30">
        <v>0</v>
      </c>
    </row>
    <row r="5382" spans="1:7" x14ac:dyDescent="0.25">
      <c r="A5382" t="s">
        <v>61</v>
      </c>
      <c r="B5382" t="s">
        <v>62</v>
      </c>
      <c r="C5382" t="s">
        <v>56</v>
      </c>
      <c r="D5382">
        <v>11771971</v>
      </c>
      <c r="E5382" t="s">
        <v>48</v>
      </c>
      <c r="F5382" t="s">
        <v>49</v>
      </c>
      <c r="G5382" s="30">
        <v>0</v>
      </c>
    </row>
    <row r="5383" spans="1:7" x14ac:dyDescent="0.25">
      <c r="A5383" t="s">
        <v>61</v>
      </c>
      <c r="B5383" t="s">
        <v>62</v>
      </c>
      <c r="C5383" t="s">
        <v>56</v>
      </c>
      <c r="D5383">
        <v>11773729</v>
      </c>
      <c r="E5383" t="s">
        <v>48</v>
      </c>
      <c r="F5383" t="s">
        <v>49</v>
      </c>
      <c r="G5383" s="30">
        <v>0</v>
      </c>
    </row>
    <row r="5384" spans="1:7" x14ac:dyDescent="0.25">
      <c r="A5384" t="s">
        <v>50</v>
      </c>
      <c r="B5384" t="s">
        <v>51</v>
      </c>
      <c r="C5384" t="s">
        <v>52</v>
      </c>
      <c r="D5384">
        <v>11775753</v>
      </c>
      <c r="E5384" t="s">
        <v>53</v>
      </c>
      <c r="F5384" t="s">
        <v>49</v>
      </c>
      <c r="G5384" s="30">
        <v>100</v>
      </c>
    </row>
    <row r="5385" spans="1:7" x14ac:dyDescent="0.25">
      <c r="A5385" t="s">
        <v>50</v>
      </c>
      <c r="B5385" t="s">
        <v>51</v>
      </c>
      <c r="C5385" t="s">
        <v>52</v>
      </c>
      <c r="D5385">
        <v>11776043</v>
      </c>
      <c r="E5385" t="s">
        <v>48</v>
      </c>
      <c r="F5385" t="s">
        <v>49</v>
      </c>
      <c r="G5385" s="30">
        <v>0</v>
      </c>
    </row>
    <row r="5386" spans="1:7" x14ac:dyDescent="0.25">
      <c r="A5386" t="s">
        <v>45</v>
      </c>
      <c r="B5386" t="s">
        <v>46</v>
      </c>
      <c r="C5386" t="s">
        <v>47</v>
      </c>
      <c r="D5386">
        <v>11776337</v>
      </c>
      <c r="E5386" t="s">
        <v>48</v>
      </c>
      <c r="F5386" t="s">
        <v>49</v>
      </c>
      <c r="G5386" s="30">
        <v>0</v>
      </c>
    </row>
    <row r="5387" spans="1:7" x14ac:dyDescent="0.25">
      <c r="A5387" t="s">
        <v>61</v>
      </c>
      <c r="B5387" t="s">
        <v>62</v>
      </c>
      <c r="C5387" t="s">
        <v>56</v>
      </c>
      <c r="D5387">
        <v>11776778</v>
      </c>
      <c r="E5387" t="s">
        <v>48</v>
      </c>
      <c r="F5387" t="s">
        <v>49</v>
      </c>
      <c r="G5387" s="30">
        <v>0</v>
      </c>
    </row>
    <row r="5388" spans="1:7" x14ac:dyDescent="0.25">
      <c r="A5388" t="s">
        <v>61</v>
      </c>
      <c r="B5388" t="s">
        <v>62</v>
      </c>
      <c r="C5388" t="s">
        <v>56</v>
      </c>
      <c r="D5388">
        <v>11776906</v>
      </c>
      <c r="E5388" t="s">
        <v>48</v>
      </c>
      <c r="F5388" t="s">
        <v>49</v>
      </c>
      <c r="G5388" s="30">
        <v>0</v>
      </c>
    </row>
    <row r="5389" spans="1:7" x14ac:dyDescent="0.25">
      <c r="A5389" t="s">
        <v>61</v>
      </c>
      <c r="B5389" t="s">
        <v>62</v>
      </c>
      <c r="C5389" t="s">
        <v>56</v>
      </c>
      <c r="D5389">
        <v>11777061</v>
      </c>
      <c r="E5389" t="s">
        <v>48</v>
      </c>
      <c r="F5389" t="s">
        <v>49</v>
      </c>
      <c r="G5389" s="30">
        <v>0</v>
      </c>
    </row>
    <row r="5390" spans="1:7" x14ac:dyDescent="0.25">
      <c r="A5390" t="s">
        <v>61</v>
      </c>
      <c r="B5390" t="s">
        <v>62</v>
      </c>
      <c r="C5390" t="s">
        <v>56</v>
      </c>
      <c r="D5390">
        <v>11778271</v>
      </c>
      <c r="E5390" t="s">
        <v>48</v>
      </c>
      <c r="F5390" t="s">
        <v>49</v>
      </c>
      <c r="G5390" s="30">
        <v>0</v>
      </c>
    </row>
    <row r="5391" spans="1:7" x14ac:dyDescent="0.25">
      <c r="A5391" t="s">
        <v>61</v>
      </c>
      <c r="B5391" t="s">
        <v>62</v>
      </c>
      <c r="C5391" t="s">
        <v>56</v>
      </c>
      <c r="D5391">
        <v>11778712</v>
      </c>
      <c r="E5391" t="s">
        <v>48</v>
      </c>
      <c r="F5391" t="s">
        <v>49</v>
      </c>
      <c r="G5391" s="30">
        <v>0</v>
      </c>
    </row>
    <row r="5392" spans="1:7" x14ac:dyDescent="0.25">
      <c r="A5392" t="s">
        <v>90</v>
      </c>
      <c r="B5392" t="s">
        <v>91</v>
      </c>
      <c r="C5392" t="s">
        <v>81</v>
      </c>
      <c r="D5392">
        <v>11778823</v>
      </c>
      <c r="E5392" t="s">
        <v>53</v>
      </c>
      <c r="F5392" t="s">
        <v>49</v>
      </c>
      <c r="G5392" s="30">
        <v>3180374.5896868301</v>
      </c>
    </row>
    <row r="5393" spans="1:7" x14ac:dyDescent="0.25">
      <c r="A5393" t="s">
        <v>50</v>
      </c>
      <c r="B5393" t="s">
        <v>51</v>
      </c>
      <c r="C5393" t="s">
        <v>52</v>
      </c>
      <c r="D5393">
        <v>11779058</v>
      </c>
      <c r="E5393" t="s">
        <v>53</v>
      </c>
      <c r="F5393" t="s">
        <v>49</v>
      </c>
      <c r="G5393" s="30">
        <v>6573.0248105272403</v>
      </c>
    </row>
    <row r="5394" spans="1:7" x14ac:dyDescent="0.25">
      <c r="A5394" t="s">
        <v>94</v>
      </c>
      <c r="B5394" t="s">
        <v>95</v>
      </c>
      <c r="C5394" t="s">
        <v>78</v>
      </c>
      <c r="D5394">
        <v>11783224</v>
      </c>
      <c r="E5394" t="s">
        <v>53</v>
      </c>
      <c r="F5394" t="s">
        <v>49</v>
      </c>
      <c r="G5394" s="30">
        <v>80932.8092711426</v>
      </c>
    </row>
    <row r="5395" spans="1:7" x14ac:dyDescent="0.25">
      <c r="A5395" t="s">
        <v>45</v>
      </c>
      <c r="B5395" t="s">
        <v>46</v>
      </c>
      <c r="C5395" t="s">
        <v>47</v>
      </c>
      <c r="D5395">
        <v>11784009</v>
      </c>
      <c r="E5395" t="s">
        <v>48</v>
      </c>
      <c r="F5395" t="s">
        <v>49</v>
      </c>
      <c r="G5395" s="30">
        <v>0</v>
      </c>
    </row>
    <row r="5396" spans="1:7" x14ac:dyDescent="0.25">
      <c r="A5396" t="s">
        <v>50</v>
      </c>
      <c r="B5396" t="s">
        <v>51</v>
      </c>
      <c r="C5396" t="s">
        <v>52</v>
      </c>
      <c r="D5396">
        <v>11784456</v>
      </c>
      <c r="E5396" t="s">
        <v>53</v>
      </c>
      <c r="F5396" t="s">
        <v>49</v>
      </c>
      <c r="G5396" s="30">
        <v>150.53427994587801</v>
      </c>
    </row>
    <row r="5397" spans="1:7" x14ac:dyDescent="0.25">
      <c r="A5397" t="s">
        <v>45</v>
      </c>
      <c r="B5397" t="s">
        <v>46</v>
      </c>
      <c r="C5397" t="s">
        <v>47</v>
      </c>
      <c r="D5397">
        <v>11785012</v>
      </c>
      <c r="E5397" t="s">
        <v>48</v>
      </c>
      <c r="F5397" t="s">
        <v>49</v>
      </c>
      <c r="G5397" s="30">
        <v>3.5</v>
      </c>
    </row>
    <row r="5398" spans="1:7" x14ac:dyDescent="0.25">
      <c r="A5398" t="s">
        <v>76</v>
      </c>
      <c r="B5398" t="s">
        <v>77</v>
      </c>
      <c r="C5398" t="s">
        <v>78</v>
      </c>
      <c r="D5398">
        <v>11785891</v>
      </c>
      <c r="E5398" t="s">
        <v>53</v>
      </c>
      <c r="F5398" t="s">
        <v>49</v>
      </c>
      <c r="G5398" s="30">
        <v>6185976.3748519896</v>
      </c>
    </row>
    <row r="5399" spans="1:7" x14ac:dyDescent="0.25">
      <c r="A5399" t="s">
        <v>45</v>
      </c>
      <c r="B5399" t="s">
        <v>46</v>
      </c>
      <c r="C5399" t="s">
        <v>47</v>
      </c>
      <c r="D5399">
        <v>11786793</v>
      </c>
      <c r="E5399" t="s">
        <v>48</v>
      </c>
      <c r="F5399" t="s">
        <v>49</v>
      </c>
      <c r="G5399" s="30">
        <v>0</v>
      </c>
    </row>
    <row r="5400" spans="1:7" x14ac:dyDescent="0.25">
      <c r="A5400" t="s">
        <v>45</v>
      </c>
      <c r="B5400" t="s">
        <v>46</v>
      </c>
      <c r="C5400" t="s">
        <v>47</v>
      </c>
      <c r="D5400">
        <v>11792613</v>
      </c>
      <c r="E5400" t="s">
        <v>48</v>
      </c>
      <c r="F5400" t="s">
        <v>49</v>
      </c>
      <c r="G5400" s="30">
        <v>0</v>
      </c>
    </row>
    <row r="5401" spans="1:7" x14ac:dyDescent="0.25">
      <c r="A5401" t="s">
        <v>45</v>
      </c>
      <c r="B5401" t="s">
        <v>46</v>
      </c>
      <c r="C5401" t="s">
        <v>47</v>
      </c>
      <c r="D5401">
        <v>11794425</v>
      </c>
      <c r="E5401" t="s">
        <v>48</v>
      </c>
      <c r="F5401" t="s">
        <v>49</v>
      </c>
      <c r="G5401" s="30">
        <v>0</v>
      </c>
    </row>
    <row r="5402" spans="1:7" x14ac:dyDescent="0.25">
      <c r="A5402" t="s">
        <v>90</v>
      </c>
      <c r="B5402" t="s">
        <v>91</v>
      </c>
      <c r="C5402" t="s">
        <v>81</v>
      </c>
      <c r="D5402">
        <v>11794877</v>
      </c>
      <c r="E5402" t="s">
        <v>53</v>
      </c>
      <c r="F5402" t="s">
        <v>49</v>
      </c>
      <c r="G5402" s="30">
        <v>13800.1103770025</v>
      </c>
    </row>
    <row r="5403" spans="1:7" x14ac:dyDescent="0.25">
      <c r="A5403" t="s">
        <v>50</v>
      </c>
      <c r="B5403" t="s">
        <v>51</v>
      </c>
      <c r="C5403" t="s">
        <v>52</v>
      </c>
      <c r="D5403">
        <v>11796499</v>
      </c>
      <c r="E5403" t="s">
        <v>53</v>
      </c>
      <c r="F5403" t="s">
        <v>49</v>
      </c>
      <c r="G5403" s="30">
        <v>46543.219359926501</v>
      </c>
    </row>
    <row r="5404" spans="1:7" x14ac:dyDescent="0.25">
      <c r="A5404" t="s">
        <v>59</v>
      </c>
      <c r="B5404" t="s">
        <v>60</v>
      </c>
      <c r="C5404" t="s">
        <v>56</v>
      </c>
      <c r="D5404">
        <v>11797831</v>
      </c>
      <c r="E5404" t="s">
        <v>53</v>
      </c>
      <c r="F5404" t="s">
        <v>49</v>
      </c>
      <c r="G5404" s="30">
        <v>50760.279824801801</v>
      </c>
    </row>
    <row r="5405" spans="1:7" x14ac:dyDescent="0.25">
      <c r="A5405" t="s">
        <v>61</v>
      </c>
      <c r="B5405" t="s">
        <v>62</v>
      </c>
      <c r="C5405" t="s">
        <v>56</v>
      </c>
      <c r="D5405">
        <v>11799226</v>
      </c>
      <c r="E5405" t="s">
        <v>48</v>
      </c>
      <c r="F5405" t="s">
        <v>49</v>
      </c>
      <c r="G5405" s="30">
        <v>45.32</v>
      </c>
    </row>
    <row r="5406" spans="1:7" x14ac:dyDescent="0.25">
      <c r="A5406" t="s">
        <v>72</v>
      </c>
      <c r="B5406" t="s">
        <v>73</v>
      </c>
      <c r="C5406" t="s">
        <v>67</v>
      </c>
      <c r="D5406">
        <v>11800254</v>
      </c>
      <c r="E5406" t="s">
        <v>53</v>
      </c>
      <c r="F5406" t="s">
        <v>49</v>
      </c>
      <c r="G5406" s="30">
        <v>25505.472560553801</v>
      </c>
    </row>
    <row r="5407" spans="1:7" x14ac:dyDescent="0.25">
      <c r="A5407" t="s">
        <v>45</v>
      </c>
      <c r="B5407" t="s">
        <v>46</v>
      </c>
      <c r="C5407" t="s">
        <v>47</v>
      </c>
      <c r="D5407">
        <v>11800579</v>
      </c>
      <c r="E5407" t="s">
        <v>53</v>
      </c>
      <c r="F5407" t="s">
        <v>49</v>
      </c>
      <c r="G5407" s="30">
        <v>72608.75</v>
      </c>
    </row>
    <row r="5408" spans="1:7" x14ac:dyDescent="0.25">
      <c r="A5408" t="s">
        <v>45</v>
      </c>
      <c r="B5408" t="s">
        <v>46</v>
      </c>
      <c r="C5408" t="s">
        <v>47</v>
      </c>
      <c r="D5408">
        <v>11800623</v>
      </c>
      <c r="E5408" t="s">
        <v>48</v>
      </c>
      <c r="F5408" t="s">
        <v>49</v>
      </c>
      <c r="G5408" s="30">
        <v>0</v>
      </c>
    </row>
    <row r="5409" spans="1:7" x14ac:dyDescent="0.25">
      <c r="A5409" t="s">
        <v>92</v>
      </c>
      <c r="B5409" t="s">
        <v>93</v>
      </c>
      <c r="C5409" t="s">
        <v>81</v>
      </c>
      <c r="D5409">
        <v>11800781</v>
      </c>
      <c r="E5409" t="s">
        <v>53</v>
      </c>
      <c r="F5409" t="s">
        <v>49</v>
      </c>
      <c r="G5409" s="30">
        <v>145559.225921273</v>
      </c>
    </row>
    <row r="5410" spans="1:7" x14ac:dyDescent="0.25">
      <c r="A5410" t="s">
        <v>118</v>
      </c>
      <c r="B5410" t="s">
        <v>119</v>
      </c>
      <c r="C5410" t="s">
        <v>56</v>
      </c>
      <c r="D5410">
        <v>11800926</v>
      </c>
      <c r="E5410" t="s">
        <v>53</v>
      </c>
      <c r="F5410" t="s">
        <v>49</v>
      </c>
      <c r="G5410" s="30">
        <v>180.2099120339</v>
      </c>
    </row>
    <row r="5411" spans="1:7" x14ac:dyDescent="0.25">
      <c r="A5411" t="s">
        <v>114</v>
      </c>
      <c r="B5411" t="s">
        <v>115</v>
      </c>
      <c r="C5411" t="s">
        <v>56</v>
      </c>
      <c r="D5411">
        <v>11802431</v>
      </c>
      <c r="E5411" t="s">
        <v>53</v>
      </c>
      <c r="F5411" t="s">
        <v>49</v>
      </c>
      <c r="G5411" s="30">
        <v>101303.042980381</v>
      </c>
    </row>
    <row r="5412" spans="1:7" x14ac:dyDescent="0.25">
      <c r="A5412" t="s">
        <v>114</v>
      </c>
      <c r="B5412" t="s">
        <v>115</v>
      </c>
      <c r="C5412" t="s">
        <v>56</v>
      </c>
      <c r="D5412">
        <v>11802446</v>
      </c>
      <c r="E5412" t="s">
        <v>48</v>
      </c>
      <c r="F5412" t="s">
        <v>49</v>
      </c>
      <c r="G5412" s="30">
        <v>0</v>
      </c>
    </row>
    <row r="5413" spans="1:7" x14ac:dyDescent="0.25">
      <c r="A5413" t="s">
        <v>45</v>
      </c>
      <c r="B5413" t="s">
        <v>46</v>
      </c>
      <c r="C5413" t="s">
        <v>47</v>
      </c>
      <c r="D5413">
        <v>11806126</v>
      </c>
      <c r="E5413" t="s">
        <v>48</v>
      </c>
      <c r="F5413" t="s">
        <v>49</v>
      </c>
      <c r="G5413" s="30">
        <v>0</v>
      </c>
    </row>
    <row r="5414" spans="1:7" x14ac:dyDescent="0.25">
      <c r="A5414" t="s">
        <v>61</v>
      </c>
      <c r="B5414" t="s">
        <v>62</v>
      </c>
      <c r="C5414" t="s">
        <v>56</v>
      </c>
      <c r="D5414">
        <v>11810559</v>
      </c>
      <c r="E5414" t="s">
        <v>48</v>
      </c>
      <c r="F5414" t="s">
        <v>49</v>
      </c>
      <c r="G5414" s="30">
        <v>0</v>
      </c>
    </row>
    <row r="5415" spans="1:7" x14ac:dyDescent="0.25">
      <c r="A5415" t="s">
        <v>61</v>
      </c>
      <c r="B5415" t="s">
        <v>62</v>
      </c>
      <c r="C5415" t="s">
        <v>56</v>
      </c>
      <c r="D5415">
        <v>11810982</v>
      </c>
      <c r="E5415" t="s">
        <v>48</v>
      </c>
      <c r="F5415" t="s">
        <v>49</v>
      </c>
      <c r="G5415" s="30">
        <v>0</v>
      </c>
    </row>
    <row r="5416" spans="1:7" x14ac:dyDescent="0.25">
      <c r="A5416" t="s">
        <v>45</v>
      </c>
      <c r="B5416" t="s">
        <v>46</v>
      </c>
      <c r="C5416" t="s">
        <v>47</v>
      </c>
      <c r="D5416">
        <v>11812766</v>
      </c>
      <c r="E5416" t="s">
        <v>48</v>
      </c>
      <c r="F5416" t="s">
        <v>49</v>
      </c>
      <c r="G5416" s="30">
        <v>0</v>
      </c>
    </row>
    <row r="5417" spans="1:7" x14ac:dyDescent="0.25">
      <c r="A5417" t="s">
        <v>45</v>
      </c>
      <c r="B5417" t="s">
        <v>46</v>
      </c>
      <c r="C5417" t="s">
        <v>47</v>
      </c>
      <c r="D5417">
        <v>11814416</v>
      </c>
      <c r="E5417" t="s">
        <v>48</v>
      </c>
      <c r="F5417" t="s">
        <v>49</v>
      </c>
      <c r="G5417" s="30">
        <v>0</v>
      </c>
    </row>
    <row r="5418" spans="1:7" x14ac:dyDescent="0.25">
      <c r="A5418" t="s">
        <v>45</v>
      </c>
      <c r="B5418" t="s">
        <v>46</v>
      </c>
      <c r="C5418" t="s">
        <v>47</v>
      </c>
      <c r="D5418">
        <v>11815144</v>
      </c>
      <c r="E5418" t="s">
        <v>48</v>
      </c>
      <c r="F5418" t="s">
        <v>49</v>
      </c>
      <c r="G5418" s="30">
        <v>0</v>
      </c>
    </row>
    <row r="5419" spans="1:7" x14ac:dyDescent="0.25">
      <c r="A5419" t="s">
        <v>45</v>
      </c>
      <c r="B5419" t="s">
        <v>46</v>
      </c>
      <c r="C5419" t="s">
        <v>47</v>
      </c>
      <c r="D5419">
        <v>11815989</v>
      </c>
      <c r="E5419" t="s">
        <v>48</v>
      </c>
      <c r="F5419" t="s">
        <v>49</v>
      </c>
      <c r="G5419" s="30">
        <v>0</v>
      </c>
    </row>
    <row r="5420" spans="1:7" x14ac:dyDescent="0.25">
      <c r="A5420" t="s">
        <v>45</v>
      </c>
      <c r="B5420" t="s">
        <v>46</v>
      </c>
      <c r="C5420" t="s">
        <v>47</v>
      </c>
      <c r="D5420">
        <v>11817812</v>
      </c>
      <c r="E5420" t="s">
        <v>48</v>
      </c>
      <c r="F5420" t="s">
        <v>49</v>
      </c>
      <c r="G5420" s="30">
        <v>0</v>
      </c>
    </row>
    <row r="5421" spans="1:7" x14ac:dyDescent="0.25">
      <c r="A5421" t="s">
        <v>45</v>
      </c>
      <c r="B5421" t="s">
        <v>46</v>
      </c>
      <c r="C5421" t="s">
        <v>47</v>
      </c>
      <c r="D5421">
        <v>11817817</v>
      </c>
      <c r="E5421" t="s">
        <v>48</v>
      </c>
      <c r="F5421" t="s">
        <v>49</v>
      </c>
      <c r="G5421" s="30">
        <v>0</v>
      </c>
    </row>
    <row r="5422" spans="1:7" x14ac:dyDescent="0.25">
      <c r="A5422" t="s">
        <v>118</v>
      </c>
      <c r="B5422" t="s">
        <v>119</v>
      </c>
      <c r="C5422" t="s">
        <v>56</v>
      </c>
      <c r="D5422">
        <v>11819720</v>
      </c>
      <c r="E5422" t="s">
        <v>53</v>
      </c>
      <c r="F5422" t="s">
        <v>49</v>
      </c>
      <c r="G5422" s="30">
        <v>29098.091057123202</v>
      </c>
    </row>
    <row r="5423" spans="1:7" x14ac:dyDescent="0.25">
      <c r="A5423" t="s">
        <v>50</v>
      </c>
      <c r="B5423" t="s">
        <v>51</v>
      </c>
      <c r="C5423" t="s">
        <v>52</v>
      </c>
      <c r="D5423">
        <v>11819919</v>
      </c>
      <c r="E5423" t="s">
        <v>53</v>
      </c>
      <c r="F5423" t="s">
        <v>49</v>
      </c>
      <c r="G5423" s="30">
        <v>142.16</v>
      </c>
    </row>
    <row r="5424" spans="1:7" x14ac:dyDescent="0.25">
      <c r="A5424" t="s">
        <v>68</v>
      </c>
      <c r="B5424" t="s">
        <v>69</v>
      </c>
      <c r="C5424" t="s">
        <v>56</v>
      </c>
      <c r="D5424">
        <v>11819966</v>
      </c>
      <c r="E5424" t="s">
        <v>53</v>
      </c>
      <c r="F5424" t="s">
        <v>49</v>
      </c>
      <c r="G5424" s="30">
        <v>203.22</v>
      </c>
    </row>
    <row r="5425" spans="1:7" x14ac:dyDescent="0.25">
      <c r="A5425" t="s">
        <v>65</v>
      </c>
      <c r="B5425" t="s">
        <v>66</v>
      </c>
      <c r="C5425" t="s">
        <v>67</v>
      </c>
      <c r="D5425">
        <v>11821870</v>
      </c>
      <c r="E5425" t="s">
        <v>53</v>
      </c>
      <c r="F5425" t="s">
        <v>49</v>
      </c>
      <c r="G5425" s="30">
        <v>176635.620546875</v>
      </c>
    </row>
    <row r="5426" spans="1:7" x14ac:dyDescent="0.25">
      <c r="A5426" t="s">
        <v>65</v>
      </c>
      <c r="B5426" t="s">
        <v>66</v>
      </c>
      <c r="C5426" t="s">
        <v>67</v>
      </c>
      <c r="D5426">
        <v>11823454</v>
      </c>
      <c r="E5426" t="s">
        <v>53</v>
      </c>
      <c r="F5426" t="s">
        <v>49</v>
      </c>
      <c r="G5426" s="30">
        <v>2221734.1597654601</v>
      </c>
    </row>
    <row r="5427" spans="1:7" x14ac:dyDescent="0.25">
      <c r="A5427" t="s">
        <v>45</v>
      </c>
      <c r="B5427" t="s">
        <v>46</v>
      </c>
      <c r="C5427" t="s">
        <v>47</v>
      </c>
      <c r="D5427">
        <v>11823498</v>
      </c>
      <c r="E5427" t="s">
        <v>48</v>
      </c>
      <c r="F5427" t="s">
        <v>49</v>
      </c>
      <c r="G5427" s="30">
        <v>0</v>
      </c>
    </row>
    <row r="5428" spans="1:7" x14ac:dyDescent="0.25">
      <c r="A5428" t="s">
        <v>118</v>
      </c>
      <c r="B5428" t="s">
        <v>119</v>
      </c>
      <c r="C5428" t="s">
        <v>56</v>
      </c>
      <c r="D5428">
        <v>11829018</v>
      </c>
      <c r="E5428" t="s">
        <v>53</v>
      </c>
      <c r="F5428" t="s">
        <v>49</v>
      </c>
      <c r="G5428" s="30">
        <v>74826.236769406401</v>
      </c>
    </row>
    <row r="5429" spans="1:7" x14ac:dyDescent="0.25">
      <c r="A5429" t="s">
        <v>112</v>
      </c>
      <c r="B5429" t="s">
        <v>113</v>
      </c>
      <c r="C5429" t="s">
        <v>81</v>
      </c>
      <c r="D5429">
        <v>11829261</v>
      </c>
      <c r="E5429" t="s">
        <v>53</v>
      </c>
      <c r="F5429" t="s">
        <v>49</v>
      </c>
      <c r="G5429" s="30">
        <v>484021.14512358297</v>
      </c>
    </row>
    <row r="5430" spans="1:7" x14ac:dyDescent="0.25">
      <c r="A5430" t="s">
        <v>50</v>
      </c>
      <c r="B5430" t="s">
        <v>51</v>
      </c>
      <c r="C5430" t="s">
        <v>52</v>
      </c>
      <c r="D5430">
        <v>11829991</v>
      </c>
      <c r="E5430" t="s">
        <v>53</v>
      </c>
      <c r="F5430" t="s">
        <v>49</v>
      </c>
      <c r="G5430" s="30">
        <v>1078.86520507812</v>
      </c>
    </row>
    <row r="5431" spans="1:7" x14ac:dyDescent="0.25">
      <c r="A5431" t="s">
        <v>82</v>
      </c>
      <c r="B5431" t="s">
        <v>83</v>
      </c>
      <c r="C5431" t="s">
        <v>56</v>
      </c>
      <c r="D5431">
        <v>11831094</v>
      </c>
      <c r="E5431" t="s">
        <v>53</v>
      </c>
      <c r="F5431" t="s">
        <v>49</v>
      </c>
      <c r="G5431" s="30">
        <v>20163201.5</v>
      </c>
    </row>
    <row r="5432" spans="1:7" x14ac:dyDescent="0.25">
      <c r="A5432" t="s">
        <v>45</v>
      </c>
      <c r="B5432" t="s">
        <v>46</v>
      </c>
      <c r="C5432" t="s">
        <v>47</v>
      </c>
      <c r="D5432">
        <v>11832271</v>
      </c>
      <c r="E5432" t="s">
        <v>48</v>
      </c>
      <c r="F5432" t="s">
        <v>49</v>
      </c>
      <c r="G5432" s="30">
        <v>0</v>
      </c>
    </row>
    <row r="5433" spans="1:7" x14ac:dyDescent="0.25">
      <c r="A5433" t="s">
        <v>114</v>
      </c>
      <c r="B5433" t="s">
        <v>115</v>
      </c>
      <c r="C5433" t="s">
        <v>56</v>
      </c>
      <c r="D5433">
        <v>11832398</v>
      </c>
      <c r="E5433" t="s">
        <v>53</v>
      </c>
      <c r="F5433" t="s">
        <v>49</v>
      </c>
      <c r="G5433" s="30">
        <v>124633.28384156599</v>
      </c>
    </row>
    <row r="5434" spans="1:7" x14ac:dyDescent="0.25">
      <c r="A5434" t="s">
        <v>45</v>
      </c>
      <c r="B5434" t="s">
        <v>46</v>
      </c>
      <c r="C5434" t="s">
        <v>47</v>
      </c>
      <c r="D5434">
        <v>11832999</v>
      </c>
      <c r="E5434" t="s">
        <v>48</v>
      </c>
      <c r="F5434" t="s">
        <v>49</v>
      </c>
      <c r="G5434" s="30">
        <v>0.85</v>
      </c>
    </row>
    <row r="5435" spans="1:7" x14ac:dyDescent="0.25">
      <c r="A5435" t="s">
        <v>45</v>
      </c>
      <c r="B5435" t="s">
        <v>46</v>
      </c>
      <c r="C5435" t="s">
        <v>47</v>
      </c>
      <c r="D5435">
        <v>11834166</v>
      </c>
      <c r="E5435" t="s">
        <v>48</v>
      </c>
      <c r="F5435" t="s">
        <v>49</v>
      </c>
      <c r="G5435" s="30">
        <v>0</v>
      </c>
    </row>
    <row r="5436" spans="1:7" x14ac:dyDescent="0.25">
      <c r="A5436" t="s">
        <v>90</v>
      </c>
      <c r="B5436" t="s">
        <v>91</v>
      </c>
      <c r="C5436" t="s">
        <v>81</v>
      </c>
      <c r="D5436">
        <v>11834315</v>
      </c>
      <c r="E5436" t="s">
        <v>53</v>
      </c>
      <c r="F5436" t="s">
        <v>49</v>
      </c>
      <c r="G5436" s="30">
        <v>563851.87348280801</v>
      </c>
    </row>
    <row r="5437" spans="1:7" x14ac:dyDescent="0.25">
      <c r="A5437" t="s">
        <v>79</v>
      </c>
      <c r="B5437" t="s">
        <v>80</v>
      </c>
      <c r="C5437" t="s">
        <v>81</v>
      </c>
      <c r="D5437">
        <v>11834469</v>
      </c>
      <c r="E5437" t="s">
        <v>53</v>
      </c>
      <c r="F5437" t="s">
        <v>49</v>
      </c>
      <c r="G5437" s="30">
        <v>1083.6384204531601</v>
      </c>
    </row>
    <row r="5438" spans="1:7" x14ac:dyDescent="0.25">
      <c r="A5438" t="s">
        <v>45</v>
      </c>
      <c r="B5438" t="s">
        <v>46</v>
      </c>
      <c r="C5438" t="s">
        <v>47</v>
      </c>
      <c r="D5438">
        <v>11834942</v>
      </c>
      <c r="E5438" t="s">
        <v>48</v>
      </c>
      <c r="F5438" t="s">
        <v>49</v>
      </c>
      <c r="G5438" s="30">
        <v>0</v>
      </c>
    </row>
    <row r="5439" spans="1:7" x14ac:dyDescent="0.25">
      <c r="A5439" t="s">
        <v>120</v>
      </c>
      <c r="B5439" t="s">
        <v>121</v>
      </c>
      <c r="C5439" t="s">
        <v>67</v>
      </c>
      <c r="D5439">
        <v>11840845</v>
      </c>
      <c r="E5439" t="s">
        <v>48</v>
      </c>
      <c r="F5439" t="s">
        <v>49</v>
      </c>
      <c r="G5439" s="30">
        <v>0.05</v>
      </c>
    </row>
    <row r="5440" spans="1:7" x14ac:dyDescent="0.25">
      <c r="A5440" t="s">
        <v>45</v>
      </c>
      <c r="B5440" t="s">
        <v>46</v>
      </c>
      <c r="C5440" t="s">
        <v>47</v>
      </c>
      <c r="D5440">
        <v>11841130</v>
      </c>
      <c r="E5440" t="s">
        <v>48</v>
      </c>
      <c r="F5440" t="s">
        <v>49</v>
      </c>
      <c r="G5440" s="30">
        <v>0</v>
      </c>
    </row>
    <row r="5441" spans="1:7" x14ac:dyDescent="0.25">
      <c r="A5441" t="s">
        <v>59</v>
      </c>
      <c r="B5441" t="s">
        <v>60</v>
      </c>
      <c r="C5441" t="s">
        <v>56</v>
      </c>
      <c r="D5441">
        <v>11841167</v>
      </c>
      <c r="E5441" t="s">
        <v>48</v>
      </c>
      <c r="F5441" t="s">
        <v>49</v>
      </c>
      <c r="G5441" s="30">
        <v>0</v>
      </c>
    </row>
    <row r="5442" spans="1:7" x14ac:dyDescent="0.25">
      <c r="A5442" t="s">
        <v>82</v>
      </c>
      <c r="B5442" t="s">
        <v>83</v>
      </c>
      <c r="C5442" t="s">
        <v>56</v>
      </c>
      <c r="D5442">
        <v>11852364</v>
      </c>
      <c r="E5442" t="s">
        <v>53</v>
      </c>
      <c r="F5442" t="s">
        <v>49</v>
      </c>
      <c r="G5442" s="30">
        <v>913297.993957281</v>
      </c>
    </row>
    <row r="5443" spans="1:7" x14ac:dyDescent="0.25">
      <c r="A5443" t="s">
        <v>114</v>
      </c>
      <c r="B5443" t="s">
        <v>115</v>
      </c>
      <c r="C5443" t="s">
        <v>56</v>
      </c>
      <c r="D5443">
        <v>11854665</v>
      </c>
      <c r="E5443" t="s">
        <v>53</v>
      </c>
      <c r="F5443" t="s">
        <v>49</v>
      </c>
      <c r="G5443" s="30">
        <v>1000</v>
      </c>
    </row>
    <row r="5444" spans="1:7" x14ac:dyDescent="0.25">
      <c r="A5444" t="s">
        <v>72</v>
      </c>
      <c r="B5444" t="s">
        <v>73</v>
      </c>
      <c r="C5444" t="s">
        <v>67</v>
      </c>
      <c r="D5444">
        <v>11860963</v>
      </c>
      <c r="E5444" t="s">
        <v>53</v>
      </c>
      <c r="F5444" t="s">
        <v>49</v>
      </c>
      <c r="G5444" s="30">
        <v>145535.767913244</v>
      </c>
    </row>
    <row r="5445" spans="1:7" x14ac:dyDescent="0.25">
      <c r="A5445" t="s">
        <v>124</v>
      </c>
      <c r="B5445" t="s">
        <v>125</v>
      </c>
      <c r="C5445" t="s">
        <v>78</v>
      </c>
      <c r="D5445">
        <v>11865283</v>
      </c>
      <c r="E5445" t="s">
        <v>53</v>
      </c>
      <c r="F5445" t="s">
        <v>49</v>
      </c>
      <c r="G5445" s="30">
        <v>30392.078664246201</v>
      </c>
    </row>
    <row r="5446" spans="1:7" x14ac:dyDescent="0.25">
      <c r="A5446" t="s">
        <v>45</v>
      </c>
      <c r="B5446" t="s">
        <v>46</v>
      </c>
      <c r="C5446" t="s">
        <v>47</v>
      </c>
      <c r="D5446">
        <v>11865668</v>
      </c>
      <c r="E5446" t="s">
        <v>48</v>
      </c>
      <c r="F5446" t="s">
        <v>49</v>
      </c>
      <c r="G5446" s="30">
        <v>0</v>
      </c>
    </row>
    <row r="5447" spans="1:7" x14ac:dyDescent="0.25">
      <c r="A5447" t="s">
        <v>68</v>
      </c>
      <c r="B5447" t="s">
        <v>69</v>
      </c>
      <c r="C5447" t="s">
        <v>56</v>
      </c>
      <c r="D5447">
        <v>11866913</v>
      </c>
      <c r="E5447" t="s">
        <v>48</v>
      </c>
      <c r="F5447" t="s">
        <v>49</v>
      </c>
      <c r="G5447" s="30">
        <v>0</v>
      </c>
    </row>
    <row r="5448" spans="1:7" x14ac:dyDescent="0.25">
      <c r="A5448" t="s">
        <v>50</v>
      </c>
      <c r="B5448" t="s">
        <v>51</v>
      </c>
      <c r="C5448" t="s">
        <v>52</v>
      </c>
      <c r="D5448">
        <v>11877033</v>
      </c>
      <c r="E5448" t="s">
        <v>48</v>
      </c>
      <c r="F5448" t="s">
        <v>49</v>
      </c>
      <c r="G5448" s="30">
        <v>0</v>
      </c>
    </row>
    <row r="5449" spans="1:7" x14ac:dyDescent="0.25">
      <c r="A5449" t="s">
        <v>45</v>
      </c>
      <c r="B5449" t="s">
        <v>46</v>
      </c>
      <c r="C5449" t="s">
        <v>47</v>
      </c>
      <c r="D5449">
        <v>11877287</v>
      </c>
      <c r="E5449" t="s">
        <v>48</v>
      </c>
      <c r="F5449" t="s">
        <v>49</v>
      </c>
      <c r="G5449" s="30">
        <v>0</v>
      </c>
    </row>
    <row r="5450" spans="1:7" x14ac:dyDescent="0.25">
      <c r="A5450" t="s">
        <v>45</v>
      </c>
      <c r="B5450" t="s">
        <v>46</v>
      </c>
      <c r="C5450" t="s">
        <v>47</v>
      </c>
      <c r="D5450">
        <v>11880528</v>
      </c>
      <c r="E5450" t="s">
        <v>48</v>
      </c>
      <c r="F5450" t="s">
        <v>49</v>
      </c>
      <c r="G5450" s="30">
        <v>0</v>
      </c>
    </row>
    <row r="5451" spans="1:7" x14ac:dyDescent="0.25">
      <c r="A5451" t="s">
        <v>57</v>
      </c>
      <c r="B5451" t="s">
        <v>58</v>
      </c>
      <c r="C5451" t="s">
        <v>56</v>
      </c>
      <c r="D5451">
        <v>11881023</v>
      </c>
      <c r="E5451" t="s">
        <v>48</v>
      </c>
      <c r="F5451" t="s">
        <v>49</v>
      </c>
      <c r="G5451" s="30">
        <v>0</v>
      </c>
    </row>
    <row r="5452" spans="1:7" x14ac:dyDescent="0.25">
      <c r="A5452" t="s">
        <v>90</v>
      </c>
      <c r="B5452" t="s">
        <v>91</v>
      </c>
      <c r="C5452" t="s">
        <v>81</v>
      </c>
      <c r="D5452">
        <v>11882525</v>
      </c>
      <c r="E5452" t="s">
        <v>53</v>
      </c>
      <c r="F5452" t="s">
        <v>49</v>
      </c>
      <c r="G5452" s="30">
        <v>372610.35730793199</v>
      </c>
    </row>
    <row r="5453" spans="1:7" x14ac:dyDescent="0.25">
      <c r="A5453" t="s">
        <v>45</v>
      </c>
      <c r="B5453" t="s">
        <v>46</v>
      </c>
      <c r="C5453" t="s">
        <v>47</v>
      </c>
      <c r="D5453">
        <v>11884036</v>
      </c>
      <c r="E5453" t="s">
        <v>53</v>
      </c>
      <c r="F5453" t="s">
        <v>49</v>
      </c>
      <c r="G5453" s="30">
        <v>103.58</v>
      </c>
    </row>
    <row r="5454" spans="1:7" x14ac:dyDescent="0.25">
      <c r="A5454" t="s">
        <v>50</v>
      </c>
      <c r="B5454" t="s">
        <v>51</v>
      </c>
      <c r="C5454" t="s">
        <v>52</v>
      </c>
      <c r="D5454">
        <v>11884381</v>
      </c>
      <c r="E5454" t="s">
        <v>48</v>
      </c>
      <c r="F5454" t="s">
        <v>49</v>
      </c>
      <c r="G5454" s="30">
        <v>0</v>
      </c>
    </row>
    <row r="5455" spans="1:7" x14ac:dyDescent="0.25">
      <c r="A5455" t="s">
        <v>112</v>
      </c>
      <c r="B5455" t="s">
        <v>113</v>
      </c>
      <c r="C5455" t="s">
        <v>81</v>
      </c>
      <c r="D5455">
        <v>11885062</v>
      </c>
      <c r="E5455" t="s">
        <v>53</v>
      </c>
      <c r="F5455" t="s">
        <v>49</v>
      </c>
      <c r="G5455" s="30">
        <v>294857.73622879299</v>
      </c>
    </row>
    <row r="5456" spans="1:7" x14ac:dyDescent="0.25">
      <c r="A5456" t="s">
        <v>118</v>
      </c>
      <c r="B5456" t="s">
        <v>119</v>
      </c>
      <c r="C5456" t="s">
        <v>56</v>
      </c>
      <c r="D5456">
        <v>11897848</v>
      </c>
      <c r="E5456" t="s">
        <v>53</v>
      </c>
      <c r="F5456" t="s">
        <v>49</v>
      </c>
      <c r="G5456" s="30">
        <v>177371.54160876799</v>
      </c>
    </row>
    <row r="5457" spans="1:7" x14ac:dyDescent="0.25">
      <c r="A5457" t="s">
        <v>94</v>
      </c>
      <c r="B5457" t="s">
        <v>95</v>
      </c>
      <c r="C5457" t="s">
        <v>78</v>
      </c>
      <c r="D5457">
        <v>11899098</v>
      </c>
      <c r="E5457" t="s">
        <v>53</v>
      </c>
      <c r="F5457" t="s">
        <v>49</v>
      </c>
      <c r="G5457" s="30">
        <v>72855.220483388504</v>
      </c>
    </row>
    <row r="5458" spans="1:7" x14ac:dyDescent="0.25">
      <c r="A5458" t="s">
        <v>45</v>
      </c>
      <c r="B5458" t="s">
        <v>46</v>
      </c>
      <c r="C5458" t="s">
        <v>47</v>
      </c>
      <c r="D5458">
        <v>11899765</v>
      </c>
      <c r="E5458" t="s">
        <v>48</v>
      </c>
      <c r="F5458" t="s">
        <v>49</v>
      </c>
      <c r="G5458" s="30">
        <v>0</v>
      </c>
    </row>
    <row r="5459" spans="1:7" x14ac:dyDescent="0.25">
      <c r="A5459" t="s">
        <v>112</v>
      </c>
      <c r="B5459" t="s">
        <v>113</v>
      </c>
      <c r="C5459" t="s">
        <v>81</v>
      </c>
      <c r="D5459">
        <v>11903628</v>
      </c>
      <c r="E5459" t="s">
        <v>53</v>
      </c>
      <c r="F5459" t="s">
        <v>49</v>
      </c>
      <c r="G5459" s="30">
        <v>774231.770964102</v>
      </c>
    </row>
    <row r="5460" spans="1:7" x14ac:dyDescent="0.25">
      <c r="A5460" t="s">
        <v>50</v>
      </c>
      <c r="B5460" t="s">
        <v>51</v>
      </c>
      <c r="C5460" t="s">
        <v>52</v>
      </c>
      <c r="D5460">
        <v>11911981</v>
      </c>
      <c r="E5460" t="s">
        <v>53</v>
      </c>
      <c r="F5460" t="s">
        <v>49</v>
      </c>
      <c r="G5460" s="30">
        <v>1000</v>
      </c>
    </row>
    <row r="5461" spans="1:7" x14ac:dyDescent="0.25">
      <c r="A5461" t="s">
        <v>45</v>
      </c>
      <c r="B5461" t="s">
        <v>46</v>
      </c>
      <c r="C5461" t="s">
        <v>47</v>
      </c>
      <c r="D5461">
        <v>11913253</v>
      </c>
      <c r="E5461" t="s">
        <v>53</v>
      </c>
      <c r="F5461" t="s">
        <v>49</v>
      </c>
      <c r="G5461" s="30">
        <v>161998.07688481201</v>
      </c>
    </row>
    <row r="5462" spans="1:7" x14ac:dyDescent="0.25">
      <c r="A5462" t="s">
        <v>45</v>
      </c>
      <c r="B5462" t="s">
        <v>46</v>
      </c>
      <c r="C5462" t="s">
        <v>47</v>
      </c>
      <c r="D5462">
        <v>11914931</v>
      </c>
      <c r="E5462" t="s">
        <v>48</v>
      </c>
      <c r="F5462" t="s">
        <v>49</v>
      </c>
      <c r="G5462" s="30">
        <v>0</v>
      </c>
    </row>
    <row r="5463" spans="1:7" x14ac:dyDescent="0.25">
      <c r="A5463" t="s">
        <v>112</v>
      </c>
      <c r="B5463" t="s">
        <v>113</v>
      </c>
      <c r="C5463" t="s">
        <v>81</v>
      </c>
      <c r="D5463">
        <v>11919444</v>
      </c>
      <c r="E5463" t="s">
        <v>53</v>
      </c>
      <c r="F5463" t="s">
        <v>49</v>
      </c>
      <c r="G5463" s="30">
        <v>260198.14251866401</v>
      </c>
    </row>
    <row r="5464" spans="1:7" x14ac:dyDescent="0.25">
      <c r="A5464" t="s">
        <v>45</v>
      </c>
      <c r="B5464" t="s">
        <v>46</v>
      </c>
      <c r="C5464" t="s">
        <v>47</v>
      </c>
      <c r="D5464">
        <v>11919760</v>
      </c>
      <c r="E5464" t="s">
        <v>48</v>
      </c>
      <c r="F5464" t="s">
        <v>49</v>
      </c>
      <c r="G5464" s="30">
        <v>0</v>
      </c>
    </row>
    <row r="5465" spans="1:7" x14ac:dyDescent="0.25">
      <c r="A5465" t="s">
        <v>45</v>
      </c>
      <c r="B5465" t="s">
        <v>46</v>
      </c>
      <c r="C5465" t="s">
        <v>47</v>
      </c>
      <c r="D5465">
        <v>11920103</v>
      </c>
      <c r="E5465" t="s">
        <v>48</v>
      </c>
      <c r="F5465" t="s">
        <v>49</v>
      </c>
      <c r="G5465" s="30">
        <v>80.27</v>
      </c>
    </row>
    <row r="5466" spans="1:7" x14ac:dyDescent="0.25">
      <c r="A5466" t="s">
        <v>45</v>
      </c>
      <c r="B5466" t="s">
        <v>46</v>
      </c>
      <c r="C5466" t="s">
        <v>47</v>
      </c>
      <c r="D5466">
        <v>11923545</v>
      </c>
      <c r="E5466" t="s">
        <v>48</v>
      </c>
      <c r="F5466" t="s">
        <v>49</v>
      </c>
      <c r="G5466" s="30">
        <v>0</v>
      </c>
    </row>
    <row r="5467" spans="1:7" x14ac:dyDescent="0.25">
      <c r="A5467" t="s">
        <v>45</v>
      </c>
      <c r="B5467" t="s">
        <v>46</v>
      </c>
      <c r="C5467" t="s">
        <v>47</v>
      </c>
      <c r="D5467">
        <v>11925959</v>
      </c>
      <c r="E5467" t="s">
        <v>48</v>
      </c>
      <c r="F5467" t="s">
        <v>49</v>
      </c>
      <c r="G5467" s="30">
        <v>0</v>
      </c>
    </row>
    <row r="5468" spans="1:7" x14ac:dyDescent="0.25">
      <c r="A5468" t="s">
        <v>92</v>
      </c>
      <c r="B5468" t="s">
        <v>93</v>
      </c>
      <c r="C5468" t="s">
        <v>81</v>
      </c>
      <c r="D5468">
        <v>11938963</v>
      </c>
      <c r="E5468" t="s">
        <v>53</v>
      </c>
      <c r="F5468" t="s">
        <v>49</v>
      </c>
      <c r="G5468" s="30">
        <v>2671.46857542006</v>
      </c>
    </row>
    <row r="5469" spans="1:7" x14ac:dyDescent="0.25">
      <c r="A5469" t="s">
        <v>94</v>
      </c>
      <c r="B5469" t="s">
        <v>95</v>
      </c>
      <c r="C5469" t="s">
        <v>78</v>
      </c>
      <c r="D5469">
        <v>11939976</v>
      </c>
      <c r="E5469" t="s">
        <v>48</v>
      </c>
      <c r="F5469" t="s">
        <v>49</v>
      </c>
      <c r="G5469" s="30">
        <v>46.58</v>
      </c>
    </row>
    <row r="5470" spans="1:7" x14ac:dyDescent="0.25">
      <c r="A5470" t="s">
        <v>50</v>
      </c>
      <c r="B5470" t="s">
        <v>51</v>
      </c>
      <c r="C5470" t="s">
        <v>52</v>
      </c>
      <c r="D5470">
        <v>11940527</v>
      </c>
      <c r="E5470" t="s">
        <v>53</v>
      </c>
      <c r="F5470" t="s">
        <v>49</v>
      </c>
      <c r="G5470" s="30">
        <v>29378.46</v>
      </c>
    </row>
    <row r="5471" spans="1:7" x14ac:dyDescent="0.25">
      <c r="A5471" t="s">
        <v>92</v>
      </c>
      <c r="B5471" t="s">
        <v>93</v>
      </c>
      <c r="C5471" t="s">
        <v>81</v>
      </c>
      <c r="D5471">
        <v>11941510</v>
      </c>
      <c r="E5471" t="s">
        <v>53</v>
      </c>
      <c r="F5471" t="s">
        <v>49</v>
      </c>
      <c r="G5471" s="30">
        <v>52160.359787334797</v>
      </c>
    </row>
    <row r="5472" spans="1:7" x14ac:dyDescent="0.25">
      <c r="A5472" t="s">
        <v>102</v>
      </c>
      <c r="B5472" t="s">
        <v>103</v>
      </c>
      <c r="C5472" t="s">
        <v>47</v>
      </c>
      <c r="D5472">
        <v>11943950</v>
      </c>
      <c r="E5472" t="s">
        <v>53</v>
      </c>
      <c r="F5472" t="s">
        <v>49</v>
      </c>
      <c r="G5472" s="30">
        <v>131836.90637906201</v>
      </c>
    </row>
    <row r="5473" spans="1:7" x14ac:dyDescent="0.25">
      <c r="A5473" t="s">
        <v>45</v>
      </c>
      <c r="B5473" t="s">
        <v>46</v>
      </c>
      <c r="C5473" t="s">
        <v>47</v>
      </c>
      <c r="D5473">
        <v>11944290</v>
      </c>
      <c r="E5473" t="s">
        <v>48</v>
      </c>
      <c r="F5473" t="s">
        <v>49</v>
      </c>
      <c r="G5473" s="30">
        <v>0</v>
      </c>
    </row>
    <row r="5474" spans="1:7" x14ac:dyDescent="0.25">
      <c r="A5474" t="s">
        <v>45</v>
      </c>
      <c r="B5474" t="s">
        <v>46</v>
      </c>
      <c r="C5474" t="s">
        <v>47</v>
      </c>
      <c r="D5474">
        <v>11945339</v>
      </c>
      <c r="E5474" t="s">
        <v>48</v>
      </c>
      <c r="F5474" t="s">
        <v>49</v>
      </c>
      <c r="G5474" s="30">
        <v>0</v>
      </c>
    </row>
    <row r="5475" spans="1:7" x14ac:dyDescent="0.25">
      <c r="A5475" t="s">
        <v>82</v>
      </c>
      <c r="B5475" t="s">
        <v>83</v>
      </c>
      <c r="C5475" t="s">
        <v>56</v>
      </c>
      <c r="D5475">
        <v>11947405</v>
      </c>
      <c r="E5475" t="s">
        <v>53</v>
      </c>
      <c r="F5475" t="s">
        <v>49</v>
      </c>
      <c r="G5475" s="30">
        <v>1055235.2636734201</v>
      </c>
    </row>
    <row r="5476" spans="1:7" x14ac:dyDescent="0.25">
      <c r="A5476" t="s">
        <v>45</v>
      </c>
      <c r="B5476" t="s">
        <v>46</v>
      </c>
      <c r="C5476" t="s">
        <v>47</v>
      </c>
      <c r="D5476">
        <v>11947576</v>
      </c>
      <c r="E5476" t="s">
        <v>48</v>
      </c>
      <c r="F5476" t="s">
        <v>49</v>
      </c>
      <c r="G5476" s="30">
        <v>0</v>
      </c>
    </row>
    <row r="5477" spans="1:7" x14ac:dyDescent="0.25">
      <c r="A5477" t="s">
        <v>92</v>
      </c>
      <c r="B5477" t="s">
        <v>93</v>
      </c>
      <c r="C5477" t="s">
        <v>81</v>
      </c>
      <c r="D5477">
        <v>11947959</v>
      </c>
      <c r="E5477" t="s">
        <v>48</v>
      </c>
      <c r="F5477" t="s">
        <v>49</v>
      </c>
      <c r="G5477" s="30">
        <v>0</v>
      </c>
    </row>
    <row r="5478" spans="1:7" x14ac:dyDescent="0.25">
      <c r="A5478" t="s">
        <v>45</v>
      </c>
      <c r="B5478" t="s">
        <v>46</v>
      </c>
      <c r="C5478" t="s">
        <v>47</v>
      </c>
      <c r="D5478">
        <v>11948306</v>
      </c>
      <c r="E5478" t="s">
        <v>48</v>
      </c>
      <c r="F5478" t="s">
        <v>49</v>
      </c>
      <c r="G5478" s="30">
        <v>0</v>
      </c>
    </row>
    <row r="5479" spans="1:7" x14ac:dyDescent="0.25">
      <c r="A5479" t="s">
        <v>82</v>
      </c>
      <c r="B5479" t="s">
        <v>83</v>
      </c>
      <c r="C5479" t="s">
        <v>56</v>
      </c>
      <c r="D5479">
        <v>11951649</v>
      </c>
      <c r="E5479" t="s">
        <v>53</v>
      </c>
      <c r="F5479" t="s">
        <v>49</v>
      </c>
      <c r="G5479" s="30">
        <v>351263.10343295202</v>
      </c>
    </row>
    <row r="5480" spans="1:7" x14ac:dyDescent="0.25">
      <c r="A5480" t="s">
        <v>94</v>
      </c>
      <c r="B5480" t="s">
        <v>95</v>
      </c>
      <c r="C5480" t="s">
        <v>78</v>
      </c>
      <c r="D5480">
        <v>11952903</v>
      </c>
      <c r="E5480" t="s">
        <v>53</v>
      </c>
      <c r="F5480" t="s">
        <v>49</v>
      </c>
      <c r="G5480" s="30">
        <v>208056.540199827</v>
      </c>
    </row>
    <row r="5481" spans="1:7" x14ac:dyDescent="0.25">
      <c r="A5481" t="s">
        <v>50</v>
      </c>
      <c r="B5481" t="s">
        <v>51</v>
      </c>
      <c r="C5481" t="s">
        <v>52</v>
      </c>
      <c r="D5481">
        <v>11953566</v>
      </c>
      <c r="E5481" t="s">
        <v>53</v>
      </c>
      <c r="F5481" t="s">
        <v>49</v>
      </c>
      <c r="G5481" s="30">
        <v>114.24886707491</v>
      </c>
    </row>
    <row r="5482" spans="1:7" x14ac:dyDescent="0.25">
      <c r="A5482" t="s">
        <v>112</v>
      </c>
      <c r="B5482" t="s">
        <v>113</v>
      </c>
      <c r="C5482" t="s">
        <v>81</v>
      </c>
      <c r="D5482">
        <v>11953844</v>
      </c>
      <c r="E5482" t="s">
        <v>48</v>
      </c>
      <c r="F5482" t="s">
        <v>49</v>
      </c>
      <c r="G5482" s="30">
        <v>0</v>
      </c>
    </row>
    <row r="5483" spans="1:7" x14ac:dyDescent="0.25">
      <c r="A5483" t="s">
        <v>104</v>
      </c>
      <c r="B5483" t="s">
        <v>105</v>
      </c>
      <c r="C5483" t="s">
        <v>78</v>
      </c>
      <c r="D5483">
        <v>11959687</v>
      </c>
      <c r="E5483" t="s">
        <v>48</v>
      </c>
      <c r="F5483" t="s">
        <v>49</v>
      </c>
      <c r="G5483" s="30">
        <v>0</v>
      </c>
    </row>
    <row r="5484" spans="1:7" x14ac:dyDescent="0.25">
      <c r="A5484" t="s">
        <v>94</v>
      </c>
      <c r="B5484" t="s">
        <v>95</v>
      </c>
      <c r="C5484" t="s">
        <v>78</v>
      </c>
      <c r="D5484">
        <v>11960346</v>
      </c>
      <c r="E5484" t="s">
        <v>53</v>
      </c>
      <c r="F5484" t="s">
        <v>49</v>
      </c>
      <c r="G5484" s="30">
        <v>167034.22818077999</v>
      </c>
    </row>
    <row r="5485" spans="1:7" x14ac:dyDescent="0.25">
      <c r="A5485" t="s">
        <v>50</v>
      </c>
      <c r="B5485" t="s">
        <v>51</v>
      </c>
      <c r="C5485" t="s">
        <v>52</v>
      </c>
      <c r="D5485">
        <v>11963615</v>
      </c>
      <c r="E5485" t="s">
        <v>53</v>
      </c>
      <c r="F5485" t="s">
        <v>49</v>
      </c>
      <c r="G5485" s="30">
        <v>10923.329209563501</v>
      </c>
    </row>
    <row r="5486" spans="1:7" x14ac:dyDescent="0.25">
      <c r="A5486" t="s">
        <v>45</v>
      </c>
      <c r="B5486" t="s">
        <v>46</v>
      </c>
      <c r="C5486" t="s">
        <v>47</v>
      </c>
      <c r="D5486">
        <v>11964106</v>
      </c>
      <c r="E5486" t="s">
        <v>48</v>
      </c>
      <c r="F5486" t="s">
        <v>49</v>
      </c>
      <c r="G5486" s="30">
        <v>0</v>
      </c>
    </row>
    <row r="5487" spans="1:7" x14ac:dyDescent="0.25">
      <c r="A5487" t="s">
        <v>88</v>
      </c>
      <c r="B5487" t="s">
        <v>89</v>
      </c>
      <c r="C5487" t="s">
        <v>78</v>
      </c>
      <c r="D5487">
        <v>11964487</v>
      </c>
      <c r="E5487" t="s">
        <v>53</v>
      </c>
      <c r="F5487" t="s">
        <v>49</v>
      </c>
      <c r="G5487" s="30">
        <v>109843.335316533</v>
      </c>
    </row>
    <row r="5488" spans="1:7" x14ac:dyDescent="0.25">
      <c r="A5488" t="s">
        <v>50</v>
      </c>
      <c r="B5488" t="s">
        <v>51</v>
      </c>
      <c r="C5488" t="s">
        <v>52</v>
      </c>
      <c r="D5488">
        <v>11967988</v>
      </c>
      <c r="E5488" t="s">
        <v>53</v>
      </c>
      <c r="F5488" t="s">
        <v>49</v>
      </c>
      <c r="G5488" s="30">
        <v>5748.3217351558196</v>
      </c>
    </row>
    <row r="5489" spans="1:7" x14ac:dyDescent="0.25">
      <c r="A5489" t="s">
        <v>45</v>
      </c>
      <c r="B5489" t="s">
        <v>46</v>
      </c>
      <c r="C5489" t="s">
        <v>47</v>
      </c>
      <c r="D5489">
        <v>12000285</v>
      </c>
      <c r="E5489" t="s">
        <v>48</v>
      </c>
      <c r="F5489" t="s">
        <v>49</v>
      </c>
      <c r="G5489" s="30">
        <v>34</v>
      </c>
    </row>
    <row r="5490" spans="1:7" x14ac:dyDescent="0.25">
      <c r="A5490" t="s">
        <v>45</v>
      </c>
      <c r="B5490" t="s">
        <v>46</v>
      </c>
      <c r="C5490" t="s">
        <v>47</v>
      </c>
      <c r="D5490">
        <v>12003370</v>
      </c>
      <c r="E5490" t="s">
        <v>48</v>
      </c>
      <c r="F5490" t="s">
        <v>49</v>
      </c>
      <c r="G5490" s="30">
        <v>0</v>
      </c>
    </row>
    <row r="5491" spans="1:7" x14ac:dyDescent="0.25">
      <c r="A5491" t="s">
        <v>45</v>
      </c>
      <c r="B5491" t="s">
        <v>46</v>
      </c>
      <c r="C5491" t="s">
        <v>47</v>
      </c>
      <c r="D5491">
        <v>12008545</v>
      </c>
      <c r="E5491" t="s">
        <v>48</v>
      </c>
      <c r="F5491" t="s">
        <v>49</v>
      </c>
      <c r="G5491" s="30">
        <v>0</v>
      </c>
    </row>
    <row r="5492" spans="1:7" x14ac:dyDescent="0.25">
      <c r="A5492" t="s">
        <v>45</v>
      </c>
      <c r="B5492" t="s">
        <v>46</v>
      </c>
      <c r="C5492" t="s">
        <v>47</v>
      </c>
      <c r="D5492">
        <v>12012069</v>
      </c>
      <c r="E5492" t="s">
        <v>48</v>
      </c>
      <c r="F5492" t="s">
        <v>49</v>
      </c>
      <c r="G5492" s="30">
        <v>0</v>
      </c>
    </row>
    <row r="5493" spans="1:7" x14ac:dyDescent="0.25">
      <c r="A5493" t="s">
        <v>86</v>
      </c>
      <c r="B5493" t="s">
        <v>87</v>
      </c>
      <c r="C5493" t="s">
        <v>78</v>
      </c>
      <c r="D5493">
        <v>12017134</v>
      </c>
      <c r="E5493" t="s">
        <v>53</v>
      </c>
      <c r="F5493" t="s">
        <v>49</v>
      </c>
      <c r="G5493" s="30">
        <v>23286.308751811201</v>
      </c>
    </row>
    <row r="5494" spans="1:7" x14ac:dyDescent="0.25">
      <c r="A5494" t="s">
        <v>102</v>
      </c>
      <c r="B5494" t="s">
        <v>103</v>
      </c>
      <c r="C5494" t="s">
        <v>47</v>
      </c>
      <c r="D5494">
        <v>12017725</v>
      </c>
      <c r="E5494" t="s">
        <v>53</v>
      </c>
      <c r="F5494" t="s">
        <v>49</v>
      </c>
      <c r="G5494" s="30">
        <v>188688.73875327999</v>
      </c>
    </row>
    <row r="5495" spans="1:7" x14ac:dyDescent="0.25">
      <c r="A5495" t="s">
        <v>92</v>
      </c>
      <c r="B5495" t="s">
        <v>93</v>
      </c>
      <c r="C5495" t="s">
        <v>81</v>
      </c>
      <c r="D5495">
        <v>12018862</v>
      </c>
      <c r="E5495" t="s">
        <v>53</v>
      </c>
      <c r="F5495" t="s">
        <v>49</v>
      </c>
      <c r="G5495" s="30">
        <v>114821.72011687599</v>
      </c>
    </row>
    <row r="5496" spans="1:7" x14ac:dyDescent="0.25">
      <c r="A5496" t="s">
        <v>45</v>
      </c>
      <c r="B5496" t="s">
        <v>46</v>
      </c>
      <c r="C5496" t="s">
        <v>47</v>
      </c>
      <c r="D5496">
        <v>12020832</v>
      </c>
      <c r="E5496" t="s">
        <v>48</v>
      </c>
      <c r="F5496" t="s">
        <v>49</v>
      </c>
      <c r="G5496" s="30">
        <v>0</v>
      </c>
    </row>
    <row r="5497" spans="1:7" x14ac:dyDescent="0.25">
      <c r="A5497" t="s">
        <v>45</v>
      </c>
      <c r="B5497" t="s">
        <v>46</v>
      </c>
      <c r="C5497" t="s">
        <v>47</v>
      </c>
      <c r="D5497">
        <v>12023846</v>
      </c>
      <c r="E5497" t="s">
        <v>48</v>
      </c>
      <c r="F5497" t="s">
        <v>49</v>
      </c>
      <c r="G5497" s="30">
        <v>0</v>
      </c>
    </row>
    <row r="5498" spans="1:7" x14ac:dyDescent="0.25">
      <c r="A5498" t="s">
        <v>76</v>
      </c>
      <c r="B5498" t="s">
        <v>77</v>
      </c>
      <c r="C5498" t="s">
        <v>78</v>
      </c>
      <c r="D5498">
        <v>12024071</v>
      </c>
      <c r="E5498" t="s">
        <v>53</v>
      </c>
      <c r="F5498" t="s">
        <v>49</v>
      </c>
      <c r="G5498" s="30">
        <v>93457.320351212504</v>
      </c>
    </row>
    <row r="5499" spans="1:7" x14ac:dyDescent="0.25">
      <c r="A5499" t="s">
        <v>45</v>
      </c>
      <c r="B5499" t="s">
        <v>46</v>
      </c>
      <c r="C5499" t="s">
        <v>47</v>
      </c>
      <c r="D5499">
        <v>12026675</v>
      </c>
      <c r="E5499" t="s">
        <v>48</v>
      </c>
      <c r="F5499" t="s">
        <v>49</v>
      </c>
      <c r="G5499" s="30">
        <v>0.34</v>
      </c>
    </row>
    <row r="5500" spans="1:7" x14ac:dyDescent="0.25">
      <c r="A5500" t="s">
        <v>45</v>
      </c>
      <c r="B5500" t="s">
        <v>46</v>
      </c>
      <c r="C5500" t="s">
        <v>47</v>
      </c>
      <c r="D5500">
        <v>12028293</v>
      </c>
      <c r="E5500" t="s">
        <v>48</v>
      </c>
      <c r="F5500" t="s">
        <v>49</v>
      </c>
      <c r="G5500" s="30">
        <v>0</v>
      </c>
    </row>
    <row r="5501" spans="1:7" x14ac:dyDescent="0.25">
      <c r="A5501" t="s">
        <v>116</v>
      </c>
      <c r="B5501" t="s">
        <v>117</v>
      </c>
      <c r="C5501" t="s">
        <v>47</v>
      </c>
      <c r="D5501">
        <v>12031079</v>
      </c>
      <c r="E5501" t="s">
        <v>53</v>
      </c>
      <c r="F5501" t="s">
        <v>49</v>
      </c>
      <c r="G5501" s="30">
        <v>109163.699998754</v>
      </c>
    </row>
    <row r="5502" spans="1:7" x14ac:dyDescent="0.25">
      <c r="A5502" t="s">
        <v>79</v>
      </c>
      <c r="B5502" t="s">
        <v>80</v>
      </c>
      <c r="C5502" t="s">
        <v>81</v>
      </c>
      <c r="D5502">
        <v>12031533</v>
      </c>
      <c r="E5502" t="s">
        <v>53</v>
      </c>
      <c r="F5502" t="s">
        <v>49</v>
      </c>
      <c r="G5502" s="30">
        <v>49801.889160156301</v>
      </c>
    </row>
    <row r="5503" spans="1:7" x14ac:dyDescent="0.25">
      <c r="A5503" t="s">
        <v>45</v>
      </c>
      <c r="B5503" t="s">
        <v>46</v>
      </c>
      <c r="C5503" t="s">
        <v>47</v>
      </c>
      <c r="D5503">
        <v>12031597</v>
      </c>
      <c r="E5503" t="s">
        <v>48</v>
      </c>
      <c r="F5503" t="s">
        <v>49</v>
      </c>
      <c r="G5503" s="30">
        <v>0</v>
      </c>
    </row>
    <row r="5504" spans="1:7" x14ac:dyDescent="0.25">
      <c r="A5504" t="s">
        <v>45</v>
      </c>
      <c r="B5504" t="s">
        <v>46</v>
      </c>
      <c r="C5504" t="s">
        <v>47</v>
      </c>
      <c r="D5504">
        <v>12032699</v>
      </c>
      <c r="E5504" t="s">
        <v>48</v>
      </c>
      <c r="F5504" t="s">
        <v>49</v>
      </c>
      <c r="G5504" s="30">
        <v>0</v>
      </c>
    </row>
    <row r="5505" spans="1:7" x14ac:dyDescent="0.25">
      <c r="A5505" t="s">
        <v>59</v>
      </c>
      <c r="B5505" t="s">
        <v>60</v>
      </c>
      <c r="C5505" t="s">
        <v>56</v>
      </c>
      <c r="D5505">
        <v>12032762</v>
      </c>
      <c r="E5505" t="s">
        <v>53</v>
      </c>
      <c r="F5505" t="s">
        <v>49</v>
      </c>
      <c r="G5505" s="30">
        <v>70132.477960002798</v>
      </c>
    </row>
    <row r="5506" spans="1:7" x14ac:dyDescent="0.25">
      <c r="A5506" t="s">
        <v>45</v>
      </c>
      <c r="B5506" t="s">
        <v>46</v>
      </c>
      <c r="C5506" t="s">
        <v>47</v>
      </c>
      <c r="D5506">
        <v>12033199</v>
      </c>
      <c r="E5506" t="s">
        <v>48</v>
      </c>
      <c r="F5506" t="s">
        <v>49</v>
      </c>
      <c r="G5506" s="30">
        <v>0</v>
      </c>
    </row>
    <row r="5507" spans="1:7" x14ac:dyDescent="0.25">
      <c r="A5507" t="s">
        <v>116</v>
      </c>
      <c r="B5507" t="s">
        <v>117</v>
      </c>
      <c r="C5507" t="s">
        <v>47</v>
      </c>
      <c r="D5507">
        <v>12033233</v>
      </c>
      <c r="E5507" t="s">
        <v>53</v>
      </c>
      <c r="F5507" t="s">
        <v>49</v>
      </c>
      <c r="G5507" s="30">
        <v>1410759.0044188299</v>
      </c>
    </row>
    <row r="5508" spans="1:7" x14ac:dyDescent="0.25">
      <c r="A5508" t="s">
        <v>50</v>
      </c>
      <c r="B5508" t="s">
        <v>51</v>
      </c>
      <c r="C5508" t="s">
        <v>52</v>
      </c>
      <c r="D5508">
        <v>12033580</v>
      </c>
      <c r="E5508" t="s">
        <v>53</v>
      </c>
      <c r="F5508" t="s">
        <v>49</v>
      </c>
      <c r="G5508" s="30">
        <v>27091.795806101502</v>
      </c>
    </row>
    <row r="5509" spans="1:7" x14ac:dyDescent="0.25">
      <c r="A5509" t="s">
        <v>72</v>
      </c>
      <c r="B5509" t="s">
        <v>73</v>
      </c>
      <c r="C5509" t="s">
        <v>67</v>
      </c>
      <c r="D5509">
        <v>12034037</v>
      </c>
      <c r="E5509" t="s">
        <v>53</v>
      </c>
      <c r="F5509" t="s">
        <v>49</v>
      </c>
      <c r="G5509" s="30">
        <v>267546.55411655299</v>
      </c>
    </row>
    <row r="5510" spans="1:7" x14ac:dyDescent="0.25">
      <c r="A5510" t="s">
        <v>100</v>
      </c>
      <c r="B5510" t="s">
        <v>101</v>
      </c>
      <c r="C5510" t="s">
        <v>52</v>
      </c>
      <c r="D5510">
        <v>12035353</v>
      </c>
      <c r="E5510" t="s">
        <v>53</v>
      </c>
      <c r="F5510" t="s">
        <v>49</v>
      </c>
      <c r="G5510" s="30">
        <v>12113.733860767299</v>
      </c>
    </row>
    <row r="5511" spans="1:7" x14ac:dyDescent="0.25">
      <c r="A5511" t="s">
        <v>45</v>
      </c>
      <c r="B5511" t="s">
        <v>46</v>
      </c>
      <c r="C5511" t="s">
        <v>47</v>
      </c>
      <c r="D5511">
        <v>12145982</v>
      </c>
      <c r="E5511" t="s">
        <v>48</v>
      </c>
      <c r="F5511" t="s">
        <v>49</v>
      </c>
      <c r="G5511" s="30">
        <v>0</v>
      </c>
    </row>
    <row r="5512" spans="1:7" x14ac:dyDescent="0.25">
      <c r="A5512" t="s">
        <v>45</v>
      </c>
      <c r="B5512" t="s">
        <v>46</v>
      </c>
      <c r="C5512" t="s">
        <v>47</v>
      </c>
      <c r="D5512">
        <v>12148320</v>
      </c>
      <c r="E5512" t="s">
        <v>48</v>
      </c>
      <c r="F5512" t="s">
        <v>49</v>
      </c>
      <c r="G5512" s="30">
        <v>0</v>
      </c>
    </row>
    <row r="5513" spans="1:7" x14ac:dyDescent="0.25">
      <c r="A5513" t="s">
        <v>118</v>
      </c>
      <c r="B5513" t="s">
        <v>119</v>
      </c>
      <c r="C5513" t="s">
        <v>56</v>
      </c>
      <c r="D5513">
        <v>12148994</v>
      </c>
      <c r="E5513" t="s">
        <v>48</v>
      </c>
      <c r="F5513" t="s">
        <v>49</v>
      </c>
      <c r="G5513" s="30">
        <v>0</v>
      </c>
    </row>
    <row r="5514" spans="1:7" x14ac:dyDescent="0.25">
      <c r="A5514" t="s">
        <v>45</v>
      </c>
      <c r="B5514" t="s">
        <v>46</v>
      </c>
      <c r="C5514" t="s">
        <v>47</v>
      </c>
      <c r="D5514">
        <v>12150737</v>
      </c>
      <c r="E5514" t="s">
        <v>48</v>
      </c>
      <c r="F5514" t="s">
        <v>49</v>
      </c>
      <c r="G5514" s="30">
        <v>8.6300000000000008</v>
      </c>
    </row>
    <row r="5515" spans="1:7" x14ac:dyDescent="0.25">
      <c r="A5515" t="s">
        <v>92</v>
      </c>
      <c r="B5515" t="s">
        <v>93</v>
      </c>
      <c r="C5515" t="s">
        <v>81</v>
      </c>
      <c r="D5515">
        <v>12150886</v>
      </c>
      <c r="E5515" t="s">
        <v>53</v>
      </c>
      <c r="F5515" t="s">
        <v>49</v>
      </c>
      <c r="G5515" s="30">
        <v>57931.635323270697</v>
      </c>
    </row>
    <row r="5516" spans="1:7" x14ac:dyDescent="0.25">
      <c r="A5516" t="s">
        <v>45</v>
      </c>
      <c r="B5516" t="s">
        <v>46</v>
      </c>
      <c r="C5516" t="s">
        <v>47</v>
      </c>
      <c r="D5516">
        <v>12151188</v>
      </c>
      <c r="E5516" t="s">
        <v>48</v>
      </c>
      <c r="F5516" t="s">
        <v>49</v>
      </c>
      <c r="G5516" s="30">
        <v>0</v>
      </c>
    </row>
    <row r="5517" spans="1:7" x14ac:dyDescent="0.25">
      <c r="A5517" t="s">
        <v>45</v>
      </c>
      <c r="B5517" t="s">
        <v>46</v>
      </c>
      <c r="C5517" t="s">
        <v>47</v>
      </c>
      <c r="D5517">
        <v>12151669</v>
      </c>
      <c r="E5517" t="s">
        <v>48</v>
      </c>
      <c r="F5517" t="s">
        <v>49</v>
      </c>
      <c r="G5517" s="30">
        <v>0</v>
      </c>
    </row>
    <row r="5518" spans="1:7" x14ac:dyDescent="0.25">
      <c r="A5518" t="s">
        <v>45</v>
      </c>
      <c r="B5518" t="s">
        <v>46</v>
      </c>
      <c r="C5518" t="s">
        <v>47</v>
      </c>
      <c r="D5518">
        <v>12152161</v>
      </c>
      <c r="E5518" t="s">
        <v>48</v>
      </c>
      <c r="F5518" t="s">
        <v>49</v>
      </c>
      <c r="G5518" s="30">
        <v>0</v>
      </c>
    </row>
    <row r="5519" spans="1:7" x14ac:dyDescent="0.25">
      <c r="A5519" t="s">
        <v>76</v>
      </c>
      <c r="B5519" t="s">
        <v>77</v>
      </c>
      <c r="C5519" t="s">
        <v>78</v>
      </c>
      <c r="D5519">
        <v>12153990</v>
      </c>
      <c r="E5519" t="s">
        <v>53</v>
      </c>
      <c r="F5519" t="s">
        <v>49</v>
      </c>
      <c r="G5519" s="30">
        <v>156258.78475241101</v>
      </c>
    </row>
    <row r="5520" spans="1:7" x14ac:dyDescent="0.25">
      <c r="A5520" t="s">
        <v>45</v>
      </c>
      <c r="B5520" t="s">
        <v>46</v>
      </c>
      <c r="C5520" t="s">
        <v>47</v>
      </c>
      <c r="D5520">
        <v>12156156</v>
      </c>
      <c r="E5520" t="s">
        <v>48</v>
      </c>
      <c r="F5520" t="s">
        <v>49</v>
      </c>
      <c r="G5520" s="30">
        <v>0</v>
      </c>
    </row>
    <row r="5521" spans="1:7" x14ac:dyDescent="0.25">
      <c r="A5521" t="s">
        <v>50</v>
      </c>
      <c r="B5521" t="s">
        <v>51</v>
      </c>
      <c r="C5521" t="s">
        <v>52</v>
      </c>
      <c r="D5521">
        <v>12156379</v>
      </c>
      <c r="E5521" t="s">
        <v>53</v>
      </c>
      <c r="F5521" t="s">
        <v>49</v>
      </c>
      <c r="G5521" s="30">
        <v>59895.441152621097</v>
      </c>
    </row>
    <row r="5522" spans="1:7" x14ac:dyDescent="0.25">
      <c r="A5522" t="s">
        <v>61</v>
      </c>
      <c r="B5522" t="s">
        <v>62</v>
      </c>
      <c r="C5522" t="s">
        <v>56</v>
      </c>
      <c r="D5522">
        <v>12156989</v>
      </c>
      <c r="E5522" t="s">
        <v>48</v>
      </c>
      <c r="F5522" t="s">
        <v>49</v>
      </c>
      <c r="G5522" s="30">
        <v>0</v>
      </c>
    </row>
    <row r="5523" spans="1:7" x14ac:dyDescent="0.25">
      <c r="A5523" t="s">
        <v>112</v>
      </c>
      <c r="B5523" t="s">
        <v>113</v>
      </c>
      <c r="C5523" t="s">
        <v>81</v>
      </c>
      <c r="D5523">
        <v>12158021</v>
      </c>
      <c r="E5523" t="s">
        <v>53</v>
      </c>
      <c r="F5523" t="s">
        <v>49</v>
      </c>
      <c r="G5523" s="30">
        <v>615337.90438061801</v>
      </c>
    </row>
    <row r="5524" spans="1:7" x14ac:dyDescent="0.25">
      <c r="A5524" t="s">
        <v>45</v>
      </c>
      <c r="B5524" t="s">
        <v>46</v>
      </c>
      <c r="C5524" t="s">
        <v>47</v>
      </c>
      <c r="D5524">
        <v>12161604</v>
      </c>
      <c r="E5524" t="s">
        <v>48</v>
      </c>
      <c r="F5524" t="s">
        <v>49</v>
      </c>
      <c r="G5524" s="30">
        <v>0</v>
      </c>
    </row>
    <row r="5525" spans="1:7" x14ac:dyDescent="0.25">
      <c r="A5525" t="s">
        <v>45</v>
      </c>
      <c r="B5525" t="s">
        <v>46</v>
      </c>
      <c r="C5525" t="s">
        <v>47</v>
      </c>
      <c r="D5525">
        <v>12167031</v>
      </c>
      <c r="E5525" t="s">
        <v>48</v>
      </c>
      <c r="F5525" t="s">
        <v>49</v>
      </c>
      <c r="G5525" s="30">
        <v>0</v>
      </c>
    </row>
    <row r="5526" spans="1:7" x14ac:dyDescent="0.25">
      <c r="A5526" t="s">
        <v>50</v>
      </c>
      <c r="B5526" t="s">
        <v>51</v>
      </c>
      <c r="C5526" t="s">
        <v>52</v>
      </c>
      <c r="D5526">
        <v>12168577</v>
      </c>
      <c r="E5526" t="s">
        <v>53</v>
      </c>
      <c r="F5526" t="s">
        <v>49</v>
      </c>
      <c r="G5526" s="30">
        <v>12111.2842705525</v>
      </c>
    </row>
    <row r="5527" spans="1:7" x14ac:dyDescent="0.25">
      <c r="A5527" t="s">
        <v>68</v>
      </c>
      <c r="B5527" t="s">
        <v>69</v>
      </c>
      <c r="C5527" t="s">
        <v>56</v>
      </c>
      <c r="D5527">
        <v>12173573</v>
      </c>
      <c r="E5527" t="s">
        <v>48</v>
      </c>
      <c r="F5527" t="s">
        <v>49</v>
      </c>
      <c r="G5527" s="30">
        <v>0</v>
      </c>
    </row>
    <row r="5528" spans="1:7" x14ac:dyDescent="0.25">
      <c r="A5528" t="s">
        <v>45</v>
      </c>
      <c r="B5528" t="s">
        <v>46</v>
      </c>
      <c r="C5528" t="s">
        <v>47</v>
      </c>
      <c r="D5528">
        <v>12175666</v>
      </c>
      <c r="E5528" t="s">
        <v>48</v>
      </c>
      <c r="F5528" t="s">
        <v>49</v>
      </c>
      <c r="G5528" s="30">
        <v>0</v>
      </c>
    </row>
    <row r="5529" spans="1:7" x14ac:dyDescent="0.25">
      <c r="A5529" t="s">
        <v>61</v>
      </c>
      <c r="B5529" t="s">
        <v>62</v>
      </c>
      <c r="C5529" t="s">
        <v>56</v>
      </c>
      <c r="D5529">
        <v>12183935</v>
      </c>
      <c r="E5529" t="s">
        <v>48</v>
      </c>
      <c r="F5529" t="s">
        <v>49</v>
      </c>
      <c r="G5529" s="30">
        <v>0</v>
      </c>
    </row>
    <row r="5530" spans="1:7" x14ac:dyDescent="0.25">
      <c r="A5530" t="s">
        <v>118</v>
      </c>
      <c r="B5530" t="s">
        <v>119</v>
      </c>
      <c r="C5530" t="s">
        <v>56</v>
      </c>
      <c r="D5530">
        <v>12186740</v>
      </c>
      <c r="E5530" t="s">
        <v>48</v>
      </c>
      <c r="F5530" t="s">
        <v>49</v>
      </c>
      <c r="G5530" s="30">
        <v>0</v>
      </c>
    </row>
    <row r="5531" spans="1:7" x14ac:dyDescent="0.25">
      <c r="A5531" t="s">
        <v>50</v>
      </c>
      <c r="B5531" t="s">
        <v>51</v>
      </c>
      <c r="C5531" t="s">
        <v>52</v>
      </c>
      <c r="D5531">
        <v>12190973</v>
      </c>
      <c r="E5531" t="s">
        <v>48</v>
      </c>
      <c r="F5531" t="s">
        <v>49</v>
      </c>
      <c r="G5531" s="30">
        <v>0</v>
      </c>
    </row>
    <row r="5532" spans="1:7" x14ac:dyDescent="0.25">
      <c r="A5532" t="s">
        <v>45</v>
      </c>
      <c r="B5532" t="s">
        <v>46</v>
      </c>
      <c r="C5532" t="s">
        <v>47</v>
      </c>
      <c r="D5532">
        <v>12194088</v>
      </c>
      <c r="E5532" t="s">
        <v>48</v>
      </c>
      <c r="F5532" t="s">
        <v>49</v>
      </c>
      <c r="G5532" s="30">
        <v>0</v>
      </c>
    </row>
    <row r="5533" spans="1:7" x14ac:dyDescent="0.25">
      <c r="A5533" t="s">
        <v>45</v>
      </c>
      <c r="B5533" t="s">
        <v>46</v>
      </c>
      <c r="C5533" t="s">
        <v>47</v>
      </c>
      <c r="D5533">
        <v>12199093</v>
      </c>
      <c r="E5533" t="s">
        <v>53</v>
      </c>
      <c r="F5533" t="s">
        <v>49</v>
      </c>
      <c r="G5533" s="30">
        <v>41023.247120271197</v>
      </c>
    </row>
    <row r="5534" spans="1:7" x14ac:dyDescent="0.25">
      <c r="A5534" t="s">
        <v>50</v>
      </c>
      <c r="B5534" t="s">
        <v>51</v>
      </c>
      <c r="C5534" t="s">
        <v>52</v>
      </c>
      <c r="D5534">
        <v>12204212</v>
      </c>
      <c r="E5534" t="s">
        <v>53</v>
      </c>
      <c r="F5534" t="s">
        <v>49</v>
      </c>
      <c r="G5534" s="30">
        <v>84187.87</v>
      </c>
    </row>
    <row r="5535" spans="1:7" x14ac:dyDescent="0.25">
      <c r="A5535" t="s">
        <v>45</v>
      </c>
      <c r="B5535" t="s">
        <v>46</v>
      </c>
      <c r="C5535" t="s">
        <v>47</v>
      </c>
      <c r="D5535">
        <v>12206214</v>
      </c>
      <c r="E5535" t="s">
        <v>48</v>
      </c>
      <c r="F5535" t="s">
        <v>49</v>
      </c>
      <c r="G5535" s="30">
        <v>0</v>
      </c>
    </row>
    <row r="5536" spans="1:7" x14ac:dyDescent="0.25">
      <c r="A5536" t="s">
        <v>50</v>
      </c>
      <c r="B5536" t="s">
        <v>51</v>
      </c>
      <c r="C5536" t="s">
        <v>52</v>
      </c>
      <c r="D5536">
        <v>12206215</v>
      </c>
      <c r="E5536" t="s">
        <v>53</v>
      </c>
      <c r="F5536" t="s">
        <v>49</v>
      </c>
      <c r="G5536" s="30">
        <v>18009.0758648396</v>
      </c>
    </row>
    <row r="5537" spans="1:7" x14ac:dyDescent="0.25">
      <c r="A5537" t="s">
        <v>92</v>
      </c>
      <c r="B5537" t="s">
        <v>93</v>
      </c>
      <c r="C5537" t="s">
        <v>81</v>
      </c>
      <c r="D5537">
        <v>12210378</v>
      </c>
      <c r="E5537" t="s">
        <v>53</v>
      </c>
      <c r="F5537" t="s">
        <v>49</v>
      </c>
      <c r="G5537" s="30">
        <v>11118.405456124099</v>
      </c>
    </row>
    <row r="5538" spans="1:7" x14ac:dyDescent="0.25">
      <c r="A5538" t="s">
        <v>45</v>
      </c>
      <c r="B5538" t="s">
        <v>46</v>
      </c>
      <c r="C5538" t="s">
        <v>47</v>
      </c>
      <c r="D5538">
        <v>12210390</v>
      </c>
      <c r="E5538" t="s">
        <v>48</v>
      </c>
      <c r="F5538" t="s">
        <v>49</v>
      </c>
      <c r="G5538" s="30">
        <v>0</v>
      </c>
    </row>
    <row r="5539" spans="1:7" x14ac:dyDescent="0.25">
      <c r="A5539" t="s">
        <v>50</v>
      </c>
      <c r="B5539" t="s">
        <v>51</v>
      </c>
      <c r="C5539" t="s">
        <v>52</v>
      </c>
      <c r="D5539">
        <v>12210855</v>
      </c>
      <c r="E5539" t="s">
        <v>53</v>
      </c>
      <c r="F5539" t="s">
        <v>49</v>
      </c>
      <c r="G5539" s="30">
        <v>35631.32</v>
      </c>
    </row>
    <row r="5540" spans="1:7" x14ac:dyDescent="0.25">
      <c r="A5540" t="s">
        <v>131</v>
      </c>
      <c r="B5540" t="s">
        <v>132</v>
      </c>
      <c r="C5540" t="s">
        <v>67</v>
      </c>
      <c r="D5540">
        <v>12212234</v>
      </c>
      <c r="E5540" t="s">
        <v>53</v>
      </c>
      <c r="F5540" t="s">
        <v>49</v>
      </c>
      <c r="G5540" s="30">
        <v>5819.21875</v>
      </c>
    </row>
    <row r="5541" spans="1:7" x14ac:dyDescent="0.25">
      <c r="A5541" t="s">
        <v>45</v>
      </c>
      <c r="B5541" t="s">
        <v>46</v>
      </c>
      <c r="C5541" t="s">
        <v>47</v>
      </c>
      <c r="D5541">
        <v>12212378</v>
      </c>
      <c r="E5541" t="s">
        <v>48</v>
      </c>
      <c r="F5541" t="s">
        <v>49</v>
      </c>
      <c r="G5541" s="30">
        <v>0</v>
      </c>
    </row>
    <row r="5542" spans="1:7" x14ac:dyDescent="0.25">
      <c r="A5542" t="s">
        <v>45</v>
      </c>
      <c r="B5542" t="s">
        <v>46</v>
      </c>
      <c r="C5542" t="s">
        <v>47</v>
      </c>
      <c r="D5542">
        <v>12215081</v>
      </c>
      <c r="E5542" t="s">
        <v>48</v>
      </c>
      <c r="F5542" t="s">
        <v>49</v>
      </c>
      <c r="G5542" s="30">
        <v>0</v>
      </c>
    </row>
    <row r="5543" spans="1:7" x14ac:dyDescent="0.25">
      <c r="A5543" t="s">
        <v>45</v>
      </c>
      <c r="B5543" t="s">
        <v>46</v>
      </c>
      <c r="C5543" t="s">
        <v>47</v>
      </c>
      <c r="D5543">
        <v>12215347</v>
      </c>
      <c r="E5543" t="s">
        <v>48</v>
      </c>
      <c r="F5543" t="s">
        <v>49</v>
      </c>
      <c r="G5543" s="30">
        <v>0</v>
      </c>
    </row>
    <row r="5544" spans="1:7" x14ac:dyDescent="0.25">
      <c r="A5544" t="s">
        <v>45</v>
      </c>
      <c r="B5544" t="s">
        <v>46</v>
      </c>
      <c r="C5544" t="s">
        <v>47</v>
      </c>
      <c r="D5544">
        <v>12219411</v>
      </c>
      <c r="E5544" t="s">
        <v>48</v>
      </c>
      <c r="F5544" t="s">
        <v>49</v>
      </c>
      <c r="G5544" s="30">
        <v>0</v>
      </c>
    </row>
    <row r="5545" spans="1:7" x14ac:dyDescent="0.25">
      <c r="A5545" t="s">
        <v>45</v>
      </c>
      <c r="B5545" t="s">
        <v>46</v>
      </c>
      <c r="C5545" t="s">
        <v>47</v>
      </c>
      <c r="D5545">
        <v>12220319</v>
      </c>
      <c r="E5545" t="s">
        <v>48</v>
      </c>
      <c r="F5545" t="s">
        <v>49</v>
      </c>
      <c r="G5545" s="30">
        <v>0</v>
      </c>
    </row>
    <row r="5546" spans="1:7" x14ac:dyDescent="0.25">
      <c r="A5546" t="s">
        <v>92</v>
      </c>
      <c r="B5546" t="s">
        <v>93</v>
      </c>
      <c r="C5546" t="s">
        <v>81</v>
      </c>
      <c r="D5546">
        <v>12220749</v>
      </c>
      <c r="E5546" t="s">
        <v>53</v>
      </c>
      <c r="F5546" t="s">
        <v>49</v>
      </c>
      <c r="G5546" s="30">
        <v>7933.9243600861</v>
      </c>
    </row>
    <row r="5547" spans="1:7" x14ac:dyDescent="0.25">
      <c r="A5547" t="s">
        <v>72</v>
      </c>
      <c r="B5547" t="s">
        <v>73</v>
      </c>
      <c r="C5547" t="s">
        <v>67</v>
      </c>
      <c r="D5547">
        <v>12221882</v>
      </c>
      <c r="E5547" t="s">
        <v>53</v>
      </c>
      <c r="F5547" t="s">
        <v>49</v>
      </c>
      <c r="G5547" s="30">
        <v>370765.044386519</v>
      </c>
    </row>
    <row r="5548" spans="1:7" x14ac:dyDescent="0.25">
      <c r="A5548" t="s">
        <v>45</v>
      </c>
      <c r="B5548" t="s">
        <v>46</v>
      </c>
      <c r="C5548" t="s">
        <v>47</v>
      </c>
      <c r="D5548">
        <v>12223707</v>
      </c>
      <c r="E5548" t="s">
        <v>48</v>
      </c>
      <c r="F5548" t="s">
        <v>49</v>
      </c>
      <c r="G5548" s="30">
        <v>0</v>
      </c>
    </row>
    <row r="5549" spans="1:7" x14ac:dyDescent="0.25">
      <c r="A5549" t="s">
        <v>45</v>
      </c>
      <c r="B5549" t="s">
        <v>46</v>
      </c>
      <c r="C5549" t="s">
        <v>47</v>
      </c>
      <c r="D5549">
        <v>12355113</v>
      </c>
      <c r="E5549" t="s">
        <v>48</v>
      </c>
      <c r="F5549" t="s">
        <v>49</v>
      </c>
      <c r="G5549" s="30">
        <v>0</v>
      </c>
    </row>
    <row r="5550" spans="1:7" x14ac:dyDescent="0.25">
      <c r="A5550" t="s">
        <v>63</v>
      </c>
      <c r="B5550" t="s">
        <v>64</v>
      </c>
      <c r="C5550" t="s">
        <v>56</v>
      </c>
      <c r="D5550">
        <v>12355477</v>
      </c>
      <c r="E5550" t="s">
        <v>53</v>
      </c>
      <c r="F5550" t="s">
        <v>49</v>
      </c>
      <c r="G5550" s="30">
        <v>241544.5234375</v>
      </c>
    </row>
    <row r="5551" spans="1:7" x14ac:dyDescent="0.25">
      <c r="A5551" t="s">
        <v>45</v>
      </c>
      <c r="B5551" t="s">
        <v>46</v>
      </c>
      <c r="C5551" t="s">
        <v>47</v>
      </c>
      <c r="D5551">
        <v>12355816</v>
      </c>
      <c r="E5551" t="s">
        <v>48</v>
      </c>
      <c r="F5551" t="s">
        <v>49</v>
      </c>
      <c r="G5551" s="30">
        <v>0</v>
      </c>
    </row>
    <row r="5552" spans="1:7" x14ac:dyDescent="0.25">
      <c r="A5552" t="s">
        <v>50</v>
      </c>
      <c r="B5552" t="s">
        <v>51</v>
      </c>
      <c r="C5552" t="s">
        <v>52</v>
      </c>
      <c r="D5552">
        <v>12356301</v>
      </c>
      <c r="E5552" t="s">
        <v>53</v>
      </c>
      <c r="F5552" t="s">
        <v>49</v>
      </c>
      <c r="G5552" s="30">
        <v>86665.950684359006</v>
      </c>
    </row>
    <row r="5553" spans="1:7" x14ac:dyDescent="0.25">
      <c r="A5553" t="s">
        <v>92</v>
      </c>
      <c r="B5553" t="s">
        <v>93</v>
      </c>
      <c r="C5553" t="s">
        <v>81</v>
      </c>
      <c r="D5553">
        <v>12356594</v>
      </c>
      <c r="E5553" t="s">
        <v>53</v>
      </c>
      <c r="F5553" t="s">
        <v>49</v>
      </c>
      <c r="G5553" s="30">
        <v>157.72950591497599</v>
      </c>
    </row>
    <row r="5554" spans="1:7" x14ac:dyDescent="0.25">
      <c r="A5554" t="s">
        <v>45</v>
      </c>
      <c r="B5554" t="s">
        <v>46</v>
      </c>
      <c r="C5554" t="s">
        <v>47</v>
      </c>
      <c r="D5554">
        <v>12361135</v>
      </c>
      <c r="E5554" t="s">
        <v>48</v>
      </c>
      <c r="F5554" t="s">
        <v>49</v>
      </c>
      <c r="G5554" s="30">
        <v>0</v>
      </c>
    </row>
    <row r="5555" spans="1:7" x14ac:dyDescent="0.25">
      <c r="A5555" t="s">
        <v>70</v>
      </c>
      <c r="B5555" t="s">
        <v>71</v>
      </c>
      <c r="C5555" t="s">
        <v>47</v>
      </c>
      <c r="D5555">
        <v>12361269</v>
      </c>
      <c r="E5555" t="s">
        <v>48</v>
      </c>
      <c r="F5555" t="s">
        <v>49</v>
      </c>
      <c r="G5555" s="30">
        <v>0</v>
      </c>
    </row>
    <row r="5556" spans="1:7" x14ac:dyDescent="0.25">
      <c r="A5556" t="s">
        <v>61</v>
      </c>
      <c r="B5556" t="s">
        <v>62</v>
      </c>
      <c r="C5556" t="s">
        <v>56</v>
      </c>
      <c r="D5556">
        <v>12382898</v>
      </c>
      <c r="E5556" t="s">
        <v>48</v>
      </c>
      <c r="F5556" t="s">
        <v>49</v>
      </c>
      <c r="G5556" s="30">
        <v>0</v>
      </c>
    </row>
    <row r="5557" spans="1:7" x14ac:dyDescent="0.25">
      <c r="A5557" t="s">
        <v>104</v>
      </c>
      <c r="B5557" t="s">
        <v>105</v>
      </c>
      <c r="C5557" t="s">
        <v>78</v>
      </c>
      <c r="D5557">
        <v>12385185</v>
      </c>
      <c r="E5557" t="s">
        <v>53</v>
      </c>
      <c r="F5557" t="s">
        <v>49</v>
      </c>
      <c r="G5557" s="30">
        <v>147077.50687499999</v>
      </c>
    </row>
    <row r="5558" spans="1:7" x14ac:dyDescent="0.25">
      <c r="A5558" t="s">
        <v>50</v>
      </c>
      <c r="B5558" t="s">
        <v>51</v>
      </c>
      <c r="C5558" t="s">
        <v>52</v>
      </c>
      <c r="D5558">
        <v>12385850</v>
      </c>
      <c r="E5558" t="s">
        <v>48</v>
      </c>
      <c r="F5558" t="s">
        <v>49</v>
      </c>
      <c r="G5558" s="30">
        <v>0</v>
      </c>
    </row>
    <row r="5559" spans="1:7" x14ac:dyDescent="0.25">
      <c r="A5559" t="s">
        <v>45</v>
      </c>
      <c r="B5559" t="s">
        <v>46</v>
      </c>
      <c r="C5559" t="s">
        <v>47</v>
      </c>
      <c r="D5559">
        <v>12391821</v>
      </c>
      <c r="E5559" t="s">
        <v>53</v>
      </c>
      <c r="F5559" t="s">
        <v>49</v>
      </c>
      <c r="G5559" s="30">
        <v>4256.53173828125</v>
      </c>
    </row>
    <row r="5560" spans="1:7" x14ac:dyDescent="0.25">
      <c r="A5560" t="s">
        <v>45</v>
      </c>
      <c r="B5560" t="s">
        <v>46</v>
      </c>
      <c r="C5560" t="s">
        <v>47</v>
      </c>
      <c r="D5560">
        <v>12394196</v>
      </c>
      <c r="E5560" t="s">
        <v>53</v>
      </c>
      <c r="F5560" t="s">
        <v>49</v>
      </c>
      <c r="G5560" s="30">
        <v>8318.5727514546197</v>
      </c>
    </row>
    <row r="5561" spans="1:7" x14ac:dyDescent="0.25">
      <c r="A5561" t="s">
        <v>102</v>
      </c>
      <c r="B5561" t="s">
        <v>103</v>
      </c>
      <c r="C5561" t="s">
        <v>47</v>
      </c>
      <c r="D5561">
        <v>12395170</v>
      </c>
      <c r="E5561" t="s">
        <v>53</v>
      </c>
      <c r="F5561" t="s">
        <v>49</v>
      </c>
      <c r="G5561" s="30">
        <v>48475.485982532096</v>
      </c>
    </row>
    <row r="5562" spans="1:7" x14ac:dyDescent="0.25">
      <c r="A5562" t="s">
        <v>45</v>
      </c>
      <c r="B5562" t="s">
        <v>46</v>
      </c>
      <c r="C5562" t="s">
        <v>47</v>
      </c>
      <c r="D5562">
        <v>12396429</v>
      </c>
      <c r="E5562" t="s">
        <v>48</v>
      </c>
      <c r="F5562" t="s">
        <v>49</v>
      </c>
      <c r="G5562" s="30">
        <v>0</v>
      </c>
    </row>
    <row r="5563" spans="1:7" x14ac:dyDescent="0.25">
      <c r="A5563" t="s">
        <v>45</v>
      </c>
      <c r="B5563" t="s">
        <v>46</v>
      </c>
      <c r="C5563" t="s">
        <v>47</v>
      </c>
      <c r="D5563">
        <v>12396918</v>
      </c>
      <c r="E5563" t="s">
        <v>48</v>
      </c>
      <c r="F5563" t="s">
        <v>49</v>
      </c>
      <c r="G5563" s="30">
        <v>0</v>
      </c>
    </row>
    <row r="5564" spans="1:7" x14ac:dyDescent="0.25">
      <c r="A5564" t="s">
        <v>45</v>
      </c>
      <c r="B5564" t="s">
        <v>46</v>
      </c>
      <c r="C5564" t="s">
        <v>47</v>
      </c>
      <c r="D5564">
        <v>12397127</v>
      </c>
      <c r="E5564" t="s">
        <v>48</v>
      </c>
      <c r="F5564" t="s">
        <v>49</v>
      </c>
      <c r="G5564" s="30">
        <v>0</v>
      </c>
    </row>
    <row r="5565" spans="1:7" x14ac:dyDescent="0.25">
      <c r="A5565" t="s">
        <v>45</v>
      </c>
      <c r="B5565" t="s">
        <v>46</v>
      </c>
      <c r="C5565" t="s">
        <v>47</v>
      </c>
      <c r="D5565">
        <v>12398239</v>
      </c>
      <c r="E5565" t="s">
        <v>48</v>
      </c>
      <c r="F5565" t="s">
        <v>49</v>
      </c>
      <c r="G5565" s="30">
        <v>0</v>
      </c>
    </row>
    <row r="5566" spans="1:7" x14ac:dyDescent="0.25">
      <c r="A5566" t="s">
        <v>118</v>
      </c>
      <c r="B5566" t="s">
        <v>119</v>
      </c>
      <c r="C5566" t="s">
        <v>56</v>
      </c>
      <c r="D5566">
        <v>12416813</v>
      </c>
      <c r="E5566" t="s">
        <v>53</v>
      </c>
      <c r="F5566" t="s">
        <v>49</v>
      </c>
      <c r="G5566" s="30">
        <v>38296.625913085903</v>
      </c>
    </row>
    <row r="5567" spans="1:7" x14ac:dyDescent="0.25">
      <c r="A5567" t="s">
        <v>45</v>
      </c>
      <c r="B5567" t="s">
        <v>46</v>
      </c>
      <c r="C5567" t="s">
        <v>47</v>
      </c>
      <c r="D5567">
        <v>12424480</v>
      </c>
      <c r="E5567" t="s">
        <v>48</v>
      </c>
      <c r="F5567" t="s">
        <v>49</v>
      </c>
      <c r="G5567" s="30">
        <v>0</v>
      </c>
    </row>
    <row r="5568" spans="1:7" x14ac:dyDescent="0.25">
      <c r="A5568" t="s">
        <v>45</v>
      </c>
      <c r="B5568" t="s">
        <v>46</v>
      </c>
      <c r="C5568" t="s">
        <v>47</v>
      </c>
      <c r="D5568">
        <v>12428427</v>
      </c>
      <c r="E5568" t="s">
        <v>48</v>
      </c>
      <c r="F5568" t="s">
        <v>49</v>
      </c>
      <c r="G5568" s="30">
        <v>0</v>
      </c>
    </row>
    <row r="5569" spans="1:7" x14ac:dyDescent="0.25">
      <c r="A5569" t="s">
        <v>68</v>
      </c>
      <c r="B5569" t="s">
        <v>69</v>
      </c>
      <c r="C5569" t="s">
        <v>56</v>
      </c>
      <c r="D5569">
        <v>12430168</v>
      </c>
      <c r="E5569" t="s">
        <v>53</v>
      </c>
      <c r="F5569" t="s">
        <v>49</v>
      </c>
      <c r="G5569" s="30">
        <v>83282.6796875</v>
      </c>
    </row>
    <row r="5570" spans="1:7" x14ac:dyDescent="0.25">
      <c r="A5570" t="s">
        <v>72</v>
      </c>
      <c r="B5570" t="s">
        <v>73</v>
      </c>
      <c r="C5570" t="s">
        <v>67</v>
      </c>
      <c r="D5570">
        <v>12468279</v>
      </c>
      <c r="E5570" t="s">
        <v>53</v>
      </c>
      <c r="F5570" t="s">
        <v>49</v>
      </c>
      <c r="G5570" s="30">
        <v>13425.4219518764</v>
      </c>
    </row>
    <row r="5571" spans="1:7" x14ac:dyDescent="0.25">
      <c r="A5571" t="s">
        <v>114</v>
      </c>
      <c r="B5571" t="s">
        <v>115</v>
      </c>
      <c r="C5571" t="s">
        <v>56</v>
      </c>
      <c r="D5571">
        <v>12472991</v>
      </c>
      <c r="E5571" t="s">
        <v>53</v>
      </c>
      <c r="F5571" t="s">
        <v>49</v>
      </c>
      <c r="G5571" s="30">
        <v>603259.55195744999</v>
      </c>
    </row>
    <row r="5572" spans="1:7" x14ac:dyDescent="0.25">
      <c r="A5572" t="s">
        <v>61</v>
      </c>
      <c r="B5572" t="s">
        <v>62</v>
      </c>
      <c r="C5572" t="s">
        <v>56</v>
      </c>
      <c r="D5572">
        <v>12477557</v>
      </c>
      <c r="E5572" t="s">
        <v>48</v>
      </c>
      <c r="F5572" t="s">
        <v>49</v>
      </c>
      <c r="G5572" s="30">
        <v>0</v>
      </c>
    </row>
    <row r="5573" spans="1:7" x14ac:dyDescent="0.25">
      <c r="A5573" t="s">
        <v>45</v>
      </c>
      <c r="B5573" t="s">
        <v>46</v>
      </c>
      <c r="C5573" t="s">
        <v>47</v>
      </c>
      <c r="D5573">
        <v>12478955</v>
      </c>
      <c r="E5573" t="s">
        <v>48</v>
      </c>
      <c r="F5573" t="s">
        <v>49</v>
      </c>
      <c r="G5573" s="30">
        <v>0</v>
      </c>
    </row>
    <row r="5574" spans="1:7" x14ac:dyDescent="0.25">
      <c r="A5574" t="s">
        <v>45</v>
      </c>
      <c r="B5574" t="s">
        <v>46</v>
      </c>
      <c r="C5574" t="s">
        <v>47</v>
      </c>
      <c r="D5574">
        <v>12480894</v>
      </c>
      <c r="E5574" t="s">
        <v>48</v>
      </c>
      <c r="F5574" t="s">
        <v>49</v>
      </c>
      <c r="G5574" s="30">
        <v>0</v>
      </c>
    </row>
    <row r="5575" spans="1:7" x14ac:dyDescent="0.25">
      <c r="A5575" t="s">
        <v>45</v>
      </c>
      <c r="B5575" t="s">
        <v>46</v>
      </c>
      <c r="C5575" t="s">
        <v>47</v>
      </c>
      <c r="D5575">
        <v>12483940</v>
      </c>
      <c r="E5575" t="s">
        <v>48</v>
      </c>
      <c r="F5575" t="s">
        <v>49</v>
      </c>
      <c r="G5575" s="30">
        <v>0</v>
      </c>
    </row>
    <row r="5576" spans="1:7" x14ac:dyDescent="0.25">
      <c r="A5576" t="s">
        <v>50</v>
      </c>
      <c r="B5576" t="s">
        <v>51</v>
      </c>
      <c r="C5576" t="s">
        <v>52</v>
      </c>
      <c r="D5576">
        <v>12487315</v>
      </c>
      <c r="E5576" t="s">
        <v>48</v>
      </c>
      <c r="F5576" t="s">
        <v>49</v>
      </c>
      <c r="G5576" s="30">
        <v>0</v>
      </c>
    </row>
    <row r="5577" spans="1:7" x14ac:dyDescent="0.25">
      <c r="A5577" t="s">
        <v>45</v>
      </c>
      <c r="B5577" t="s">
        <v>46</v>
      </c>
      <c r="C5577" t="s">
        <v>47</v>
      </c>
      <c r="D5577">
        <v>12491044</v>
      </c>
      <c r="E5577" t="s">
        <v>48</v>
      </c>
      <c r="F5577" t="s">
        <v>49</v>
      </c>
      <c r="G5577" s="30">
        <v>0</v>
      </c>
    </row>
    <row r="5578" spans="1:7" x14ac:dyDescent="0.25">
      <c r="A5578" t="s">
        <v>45</v>
      </c>
      <c r="B5578" t="s">
        <v>46</v>
      </c>
      <c r="C5578" t="s">
        <v>47</v>
      </c>
      <c r="D5578">
        <v>12492467</v>
      </c>
      <c r="E5578" t="s">
        <v>48</v>
      </c>
      <c r="F5578" t="s">
        <v>49</v>
      </c>
      <c r="G5578" s="30">
        <v>0</v>
      </c>
    </row>
    <row r="5579" spans="1:7" x14ac:dyDescent="0.25">
      <c r="A5579" t="s">
        <v>94</v>
      </c>
      <c r="B5579" t="s">
        <v>95</v>
      </c>
      <c r="C5579" t="s">
        <v>78</v>
      </c>
      <c r="D5579">
        <v>12546024</v>
      </c>
      <c r="E5579" t="s">
        <v>53</v>
      </c>
      <c r="F5579" t="s">
        <v>49</v>
      </c>
      <c r="G5579" s="30">
        <v>116551.408123186</v>
      </c>
    </row>
    <row r="5580" spans="1:7" x14ac:dyDescent="0.25">
      <c r="A5580" t="s">
        <v>65</v>
      </c>
      <c r="B5580" t="s">
        <v>66</v>
      </c>
      <c r="C5580" t="s">
        <v>67</v>
      </c>
      <c r="D5580">
        <v>12581026</v>
      </c>
      <c r="E5580" t="s">
        <v>53</v>
      </c>
      <c r="F5580" t="s">
        <v>49</v>
      </c>
      <c r="G5580" s="30">
        <v>129254.7278125</v>
      </c>
    </row>
    <row r="5581" spans="1:7" x14ac:dyDescent="0.25">
      <c r="A5581" t="s">
        <v>50</v>
      </c>
      <c r="B5581" t="s">
        <v>51</v>
      </c>
      <c r="C5581" t="s">
        <v>52</v>
      </c>
      <c r="D5581">
        <v>12583603</v>
      </c>
      <c r="E5581" t="s">
        <v>48</v>
      </c>
      <c r="F5581" t="s">
        <v>49</v>
      </c>
      <c r="G5581" s="30">
        <v>0</v>
      </c>
    </row>
    <row r="5582" spans="1:7" x14ac:dyDescent="0.25">
      <c r="A5582" t="s">
        <v>70</v>
      </c>
      <c r="B5582" t="s">
        <v>71</v>
      </c>
      <c r="C5582" t="s">
        <v>47</v>
      </c>
      <c r="D5582">
        <v>12588851</v>
      </c>
      <c r="E5582" t="s">
        <v>53</v>
      </c>
      <c r="F5582" t="s">
        <v>49</v>
      </c>
      <c r="G5582" s="30">
        <v>5672.8852390439397</v>
      </c>
    </row>
    <row r="5583" spans="1:7" x14ac:dyDescent="0.25">
      <c r="A5583" t="s">
        <v>50</v>
      </c>
      <c r="B5583" t="s">
        <v>51</v>
      </c>
      <c r="C5583" t="s">
        <v>52</v>
      </c>
      <c r="D5583">
        <v>12589196</v>
      </c>
      <c r="E5583" t="s">
        <v>53</v>
      </c>
      <c r="F5583" t="s">
        <v>49</v>
      </c>
      <c r="G5583" s="30">
        <v>16719.675865670299</v>
      </c>
    </row>
    <row r="5584" spans="1:7" x14ac:dyDescent="0.25">
      <c r="A5584" t="s">
        <v>45</v>
      </c>
      <c r="B5584" t="s">
        <v>46</v>
      </c>
      <c r="C5584" t="s">
        <v>47</v>
      </c>
      <c r="D5584">
        <v>12589903</v>
      </c>
      <c r="E5584" t="s">
        <v>48</v>
      </c>
      <c r="F5584" t="s">
        <v>49</v>
      </c>
      <c r="G5584" s="30">
        <v>0</v>
      </c>
    </row>
    <row r="5585" spans="1:7" x14ac:dyDescent="0.25">
      <c r="A5585" t="s">
        <v>61</v>
      </c>
      <c r="B5585" t="s">
        <v>62</v>
      </c>
      <c r="C5585" t="s">
        <v>56</v>
      </c>
      <c r="D5585">
        <v>12597468</v>
      </c>
      <c r="E5585" t="s">
        <v>48</v>
      </c>
      <c r="F5585" t="s">
        <v>49</v>
      </c>
      <c r="G5585" s="30">
        <v>0</v>
      </c>
    </row>
    <row r="5586" spans="1:7" x14ac:dyDescent="0.25">
      <c r="A5586" t="s">
        <v>61</v>
      </c>
      <c r="B5586" t="s">
        <v>62</v>
      </c>
      <c r="C5586" t="s">
        <v>56</v>
      </c>
      <c r="D5586">
        <v>12602327</v>
      </c>
      <c r="E5586" t="s">
        <v>48</v>
      </c>
      <c r="F5586" t="s">
        <v>49</v>
      </c>
      <c r="G5586" s="30">
        <v>0</v>
      </c>
    </row>
    <row r="5587" spans="1:7" x14ac:dyDescent="0.25">
      <c r="A5587" t="s">
        <v>68</v>
      </c>
      <c r="B5587" t="s">
        <v>69</v>
      </c>
      <c r="C5587" t="s">
        <v>56</v>
      </c>
      <c r="D5587">
        <v>12605045</v>
      </c>
      <c r="E5587" t="s">
        <v>53</v>
      </c>
      <c r="F5587" t="s">
        <v>49</v>
      </c>
      <c r="G5587" s="30">
        <v>47928.45703125</v>
      </c>
    </row>
    <row r="5588" spans="1:7" x14ac:dyDescent="0.25">
      <c r="A5588" t="s">
        <v>131</v>
      </c>
      <c r="B5588" t="s">
        <v>132</v>
      </c>
      <c r="C5588" t="s">
        <v>67</v>
      </c>
      <c r="D5588">
        <v>12605325</v>
      </c>
      <c r="E5588" t="s">
        <v>53</v>
      </c>
      <c r="F5588" t="s">
        <v>49</v>
      </c>
      <c r="G5588" s="30">
        <v>201137.544295806</v>
      </c>
    </row>
    <row r="5589" spans="1:7" x14ac:dyDescent="0.25">
      <c r="A5589" t="s">
        <v>45</v>
      </c>
      <c r="B5589" t="s">
        <v>46</v>
      </c>
      <c r="C5589" t="s">
        <v>47</v>
      </c>
      <c r="D5589">
        <v>12612470</v>
      </c>
      <c r="E5589" t="s">
        <v>48</v>
      </c>
      <c r="F5589" t="s">
        <v>49</v>
      </c>
      <c r="G5589" s="30">
        <v>0</v>
      </c>
    </row>
    <row r="5590" spans="1:7" x14ac:dyDescent="0.25">
      <c r="A5590" t="s">
        <v>45</v>
      </c>
      <c r="B5590" t="s">
        <v>46</v>
      </c>
      <c r="C5590" t="s">
        <v>47</v>
      </c>
      <c r="D5590">
        <v>12613162</v>
      </c>
      <c r="E5590" t="s">
        <v>48</v>
      </c>
      <c r="F5590" t="s">
        <v>49</v>
      </c>
      <c r="G5590" s="30">
        <v>0</v>
      </c>
    </row>
    <row r="5591" spans="1:7" x14ac:dyDescent="0.25">
      <c r="A5591" t="s">
        <v>50</v>
      </c>
      <c r="B5591" t="s">
        <v>51</v>
      </c>
      <c r="C5591" t="s">
        <v>52</v>
      </c>
      <c r="D5591">
        <v>12620198</v>
      </c>
      <c r="E5591" t="s">
        <v>48</v>
      </c>
      <c r="F5591" t="s">
        <v>49</v>
      </c>
      <c r="G5591" s="30">
        <v>0</v>
      </c>
    </row>
    <row r="5592" spans="1:7" x14ac:dyDescent="0.25">
      <c r="A5592" t="s">
        <v>94</v>
      </c>
      <c r="B5592" t="s">
        <v>95</v>
      </c>
      <c r="C5592" t="s">
        <v>78</v>
      </c>
      <c r="D5592">
        <v>12621528</v>
      </c>
      <c r="E5592" t="s">
        <v>53</v>
      </c>
      <c r="F5592" t="s">
        <v>49</v>
      </c>
      <c r="G5592" s="30">
        <v>66853.131835771404</v>
      </c>
    </row>
    <row r="5593" spans="1:7" x14ac:dyDescent="0.25">
      <c r="A5593" t="s">
        <v>94</v>
      </c>
      <c r="B5593" t="s">
        <v>95</v>
      </c>
      <c r="C5593" t="s">
        <v>78</v>
      </c>
      <c r="D5593">
        <v>12626345</v>
      </c>
      <c r="E5593" t="s">
        <v>53</v>
      </c>
      <c r="F5593" t="s">
        <v>49</v>
      </c>
      <c r="G5593" s="30">
        <v>162927.49047048701</v>
      </c>
    </row>
    <row r="5594" spans="1:7" x14ac:dyDescent="0.25">
      <c r="A5594" t="s">
        <v>50</v>
      </c>
      <c r="B5594" t="s">
        <v>51</v>
      </c>
      <c r="C5594" t="s">
        <v>52</v>
      </c>
      <c r="D5594">
        <v>12628971</v>
      </c>
      <c r="E5594" t="s">
        <v>53</v>
      </c>
      <c r="F5594" t="s">
        <v>49</v>
      </c>
      <c r="G5594" s="30">
        <v>39328.089288322197</v>
      </c>
    </row>
    <row r="5595" spans="1:7" x14ac:dyDescent="0.25">
      <c r="A5595" t="s">
        <v>57</v>
      </c>
      <c r="B5595" t="s">
        <v>58</v>
      </c>
      <c r="C5595" t="s">
        <v>56</v>
      </c>
      <c r="D5595">
        <v>12631043</v>
      </c>
      <c r="E5595" t="s">
        <v>48</v>
      </c>
      <c r="F5595" t="s">
        <v>49</v>
      </c>
      <c r="G5595" s="30">
        <v>11.09</v>
      </c>
    </row>
    <row r="5596" spans="1:7" x14ac:dyDescent="0.25">
      <c r="A5596" t="s">
        <v>45</v>
      </c>
      <c r="B5596" t="s">
        <v>46</v>
      </c>
      <c r="C5596" t="s">
        <v>47</v>
      </c>
      <c r="D5596">
        <v>12651316</v>
      </c>
      <c r="E5596" t="s">
        <v>48</v>
      </c>
      <c r="F5596" t="s">
        <v>49</v>
      </c>
      <c r="G5596" s="30">
        <v>0.47</v>
      </c>
    </row>
    <row r="5597" spans="1:7" x14ac:dyDescent="0.25">
      <c r="A5597" t="s">
        <v>45</v>
      </c>
      <c r="B5597" t="s">
        <v>46</v>
      </c>
      <c r="C5597" t="s">
        <v>47</v>
      </c>
      <c r="D5597">
        <v>12671402</v>
      </c>
      <c r="E5597" t="s">
        <v>48</v>
      </c>
      <c r="F5597" t="s">
        <v>49</v>
      </c>
      <c r="G5597" s="30">
        <v>0</v>
      </c>
    </row>
    <row r="5598" spans="1:7" x14ac:dyDescent="0.25">
      <c r="A5598" t="s">
        <v>45</v>
      </c>
      <c r="B5598" t="s">
        <v>46</v>
      </c>
      <c r="C5598" t="s">
        <v>47</v>
      </c>
      <c r="D5598">
        <v>12673143</v>
      </c>
      <c r="E5598" t="s">
        <v>53</v>
      </c>
      <c r="F5598" t="s">
        <v>49</v>
      </c>
      <c r="G5598" s="30">
        <v>8872.1</v>
      </c>
    </row>
    <row r="5599" spans="1:7" x14ac:dyDescent="0.25">
      <c r="A5599" t="s">
        <v>45</v>
      </c>
      <c r="B5599" t="s">
        <v>46</v>
      </c>
      <c r="C5599" t="s">
        <v>47</v>
      </c>
      <c r="D5599">
        <v>12678362</v>
      </c>
      <c r="E5599" t="s">
        <v>48</v>
      </c>
      <c r="F5599" t="s">
        <v>49</v>
      </c>
      <c r="G5599" s="30">
        <v>3.43</v>
      </c>
    </row>
    <row r="5600" spans="1:7" x14ac:dyDescent="0.25">
      <c r="A5600" t="s">
        <v>45</v>
      </c>
      <c r="B5600" t="s">
        <v>46</v>
      </c>
      <c r="C5600" t="s">
        <v>47</v>
      </c>
      <c r="D5600">
        <v>12682189</v>
      </c>
      <c r="E5600" t="s">
        <v>48</v>
      </c>
      <c r="F5600" t="s">
        <v>49</v>
      </c>
      <c r="G5600" s="30">
        <v>0</v>
      </c>
    </row>
    <row r="5601" spans="1:7" x14ac:dyDescent="0.25">
      <c r="A5601" t="s">
        <v>45</v>
      </c>
      <c r="B5601" t="s">
        <v>46</v>
      </c>
      <c r="C5601" t="s">
        <v>47</v>
      </c>
      <c r="D5601">
        <v>12685232</v>
      </c>
      <c r="E5601" t="s">
        <v>53</v>
      </c>
      <c r="F5601" t="s">
        <v>49</v>
      </c>
      <c r="G5601" s="30">
        <v>1931.13366699219</v>
      </c>
    </row>
    <row r="5602" spans="1:7" x14ac:dyDescent="0.25">
      <c r="A5602" t="s">
        <v>50</v>
      </c>
      <c r="B5602" t="s">
        <v>51</v>
      </c>
      <c r="C5602" t="s">
        <v>52</v>
      </c>
      <c r="D5602">
        <v>12685355</v>
      </c>
      <c r="E5602" t="s">
        <v>53</v>
      </c>
      <c r="F5602" t="s">
        <v>49</v>
      </c>
      <c r="G5602" s="30">
        <v>883.15</v>
      </c>
    </row>
    <row r="5603" spans="1:7" x14ac:dyDescent="0.25">
      <c r="A5603" t="s">
        <v>116</v>
      </c>
      <c r="B5603" t="s">
        <v>117</v>
      </c>
      <c r="C5603" t="s">
        <v>47</v>
      </c>
      <c r="D5603">
        <v>12690137</v>
      </c>
      <c r="E5603" t="s">
        <v>48</v>
      </c>
      <c r="F5603" t="s">
        <v>49</v>
      </c>
      <c r="G5603" s="30">
        <v>0</v>
      </c>
    </row>
    <row r="5604" spans="1:7" x14ac:dyDescent="0.25">
      <c r="A5604" t="s">
        <v>45</v>
      </c>
      <c r="B5604" t="s">
        <v>46</v>
      </c>
      <c r="C5604" t="s">
        <v>47</v>
      </c>
      <c r="D5604">
        <v>12690229</v>
      </c>
      <c r="E5604" t="s">
        <v>48</v>
      </c>
      <c r="F5604" t="s">
        <v>49</v>
      </c>
      <c r="G5604" s="30">
        <v>0</v>
      </c>
    </row>
    <row r="5605" spans="1:7" x14ac:dyDescent="0.25">
      <c r="A5605" t="s">
        <v>50</v>
      </c>
      <c r="B5605" t="s">
        <v>51</v>
      </c>
      <c r="C5605" t="s">
        <v>52</v>
      </c>
      <c r="D5605">
        <v>12701258</v>
      </c>
      <c r="E5605" t="s">
        <v>48</v>
      </c>
      <c r="F5605" t="s">
        <v>49</v>
      </c>
      <c r="G5605" s="30">
        <v>0</v>
      </c>
    </row>
    <row r="5606" spans="1:7" x14ac:dyDescent="0.25">
      <c r="A5606" t="s">
        <v>68</v>
      </c>
      <c r="B5606" t="s">
        <v>69</v>
      </c>
      <c r="C5606" t="s">
        <v>56</v>
      </c>
      <c r="D5606">
        <v>12704650</v>
      </c>
      <c r="E5606" t="s">
        <v>53</v>
      </c>
      <c r="F5606" t="s">
        <v>49</v>
      </c>
      <c r="G5606" s="30">
        <v>183106.201855469</v>
      </c>
    </row>
    <row r="5607" spans="1:7" x14ac:dyDescent="0.25">
      <c r="A5607" t="s">
        <v>50</v>
      </c>
      <c r="B5607" t="s">
        <v>51</v>
      </c>
      <c r="C5607" t="s">
        <v>52</v>
      </c>
      <c r="D5607">
        <v>12705476</v>
      </c>
      <c r="E5607" t="s">
        <v>48</v>
      </c>
      <c r="F5607" t="s">
        <v>49</v>
      </c>
      <c r="G5607" s="30">
        <v>0</v>
      </c>
    </row>
    <row r="5608" spans="1:7" x14ac:dyDescent="0.25">
      <c r="A5608" t="s">
        <v>45</v>
      </c>
      <c r="B5608" t="s">
        <v>46</v>
      </c>
      <c r="C5608" t="s">
        <v>47</v>
      </c>
      <c r="D5608">
        <v>12753707</v>
      </c>
      <c r="E5608" t="s">
        <v>53</v>
      </c>
      <c r="F5608" t="s">
        <v>49</v>
      </c>
      <c r="G5608" s="30">
        <v>15123.302093927399</v>
      </c>
    </row>
    <row r="5609" spans="1:7" x14ac:dyDescent="0.25">
      <c r="A5609" t="s">
        <v>104</v>
      </c>
      <c r="B5609" t="s">
        <v>105</v>
      </c>
      <c r="C5609" t="s">
        <v>78</v>
      </c>
      <c r="D5609">
        <v>12753723</v>
      </c>
      <c r="E5609" t="s">
        <v>53</v>
      </c>
      <c r="F5609" t="s">
        <v>49</v>
      </c>
      <c r="G5609" s="30">
        <v>115084.72442591201</v>
      </c>
    </row>
    <row r="5610" spans="1:7" x14ac:dyDescent="0.25">
      <c r="A5610" t="s">
        <v>50</v>
      </c>
      <c r="B5610" t="s">
        <v>51</v>
      </c>
      <c r="C5610" t="s">
        <v>52</v>
      </c>
      <c r="D5610">
        <v>12808658</v>
      </c>
      <c r="E5610" t="s">
        <v>53</v>
      </c>
      <c r="F5610" t="s">
        <v>49</v>
      </c>
      <c r="G5610" s="30">
        <v>10693.12</v>
      </c>
    </row>
    <row r="5611" spans="1:7" x14ac:dyDescent="0.25">
      <c r="A5611" t="s">
        <v>45</v>
      </c>
      <c r="B5611" t="s">
        <v>46</v>
      </c>
      <c r="C5611" t="s">
        <v>47</v>
      </c>
      <c r="D5611">
        <v>12819872</v>
      </c>
      <c r="E5611" t="s">
        <v>48</v>
      </c>
      <c r="F5611" t="s">
        <v>49</v>
      </c>
      <c r="G5611" s="30">
        <v>0</v>
      </c>
    </row>
    <row r="5612" spans="1:7" x14ac:dyDescent="0.25">
      <c r="A5612" t="s">
        <v>50</v>
      </c>
      <c r="B5612" t="s">
        <v>51</v>
      </c>
      <c r="C5612" t="s">
        <v>52</v>
      </c>
      <c r="D5612">
        <v>12819969</v>
      </c>
      <c r="E5612" t="s">
        <v>53</v>
      </c>
      <c r="F5612" t="s">
        <v>49</v>
      </c>
      <c r="G5612" s="30">
        <v>69725.470065079993</v>
      </c>
    </row>
    <row r="5613" spans="1:7" x14ac:dyDescent="0.25">
      <c r="A5613" t="s">
        <v>102</v>
      </c>
      <c r="B5613" t="s">
        <v>103</v>
      </c>
      <c r="C5613" t="s">
        <v>47</v>
      </c>
      <c r="D5613">
        <v>12821659</v>
      </c>
      <c r="E5613" t="s">
        <v>53</v>
      </c>
      <c r="F5613" t="s">
        <v>49</v>
      </c>
      <c r="G5613" s="30">
        <v>10246.8749428339</v>
      </c>
    </row>
    <row r="5614" spans="1:7" x14ac:dyDescent="0.25">
      <c r="A5614" t="s">
        <v>124</v>
      </c>
      <c r="B5614" t="s">
        <v>125</v>
      </c>
      <c r="C5614" t="s">
        <v>78</v>
      </c>
      <c r="D5614">
        <v>12831066</v>
      </c>
      <c r="E5614" t="s">
        <v>53</v>
      </c>
      <c r="F5614" t="s">
        <v>49</v>
      </c>
      <c r="G5614" s="30">
        <v>2264.33</v>
      </c>
    </row>
    <row r="5615" spans="1:7" x14ac:dyDescent="0.25">
      <c r="A5615" t="s">
        <v>84</v>
      </c>
      <c r="B5615" t="s">
        <v>85</v>
      </c>
      <c r="C5615" t="s">
        <v>67</v>
      </c>
      <c r="D5615">
        <v>12840998</v>
      </c>
      <c r="E5615" t="s">
        <v>48</v>
      </c>
      <c r="F5615" t="s">
        <v>49</v>
      </c>
      <c r="G5615" s="30">
        <v>0</v>
      </c>
    </row>
    <row r="5616" spans="1:7" x14ac:dyDescent="0.25">
      <c r="A5616" t="s">
        <v>68</v>
      </c>
      <c r="B5616" t="s">
        <v>69</v>
      </c>
      <c r="C5616" t="s">
        <v>56</v>
      </c>
      <c r="D5616">
        <v>12871883</v>
      </c>
      <c r="E5616" t="s">
        <v>53</v>
      </c>
      <c r="F5616" t="s">
        <v>49</v>
      </c>
      <c r="G5616" s="30">
        <v>124949.221113281</v>
      </c>
    </row>
    <row r="5617" spans="1:7" x14ac:dyDescent="0.25">
      <c r="A5617" t="s">
        <v>45</v>
      </c>
      <c r="B5617" t="s">
        <v>46</v>
      </c>
      <c r="C5617" t="s">
        <v>47</v>
      </c>
      <c r="D5617">
        <v>12871954</v>
      </c>
      <c r="E5617" t="s">
        <v>48</v>
      </c>
      <c r="F5617" t="s">
        <v>49</v>
      </c>
      <c r="G5617" s="30">
        <v>0</v>
      </c>
    </row>
    <row r="5618" spans="1:7" x14ac:dyDescent="0.25">
      <c r="A5618" t="s">
        <v>50</v>
      </c>
      <c r="B5618" t="s">
        <v>51</v>
      </c>
      <c r="C5618" t="s">
        <v>52</v>
      </c>
      <c r="D5618">
        <v>12872305</v>
      </c>
      <c r="E5618" t="s">
        <v>53</v>
      </c>
      <c r="F5618" t="s">
        <v>49</v>
      </c>
      <c r="G5618" s="30">
        <v>29429.135621904999</v>
      </c>
    </row>
    <row r="5619" spans="1:7" x14ac:dyDescent="0.25">
      <c r="A5619" t="s">
        <v>50</v>
      </c>
      <c r="B5619" t="s">
        <v>51</v>
      </c>
      <c r="C5619" t="s">
        <v>52</v>
      </c>
      <c r="D5619">
        <v>12874451</v>
      </c>
      <c r="E5619" t="s">
        <v>53</v>
      </c>
      <c r="F5619" t="s">
        <v>49</v>
      </c>
      <c r="G5619" s="30">
        <v>23222.292474023001</v>
      </c>
    </row>
    <row r="5620" spans="1:7" x14ac:dyDescent="0.25">
      <c r="A5620" t="s">
        <v>54</v>
      </c>
      <c r="B5620" t="s">
        <v>55</v>
      </c>
      <c r="C5620" t="s">
        <v>56</v>
      </c>
      <c r="D5620">
        <v>12880019</v>
      </c>
      <c r="E5620" t="s">
        <v>53</v>
      </c>
      <c r="F5620" t="s">
        <v>49</v>
      </c>
      <c r="G5620" s="30">
        <v>1941033.78803022</v>
      </c>
    </row>
    <row r="5621" spans="1:7" x14ac:dyDescent="0.25">
      <c r="A5621" t="s">
        <v>45</v>
      </c>
      <c r="B5621" t="s">
        <v>46</v>
      </c>
      <c r="C5621" t="s">
        <v>47</v>
      </c>
      <c r="D5621">
        <v>12882506</v>
      </c>
      <c r="E5621" t="s">
        <v>48</v>
      </c>
      <c r="F5621" t="s">
        <v>49</v>
      </c>
      <c r="G5621" s="30">
        <v>0</v>
      </c>
    </row>
    <row r="5622" spans="1:7" x14ac:dyDescent="0.25">
      <c r="A5622" t="s">
        <v>45</v>
      </c>
      <c r="B5622" t="s">
        <v>46</v>
      </c>
      <c r="C5622" t="s">
        <v>47</v>
      </c>
      <c r="D5622">
        <v>12911811</v>
      </c>
      <c r="E5622" t="s">
        <v>48</v>
      </c>
      <c r="F5622" t="s">
        <v>49</v>
      </c>
      <c r="G5622" s="30">
        <v>0</v>
      </c>
    </row>
    <row r="5623" spans="1:7" x14ac:dyDescent="0.25">
      <c r="A5623" t="s">
        <v>63</v>
      </c>
      <c r="B5623" t="s">
        <v>64</v>
      </c>
      <c r="C5623" t="s">
        <v>56</v>
      </c>
      <c r="D5623">
        <v>12914239</v>
      </c>
      <c r="E5623" t="s">
        <v>53</v>
      </c>
      <c r="F5623" t="s">
        <v>49</v>
      </c>
      <c r="G5623" s="30">
        <v>163508.72842179501</v>
      </c>
    </row>
    <row r="5624" spans="1:7" x14ac:dyDescent="0.25">
      <c r="A5624" t="s">
        <v>118</v>
      </c>
      <c r="B5624" t="s">
        <v>119</v>
      </c>
      <c r="C5624" t="s">
        <v>56</v>
      </c>
      <c r="D5624">
        <v>12916083</v>
      </c>
      <c r="E5624" t="s">
        <v>53</v>
      </c>
      <c r="F5624" t="s">
        <v>49</v>
      </c>
      <c r="G5624" s="30">
        <v>148338.75</v>
      </c>
    </row>
    <row r="5625" spans="1:7" x14ac:dyDescent="0.25">
      <c r="A5625" t="s">
        <v>45</v>
      </c>
      <c r="B5625" t="s">
        <v>46</v>
      </c>
      <c r="C5625" t="s">
        <v>47</v>
      </c>
      <c r="D5625">
        <v>12916761</v>
      </c>
      <c r="E5625" t="s">
        <v>48</v>
      </c>
      <c r="F5625" t="s">
        <v>49</v>
      </c>
      <c r="G5625" s="30">
        <v>0</v>
      </c>
    </row>
    <row r="5626" spans="1:7" x14ac:dyDescent="0.25">
      <c r="A5626" t="s">
        <v>50</v>
      </c>
      <c r="B5626" t="s">
        <v>51</v>
      </c>
      <c r="C5626" t="s">
        <v>52</v>
      </c>
      <c r="D5626">
        <v>12917056</v>
      </c>
      <c r="E5626" t="s">
        <v>53</v>
      </c>
      <c r="F5626" t="s">
        <v>49</v>
      </c>
      <c r="G5626" s="30">
        <v>1227.12412385825</v>
      </c>
    </row>
    <row r="5627" spans="1:7" x14ac:dyDescent="0.25">
      <c r="A5627" t="s">
        <v>76</v>
      </c>
      <c r="B5627" t="s">
        <v>77</v>
      </c>
      <c r="C5627" t="s">
        <v>78</v>
      </c>
      <c r="D5627">
        <v>12919833</v>
      </c>
      <c r="E5627" t="s">
        <v>53</v>
      </c>
      <c r="F5627" t="s">
        <v>49</v>
      </c>
      <c r="G5627" s="30">
        <v>199190.07663790701</v>
      </c>
    </row>
    <row r="5628" spans="1:7" x14ac:dyDescent="0.25">
      <c r="A5628" t="s">
        <v>50</v>
      </c>
      <c r="B5628" t="s">
        <v>51</v>
      </c>
      <c r="C5628" t="s">
        <v>52</v>
      </c>
      <c r="D5628">
        <v>12920538</v>
      </c>
      <c r="E5628" t="s">
        <v>48</v>
      </c>
      <c r="F5628" t="s">
        <v>49</v>
      </c>
      <c r="G5628" s="30">
        <v>0</v>
      </c>
    </row>
    <row r="5629" spans="1:7" x14ac:dyDescent="0.25">
      <c r="A5629" t="s">
        <v>45</v>
      </c>
      <c r="B5629" t="s">
        <v>46</v>
      </c>
      <c r="C5629" t="s">
        <v>47</v>
      </c>
      <c r="D5629">
        <v>12923549</v>
      </c>
      <c r="E5629" t="s">
        <v>48</v>
      </c>
      <c r="F5629" t="s">
        <v>49</v>
      </c>
      <c r="G5629" s="30">
        <v>0</v>
      </c>
    </row>
    <row r="5630" spans="1:7" x14ac:dyDescent="0.25">
      <c r="A5630" t="s">
        <v>124</v>
      </c>
      <c r="B5630" t="s">
        <v>125</v>
      </c>
      <c r="C5630" t="s">
        <v>78</v>
      </c>
      <c r="D5630">
        <v>12924805</v>
      </c>
      <c r="E5630" t="s">
        <v>53</v>
      </c>
      <c r="F5630" t="s">
        <v>49</v>
      </c>
      <c r="G5630" s="30">
        <v>24633.166071101401</v>
      </c>
    </row>
    <row r="5631" spans="1:7" x14ac:dyDescent="0.25">
      <c r="A5631" t="s">
        <v>116</v>
      </c>
      <c r="B5631" t="s">
        <v>117</v>
      </c>
      <c r="C5631" t="s">
        <v>47</v>
      </c>
      <c r="D5631">
        <v>12925450</v>
      </c>
      <c r="E5631" t="s">
        <v>48</v>
      </c>
      <c r="F5631" t="s">
        <v>49</v>
      </c>
      <c r="G5631" s="30">
        <v>0.96</v>
      </c>
    </row>
    <row r="5632" spans="1:7" x14ac:dyDescent="0.25">
      <c r="A5632" t="s">
        <v>118</v>
      </c>
      <c r="B5632" t="s">
        <v>119</v>
      </c>
      <c r="C5632" t="s">
        <v>56</v>
      </c>
      <c r="D5632">
        <v>12925710</v>
      </c>
      <c r="E5632" t="s">
        <v>53</v>
      </c>
      <c r="F5632" t="s">
        <v>49</v>
      </c>
      <c r="G5632" s="30">
        <v>2521.6731121357302</v>
      </c>
    </row>
    <row r="5633" spans="1:7" x14ac:dyDescent="0.25">
      <c r="A5633" t="s">
        <v>50</v>
      </c>
      <c r="B5633" t="s">
        <v>51</v>
      </c>
      <c r="C5633" t="s">
        <v>52</v>
      </c>
      <c r="D5633">
        <v>13028393</v>
      </c>
      <c r="E5633" t="s">
        <v>53</v>
      </c>
      <c r="F5633" t="s">
        <v>49</v>
      </c>
      <c r="G5633" s="30">
        <v>8059.5454345981198</v>
      </c>
    </row>
    <row r="5634" spans="1:7" x14ac:dyDescent="0.25">
      <c r="A5634" t="s">
        <v>76</v>
      </c>
      <c r="B5634" t="s">
        <v>77</v>
      </c>
      <c r="C5634" t="s">
        <v>78</v>
      </c>
      <c r="D5634">
        <v>13030686</v>
      </c>
      <c r="E5634" t="s">
        <v>53</v>
      </c>
      <c r="F5634" t="s">
        <v>49</v>
      </c>
      <c r="G5634" s="30">
        <v>333849.93957475998</v>
      </c>
    </row>
    <row r="5635" spans="1:7" x14ac:dyDescent="0.25">
      <c r="A5635" t="s">
        <v>45</v>
      </c>
      <c r="B5635" t="s">
        <v>46</v>
      </c>
      <c r="C5635" t="s">
        <v>47</v>
      </c>
      <c r="D5635">
        <v>13033395</v>
      </c>
      <c r="E5635" t="s">
        <v>48</v>
      </c>
      <c r="F5635" t="s">
        <v>49</v>
      </c>
      <c r="G5635" s="30">
        <v>0</v>
      </c>
    </row>
    <row r="5636" spans="1:7" x14ac:dyDescent="0.25">
      <c r="A5636" t="s">
        <v>45</v>
      </c>
      <c r="B5636" t="s">
        <v>46</v>
      </c>
      <c r="C5636" t="s">
        <v>47</v>
      </c>
      <c r="D5636">
        <v>13040519</v>
      </c>
      <c r="E5636" t="s">
        <v>48</v>
      </c>
      <c r="F5636" t="s">
        <v>49</v>
      </c>
      <c r="G5636" s="30">
        <v>0</v>
      </c>
    </row>
    <row r="5637" spans="1:7" x14ac:dyDescent="0.25">
      <c r="A5637" t="s">
        <v>45</v>
      </c>
      <c r="B5637" t="s">
        <v>46</v>
      </c>
      <c r="C5637" t="s">
        <v>47</v>
      </c>
      <c r="D5637">
        <v>13043145</v>
      </c>
      <c r="E5637" t="s">
        <v>48</v>
      </c>
      <c r="F5637" t="s">
        <v>49</v>
      </c>
      <c r="G5637" s="30">
        <v>0</v>
      </c>
    </row>
    <row r="5638" spans="1:7" x14ac:dyDescent="0.25">
      <c r="A5638" t="s">
        <v>63</v>
      </c>
      <c r="B5638" t="s">
        <v>64</v>
      </c>
      <c r="C5638" t="s">
        <v>56</v>
      </c>
      <c r="D5638">
        <v>13044471</v>
      </c>
      <c r="E5638" t="s">
        <v>53</v>
      </c>
      <c r="F5638" t="s">
        <v>49</v>
      </c>
      <c r="G5638" s="30">
        <v>660269.02754745202</v>
      </c>
    </row>
    <row r="5639" spans="1:7" x14ac:dyDescent="0.25">
      <c r="A5639" t="s">
        <v>50</v>
      </c>
      <c r="B5639" t="s">
        <v>51</v>
      </c>
      <c r="C5639" t="s">
        <v>52</v>
      </c>
      <c r="D5639">
        <v>13044634</v>
      </c>
      <c r="E5639" t="s">
        <v>48</v>
      </c>
      <c r="F5639" t="s">
        <v>49</v>
      </c>
      <c r="G5639" s="30">
        <v>0</v>
      </c>
    </row>
    <row r="5640" spans="1:7" x14ac:dyDescent="0.25">
      <c r="A5640" t="s">
        <v>45</v>
      </c>
      <c r="B5640" t="s">
        <v>46</v>
      </c>
      <c r="C5640" t="s">
        <v>47</v>
      </c>
      <c r="D5640">
        <v>13047547</v>
      </c>
      <c r="E5640" t="s">
        <v>48</v>
      </c>
      <c r="F5640" t="s">
        <v>49</v>
      </c>
      <c r="G5640" s="30">
        <v>0</v>
      </c>
    </row>
    <row r="5641" spans="1:7" x14ac:dyDescent="0.25">
      <c r="A5641" t="s">
        <v>50</v>
      </c>
      <c r="B5641" t="s">
        <v>51</v>
      </c>
      <c r="C5641" t="s">
        <v>52</v>
      </c>
      <c r="D5641">
        <v>13053091</v>
      </c>
      <c r="E5641" t="s">
        <v>53</v>
      </c>
      <c r="F5641" t="s">
        <v>49</v>
      </c>
      <c r="G5641" s="30">
        <v>52.409999999609902</v>
      </c>
    </row>
    <row r="5642" spans="1:7" x14ac:dyDescent="0.25">
      <c r="A5642" t="s">
        <v>50</v>
      </c>
      <c r="B5642" t="s">
        <v>51</v>
      </c>
      <c r="C5642" t="s">
        <v>52</v>
      </c>
      <c r="D5642">
        <v>13053165</v>
      </c>
      <c r="E5642" t="s">
        <v>53</v>
      </c>
      <c r="F5642" t="s">
        <v>49</v>
      </c>
      <c r="G5642" s="30">
        <v>2550.9473143841501</v>
      </c>
    </row>
    <row r="5643" spans="1:7" x14ac:dyDescent="0.25">
      <c r="A5643" t="s">
        <v>50</v>
      </c>
      <c r="B5643" t="s">
        <v>51</v>
      </c>
      <c r="C5643" t="s">
        <v>52</v>
      </c>
      <c r="D5643">
        <v>13053394</v>
      </c>
      <c r="E5643" t="s">
        <v>48</v>
      </c>
      <c r="F5643" t="s">
        <v>49</v>
      </c>
      <c r="G5643" s="30">
        <v>0</v>
      </c>
    </row>
    <row r="5644" spans="1:7" x14ac:dyDescent="0.25">
      <c r="A5644" t="s">
        <v>100</v>
      </c>
      <c r="B5644" t="s">
        <v>101</v>
      </c>
      <c r="C5644" t="s">
        <v>52</v>
      </c>
      <c r="D5644">
        <v>13054630</v>
      </c>
      <c r="E5644" t="s">
        <v>53</v>
      </c>
      <c r="F5644" t="s">
        <v>49</v>
      </c>
      <c r="G5644" s="30">
        <v>25182.2406289723</v>
      </c>
    </row>
    <row r="5645" spans="1:7" x14ac:dyDescent="0.25">
      <c r="A5645" t="s">
        <v>50</v>
      </c>
      <c r="B5645" t="s">
        <v>51</v>
      </c>
      <c r="C5645" t="s">
        <v>52</v>
      </c>
      <c r="D5645">
        <v>13055730</v>
      </c>
      <c r="E5645" t="s">
        <v>53</v>
      </c>
      <c r="F5645" t="s">
        <v>49</v>
      </c>
      <c r="G5645" s="30">
        <v>141.09427683566901</v>
      </c>
    </row>
    <row r="5646" spans="1:7" x14ac:dyDescent="0.25">
      <c r="A5646" t="s">
        <v>70</v>
      </c>
      <c r="B5646" t="s">
        <v>71</v>
      </c>
      <c r="C5646" t="s">
        <v>47</v>
      </c>
      <c r="D5646">
        <v>13062186</v>
      </c>
      <c r="E5646" t="s">
        <v>53</v>
      </c>
      <c r="F5646" t="s">
        <v>49</v>
      </c>
      <c r="G5646" s="30">
        <v>115697.40613884199</v>
      </c>
    </row>
    <row r="5647" spans="1:7" x14ac:dyDescent="0.25">
      <c r="A5647" t="s">
        <v>50</v>
      </c>
      <c r="B5647" t="s">
        <v>51</v>
      </c>
      <c r="C5647" t="s">
        <v>52</v>
      </c>
      <c r="D5647">
        <v>13179934</v>
      </c>
      <c r="E5647" t="s">
        <v>53</v>
      </c>
      <c r="F5647" t="s">
        <v>49</v>
      </c>
      <c r="G5647" s="30">
        <v>22502.627869582499</v>
      </c>
    </row>
    <row r="5648" spans="1:7" x14ac:dyDescent="0.25">
      <c r="A5648" t="s">
        <v>45</v>
      </c>
      <c r="B5648" t="s">
        <v>46</v>
      </c>
      <c r="C5648" t="s">
        <v>47</v>
      </c>
      <c r="D5648">
        <v>13193770</v>
      </c>
      <c r="E5648" t="s">
        <v>48</v>
      </c>
      <c r="F5648" t="s">
        <v>49</v>
      </c>
      <c r="G5648" s="30">
        <v>0</v>
      </c>
    </row>
    <row r="5649" spans="1:7" x14ac:dyDescent="0.25">
      <c r="A5649" t="s">
        <v>50</v>
      </c>
      <c r="B5649" t="s">
        <v>51</v>
      </c>
      <c r="C5649" t="s">
        <v>52</v>
      </c>
      <c r="D5649">
        <v>13218407</v>
      </c>
      <c r="E5649" t="s">
        <v>53</v>
      </c>
      <c r="F5649" t="s">
        <v>49</v>
      </c>
      <c r="G5649" s="30">
        <v>1474.95</v>
      </c>
    </row>
    <row r="5650" spans="1:7" x14ac:dyDescent="0.25">
      <c r="A5650" t="s">
        <v>120</v>
      </c>
      <c r="B5650" t="s">
        <v>121</v>
      </c>
      <c r="C5650" t="s">
        <v>67</v>
      </c>
      <c r="D5650">
        <v>13218906</v>
      </c>
      <c r="E5650" t="s">
        <v>53</v>
      </c>
      <c r="F5650" t="s">
        <v>49</v>
      </c>
      <c r="G5650" s="30">
        <v>148360.06441539101</v>
      </c>
    </row>
    <row r="5651" spans="1:7" x14ac:dyDescent="0.25">
      <c r="A5651" t="s">
        <v>50</v>
      </c>
      <c r="B5651" t="s">
        <v>51</v>
      </c>
      <c r="C5651" t="s">
        <v>52</v>
      </c>
      <c r="D5651">
        <v>13238493</v>
      </c>
      <c r="E5651" t="s">
        <v>48</v>
      </c>
      <c r="F5651" t="s">
        <v>49</v>
      </c>
      <c r="G5651" s="30">
        <v>0</v>
      </c>
    </row>
    <row r="5652" spans="1:7" x14ac:dyDescent="0.25">
      <c r="A5652" t="s">
        <v>45</v>
      </c>
      <c r="B5652" t="s">
        <v>46</v>
      </c>
      <c r="C5652" t="s">
        <v>47</v>
      </c>
      <c r="D5652">
        <v>13255625</v>
      </c>
      <c r="E5652" t="s">
        <v>48</v>
      </c>
      <c r="F5652" t="s">
        <v>49</v>
      </c>
      <c r="G5652" s="30">
        <v>0</v>
      </c>
    </row>
    <row r="5653" spans="1:7" x14ac:dyDescent="0.25">
      <c r="A5653" t="s">
        <v>45</v>
      </c>
      <c r="B5653" t="s">
        <v>46</v>
      </c>
      <c r="C5653" t="s">
        <v>47</v>
      </c>
      <c r="D5653">
        <v>13257331</v>
      </c>
      <c r="E5653" t="s">
        <v>48</v>
      </c>
      <c r="F5653" t="s">
        <v>49</v>
      </c>
      <c r="G5653" s="30">
        <v>0</v>
      </c>
    </row>
    <row r="5654" spans="1:7" x14ac:dyDescent="0.25">
      <c r="A5654" t="s">
        <v>50</v>
      </c>
      <c r="B5654" t="s">
        <v>51</v>
      </c>
      <c r="C5654" t="s">
        <v>52</v>
      </c>
      <c r="D5654">
        <v>13260118</v>
      </c>
      <c r="E5654" t="s">
        <v>53</v>
      </c>
      <c r="F5654" t="s">
        <v>49</v>
      </c>
      <c r="G5654" s="30">
        <v>9779.6386440563601</v>
      </c>
    </row>
    <row r="5655" spans="1:7" x14ac:dyDescent="0.25">
      <c r="A5655" t="s">
        <v>50</v>
      </c>
      <c r="B5655" t="s">
        <v>51</v>
      </c>
      <c r="C5655" t="s">
        <v>52</v>
      </c>
      <c r="D5655">
        <v>13260917</v>
      </c>
      <c r="E5655" t="s">
        <v>48</v>
      </c>
      <c r="F5655" t="s">
        <v>49</v>
      </c>
      <c r="G5655" s="30">
        <v>0</v>
      </c>
    </row>
    <row r="5656" spans="1:7" x14ac:dyDescent="0.25">
      <c r="A5656" t="s">
        <v>45</v>
      </c>
      <c r="B5656" t="s">
        <v>46</v>
      </c>
      <c r="C5656" t="s">
        <v>47</v>
      </c>
      <c r="D5656">
        <v>13266094</v>
      </c>
      <c r="E5656" t="s">
        <v>48</v>
      </c>
      <c r="F5656" t="s">
        <v>49</v>
      </c>
      <c r="G5656" s="30">
        <v>0</v>
      </c>
    </row>
    <row r="5657" spans="1:7" x14ac:dyDescent="0.25">
      <c r="A5657" t="s">
        <v>61</v>
      </c>
      <c r="B5657" t="s">
        <v>62</v>
      </c>
      <c r="C5657" t="s">
        <v>56</v>
      </c>
      <c r="D5657">
        <v>13266139</v>
      </c>
      <c r="E5657" t="s">
        <v>48</v>
      </c>
      <c r="F5657" t="s">
        <v>49</v>
      </c>
      <c r="G5657" s="30">
        <v>0</v>
      </c>
    </row>
    <row r="5658" spans="1:7" x14ac:dyDescent="0.25">
      <c r="A5658" t="s">
        <v>45</v>
      </c>
      <c r="B5658" t="s">
        <v>46</v>
      </c>
      <c r="C5658" t="s">
        <v>47</v>
      </c>
      <c r="D5658">
        <v>13271860</v>
      </c>
      <c r="E5658" t="s">
        <v>48</v>
      </c>
      <c r="F5658" t="s">
        <v>49</v>
      </c>
      <c r="G5658" s="30">
        <v>0</v>
      </c>
    </row>
    <row r="5659" spans="1:7" x14ac:dyDescent="0.25">
      <c r="A5659" t="s">
        <v>45</v>
      </c>
      <c r="B5659" t="s">
        <v>46</v>
      </c>
      <c r="C5659" t="s">
        <v>47</v>
      </c>
      <c r="D5659">
        <v>13272336</v>
      </c>
      <c r="E5659" t="s">
        <v>48</v>
      </c>
      <c r="F5659" t="s">
        <v>49</v>
      </c>
      <c r="G5659" s="30">
        <v>0</v>
      </c>
    </row>
    <row r="5660" spans="1:7" x14ac:dyDescent="0.25">
      <c r="A5660" t="s">
        <v>84</v>
      </c>
      <c r="B5660" t="s">
        <v>85</v>
      </c>
      <c r="C5660" t="s">
        <v>67</v>
      </c>
      <c r="D5660">
        <v>13273910</v>
      </c>
      <c r="E5660" t="s">
        <v>53</v>
      </c>
      <c r="F5660" t="s">
        <v>49</v>
      </c>
      <c r="G5660" s="30">
        <v>3670106.9143555202</v>
      </c>
    </row>
    <row r="5661" spans="1:7" x14ac:dyDescent="0.25">
      <c r="A5661" t="s">
        <v>45</v>
      </c>
      <c r="B5661" t="s">
        <v>46</v>
      </c>
      <c r="C5661" t="s">
        <v>47</v>
      </c>
      <c r="D5661">
        <v>13533935</v>
      </c>
      <c r="E5661" t="s">
        <v>48</v>
      </c>
      <c r="F5661" t="s">
        <v>49</v>
      </c>
      <c r="G5661" s="30">
        <v>0</v>
      </c>
    </row>
    <row r="5662" spans="1:7" x14ac:dyDescent="0.25">
      <c r="A5662" t="s">
        <v>79</v>
      </c>
      <c r="B5662" t="s">
        <v>80</v>
      </c>
      <c r="C5662" t="s">
        <v>81</v>
      </c>
      <c r="D5662">
        <v>13535415</v>
      </c>
      <c r="E5662" t="s">
        <v>53</v>
      </c>
      <c r="F5662" t="s">
        <v>49</v>
      </c>
      <c r="G5662" s="30">
        <v>2897.48</v>
      </c>
    </row>
    <row r="5663" spans="1:7" x14ac:dyDescent="0.25">
      <c r="A5663" t="s">
        <v>57</v>
      </c>
      <c r="B5663" t="s">
        <v>58</v>
      </c>
      <c r="C5663" t="s">
        <v>56</v>
      </c>
      <c r="D5663">
        <v>13553218</v>
      </c>
      <c r="E5663" t="s">
        <v>53</v>
      </c>
      <c r="F5663" t="s">
        <v>49</v>
      </c>
      <c r="G5663" s="30">
        <v>111174.142675781</v>
      </c>
    </row>
    <row r="5664" spans="1:7" x14ac:dyDescent="0.25">
      <c r="A5664" t="s">
        <v>45</v>
      </c>
      <c r="B5664" t="s">
        <v>46</v>
      </c>
      <c r="C5664" t="s">
        <v>47</v>
      </c>
      <c r="D5664">
        <v>13553364</v>
      </c>
      <c r="E5664" t="s">
        <v>48</v>
      </c>
      <c r="F5664" t="s">
        <v>49</v>
      </c>
      <c r="G5664" s="30">
        <v>0</v>
      </c>
    </row>
    <row r="5665" spans="1:7" x14ac:dyDescent="0.25">
      <c r="A5665" t="s">
        <v>50</v>
      </c>
      <c r="B5665" t="s">
        <v>51</v>
      </c>
      <c r="C5665" t="s">
        <v>52</v>
      </c>
      <c r="D5665">
        <v>13554503</v>
      </c>
      <c r="E5665" t="s">
        <v>53</v>
      </c>
      <c r="F5665" t="s">
        <v>49</v>
      </c>
      <c r="G5665" s="30">
        <v>1356.67578125</v>
      </c>
    </row>
    <row r="5666" spans="1:7" x14ac:dyDescent="0.25">
      <c r="A5666" t="s">
        <v>63</v>
      </c>
      <c r="B5666" t="s">
        <v>64</v>
      </c>
      <c r="C5666" t="s">
        <v>56</v>
      </c>
      <c r="D5666">
        <v>13555082</v>
      </c>
      <c r="E5666" t="s">
        <v>48</v>
      </c>
      <c r="F5666" t="s">
        <v>49</v>
      </c>
      <c r="G5666" s="30">
        <v>0.51</v>
      </c>
    </row>
    <row r="5667" spans="1:7" x14ac:dyDescent="0.25">
      <c r="A5667" t="s">
        <v>59</v>
      </c>
      <c r="B5667" t="s">
        <v>60</v>
      </c>
      <c r="C5667" t="s">
        <v>56</v>
      </c>
      <c r="D5667">
        <v>13558820</v>
      </c>
      <c r="E5667" t="s">
        <v>53</v>
      </c>
      <c r="F5667" t="s">
        <v>49</v>
      </c>
      <c r="G5667" s="30">
        <v>11732.3013574219</v>
      </c>
    </row>
    <row r="5668" spans="1:7" x14ac:dyDescent="0.25">
      <c r="A5668" t="s">
        <v>124</v>
      </c>
      <c r="B5668" t="s">
        <v>125</v>
      </c>
      <c r="C5668" t="s">
        <v>78</v>
      </c>
      <c r="D5668">
        <v>13570823</v>
      </c>
      <c r="E5668" t="s">
        <v>53</v>
      </c>
      <c r="F5668" t="s">
        <v>49</v>
      </c>
      <c r="G5668" s="30">
        <v>179719.74386868899</v>
      </c>
    </row>
    <row r="5669" spans="1:7" x14ac:dyDescent="0.25">
      <c r="A5669" t="s">
        <v>104</v>
      </c>
      <c r="B5669" t="s">
        <v>105</v>
      </c>
      <c r="C5669" t="s">
        <v>78</v>
      </c>
      <c r="D5669">
        <v>13572377</v>
      </c>
      <c r="E5669" t="s">
        <v>53</v>
      </c>
      <c r="F5669" t="s">
        <v>49</v>
      </c>
      <c r="G5669" s="30">
        <v>252029.93239139</v>
      </c>
    </row>
    <row r="5670" spans="1:7" x14ac:dyDescent="0.25">
      <c r="A5670" t="s">
        <v>112</v>
      </c>
      <c r="B5670" t="s">
        <v>113</v>
      </c>
      <c r="C5670" t="s">
        <v>81</v>
      </c>
      <c r="D5670">
        <v>13573420</v>
      </c>
      <c r="E5670" t="s">
        <v>53</v>
      </c>
      <c r="F5670" t="s">
        <v>49</v>
      </c>
      <c r="G5670" s="30">
        <v>152868.253412866</v>
      </c>
    </row>
    <row r="5671" spans="1:7" x14ac:dyDescent="0.25">
      <c r="A5671" t="s">
        <v>65</v>
      </c>
      <c r="B5671" t="s">
        <v>66</v>
      </c>
      <c r="C5671" t="s">
        <v>67</v>
      </c>
      <c r="D5671">
        <v>13584708</v>
      </c>
      <c r="E5671" t="s">
        <v>53</v>
      </c>
      <c r="F5671" t="s">
        <v>49</v>
      </c>
      <c r="G5671" s="30">
        <v>1141485.46162159</v>
      </c>
    </row>
    <row r="5672" spans="1:7" x14ac:dyDescent="0.25">
      <c r="A5672" t="s">
        <v>116</v>
      </c>
      <c r="B5672" t="s">
        <v>117</v>
      </c>
      <c r="C5672" t="s">
        <v>47</v>
      </c>
      <c r="D5672">
        <v>13597579</v>
      </c>
      <c r="E5672" t="s">
        <v>53</v>
      </c>
      <c r="F5672" t="s">
        <v>49</v>
      </c>
      <c r="G5672" s="30">
        <v>130841.377443035</v>
      </c>
    </row>
    <row r="5673" spans="1:7" x14ac:dyDescent="0.25">
      <c r="A5673" t="s">
        <v>74</v>
      </c>
      <c r="B5673" t="s">
        <v>75</v>
      </c>
      <c r="C5673" t="s">
        <v>67</v>
      </c>
      <c r="D5673">
        <v>13613330</v>
      </c>
      <c r="E5673" t="s">
        <v>48</v>
      </c>
      <c r="F5673" t="s">
        <v>49</v>
      </c>
      <c r="G5673" s="30">
        <v>0</v>
      </c>
    </row>
    <row r="5674" spans="1:7" x14ac:dyDescent="0.25">
      <c r="A5674" t="s">
        <v>45</v>
      </c>
      <c r="B5674" t="s">
        <v>46</v>
      </c>
      <c r="C5674" t="s">
        <v>47</v>
      </c>
      <c r="D5674">
        <v>13648421</v>
      </c>
      <c r="E5674" t="s">
        <v>48</v>
      </c>
      <c r="F5674" t="s">
        <v>49</v>
      </c>
      <c r="G5674" s="30">
        <v>0</v>
      </c>
    </row>
    <row r="5675" spans="1:7" x14ac:dyDescent="0.25">
      <c r="A5675" t="s">
        <v>45</v>
      </c>
      <c r="B5675" t="s">
        <v>46</v>
      </c>
      <c r="C5675" t="s">
        <v>47</v>
      </c>
      <c r="D5675">
        <v>13651155</v>
      </c>
      <c r="E5675" t="s">
        <v>48</v>
      </c>
      <c r="F5675" t="s">
        <v>49</v>
      </c>
      <c r="G5675" s="30">
        <v>0</v>
      </c>
    </row>
    <row r="5676" spans="1:7" x14ac:dyDescent="0.25">
      <c r="A5676" t="s">
        <v>79</v>
      </c>
      <c r="B5676" t="s">
        <v>80</v>
      </c>
      <c r="C5676" t="s">
        <v>81</v>
      </c>
      <c r="D5676">
        <v>13651175</v>
      </c>
      <c r="E5676" t="s">
        <v>53</v>
      </c>
      <c r="F5676" t="s">
        <v>49</v>
      </c>
      <c r="G5676" s="30">
        <v>114326.044707302</v>
      </c>
    </row>
    <row r="5677" spans="1:7" x14ac:dyDescent="0.25">
      <c r="A5677" t="s">
        <v>50</v>
      </c>
      <c r="B5677" t="s">
        <v>51</v>
      </c>
      <c r="C5677" t="s">
        <v>52</v>
      </c>
      <c r="D5677">
        <v>13651853</v>
      </c>
      <c r="E5677" t="s">
        <v>53</v>
      </c>
      <c r="F5677" t="s">
        <v>49</v>
      </c>
      <c r="G5677" s="30">
        <v>1769.85</v>
      </c>
    </row>
    <row r="5678" spans="1:7" x14ac:dyDescent="0.25">
      <c r="A5678" t="s">
        <v>45</v>
      </c>
      <c r="B5678" t="s">
        <v>46</v>
      </c>
      <c r="C5678" t="s">
        <v>47</v>
      </c>
      <c r="D5678">
        <v>13652997</v>
      </c>
      <c r="E5678" t="s">
        <v>48</v>
      </c>
      <c r="F5678" t="s">
        <v>49</v>
      </c>
      <c r="G5678" s="30">
        <v>0</v>
      </c>
    </row>
    <row r="5679" spans="1:7" x14ac:dyDescent="0.25">
      <c r="A5679" t="s">
        <v>128</v>
      </c>
      <c r="B5679" t="s">
        <v>129</v>
      </c>
      <c r="C5679" t="s">
        <v>130</v>
      </c>
      <c r="D5679">
        <v>13656029</v>
      </c>
      <c r="E5679" t="s">
        <v>48</v>
      </c>
      <c r="F5679" t="s">
        <v>49</v>
      </c>
      <c r="G5679" s="30">
        <v>0</v>
      </c>
    </row>
    <row r="5680" spans="1:7" x14ac:dyDescent="0.25">
      <c r="A5680" t="s">
        <v>90</v>
      </c>
      <c r="B5680" t="s">
        <v>91</v>
      </c>
      <c r="C5680" t="s">
        <v>81</v>
      </c>
      <c r="D5680">
        <v>13656499</v>
      </c>
      <c r="E5680" t="s">
        <v>53</v>
      </c>
      <c r="F5680" t="s">
        <v>49</v>
      </c>
      <c r="G5680" s="30">
        <v>526499.19881502294</v>
      </c>
    </row>
    <row r="5681" spans="1:7" x14ac:dyDescent="0.25">
      <c r="A5681" t="s">
        <v>104</v>
      </c>
      <c r="B5681" t="s">
        <v>105</v>
      </c>
      <c r="C5681" t="s">
        <v>78</v>
      </c>
      <c r="D5681">
        <v>13657222</v>
      </c>
      <c r="E5681" t="s">
        <v>53</v>
      </c>
      <c r="F5681" t="s">
        <v>49</v>
      </c>
      <c r="G5681" s="30">
        <v>211922.30906249999</v>
      </c>
    </row>
    <row r="5682" spans="1:7" x14ac:dyDescent="0.25">
      <c r="A5682" t="s">
        <v>92</v>
      </c>
      <c r="B5682" t="s">
        <v>93</v>
      </c>
      <c r="C5682" t="s">
        <v>81</v>
      </c>
      <c r="D5682">
        <v>13657393</v>
      </c>
      <c r="E5682" t="s">
        <v>48</v>
      </c>
      <c r="F5682" t="s">
        <v>49</v>
      </c>
      <c r="G5682" s="30">
        <v>0</v>
      </c>
    </row>
    <row r="5683" spans="1:7" x14ac:dyDescent="0.25">
      <c r="A5683" t="s">
        <v>79</v>
      </c>
      <c r="B5683" t="s">
        <v>80</v>
      </c>
      <c r="C5683" t="s">
        <v>81</v>
      </c>
      <c r="D5683">
        <v>13662990</v>
      </c>
      <c r="E5683" t="s">
        <v>53</v>
      </c>
      <c r="F5683" t="s">
        <v>49</v>
      </c>
      <c r="G5683" s="30">
        <v>157077.02635368099</v>
      </c>
    </row>
    <row r="5684" spans="1:7" x14ac:dyDescent="0.25">
      <c r="A5684" t="s">
        <v>90</v>
      </c>
      <c r="B5684" t="s">
        <v>91</v>
      </c>
      <c r="C5684" t="s">
        <v>81</v>
      </c>
      <c r="D5684">
        <v>13666855</v>
      </c>
      <c r="E5684" t="s">
        <v>53</v>
      </c>
      <c r="F5684" t="s">
        <v>49</v>
      </c>
      <c r="G5684" s="30">
        <v>1075287.24140223</v>
      </c>
    </row>
    <row r="5685" spans="1:7" x14ac:dyDescent="0.25">
      <c r="A5685" t="s">
        <v>50</v>
      </c>
      <c r="B5685" t="s">
        <v>51</v>
      </c>
      <c r="C5685" t="s">
        <v>52</v>
      </c>
      <c r="D5685">
        <v>13667846</v>
      </c>
      <c r="E5685" t="s">
        <v>53</v>
      </c>
      <c r="F5685" t="s">
        <v>49</v>
      </c>
      <c r="G5685" s="30">
        <v>53541.738560232698</v>
      </c>
    </row>
    <row r="5686" spans="1:7" x14ac:dyDescent="0.25">
      <c r="A5686" t="s">
        <v>68</v>
      </c>
      <c r="B5686" t="s">
        <v>69</v>
      </c>
      <c r="C5686" t="s">
        <v>56</v>
      </c>
      <c r="D5686">
        <v>13675882</v>
      </c>
      <c r="E5686" t="s">
        <v>53</v>
      </c>
      <c r="F5686" t="s">
        <v>49</v>
      </c>
      <c r="G5686" s="30">
        <v>24748.293593750001</v>
      </c>
    </row>
    <row r="5687" spans="1:7" x14ac:dyDescent="0.25">
      <c r="A5687" t="s">
        <v>50</v>
      </c>
      <c r="B5687" t="s">
        <v>51</v>
      </c>
      <c r="C5687" t="s">
        <v>52</v>
      </c>
      <c r="D5687">
        <v>13930458</v>
      </c>
      <c r="E5687" t="s">
        <v>53</v>
      </c>
      <c r="F5687" t="s">
        <v>49</v>
      </c>
      <c r="G5687" s="30">
        <v>1579.48</v>
      </c>
    </row>
    <row r="5688" spans="1:7" x14ac:dyDescent="0.25">
      <c r="A5688" t="s">
        <v>45</v>
      </c>
      <c r="B5688" t="s">
        <v>46</v>
      </c>
      <c r="C5688" t="s">
        <v>47</v>
      </c>
      <c r="D5688">
        <v>13938607</v>
      </c>
      <c r="E5688" t="s">
        <v>48</v>
      </c>
      <c r="F5688" t="s">
        <v>49</v>
      </c>
      <c r="G5688" s="30">
        <v>0</v>
      </c>
    </row>
    <row r="5689" spans="1:7" x14ac:dyDescent="0.25">
      <c r="A5689" t="s">
        <v>82</v>
      </c>
      <c r="B5689" t="s">
        <v>83</v>
      </c>
      <c r="C5689" t="s">
        <v>56</v>
      </c>
      <c r="D5689">
        <v>13941758</v>
      </c>
      <c r="E5689" t="s">
        <v>53</v>
      </c>
      <c r="F5689" t="s">
        <v>49</v>
      </c>
      <c r="G5689" s="30">
        <v>89055.260599999994</v>
      </c>
    </row>
    <row r="5690" spans="1:7" x14ac:dyDescent="0.25">
      <c r="A5690" t="s">
        <v>59</v>
      </c>
      <c r="B5690" t="s">
        <v>60</v>
      </c>
      <c r="C5690" t="s">
        <v>56</v>
      </c>
      <c r="D5690">
        <v>13943952</v>
      </c>
      <c r="E5690" t="s">
        <v>53</v>
      </c>
      <c r="F5690" t="s">
        <v>49</v>
      </c>
      <c r="G5690" s="30">
        <v>9326.0858615517809</v>
      </c>
    </row>
    <row r="5691" spans="1:7" x14ac:dyDescent="0.25">
      <c r="A5691" t="s">
        <v>76</v>
      </c>
      <c r="B5691" t="s">
        <v>77</v>
      </c>
      <c r="C5691" t="s">
        <v>78</v>
      </c>
      <c r="D5691">
        <v>13944073</v>
      </c>
      <c r="E5691" t="s">
        <v>53</v>
      </c>
      <c r="F5691" t="s">
        <v>49</v>
      </c>
      <c r="G5691" s="30">
        <v>257142.03593975201</v>
      </c>
    </row>
    <row r="5692" spans="1:7" x14ac:dyDescent="0.25">
      <c r="A5692" t="s">
        <v>45</v>
      </c>
      <c r="B5692" t="s">
        <v>46</v>
      </c>
      <c r="C5692" t="s">
        <v>47</v>
      </c>
      <c r="D5692">
        <v>13944260</v>
      </c>
      <c r="E5692" t="s">
        <v>48</v>
      </c>
      <c r="F5692" t="s">
        <v>49</v>
      </c>
      <c r="G5692" s="30">
        <v>0</v>
      </c>
    </row>
    <row r="5693" spans="1:7" x14ac:dyDescent="0.25">
      <c r="A5693" t="s">
        <v>131</v>
      </c>
      <c r="B5693" t="s">
        <v>132</v>
      </c>
      <c r="C5693" t="s">
        <v>67</v>
      </c>
      <c r="D5693">
        <v>13944305</v>
      </c>
      <c r="E5693" t="s">
        <v>53</v>
      </c>
      <c r="F5693" t="s">
        <v>49</v>
      </c>
      <c r="G5693" s="30">
        <v>132381.80719527701</v>
      </c>
    </row>
    <row r="5694" spans="1:7" x14ac:dyDescent="0.25">
      <c r="A5694" t="s">
        <v>50</v>
      </c>
      <c r="B5694" t="s">
        <v>51</v>
      </c>
      <c r="C5694" t="s">
        <v>52</v>
      </c>
      <c r="D5694">
        <v>13945372</v>
      </c>
      <c r="E5694" t="s">
        <v>53</v>
      </c>
      <c r="F5694" t="s">
        <v>49</v>
      </c>
      <c r="G5694" s="30">
        <v>834.27271860595999</v>
      </c>
    </row>
    <row r="5695" spans="1:7" x14ac:dyDescent="0.25">
      <c r="A5695" t="s">
        <v>45</v>
      </c>
      <c r="B5695" t="s">
        <v>46</v>
      </c>
      <c r="C5695" t="s">
        <v>47</v>
      </c>
      <c r="D5695">
        <v>13946590</v>
      </c>
      <c r="E5695" t="s">
        <v>48</v>
      </c>
      <c r="F5695" t="s">
        <v>49</v>
      </c>
      <c r="G5695" s="30">
        <v>0.84</v>
      </c>
    </row>
    <row r="5696" spans="1:7" x14ac:dyDescent="0.25">
      <c r="A5696" t="s">
        <v>45</v>
      </c>
      <c r="B5696" t="s">
        <v>46</v>
      </c>
      <c r="C5696" t="s">
        <v>47</v>
      </c>
      <c r="D5696">
        <v>13960083</v>
      </c>
      <c r="E5696" t="s">
        <v>48</v>
      </c>
      <c r="F5696" t="s">
        <v>49</v>
      </c>
      <c r="G5696" s="30">
        <v>0</v>
      </c>
    </row>
    <row r="5697" spans="1:7" x14ac:dyDescent="0.25">
      <c r="A5697" t="s">
        <v>94</v>
      </c>
      <c r="B5697" t="s">
        <v>95</v>
      </c>
      <c r="C5697" t="s">
        <v>78</v>
      </c>
      <c r="D5697">
        <v>13960477</v>
      </c>
      <c r="E5697" t="s">
        <v>48</v>
      </c>
      <c r="F5697" t="s">
        <v>49</v>
      </c>
      <c r="G5697" s="30">
        <v>0</v>
      </c>
    </row>
    <row r="5698" spans="1:7" x14ac:dyDescent="0.25">
      <c r="A5698" t="s">
        <v>88</v>
      </c>
      <c r="B5698" t="s">
        <v>89</v>
      </c>
      <c r="C5698" t="s">
        <v>78</v>
      </c>
      <c r="D5698">
        <v>13961520</v>
      </c>
      <c r="E5698" t="s">
        <v>53</v>
      </c>
      <c r="F5698" t="s">
        <v>49</v>
      </c>
      <c r="G5698" s="30">
        <v>116406.80672182899</v>
      </c>
    </row>
    <row r="5699" spans="1:7" x14ac:dyDescent="0.25">
      <c r="A5699" t="s">
        <v>57</v>
      </c>
      <c r="B5699" t="s">
        <v>58</v>
      </c>
      <c r="C5699" t="s">
        <v>56</v>
      </c>
      <c r="D5699">
        <v>13961868</v>
      </c>
      <c r="E5699" t="s">
        <v>53</v>
      </c>
      <c r="F5699" t="s">
        <v>49</v>
      </c>
      <c r="G5699" s="30">
        <v>10132.9097878253</v>
      </c>
    </row>
    <row r="5700" spans="1:7" x14ac:dyDescent="0.25">
      <c r="A5700" t="s">
        <v>45</v>
      </c>
      <c r="B5700" t="s">
        <v>46</v>
      </c>
      <c r="C5700" t="s">
        <v>47</v>
      </c>
      <c r="D5700">
        <v>13962505</v>
      </c>
      <c r="E5700" t="s">
        <v>48</v>
      </c>
      <c r="F5700" t="s">
        <v>49</v>
      </c>
      <c r="G5700" s="30">
        <v>0</v>
      </c>
    </row>
    <row r="5701" spans="1:7" x14ac:dyDescent="0.25">
      <c r="A5701" t="s">
        <v>54</v>
      </c>
      <c r="B5701" t="s">
        <v>55</v>
      </c>
      <c r="C5701" t="s">
        <v>56</v>
      </c>
      <c r="D5701">
        <v>13966306</v>
      </c>
      <c r="E5701" t="s">
        <v>53</v>
      </c>
      <c r="F5701" t="s">
        <v>49</v>
      </c>
      <c r="G5701" s="30">
        <v>24446.079710381098</v>
      </c>
    </row>
    <row r="5702" spans="1:7" x14ac:dyDescent="0.25">
      <c r="A5702" t="s">
        <v>118</v>
      </c>
      <c r="B5702" t="s">
        <v>119</v>
      </c>
      <c r="C5702" t="s">
        <v>56</v>
      </c>
      <c r="D5702">
        <v>13969994</v>
      </c>
      <c r="E5702" t="s">
        <v>53</v>
      </c>
      <c r="F5702" t="s">
        <v>49</v>
      </c>
      <c r="G5702" s="30">
        <v>478370.35168323101</v>
      </c>
    </row>
    <row r="5703" spans="1:7" x14ac:dyDescent="0.25">
      <c r="A5703" t="s">
        <v>96</v>
      </c>
      <c r="B5703" t="s">
        <v>97</v>
      </c>
      <c r="C5703" t="s">
        <v>81</v>
      </c>
      <c r="D5703">
        <v>13970193</v>
      </c>
      <c r="E5703" t="s">
        <v>48</v>
      </c>
      <c r="F5703" t="s">
        <v>49</v>
      </c>
      <c r="G5703" s="30">
        <v>0</v>
      </c>
    </row>
    <row r="5704" spans="1:7" x14ac:dyDescent="0.25">
      <c r="A5704" t="s">
        <v>84</v>
      </c>
      <c r="B5704" t="s">
        <v>85</v>
      </c>
      <c r="C5704" t="s">
        <v>67</v>
      </c>
      <c r="D5704">
        <v>13983013</v>
      </c>
      <c r="E5704" t="s">
        <v>53</v>
      </c>
      <c r="F5704" t="s">
        <v>49</v>
      </c>
      <c r="G5704" s="30">
        <v>4568052.9875325002</v>
      </c>
    </row>
    <row r="5705" spans="1:7" x14ac:dyDescent="0.25">
      <c r="A5705" t="s">
        <v>50</v>
      </c>
      <c r="B5705" t="s">
        <v>51</v>
      </c>
      <c r="C5705" t="s">
        <v>52</v>
      </c>
      <c r="D5705">
        <v>13985596</v>
      </c>
      <c r="E5705" t="s">
        <v>53</v>
      </c>
      <c r="F5705" t="s">
        <v>49</v>
      </c>
      <c r="G5705" s="30">
        <v>18417.0802117149</v>
      </c>
    </row>
    <row r="5706" spans="1:7" x14ac:dyDescent="0.25">
      <c r="A5706" t="s">
        <v>112</v>
      </c>
      <c r="B5706" t="s">
        <v>113</v>
      </c>
      <c r="C5706" t="s">
        <v>81</v>
      </c>
      <c r="D5706">
        <v>13985620</v>
      </c>
      <c r="E5706" t="s">
        <v>48</v>
      </c>
      <c r="F5706" t="s">
        <v>49</v>
      </c>
      <c r="G5706" s="30">
        <v>0.79</v>
      </c>
    </row>
    <row r="5707" spans="1:7" x14ac:dyDescent="0.25">
      <c r="A5707" t="s">
        <v>45</v>
      </c>
      <c r="B5707" t="s">
        <v>46</v>
      </c>
      <c r="C5707" t="s">
        <v>47</v>
      </c>
      <c r="D5707">
        <v>13985729</v>
      </c>
      <c r="E5707" t="s">
        <v>48</v>
      </c>
      <c r="F5707" t="s">
        <v>49</v>
      </c>
      <c r="G5707" s="30">
        <v>0</v>
      </c>
    </row>
    <row r="5708" spans="1:7" x14ac:dyDescent="0.25">
      <c r="A5708" t="s">
        <v>45</v>
      </c>
      <c r="B5708" t="s">
        <v>46</v>
      </c>
      <c r="C5708" t="s">
        <v>47</v>
      </c>
      <c r="D5708">
        <v>13986929</v>
      </c>
      <c r="E5708" t="s">
        <v>48</v>
      </c>
      <c r="F5708" t="s">
        <v>49</v>
      </c>
      <c r="G5708" s="30">
        <v>0</v>
      </c>
    </row>
    <row r="5709" spans="1:7" x14ac:dyDescent="0.25">
      <c r="A5709" t="s">
        <v>79</v>
      </c>
      <c r="B5709" t="s">
        <v>80</v>
      </c>
      <c r="C5709" t="s">
        <v>81</v>
      </c>
      <c r="D5709">
        <v>14240267</v>
      </c>
      <c r="E5709" t="s">
        <v>53</v>
      </c>
      <c r="F5709" t="s">
        <v>49</v>
      </c>
      <c r="G5709" s="30">
        <v>13105.177556995801</v>
      </c>
    </row>
    <row r="5710" spans="1:7" x14ac:dyDescent="0.25">
      <c r="A5710" t="s">
        <v>114</v>
      </c>
      <c r="B5710" t="s">
        <v>115</v>
      </c>
      <c r="C5710" t="s">
        <v>56</v>
      </c>
      <c r="D5710">
        <v>14243206</v>
      </c>
      <c r="E5710" t="s">
        <v>53</v>
      </c>
      <c r="F5710" t="s">
        <v>49</v>
      </c>
      <c r="G5710" s="30">
        <v>42136.645987250202</v>
      </c>
    </row>
    <row r="5711" spans="1:7" x14ac:dyDescent="0.25">
      <c r="A5711" t="s">
        <v>45</v>
      </c>
      <c r="B5711" t="s">
        <v>46</v>
      </c>
      <c r="C5711" t="s">
        <v>47</v>
      </c>
      <c r="D5711">
        <v>14250708</v>
      </c>
      <c r="E5711" t="s">
        <v>48</v>
      </c>
      <c r="F5711" t="s">
        <v>49</v>
      </c>
      <c r="G5711" s="30">
        <v>0</v>
      </c>
    </row>
    <row r="5712" spans="1:7" x14ac:dyDescent="0.25">
      <c r="A5712" t="s">
        <v>45</v>
      </c>
      <c r="B5712" t="s">
        <v>46</v>
      </c>
      <c r="C5712" t="s">
        <v>47</v>
      </c>
      <c r="D5712">
        <v>14252754</v>
      </c>
      <c r="E5712" t="s">
        <v>48</v>
      </c>
      <c r="F5712" t="s">
        <v>49</v>
      </c>
      <c r="G5712" s="30">
        <v>0</v>
      </c>
    </row>
    <row r="5713" spans="1:7" x14ac:dyDescent="0.25">
      <c r="A5713" t="s">
        <v>118</v>
      </c>
      <c r="B5713" t="s">
        <v>119</v>
      </c>
      <c r="C5713" t="s">
        <v>56</v>
      </c>
      <c r="D5713">
        <v>14255048</v>
      </c>
      <c r="E5713" t="s">
        <v>48</v>
      </c>
      <c r="F5713" t="s">
        <v>49</v>
      </c>
      <c r="G5713" s="30">
        <v>0.01</v>
      </c>
    </row>
    <row r="5714" spans="1:7" x14ac:dyDescent="0.25">
      <c r="A5714" t="s">
        <v>45</v>
      </c>
      <c r="B5714" t="s">
        <v>46</v>
      </c>
      <c r="C5714" t="s">
        <v>47</v>
      </c>
      <c r="D5714">
        <v>14257173</v>
      </c>
      <c r="E5714" t="s">
        <v>48</v>
      </c>
      <c r="F5714" t="s">
        <v>49</v>
      </c>
      <c r="G5714" s="30">
        <v>0</v>
      </c>
    </row>
    <row r="5715" spans="1:7" x14ac:dyDescent="0.25">
      <c r="A5715" t="s">
        <v>96</v>
      </c>
      <c r="B5715" t="s">
        <v>97</v>
      </c>
      <c r="C5715" t="s">
        <v>81</v>
      </c>
      <c r="D5715">
        <v>14260534</v>
      </c>
      <c r="E5715" t="s">
        <v>48</v>
      </c>
      <c r="F5715" t="s">
        <v>49</v>
      </c>
      <c r="G5715" s="30">
        <v>0</v>
      </c>
    </row>
    <row r="5716" spans="1:7" x14ac:dyDescent="0.25">
      <c r="A5716" t="s">
        <v>92</v>
      </c>
      <c r="B5716" t="s">
        <v>93</v>
      </c>
      <c r="C5716" t="s">
        <v>81</v>
      </c>
      <c r="D5716">
        <v>14260572</v>
      </c>
      <c r="E5716" t="s">
        <v>53</v>
      </c>
      <c r="F5716" t="s">
        <v>49</v>
      </c>
      <c r="G5716" s="30">
        <v>106830.382373966</v>
      </c>
    </row>
    <row r="5717" spans="1:7" x14ac:dyDescent="0.25">
      <c r="A5717" t="s">
        <v>45</v>
      </c>
      <c r="B5717" t="s">
        <v>46</v>
      </c>
      <c r="C5717" t="s">
        <v>47</v>
      </c>
      <c r="D5717">
        <v>14260672</v>
      </c>
      <c r="E5717" t="s">
        <v>48</v>
      </c>
      <c r="F5717" t="s">
        <v>49</v>
      </c>
      <c r="G5717" s="30">
        <v>0</v>
      </c>
    </row>
    <row r="5718" spans="1:7" x14ac:dyDescent="0.25">
      <c r="A5718" t="s">
        <v>63</v>
      </c>
      <c r="B5718" t="s">
        <v>64</v>
      </c>
      <c r="C5718" t="s">
        <v>56</v>
      </c>
      <c r="D5718">
        <v>14266074</v>
      </c>
      <c r="E5718" t="s">
        <v>48</v>
      </c>
      <c r="F5718" t="s">
        <v>49</v>
      </c>
      <c r="G5718" s="30">
        <v>0</v>
      </c>
    </row>
    <row r="5719" spans="1:7" x14ac:dyDescent="0.25">
      <c r="A5719" t="s">
        <v>82</v>
      </c>
      <c r="B5719" t="s">
        <v>83</v>
      </c>
      <c r="C5719" t="s">
        <v>56</v>
      </c>
      <c r="D5719">
        <v>14269127</v>
      </c>
      <c r="E5719" t="s">
        <v>53</v>
      </c>
      <c r="F5719" t="s">
        <v>49</v>
      </c>
      <c r="G5719" s="30">
        <v>505665.12246435299</v>
      </c>
    </row>
    <row r="5720" spans="1:7" x14ac:dyDescent="0.25">
      <c r="A5720" t="s">
        <v>45</v>
      </c>
      <c r="B5720" t="s">
        <v>46</v>
      </c>
      <c r="C5720" t="s">
        <v>47</v>
      </c>
      <c r="D5720">
        <v>14272894</v>
      </c>
      <c r="E5720" t="s">
        <v>53</v>
      </c>
      <c r="F5720" t="s">
        <v>49</v>
      </c>
      <c r="G5720" s="30">
        <v>8770.3023148241391</v>
      </c>
    </row>
    <row r="5721" spans="1:7" x14ac:dyDescent="0.25">
      <c r="A5721" t="s">
        <v>45</v>
      </c>
      <c r="B5721" t="s">
        <v>46</v>
      </c>
      <c r="C5721" t="s">
        <v>47</v>
      </c>
      <c r="D5721">
        <v>14282929</v>
      </c>
      <c r="E5721" t="s">
        <v>48</v>
      </c>
      <c r="F5721" t="s">
        <v>49</v>
      </c>
      <c r="G5721" s="30">
        <v>0</v>
      </c>
    </row>
    <row r="5722" spans="1:7" x14ac:dyDescent="0.25">
      <c r="A5722" t="s">
        <v>45</v>
      </c>
      <c r="B5722" t="s">
        <v>46</v>
      </c>
      <c r="C5722" t="s">
        <v>47</v>
      </c>
      <c r="D5722">
        <v>14286898</v>
      </c>
      <c r="E5722" t="s">
        <v>48</v>
      </c>
      <c r="F5722" t="s">
        <v>49</v>
      </c>
      <c r="G5722" s="30">
        <v>0</v>
      </c>
    </row>
    <row r="5723" spans="1:7" x14ac:dyDescent="0.25">
      <c r="A5723" t="s">
        <v>79</v>
      </c>
      <c r="B5723" t="s">
        <v>80</v>
      </c>
      <c r="C5723" t="s">
        <v>81</v>
      </c>
      <c r="D5723">
        <v>14292120</v>
      </c>
      <c r="E5723" t="s">
        <v>53</v>
      </c>
      <c r="F5723" t="s">
        <v>49</v>
      </c>
      <c r="G5723" s="30">
        <v>106195.478338585</v>
      </c>
    </row>
    <row r="5724" spans="1:7" x14ac:dyDescent="0.25">
      <c r="A5724" t="s">
        <v>61</v>
      </c>
      <c r="B5724" t="s">
        <v>62</v>
      </c>
      <c r="C5724" t="s">
        <v>56</v>
      </c>
      <c r="D5724">
        <v>14295918</v>
      </c>
      <c r="E5724" t="s">
        <v>48</v>
      </c>
      <c r="F5724" t="s">
        <v>49</v>
      </c>
      <c r="G5724" s="30">
        <v>0</v>
      </c>
    </row>
    <row r="5725" spans="1:7" x14ac:dyDescent="0.25">
      <c r="A5725" t="s">
        <v>116</v>
      </c>
      <c r="B5725" t="s">
        <v>117</v>
      </c>
      <c r="C5725" t="s">
        <v>47</v>
      </c>
      <c r="D5725">
        <v>14302571</v>
      </c>
      <c r="E5725" t="s">
        <v>53</v>
      </c>
      <c r="F5725" t="s">
        <v>49</v>
      </c>
      <c r="G5725" s="30">
        <v>2003414.19294935</v>
      </c>
    </row>
    <row r="5726" spans="1:7" x14ac:dyDescent="0.25">
      <c r="A5726" t="s">
        <v>45</v>
      </c>
      <c r="B5726" t="s">
        <v>46</v>
      </c>
      <c r="C5726" t="s">
        <v>47</v>
      </c>
      <c r="D5726">
        <v>14304755</v>
      </c>
      <c r="E5726" t="s">
        <v>48</v>
      </c>
      <c r="F5726" t="s">
        <v>49</v>
      </c>
      <c r="G5726" s="30">
        <v>0</v>
      </c>
    </row>
    <row r="5727" spans="1:7" x14ac:dyDescent="0.25">
      <c r="A5727" t="s">
        <v>45</v>
      </c>
      <c r="B5727" t="s">
        <v>46</v>
      </c>
      <c r="C5727" t="s">
        <v>47</v>
      </c>
      <c r="D5727">
        <v>14304812</v>
      </c>
      <c r="E5727" t="s">
        <v>48</v>
      </c>
      <c r="F5727" t="s">
        <v>49</v>
      </c>
      <c r="G5727" s="30">
        <v>0</v>
      </c>
    </row>
    <row r="5728" spans="1:7" x14ac:dyDescent="0.25">
      <c r="A5728" t="s">
        <v>45</v>
      </c>
      <c r="B5728" t="s">
        <v>46</v>
      </c>
      <c r="C5728" t="s">
        <v>47</v>
      </c>
      <c r="D5728">
        <v>14304880</v>
      </c>
      <c r="E5728" t="s">
        <v>48</v>
      </c>
      <c r="F5728" t="s">
        <v>49</v>
      </c>
      <c r="G5728" s="30">
        <v>0</v>
      </c>
    </row>
    <row r="5729" spans="1:7" x14ac:dyDescent="0.25">
      <c r="A5729" t="s">
        <v>45</v>
      </c>
      <c r="B5729" t="s">
        <v>46</v>
      </c>
      <c r="C5729" t="s">
        <v>47</v>
      </c>
      <c r="D5729">
        <v>14308415</v>
      </c>
      <c r="E5729" t="s">
        <v>48</v>
      </c>
      <c r="F5729" t="s">
        <v>49</v>
      </c>
      <c r="G5729" s="30">
        <v>0</v>
      </c>
    </row>
    <row r="5730" spans="1:7" x14ac:dyDescent="0.25">
      <c r="A5730" t="s">
        <v>50</v>
      </c>
      <c r="B5730" t="s">
        <v>51</v>
      </c>
      <c r="C5730" t="s">
        <v>52</v>
      </c>
      <c r="D5730">
        <v>14308508</v>
      </c>
      <c r="E5730" t="s">
        <v>53</v>
      </c>
      <c r="F5730" t="s">
        <v>49</v>
      </c>
      <c r="G5730" s="30">
        <v>34752.174419563402</v>
      </c>
    </row>
    <row r="5731" spans="1:7" x14ac:dyDescent="0.25">
      <c r="A5731" t="s">
        <v>112</v>
      </c>
      <c r="B5731" t="s">
        <v>113</v>
      </c>
      <c r="C5731" t="s">
        <v>81</v>
      </c>
      <c r="D5731">
        <v>14309072</v>
      </c>
      <c r="E5731" t="s">
        <v>53</v>
      </c>
      <c r="F5731" t="s">
        <v>49</v>
      </c>
      <c r="G5731" s="30">
        <v>2737865.1759396102</v>
      </c>
    </row>
    <row r="5732" spans="1:7" x14ac:dyDescent="0.25">
      <c r="A5732" t="s">
        <v>45</v>
      </c>
      <c r="B5732" t="s">
        <v>46</v>
      </c>
      <c r="C5732" t="s">
        <v>47</v>
      </c>
      <c r="D5732">
        <v>14311165</v>
      </c>
      <c r="E5732" t="s">
        <v>48</v>
      </c>
      <c r="F5732" t="s">
        <v>49</v>
      </c>
      <c r="G5732" s="30">
        <v>0</v>
      </c>
    </row>
    <row r="5733" spans="1:7" x14ac:dyDescent="0.25">
      <c r="A5733" t="s">
        <v>45</v>
      </c>
      <c r="B5733" t="s">
        <v>46</v>
      </c>
      <c r="C5733" t="s">
        <v>47</v>
      </c>
      <c r="D5733">
        <v>14315368</v>
      </c>
      <c r="E5733" t="s">
        <v>48</v>
      </c>
      <c r="F5733" t="s">
        <v>49</v>
      </c>
      <c r="G5733" s="30">
        <v>0</v>
      </c>
    </row>
    <row r="5734" spans="1:7" x14ac:dyDescent="0.25">
      <c r="A5734" t="s">
        <v>72</v>
      </c>
      <c r="B5734" t="s">
        <v>73</v>
      </c>
      <c r="C5734" t="s">
        <v>67</v>
      </c>
      <c r="D5734">
        <v>14322584</v>
      </c>
      <c r="E5734" t="s">
        <v>53</v>
      </c>
      <c r="F5734" t="s">
        <v>49</v>
      </c>
      <c r="G5734" s="30">
        <v>209162.91400940699</v>
      </c>
    </row>
    <row r="5735" spans="1:7" x14ac:dyDescent="0.25">
      <c r="A5735" t="s">
        <v>65</v>
      </c>
      <c r="B5735" t="s">
        <v>66</v>
      </c>
      <c r="C5735" t="s">
        <v>67</v>
      </c>
      <c r="D5735">
        <v>14322976</v>
      </c>
      <c r="E5735" t="s">
        <v>53</v>
      </c>
      <c r="F5735" t="s">
        <v>49</v>
      </c>
      <c r="G5735" s="30">
        <v>204081.92298833799</v>
      </c>
    </row>
    <row r="5736" spans="1:7" x14ac:dyDescent="0.25">
      <c r="A5736" t="s">
        <v>50</v>
      </c>
      <c r="B5736" t="s">
        <v>51</v>
      </c>
      <c r="C5736" t="s">
        <v>52</v>
      </c>
      <c r="D5736">
        <v>14324574</v>
      </c>
      <c r="E5736" t="s">
        <v>53</v>
      </c>
      <c r="F5736" t="s">
        <v>49</v>
      </c>
      <c r="G5736" s="30">
        <v>6942.4622306662905</v>
      </c>
    </row>
    <row r="5737" spans="1:7" x14ac:dyDescent="0.25">
      <c r="A5737" t="s">
        <v>50</v>
      </c>
      <c r="B5737" t="s">
        <v>51</v>
      </c>
      <c r="C5737" t="s">
        <v>52</v>
      </c>
      <c r="D5737">
        <v>14325301</v>
      </c>
      <c r="E5737" t="s">
        <v>53</v>
      </c>
      <c r="F5737" t="s">
        <v>49</v>
      </c>
      <c r="G5737" s="30">
        <v>461.72</v>
      </c>
    </row>
    <row r="5738" spans="1:7" x14ac:dyDescent="0.25">
      <c r="A5738" t="s">
        <v>50</v>
      </c>
      <c r="B5738" t="s">
        <v>51</v>
      </c>
      <c r="C5738" t="s">
        <v>52</v>
      </c>
      <c r="D5738">
        <v>14326927</v>
      </c>
      <c r="E5738" t="s">
        <v>48</v>
      </c>
      <c r="F5738" t="s">
        <v>49</v>
      </c>
      <c r="G5738" s="30">
        <v>0</v>
      </c>
    </row>
    <row r="5739" spans="1:7" x14ac:dyDescent="0.25">
      <c r="A5739" t="s">
        <v>45</v>
      </c>
      <c r="B5739" t="s">
        <v>46</v>
      </c>
      <c r="C5739" t="s">
        <v>47</v>
      </c>
      <c r="D5739">
        <v>14327514</v>
      </c>
      <c r="E5739" t="s">
        <v>53</v>
      </c>
      <c r="F5739" t="s">
        <v>49</v>
      </c>
      <c r="G5739" s="30">
        <v>237.59</v>
      </c>
    </row>
    <row r="5740" spans="1:7" x14ac:dyDescent="0.25">
      <c r="A5740" t="s">
        <v>50</v>
      </c>
      <c r="B5740" t="s">
        <v>51</v>
      </c>
      <c r="C5740" t="s">
        <v>52</v>
      </c>
      <c r="D5740">
        <v>14328523</v>
      </c>
      <c r="E5740" t="s">
        <v>53</v>
      </c>
      <c r="F5740" t="s">
        <v>49</v>
      </c>
      <c r="G5740" s="30">
        <v>103.23</v>
      </c>
    </row>
    <row r="5741" spans="1:7" x14ac:dyDescent="0.25">
      <c r="A5741" t="s">
        <v>79</v>
      </c>
      <c r="B5741" t="s">
        <v>80</v>
      </c>
      <c r="C5741" t="s">
        <v>81</v>
      </c>
      <c r="D5741">
        <v>14338862</v>
      </c>
      <c r="E5741" t="s">
        <v>53</v>
      </c>
      <c r="F5741" t="s">
        <v>49</v>
      </c>
      <c r="G5741" s="30">
        <v>165516.22972912501</v>
      </c>
    </row>
    <row r="5742" spans="1:7" x14ac:dyDescent="0.25">
      <c r="A5742" t="s">
        <v>124</v>
      </c>
      <c r="B5742" t="s">
        <v>125</v>
      </c>
      <c r="C5742" t="s">
        <v>78</v>
      </c>
      <c r="D5742">
        <v>14339974</v>
      </c>
      <c r="E5742" t="s">
        <v>53</v>
      </c>
      <c r="F5742" t="s">
        <v>49</v>
      </c>
      <c r="G5742" s="30">
        <v>267233.99433344102</v>
      </c>
    </row>
    <row r="5743" spans="1:7" x14ac:dyDescent="0.25">
      <c r="A5743" t="s">
        <v>79</v>
      </c>
      <c r="B5743" t="s">
        <v>80</v>
      </c>
      <c r="C5743" t="s">
        <v>81</v>
      </c>
      <c r="D5743">
        <v>14340114</v>
      </c>
      <c r="E5743" t="s">
        <v>53</v>
      </c>
      <c r="F5743" t="s">
        <v>49</v>
      </c>
      <c r="G5743" s="30">
        <v>509104.21714848699</v>
      </c>
    </row>
    <row r="5744" spans="1:7" x14ac:dyDescent="0.25">
      <c r="A5744" t="s">
        <v>86</v>
      </c>
      <c r="B5744" t="s">
        <v>87</v>
      </c>
      <c r="C5744" t="s">
        <v>78</v>
      </c>
      <c r="D5744">
        <v>14340944</v>
      </c>
      <c r="E5744" t="s">
        <v>48</v>
      </c>
      <c r="F5744" t="s">
        <v>49</v>
      </c>
      <c r="G5744" s="30">
        <v>0</v>
      </c>
    </row>
    <row r="5745" spans="1:7" x14ac:dyDescent="0.25">
      <c r="A5745" t="s">
        <v>86</v>
      </c>
      <c r="B5745" t="s">
        <v>87</v>
      </c>
      <c r="C5745" t="s">
        <v>78</v>
      </c>
      <c r="D5745">
        <v>14341051</v>
      </c>
      <c r="E5745" t="s">
        <v>48</v>
      </c>
      <c r="F5745" t="s">
        <v>49</v>
      </c>
      <c r="G5745" s="30">
        <v>0</v>
      </c>
    </row>
    <row r="5746" spans="1:7" x14ac:dyDescent="0.25">
      <c r="A5746" t="s">
        <v>45</v>
      </c>
      <c r="B5746" t="s">
        <v>46</v>
      </c>
      <c r="C5746" t="s">
        <v>47</v>
      </c>
      <c r="D5746">
        <v>14346502</v>
      </c>
      <c r="E5746" t="s">
        <v>48</v>
      </c>
      <c r="F5746" t="s">
        <v>49</v>
      </c>
      <c r="G5746" s="30">
        <v>0</v>
      </c>
    </row>
    <row r="5747" spans="1:7" x14ac:dyDescent="0.25">
      <c r="A5747" t="s">
        <v>45</v>
      </c>
      <c r="B5747" t="s">
        <v>46</v>
      </c>
      <c r="C5747" t="s">
        <v>47</v>
      </c>
      <c r="D5747">
        <v>14346515</v>
      </c>
      <c r="E5747" t="s">
        <v>48</v>
      </c>
      <c r="F5747" t="s">
        <v>49</v>
      </c>
      <c r="G5747" s="30">
        <v>0</v>
      </c>
    </row>
    <row r="5748" spans="1:7" x14ac:dyDescent="0.25">
      <c r="A5748" t="s">
        <v>45</v>
      </c>
      <c r="B5748" t="s">
        <v>46</v>
      </c>
      <c r="C5748" t="s">
        <v>47</v>
      </c>
      <c r="D5748">
        <v>14369512</v>
      </c>
      <c r="E5748" t="s">
        <v>48</v>
      </c>
      <c r="F5748" t="s">
        <v>49</v>
      </c>
      <c r="G5748" s="30">
        <v>0</v>
      </c>
    </row>
    <row r="5749" spans="1:7" x14ac:dyDescent="0.25">
      <c r="A5749" t="s">
        <v>100</v>
      </c>
      <c r="B5749" t="s">
        <v>101</v>
      </c>
      <c r="C5749" t="s">
        <v>52</v>
      </c>
      <c r="D5749">
        <v>14378634</v>
      </c>
      <c r="E5749" t="s">
        <v>53</v>
      </c>
      <c r="F5749" t="s">
        <v>49</v>
      </c>
      <c r="G5749" s="30">
        <v>151947.38231933099</v>
      </c>
    </row>
    <row r="5750" spans="1:7" x14ac:dyDescent="0.25">
      <c r="A5750" t="s">
        <v>116</v>
      </c>
      <c r="B5750" t="s">
        <v>117</v>
      </c>
      <c r="C5750" t="s">
        <v>47</v>
      </c>
      <c r="D5750">
        <v>14379349</v>
      </c>
      <c r="E5750" t="s">
        <v>53</v>
      </c>
      <c r="F5750" t="s">
        <v>49</v>
      </c>
      <c r="G5750" s="30">
        <v>5209901.0063306401</v>
      </c>
    </row>
    <row r="5751" spans="1:7" x14ac:dyDescent="0.25">
      <c r="A5751" t="s">
        <v>45</v>
      </c>
      <c r="B5751" t="s">
        <v>46</v>
      </c>
      <c r="C5751" t="s">
        <v>47</v>
      </c>
      <c r="D5751">
        <v>14382793</v>
      </c>
      <c r="E5751" t="s">
        <v>48</v>
      </c>
      <c r="F5751" t="s">
        <v>49</v>
      </c>
      <c r="G5751" s="30">
        <v>0</v>
      </c>
    </row>
    <row r="5752" spans="1:7" x14ac:dyDescent="0.25">
      <c r="A5752" t="s">
        <v>79</v>
      </c>
      <c r="B5752" t="s">
        <v>80</v>
      </c>
      <c r="C5752" t="s">
        <v>81</v>
      </c>
      <c r="D5752">
        <v>14397251</v>
      </c>
      <c r="E5752" t="s">
        <v>53</v>
      </c>
      <c r="F5752" t="s">
        <v>49</v>
      </c>
      <c r="G5752" s="30">
        <v>22178.758186994</v>
      </c>
    </row>
    <row r="5753" spans="1:7" x14ac:dyDescent="0.25">
      <c r="A5753" t="s">
        <v>45</v>
      </c>
      <c r="B5753" t="s">
        <v>46</v>
      </c>
      <c r="C5753" t="s">
        <v>47</v>
      </c>
      <c r="D5753">
        <v>14403956</v>
      </c>
      <c r="E5753" t="s">
        <v>48</v>
      </c>
      <c r="F5753" t="s">
        <v>49</v>
      </c>
      <c r="G5753" s="30">
        <v>0</v>
      </c>
    </row>
    <row r="5754" spans="1:7" x14ac:dyDescent="0.25">
      <c r="A5754" t="s">
        <v>61</v>
      </c>
      <c r="B5754" t="s">
        <v>62</v>
      </c>
      <c r="C5754" t="s">
        <v>56</v>
      </c>
      <c r="D5754">
        <v>14405143</v>
      </c>
      <c r="E5754" t="s">
        <v>48</v>
      </c>
      <c r="F5754" t="s">
        <v>49</v>
      </c>
      <c r="G5754" s="30">
        <v>0</v>
      </c>
    </row>
    <row r="5755" spans="1:7" x14ac:dyDescent="0.25">
      <c r="A5755" t="s">
        <v>54</v>
      </c>
      <c r="B5755" t="s">
        <v>55</v>
      </c>
      <c r="C5755" t="s">
        <v>56</v>
      </c>
      <c r="D5755">
        <v>14408333</v>
      </c>
      <c r="E5755" t="s">
        <v>48</v>
      </c>
      <c r="F5755" t="s">
        <v>49</v>
      </c>
      <c r="G5755" s="30">
        <v>0</v>
      </c>
    </row>
    <row r="5756" spans="1:7" x14ac:dyDescent="0.25">
      <c r="A5756" t="s">
        <v>63</v>
      </c>
      <c r="B5756" t="s">
        <v>64</v>
      </c>
      <c r="C5756" t="s">
        <v>56</v>
      </c>
      <c r="D5756">
        <v>14408770</v>
      </c>
      <c r="E5756" t="s">
        <v>53</v>
      </c>
      <c r="F5756" t="s">
        <v>49</v>
      </c>
      <c r="G5756" s="30">
        <v>39282.4884119993</v>
      </c>
    </row>
    <row r="5757" spans="1:7" x14ac:dyDescent="0.25">
      <c r="A5757" t="s">
        <v>45</v>
      </c>
      <c r="B5757" t="s">
        <v>46</v>
      </c>
      <c r="C5757" t="s">
        <v>47</v>
      </c>
      <c r="D5757">
        <v>14409085</v>
      </c>
      <c r="E5757" t="s">
        <v>48</v>
      </c>
      <c r="F5757" t="s">
        <v>49</v>
      </c>
      <c r="G5757" s="30">
        <v>0</v>
      </c>
    </row>
    <row r="5758" spans="1:7" x14ac:dyDescent="0.25">
      <c r="A5758" t="s">
        <v>79</v>
      </c>
      <c r="B5758" t="s">
        <v>80</v>
      </c>
      <c r="C5758" t="s">
        <v>81</v>
      </c>
      <c r="D5758">
        <v>14409209</v>
      </c>
      <c r="E5758" t="s">
        <v>53</v>
      </c>
      <c r="F5758" t="s">
        <v>49</v>
      </c>
      <c r="G5758" s="30">
        <v>23254.550431159401</v>
      </c>
    </row>
    <row r="5759" spans="1:7" x14ac:dyDescent="0.25">
      <c r="A5759" t="s">
        <v>79</v>
      </c>
      <c r="B5759" t="s">
        <v>80</v>
      </c>
      <c r="C5759" t="s">
        <v>81</v>
      </c>
      <c r="D5759">
        <v>14412523</v>
      </c>
      <c r="E5759" t="s">
        <v>53</v>
      </c>
      <c r="F5759" t="s">
        <v>49</v>
      </c>
      <c r="G5759" s="30">
        <v>295.07477871485997</v>
      </c>
    </row>
    <row r="5760" spans="1:7" x14ac:dyDescent="0.25">
      <c r="A5760" t="s">
        <v>79</v>
      </c>
      <c r="B5760" t="s">
        <v>80</v>
      </c>
      <c r="C5760" t="s">
        <v>81</v>
      </c>
      <c r="D5760">
        <v>14429499</v>
      </c>
      <c r="E5760" t="s">
        <v>53</v>
      </c>
      <c r="F5760" t="s">
        <v>49</v>
      </c>
      <c r="G5760" s="30">
        <v>278835.922238175</v>
      </c>
    </row>
    <row r="5761" spans="1:7" x14ac:dyDescent="0.25">
      <c r="A5761" t="s">
        <v>76</v>
      </c>
      <c r="B5761" t="s">
        <v>77</v>
      </c>
      <c r="C5761" t="s">
        <v>78</v>
      </c>
      <c r="D5761">
        <v>14429561</v>
      </c>
      <c r="E5761" t="s">
        <v>53</v>
      </c>
      <c r="F5761" t="s">
        <v>49</v>
      </c>
      <c r="G5761" s="30">
        <v>365288.93086740602</v>
      </c>
    </row>
    <row r="5762" spans="1:7" x14ac:dyDescent="0.25">
      <c r="A5762" t="s">
        <v>65</v>
      </c>
      <c r="B5762" t="s">
        <v>66</v>
      </c>
      <c r="C5762" t="s">
        <v>67</v>
      </c>
      <c r="D5762">
        <v>14433178</v>
      </c>
      <c r="E5762" t="s">
        <v>53</v>
      </c>
      <c r="F5762" t="s">
        <v>49</v>
      </c>
      <c r="G5762" s="30">
        <v>399944.91259834397</v>
      </c>
    </row>
    <row r="5763" spans="1:7" x14ac:dyDescent="0.25">
      <c r="A5763" t="s">
        <v>102</v>
      </c>
      <c r="B5763" t="s">
        <v>103</v>
      </c>
      <c r="C5763" t="s">
        <v>47</v>
      </c>
      <c r="D5763">
        <v>14446455</v>
      </c>
      <c r="E5763" t="s">
        <v>53</v>
      </c>
      <c r="F5763" t="s">
        <v>49</v>
      </c>
      <c r="G5763" s="30">
        <v>28152.967672651699</v>
      </c>
    </row>
    <row r="5764" spans="1:7" x14ac:dyDescent="0.25">
      <c r="A5764" t="s">
        <v>76</v>
      </c>
      <c r="B5764" t="s">
        <v>77</v>
      </c>
      <c r="C5764" t="s">
        <v>78</v>
      </c>
      <c r="D5764">
        <v>14446819</v>
      </c>
      <c r="E5764" t="s">
        <v>53</v>
      </c>
      <c r="F5764" t="s">
        <v>49</v>
      </c>
      <c r="G5764" s="30">
        <v>183220.57</v>
      </c>
    </row>
    <row r="5765" spans="1:7" x14ac:dyDescent="0.25">
      <c r="A5765" t="s">
        <v>118</v>
      </c>
      <c r="B5765" t="s">
        <v>119</v>
      </c>
      <c r="C5765" t="s">
        <v>56</v>
      </c>
      <c r="D5765">
        <v>14447051</v>
      </c>
      <c r="E5765" t="s">
        <v>53</v>
      </c>
      <c r="F5765" t="s">
        <v>49</v>
      </c>
      <c r="G5765" s="30">
        <v>88598.484375</v>
      </c>
    </row>
    <row r="5766" spans="1:7" x14ac:dyDescent="0.25">
      <c r="A5766" t="s">
        <v>45</v>
      </c>
      <c r="B5766" t="s">
        <v>46</v>
      </c>
      <c r="C5766" t="s">
        <v>47</v>
      </c>
      <c r="D5766">
        <v>14452491</v>
      </c>
      <c r="E5766" t="s">
        <v>48</v>
      </c>
      <c r="F5766" t="s">
        <v>49</v>
      </c>
      <c r="G5766" s="30">
        <v>30</v>
      </c>
    </row>
    <row r="5767" spans="1:7" x14ac:dyDescent="0.25">
      <c r="A5767" t="s">
        <v>118</v>
      </c>
      <c r="B5767" t="s">
        <v>119</v>
      </c>
      <c r="C5767" t="s">
        <v>56</v>
      </c>
      <c r="D5767">
        <v>14453636</v>
      </c>
      <c r="E5767" t="s">
        <v>48</v>
      </c>
      <c r="F5767" t="s">
        <v>49</v>
      </c>
      <c r="G5767" s="30">
        <v>0</v>
      </c>
    </row>
    <row r="5768" spans="1:7" x14ac:dyDescent="0.25">
      <c r="A5768" t="s">
        <v>65</v>
      </c>
      <c r="B5768" t="s">
        <v>66</v>
      </c>
      <c r="C5768" t="s">
        <v>67</v>
      </c>
      <c r="D5768">
        <v>14454312</v>
      </c>
      <c r="E5768" t="s">
        <v>53</v>
      </c>
      <c r="F5768" t="s">
        <v>49</v>
      </c>
      <c r="G5768" s="30">
        <v>1160587.0703602601</v>
      </c>
    </row>
    <row r="5769" spans="1:7" x14ac:dyDescent="0.25">
      <c r="A5769" t="s">
        <v>126</v>
      </c>
      <c r="B5769" t="s">
        <v>127</v>
      </c>
      <c r="C5769" t="s">
        <v>67</v>
      </c>
      <c r="D5769">
        <v>14457899</v>
      </c>
      <c r="E5769" t="s">
        <v>53</v>
      </c>
      <c r="F5769" t="s">
        <v>49</v>
      </c>
      <c r="G5769" s="30">
        <v>1039.02</v>
      </c>
    </row>
    <row r="5770" spans="1:7" x14ac:dyDescent="0.25">
      <c r="A5770" t="s">
        <v>45</v>
      </c>
      <c r="B5770" t="s">
        <v>46</v>
      </c>
      <c r="C5770" t="s">
        <v>47</v>
      </c>
      <c r="D5770">
        <v>14458487</v>
      </c>
      <c r="E5770" t="s">
        <v>48</v>
      </c>
      <c r="F5770" t="s">
        <v>49</v>
      </c>
      <c r="G5770" s="30">
        <v>0</v>
      </c>
    </row>
    <row r="5771" spans="1:7" x14ac:dyDescent="0.25">
      <c r="A5771" t="s">
        <v>59</v>
      </c>
      <c r="B5771" t="s">
        <v>60</v>
      </c>
      <c r="C5771" t="s">
        <v>56</v>
      </c>
      <c r="D5771">
        <v>14459275</v>
      </c>
      <c r="E5771" t="s">
        <v>53</v>
      </c>
      <c r="F5771" t="s">
        <v>49</v>
      </c>
      <c r="G5771" s="30">
        <v>245287.33776222999</v>
      </c>
    </row>
    <row r="5772" spans="1:7" x14ac:dyDescent="0.25">
      <c r="A5772" t="s">
        <v>90</v>
      </c>
      <c r="B5772" t="s">
        <v>91</v>
      </c>
      <c r="C5772" t="s">
        <v>81</v>
      </c>
      <c r="D5772">
        <v>14460861</v>
      </c>
      <c r="E5772" t="s">
        <v>53</v>
      </c>
      <c r="F5772" t="s">
        <v>49</v>
      </c>
      <c r="G5772" s="30">
        <v>1371624.71</v>
      </c>
    </row>
    <row r="5773" spans="1:7" x14ac:dyDescent="0.25">
      <c r="A5773" t="s">
        <v>82</v>
      </c>
      <c r="B5773" t="s">
        <v>83</v>
      </c>
      <c r="C5773" t="s">
        <v>56</v>
      </c>
      <c r="D5773">
        <v>14461184</v>
      </c>
      <c r="E5773" t="s">
        <v>48</v>
      </c>
      <c r="F5773" t="s">
        <v>49</v>
      </c>
      <c r="G5773" s="30">
        <v>0</v>
      </c>
    </row>
    <row r="5774" spans="1:7" x14ac:dyDescent="0.25">
      <c r="A5774" t="s">
        <v>116</v>
      </c>
      <c r="B5774" t="s">
        <v>117</v>
      </c>
      <c r="C5774" t="s">
        <v>47</v>
      </c>
      <c r="D5774">
        <v>14462689</v>
      </c>
      <c r="E5774" t="s">
        <v>53</v>
      </c>
      <c r="F5774" t="s">
        <v>49</v>
      </c>
      <c r="G5774" s="30">
        <v>394633.82182755502</v>
      </c>
    </row>
    <row r="5775" spans="1:7" x14ac:dyDescent="0.25">
      <c r="A5775" t="s">
        <v>118</v>
      </c>
      <c r="B5775" t="s">
        <v>119</v>
      </c>
      <c r="C5775" t="s">
        <v>56</v>
      </c>
      <c r="D5775">
        <v>14477886</v>
      </c>
      <c r="E5775" t="s">
        <v>53</v>
      </c>
      <c r="F5775" t="s">
        <v>49</v>
      </c>
      <c r="G5775" s="30">
        <v>57010.557204731602</v>
      </c>
    </row>
    <row r="5776" spans="1:7" x14ac:dyDescent="0.25">
      <c r="A5776" t="s">
        <v>84</v>
      </c>
      <c r="B5776" t="s">
        <v>85</v>
      </c>
      <c r="C5776" t="s">
        <v>67</v>
      </c>
      <c r="D5776">
        <v>14478169</v>
      </c>
      <c r="E5776" t="s">
        <v>53</v>
      </c>
      <c r="F5776" t="s">
        <v>49</v>
      </c>
      <c r="G5776" s="30">
        <v>2668504.0268252301</v>
      </c>
    </row>
    <row r="5777" spans="1:7" x14ac:dyDescent="0.25">
      <c r="A5777" t="s">
        <v>88</v>
      </c>
      <c r="B5777" t="s">
        <v>89</v>
      </c>
      <c r="C5777" t="s">
        <v>78</v>
      </c>
      <c r="D5777">
        <v>14521991</v>
      </c>
      <c r="E5777" t="s">
        <v>53</v>
      </c>
      <c r="F5777" t="s">
        <v>49</v>
      </c>
      <c r="G5777" s="30">
        <v>124625.21194824199</v>
      </c>
    </row>
    <row r="5778" spans="1:7" x14ac:dyDescent="0.25">
      <c r="A5778" t="s">
        <v>133</v>
      </c>
      <c r="B5778" t="s">
        <v>134</v>
      </c>
      <c r="C5778" t="s">
        <v>47</v>
      </c>
      <c r="D5778">
        <v>14522182</v>
      </c>
      <c r="E5778" t="s">
        <v>53</v>
      </c>
      <c r="F5778" t="s">
        <v>49</v>
      </c>
      <c r="G5778" s="30">
        <v>84050.155050417903</v>
      </c>
    </row>
    <row r="5779" spans="1:7" x14ac:dyDescent="0.25">
      <c r="A5779" t="s">
        <v>118</v>
      </c>
      <c r="B5779" t="s">
        <v>119</v>
      </c>
      <c r="C5779" t="s">
        <v>56</v>
      </c>
      <c r="D5779">
        <v>14522740</v>
      </c>
      <c r="E5779" t="s">
        <v>53</v>
      </c>
      <c r="F5779" t="s">
        <v>49</v>
      </c>
      <c r="G5779" s="30">
        <v>7312.8819703509498</v>
      </c>
    </row>
    <row r="5780" spans="1:7" x14ac:dyDescent="0.25">
      <c r="A5780" t="s">
        <v>68</v>
      </c>
      <c r="B5780" t="s">
        <v>69</v>
      </c>
      <c r="C5780" t="s">
        <v>56</v>
      </c>
      <c r="D5780">
        <v>14523482</v>
      </c>
      <c r="E5780" t="s">
        <v>48</v>
      </c>
      <c r="F5780" t="s">
        <v>49</v>
      </c>
      <c r="G5780" s="30">
        <v>0</v>
      </c>
    </row>
    <row r="5781" spans="1:7" x14ac:dyDescent="0.25">
      <c r="A5781" t="s">
        <v>45</v>
      </c>
      <c r="B5781" t="s">
        <v>46</v>
      </c>
      <c r="C5781" t="s">
        <v>47</v>
      </c>
      <c r="D5781">
        <v>14527886</v>
      </c>
      <c r="E5781" t="s">
        <v>48</v>
      </c>
      <c r="F5781" t="s">
        <v>49</v>
      </c>
      <c r="G5781" s="30">
        <v>0</v>
      </c>
    </row>
    <row r="5782" spans="1:7" x14ac:dyDescent="0.25">
      <c r="A5782" t="s">
        <v>90</v>
      </c>
      <c r="B5782" t="s">
        <v>91</v>
      </c>
      <c r="C5782" t="s">
        <v>81</v>
      </c>
      <c r="D5782">
        <v>14528078</v>
      </c>
      <c r="E5782" t="s">
        <v>53</v>
      </c>
      <c r="F5782" t="s">
        <v>49</v>
      </c>
      <c r="G5782" s="30">
        <v>251019.216602662</v>
      </c>
    </row>
    <row r="5783" spans="1:7" x14ac:dyDescent="0.25">
      <c r="A5783" t="s">
        <v>50</v>
      </c>
      <c r="B5783" t="s">
        <v>51</v>
      </c>
      <c r="C5783" t="s">
        <v>52</v>
      </c>
      <c r="D5783">
        <v>14528632</v>
      </c>
      <c r="E5783" t="s">
        <v>53</v>
      </c>
      <c r="F5783" t="s">
        <v>49</v>
      </c>
      <c r="G5783" s="30">
        <v>30268.36328125</v>
      </c>
    </row>
    <row r="5784" spans="1:7" x14ac:dyDescent="0.25">
      <c r="A5784" t="s">
        <v>45</v>
      </c>
      <c r="B5784" t="s">
        <v>46</v>
      </c>
      <c r="C5784" t="s">
        <v>47</v>
      </c>
      <c r="D5784">
        <v>14533237</v>
      </c>
      <c r="E5784" t="s">
        <v>48</v>
      </c>
      <c r="F5784" t="s">
        <v>49</v>
      </c>
      <c r="G5784" s="30">
        <v>0</v>
      </c>
    </row>
    <row r="5785" spans="1:7" x14ac:dyDescent="0.25">
      <c r="A5785" t="s">
        <v>45</v>
      </c>
      <c r="B5785" t="s">
        <v>46</v>
      </c>
      <c r="C5785" t="s">
        <v>47</v>
      </c>
      <c r="D5785">
        <v>14533252</v>
      </c>
      <c r="E5785" t="s">
        <v>48</v>
      </c>
      <c r="F5785" t="s">
        <v>49</v>
      </c>
      <c r="G5785" s="30">
        <v>0</v>
      </c>
    </row>
    <row r="5786" spans="1:7" x14ac:dyDescent="0.25">
      <c r="A5786" t="s">
        <v>45</v>
      </c>
      <c r="B5786" t="s">
        <v>46</v>
      </c>
      <c r="C5786" t="s">
        <v>47</v>
      </c>
      <c r="D5786">
        <v>14535347</v>
      </c>
      <c r="E5786" t="s">
        <v>48</v>
      </c>
      <c r="F5786" t="s">
        <v>49</v>
      </c>
      <c r="G5786" s="30">
        <v>0</v>
      </c>
    </row>
    <row r="5787" spans="1:7" x14ac:dyDescent="0.25">
      <c r="A5787" t="s">
        <v>133</v>
      </c>
      <c r="B5787" t="s">
        <v>134</v>
      </c>
      <c r="C5787" t="s">
        <v>47</v>
      </c>
      <c r="D5787">
        <v>14546447</v>
      </c>
      <c r="E5787" t="s">
        <v>53</v>
      </c>
      <c r="F5787" t="s">
        <v>49</v>
      </c>
      <c r="G5787" s="30">
        <v>1266751.74227672</v>
      </c>
    </row>
    <row r="5788" spans="1:7" x14ac:dyDescent="0.25">
      <c r="A5788" t="s">
        <v>92</v>
      </c>
      <c r="B5788" t="s">
        <v>93</v>
      </c>
      <c r="C5788" t="s">
        <v>81</v>
      </c>
      <c r="D5788">
        <v>14548665</v>
      </c>
      <c r="E5788" t="s">
        <v>48</v>
      </c>
      <c r="F5788" t="s">
        <v>49</v>
      </c>
      <c r="G5788" s="30">
        <v>40.46</v>
      </c>
    </row>
    <row r="5789" spans="1:7" x14ac:dyDescent="0.25">
      <c r="A5789" t="s">
        <v>59</v>
      </c>
      <c r="B5789" t="s">
        <v>60</v>
      </c>
      <c r="C5789" t="s">
        <v>56</v>
      </c>
      <c r="D5789">
        <v>14548774</v>
      </c>
      <c r="E5789" t="s">
        <v>53</v>
      </c>
      <c r="F5789" t="s">
        <v>49</v>
      </c>
      <c r="G5789" s="30">
        <v>100</v>
      </c>
    </row>
    <row r="5790" spans="1:7" x14ac:dyDescent="0.25">
      <c r="A5790" t="s">
        <v>45</v>
      </c>
      <c r="B5790" t="s">
        <v>46</v>
      </c>
      <c r="C5790" t="s">
        <v>47</v>
      </c>
      <c r="D5790">
        <v>14554222</v>
      </c>
      <c r="E5790" t="s">
        <v>48</v>
      </c>
      <c r="F5790" t="s">
        <v>49</v>
      </c>
      <c r="G5790" s="30">
        <v>31.95</v>
      </c>
    </row>
    <row r="5791" spans="1:7" x14ac:dyDescent="0.25">
      <c r="A5791" t="s">
        <v>45</v>
      </c>
      <c r="B5791" t="s">
        <v>46</v>
      </c>
      <c r="C5791" t="s">
        <v>47</v>
      </c>
      <c r="D5791">
        <v>14554241</v>
      </c>
      <c r="E5791" t="s">
        <v>48</v>
      </c>
      <c r="F5791" t="s">
        <v>49</v>
      </c>
      <c r="G5791" s="30">
        <v>0</v>
      </c>
    </row>
    <row r="5792" spans="1:7" x14ac:dyDescent="0.25">
      <c r="A5792" t="s">
        <v>79</v>
      </c>
      <c r="B5792" t="s">
        <v>80</v>
      </c>
      <c r="C5792" t="s">
        <v>81</v>
      </c>
      <c r="D5792">
        <v>14554717</v>
      </c>
      <c r="E5792" t="s">
        <v>53</v>
      </c>
      <c r="F5792" t="s">
        <v>49</v>
      </c>
      <c r="G5792" s="30">
        <v>81141.711142589702</v>
      </c>
    </row>
    <row r="5793" spans="1:7" x14ac:dyDescent="0.25">
      <c r="A5793" t="s">
        <v>59</v>
      </c>
      <c r="B5793" t="s">
        <v>60</v>
      </c>
      <c r="C5793" t="s">
        <v>56</v>
      </c>
      <c r="D5793">
        <v>14555248</v>
      </c>
      <c r="E5793" t="s">
        <v>53</v>
      </c>
      <c r="F5793" t="s">
        <v>49</v>
      </c>
      <c r="G5793" s="30">
        <v>100</v>
      </c>
    </row>
    <row r="5794" spans="1:7" x14ac:dyDescent="0.25">
      <c r="A5794" t="s">
        <v>114</v>
      </c>
      <c r="B5794" t="s">
        <v>115</v>
      </c>
      <c r="C5794" t="s">
        <v>56</v>
      </c>
      <c r="D5794">
        <v>14558149</v>
      </c>
      <c r="E5794" t="s">
        <v>53</v>
      </c>
      <c r="F5794" t="s">
        <v>49</v>
      </c>
      <c r="G5794" s="30">
        <v>179927.5574503</v>
      </c>
    </row>
    <row r="5795" spans="1:7" x14ac:dyDescent="0.25">
      <c r="A5795" t="s">
        <v>45</v>
      </c>
      <c r="B5795" t="s">
        <v>46</v>
      </c>
      <c r="C5795" t="s">
        <v>47</v>
      </c>
      <c r="D5795">
        <v>14559142</v>
      </c>
      <c r="E5795" t="s">
        <v>48</v>
      </c>
      <c r="F5795" t="s">
        <v>49</v>
      </c>
      <c r="G5795" s="30">
        <v>0</v>
      </c>
    </row>
    <row r="5796" spans="1:7" x14ac:dyDescent="0.25">
      <c r="A5796" t="s">
        <v>50</v>
      </c>
      <c r="B5796" t="s">
        <v>51</v>
      </c>
      <c r="C5796" t="s">
        <v>52</v>
      </c>
      <c r="D5796">
        <v>14565344</v>
      </c>
      <c r="E5796" t="s">
        <v>53</v>
      </c>
      <c r="F5796" t="s">
        <v>49</v>
      </c>
      <c r="G5796" s="30">
        <v>5191.1712304687499</v>
      </c>
    </row>
    <row r="5797" spans="1:7" x14ac:dyDescent="0.25">
      <c r="A5797" t="s">
        <v>45</v>
      </c>
      <c r="B5797" t="s">
        <v>46</v>
      </c>
      <c r="C5797" t="s">
        <v>47</v>
      </c>
      <c r="D5797">
        <v>14566200</v>
      </c>
      <c r="E5797" t="s">
        <v>48</v>
      </c>
      <c r="F5797" t="s">
        <v>49</v>
      </c>
      <c r="G5797" s="30">
        <v>0</v>
      </c>
    </row>
    <row r="5798" spans="1:7" x14ac:dyDescent="0.25">
      <c r="A5798" t="s">
        <v>79</v>
      </c>
      <c r="B5798" t="s">
        <v>80</v>
      </c>
      <c r="C5798" t="s">
        <v>81</v>
      </c>
      <c r="D5798">
        <v>14574736</v>
      </c>
      <c r="E5798" t="s">
        <v>53</v>
      </c>
      <c r="F5798" t="s">
        <v>49</v>
      </c>
      <c r="G5798" s="30">
        <v>556442.51450546202</v>
      </c>
    </row>
    <row r="5799" spans="1:7" x14ac:dyDescent="0.25">
      <c r="A5799" t="s">
        <v>45</v>
      </c>
      <c r="B5799" t="s">
        <v>46</v>
      </c>
      <c r="C5799" t="s">
        <v>47</v>
      </c>
      <c r="D5799">
        <v>14586996</v>
      </c>
      <c r="E5799" t="s">
        <v>48</v>
      </c>
      <c r="F5799" t="s">
        <v>49</v>
      </c>
      <c r="G5799" s="30">
        <v>0.01</v>
      </c>
    </row>
    <row r="5800" spans="1:7" x14ac:dyDescent="0.25">
      <c r="A5800" t="s">
        <v>79</v>
      </c>
      <c r="B5800" t="s">
        <v>80</v>
      </c>
      <c r="C5800" t="s">
        <v>81</v>
      </c>
      <c r="D5800">
        <v>14587752</v>
      </c>
      <c r="E5800" t="s">
        <v>48</v>
      </c>
      <c r="F5800" t="s">
        <v>49</v>
      </c>
      <c r="G5800" s="30">
        <v>27.2</v>
      </c>
    </row>
    <row r="5801" spans="1:7" x14ac:dyDescent="0.25">
      <c r="A5801" t="s">
        <v>112</v>
      </c>
      <c r="B5801" t="s">
        <v>113</v>
      </c>
      <c r="C5801" t="s">
        <v>81</v>
      </c>
      <c r="D5801">
        <v>14594032</v>
      </c>
      <c r="E5801" t="s">
        <v>53</v>
      </c>
      <c r="F5801" t="s">
        <v>49</v>
      </c>
      <c r="G5801" s="30">
        <v>100331.04359514501</v>
      </c>
    </row>
    <row r="5802" spans="1:7" x14ac:dyDescent="0.25">
      <c r="A5802" t="s">
        <v>118</v>
      </c>
      <c r="B5802" t="s">
        <v>119</v>
      </c>
      <c r="C5802" t="s">
        <v>56</v>
      </c>
      <c r="D5802">
        <v>14594380</v>
      </c>
      <c r="E5802" t="s">
        <v>53</v>
      </c>
      <c r="F5802" t="s">
        <v>49</v>
      </c>
      <c r="G5802" s="30">
        <v>1519948.8455520701</v>
      </c>
    </row>
    <row r="5803" spans="1:7" x14ac:dyDescent="0.25">
      <c r="A5803" t="s">
        <v>70</v>
      </c>
      <c r="B5803" t="s">
        <v>71</v>
      </c>
      <c r="C5803" t="s">
        <v>47</v>
      </c>
      <c r="D5803">
        <v>14598557</v>
      </c>
      <c r="E5803" t="s">
        <v>53</v>
      </c>
      <c r="F5803" t="s">
        <v>49</v>
      </c>
      <c r="G5803" s="30">
        <v>101447.00381206399</v>
      </c>
    </row>
    <row r="5804" spans="1:7" x14ac:dyDescent="0.25">
      <c r="A5804" t="s">
        <v>106</v>
      </c>
      <c r="B5804" t="s">
        <v>107</v>
      </c>
      <c r="C5804" t="s">
        <v>56</v>
      </c>
      <c r="D5804">
        <v>14598559</v>
      </c>
      <c r="E5804" t="s">
        <v>53</v>
      </c>
      <c r="F5804" t="s">
        <v>49</v>
      </c>
      <c r="G5804" s="30">
        <v>428568.82407121401</v>
      </c>
    </row>
    <row r="5805" spans="1:7" x14ac:dyDescent="0.25">
      <c r="A5805" t="s">
        <v>88</v>
      </c>
      <c r="B5805" t="s">
        <v>89</v>
      </c>
      <c r="C5805" t="s">
        <v>78</v>
      </c>
      <c r="D5805">
        <v>14599964</v>
      </c>
      <c r="E5805" t="s">
        <v>53</v>
      </c>
      <c r="F5805" t="s">
        <v>49</v>
      </c>
      <c r="G5805" s="30">
        <v>119690.79381160199</v>
      </c>
    </row>
    <row r="5806" spans="1:7" x14ac:dyDescent="0.25">
      <c r="A5806" t="s">
        <v>45</v>
      </c>
      <c r="B5806" t="s">
        <v>46</v>
      </c>
      <c r="C5806" t="s">
        <v>47</v>
      </c>
      <c r="D5806">
        <v>14604272</v>
      </c>
      <c r="E5806" t="s">
        <v>48</v>
      </c>
      <c r="F5806" t="s">
        <v>49</v>
      </c>
      <c r="G5806" s="30">
        <v>0</v>
      </c>
    </row>
    <row r="5807" spans="1:7" x14ac:dyDescent="0.25">
      <c r="A5807" t="s">
        <v>82</v>
      </c>
      <c r="B5807" t="s">
        <v>83</v>
      </c>
      <c r="C5807" t="s">
        <v>56</v>
      </c>
      <c r="D5807">
        <v>14604684</v>
      </c>
      <c r="E5807" t="s">
        <v>48</v>
      </c>
      <c r="F5807" t="s">
        <v>49</v>
      </c>
      <c r="G5807" s="30">
        <v>0</v>
      </c>
    </row>
    <row r="5808" spans="1:7" x14ac:dyDescent="0.25">
      <c r="A5808" t="s">
        <v>82</v>
      </c>
      <c r="B5808" t="s">
        <v>83</v>
      </c>
      <c r="C5808" t="s">
        <v>56</v>
      </c>
      <c r="D5808">
        <v>14609893</v>
      </c>
      <c r="E5808" t="s">
        <v>48</v>
      </c>
      <c r="F5808" t="s">
        <v>49</v>
      </c>
      <c r="G5808" s="30">
        <v>0</v>
      </c>
    </row>
    <row r="5809" spans="1:7" x14ac:dyDescent="0.25">
      <c r="A5809" t="s">
        <v>79</v>
      </c>
      <c r="B5809" t="s">
        <v>80</v>
      </c>
      <c r="C5809" t="s">
        <v>81</v>
      </c>
      <c r="D5809">
        <v>14611630</v>
      </c>
      <c r="E5809" t="s">
        <v>48</v>
      </c>
      <c r="F5809" t="s">
        <v>49</v>
      </c>
      <c r="G5809" s="30">
        <v>0</v>
      </c>
    </row>
    <row r="5810" spans="1:7" x14ac:dyDescent="0.25">
      <c r="A5810" t="s">
        <v>79</v>
      </c>
      <c r="B5810" t="s">
        <v>80</v>
      </c>
      <c r="C5810" t="s">
        <v>81</v>
      </c>
      <c r="D5810">
        <v>14611801</v>
      </c>
      <c r="E5810" t="s">
        <v>53</v>
      </c>
      <c r="F5810" t="s">
        <v>49</v>
      </c>
      <c r="G5810" s="30">
        <v>1312308.55725944</v>
      </c>
    </row>
    <row r="5811" spans="1:7" x14ac:dyDescent="0.25">
      <c r="A5811" t="s">
        <v>45</v>
      </c>
      <c r="B5811" t="s">
        <v>46</v>
      </c>
      <c r="C5811" t="s">
        <v>47</v>
      </c>
      <c r="D5811">
        <v>14612879</v>
      </c>
      <c r="E5811" t="s">
        <v>48</v>
      </c>
      <c r="F5811" t="s">
        <v>49</v>
      </c>
      <c r="G5811" s="30">
        <v>0</v>
      </c>
    </row>
    <row r="5812" spans="1:7" x14ac:dyDescent="0.25">
      <c r="A5812" t="s">
        <v>45</v>
      </c>
      <c r="B5812" t="s">
        <v>46</v>
      </c>
      <c r="C5812" t="s">
        <v>47</v>
      </c>
      <c r="D5812">
        <v>14613127</v>
      </c>
      <c r="E5812" t="s">
        <v>53</v>
      </c>
      <c r="F5812" t="s">
        <v>49</v>
      </c>
      <c r="G5812" s="30">
        <v>12580.875821051601</v>
      </c>
    </row>
    <row r="5813" spans="1:7" x14ac:dyDescent="0.25">
      <c r="A5813" t="s">
        <v>45</v>
      </c>
      <c r="B5813" t="s">
        <v>46</v>
      </c>
      <c r="C5813" t="s">
        <v>47</v>
      </c>
      <c r="D5813">
        <v>14614783</v>
      </c>
      <c r="E5813" t="s">
        <v>48</v>
      </c>
      <c r="F5813" t="s">
        <v>49</v>
      </c>
      <c r="G5813" s="30">
        <v>0</v>
      </c>
    </row>
    <row r="5814" spans="1:7" x14ac:dyDescent="0.25">
      <c r="A5814" t="s">
        <v>106</v>
      </c>
      <c r="B5814" t="s">
        <v>107</v>
      </c>
      <c r="C5814" t="s">
        <v>56</v>
      </c>
      <c r="D5814">
        <v>14615097</v>
      </c>
      <c r="E5814" t="s">
        <v>53</v>
      </c>
      <c r="F5814" t="s">
        <v>49</v>
      </c>
      <c r="G5814" s="30">
        <v>183091.42140973601</v>
      </c>
    </row>
    <row r="5815" spans="1:7" x14ac:dyDescent="0.25">
      <c r="A5815" t="s">
        <v>50</v>
      </c>
      <c r="B5815" t="s">
        <v>51</v>
      </c>
      <c r="C5815" t="s">
        <v>52</v>
      </c>
      <c r="D5815">
        <v>14621462</v>
      </c>
      <c r="E5815" t="s">
        <v>53</v>
      </c>
      <c r="F5815" t="s">
        <v>49</v>
      </c>
      <c r="G5815" s="30">
        <v>84167.341330915602</v>
      </c>
    </row>
    <row r="5816" spans="1:7" x14ac:dyDescent="0.25">
      <c r="A5816" t="s">
        <v>45</v>
      </c>
      <c r="B5816" t="s">
        <v>46</v>
      </c>
      <c r="C5816" t="s">
        <v>47</v>
      </c>
      <c r="D5816">
        <v>14625712</v>
      </c>
      <c r="E5816" t="s">
        <v>48</v>
      </c>
      <c r="F5816" t="s">
        <v>49</v>
      </c>
      <c r="G5816" s="30">
        <v>0</v>
      </c>
    </row>
    <row r="5817" spans="1:7" x14ac:dyDescent="0.25">
      <c r="A5817" t="s">
        <v>54</v>
      </c>
      <c r="B5817" t="s">
        <v>55</v>
      </c>
      <c r="C5817" t="s">
        <v>56</v>
      </c>
      <c r="D5817">
        <v>14625789</v>
      </c>
      <c r="E5817" t="s">
        <v>53</v>
      </c>
      <c r="F5817" t="s">
        <v>49</v>
      </c>
      <c r="G5817" s="30">
        <v>4150.3891342750303</v>
      </c>
    </row>
    <row r="5818" spans="1:7" x14ac:dyDescent="0.25">
      <c r="A5818" t="s">
        <v>86</v>
      </c>
      <c r="B5818" t="s">
        <v>87</v>
      </c>
      <c r="C5818" t="s">
        <v>78</v>
      </c>
      <c r="D5818">
        <v>14627001</v>
      </c>
      <c r="E5818" t="s">
        <v>53</v>
      </c>
      <c r="F5818" t="s">
        <v>49</v>
      </c>
      <c r="G5818" s="30">
        <v>1211886.7295091699</v>
      </c>
    </row>
    <row r="5819" spans="1:7" x14ac:dyDescent="0.25">
      <c r="A5819" t="s">
        <v>57</v>
      </c>
      <c r="B5819" t="s">
        <v>58</v>
      </c>
      <c r="C5819" t="s">
        <v>56</v>
      </c>
      <c r="D5819">
        <v>14627039</v>
      </c>
      <c r="E5819" t="s">
        <v>53</v>
      </c>
      <c r="F5819" t="s">
        <v>49</v>
      </c>
      <c r="G5819" s="30">
        <v>89493.657820884793</v>
      </c>
    </row>
    <row r="5820" spans="1:7" x14ac:dyDescent="0.25">
      <c r="A5820" t="s">
        <v>90</v>
      </c>
      <c r="B5820" t="s">
        <v>91</v>
      </c>
      <c r="C5820" t="s">
        <v>81</v>
      </c>
      <c r="D5820">
        <v>14631323</v>
      </c>
      <c r="E5820" t="s">
        <v>53</v>
      </c>
      <c r="F5820" t="s">
        <v>49</v>
      </c>
      <c r="G5820" s="30">
        <v>98414.873749999999</v>
      </c>
    </row>
    <row r="5821" spans="1:7" x14ac:dyDescent="0.25">
      <c r="A5821" t="s">
        <v>92</v>
      </c>
      <c r="B5821" t="s">
        <v>93</v>
      </c>
      <c r="C5821" t="s">
        <v>81</v>
      </c>
      <c r="D5821">
        <v>14639916</v>
      </c>
      <c r="E5821" t="s">
        <v>48</v>
      </c>
      <c r="F5821" t="s">
        <v>49</v>
      </c>
      <c r="G5821" s="30">
        <v>0</v>
      </c>
    </row>
    <row r="5822" spans="1:7" x14ac:dyDescent="0.25">
      <c r="A5822" t="s">
        <v>79</v>
      </c>
      <c r="B5822" t="s">
        <v>80</v>
      </c>
      <c r="C5822" t="s">
        <v>81</v>
      </c>
      <c r="D5822">
        <v>14643532</v>
      </c>
      <c r="E5822" t="s">
        <v>53</v>
      </c>
      <c r="F5822" t="s">
        <v>49</v>
      </c>
      <c r="G5822" s="30">
        <v>68492.923404995803</v>
      </c>
    </row>
    <row r="5823" spans="1:7" x14ac:dyDescent="0.25">
      <c r="A5823" t="s">
        <v>45</v>
      </c>
      <c r="B5823" t="s">
        <v>46</v>
      </c>
      <c r="C5823" t="s">
        <v>47</v>
      </c>
      <c r="D5823">
        <v>14650434</v>
      </c>
      <c r="E5823" t="s">
        <v>48</v>
      </c>
      <c r="F5823" t="s">
        <v>49</v>
      </c>
      <c r="G5823" s="30">
        <v>0</v>
      </c>
    </row>
    <row r="5824" spans="1:7" x14ac:dyDescent="0.25">
      <c r="A5824" t="s">
        <v>124</v>
      </c>
      <c r="B5824" t="s">
        <v>125</v>
      </c>
      <c r="C5824" t="s">
        <v>78</v>
      </c>
      <c r="D5824">
        <v>14650818</v>
      </c>
      <c r="E5824" t="s">
        <v>53</v>
      </c>
      <c r="F5824" t="s">
        <v>49</v>
      </c>
      <c r="G5824" s="30">
        <v>110200.698789748</v>
      </c>
    </row>
    <row r="5825" spans="1:7" x14ac:dyDescent="0.25">
      <c r="A5825" t="s">
        <v>94</v>
      </c>
      <c r="B5825" t="s">
        <v>95</v>
      </c>
      <c r="C5825" t="s">
        <v>78</v>
      </c>
      <c r="D5825">
        <v>14650909</v>
      </c>
      <c r="E5825" t="s">
        <v>48</v>
      </c>
      <c r="F5825" t="s">
        <v>49</v>
      </c>
      <c r="G5825" s="30">
        <v>0</v>
      </c>
    </row>
    <row r="5826" spans="1:7" x14ac:dyDescent="0.25">
      <c r="A5826" t="s">
        <v>45</v>
      </c>
      <c r="B5826" t="s">
        <v>46</v>
      </c>
      <c r="C5826" t="s">
        <v>47</v>
      </c>
      <c r="D5826">
        <v>14653000</v>
      </c>
      <c r="E5826" t="s">
        <v>48</v>
      </c>
      <c r="F5826" t="s">
        <v>49</v>
      </c>
      <c r="G5826" s="30">
        <v>0</v>
      </c>
    </row>
    <row r="5827" spans="1:7" x14ac:dyDescent="0.25">
      <c r="A5827" t="s">
        <v>50</v>
      </c>
      <c r="B5827" t="s">
        <v>51</v>
      </c>
      <c r="C5827" t="s">
        <v>52</v>
      </c>
      <c r="D5827">
        <v>14659291</v>
      </c>
      <c r="E5827" t="s">
        <v>53</v>
      </c>
      <c r="F5827" t="s">
        <v>49</v>
      </c>
      <c r="G5827" s="30">
        <v>87.21</v>
      </c>
    </row>
    <row r="5828" spans="1:7" x14ac:dyDescent="0.25">
      <c r="A5828" t="s">
        <v>102</v>
      </c>
      <c r="B5828" t="s">
        <v>103</v>
      </c>
      <c r="C5828" t="s">
        <v>47</v>
      </c>
      <c r="D5828">
        <v>14659425</v>
      </c>
      <c r="E5828" t="s">
        <v>53</v>
      </c>
      <c r="F5828" t="s">
        <v>49</v>
      </c>
      <c r="G5828" s="30">
        <v>40611.900939845102</v>
      </c>
    </row>
    <row r="5829" spans="1:7" x14ac:dyDescent="0.25">
      <c r="A5829" t="s">
        <v>114</v>
      </c>
      <c r="B5829" t="s">
        <v>115</v>
      </c>
      <c r="C5829" t="s">
        <v>56</v>
      </c>
      <c r="D5829">
        <v>14665168</v>
      </c>
      <c r="E5829" t="s">
        <v>48</v>
      </c>
      <c r="F5829" t="s">
        <v>49</v>
      </c>
      <c r="G5829" s="30">
        <v>0</v>
      </c>
    </row>
    <row r="5830" spans="1:7" x14ac:dyDescent="0.25">
      <c r="A5830" t="s">
        <v>45</v>
      </c>
      <c r="B5830" t="s">
        <v>46</v>
      </c>
      <c r="C5830" t="s">
        <v>47</v>
      </c>
      <c r="D5830">
        <v>14670952</v>
      </c>
      <c r="E5830" t="s">
        <v>48</v>
      </c>
      <c r="F5830" t="s">
        <v>49</v>
      </c>
      <c r="G5830" s="30">
        <v>0</v>
      </c>
    </row>
    <row r="5831" spans="1:7" x14ac:dyDescent="0.25">
      <c r="A5831" t="s">
        <v>45</v>
      </c>
      <c r="B5831" t="s">
        <v>46</v>
      </c>
      <c r="C5831" t="s">
        <v>47</v>
      </c>
      <c r="D5831">
        <v>14681205</v>
      </c>
      <c r="E5831" t="s">
        <v>48</v>
      </c>
      <c r="F5831" t="s">
        <v>49</v>
      </c>
      <c r="G5831" s="30">
        <v>0</v>
      </c>
    </row>
    <row r="5832" spans="1:7" x14ac:dyDescent="0.25">
      <c r="A5832" t="s">
        <v>45</v>
      </c>
      <c r="B5832" t="s">
        <v>46</v>
      </c>
      <c r="C5832" t="s">
        <v>47</v>
      </c>
      <c r="D5832">
        <v>14684583</v>
      </c>
      <c r="E5832" t="s">
        <v>48</v>
      </c>
      <c r="F5832" t="s">
        <v>49</v>
      </c>
      <c r="G5832" s="30">
        <v>0</v>
      </c>
    </row>
    <row r="5833" spans="1:7" x14ac:dyDescent="0.25">
      <c r="A5833" t="s">
        <v>50</v>
      </c>
      <c r="B5833" t="s">
        <v>51</v>
      </c>
      <c r="C5833" t="s">
        <v>52</v>
      </c>
      <c r="D5833">
        <v>14690635</v>
      </c>
      <c r="E5833" t="s">
        <v>48</v>
      </c>
      <c r="F5833" t="s">
        <v>49</v>
      </c>
      <c r="G5833" s="30">
        <v>0</v>
      </c>
    </row>
    <row r="5834" spans="1:7" x14ac:dyDescent="0.25">
      <c r="A5834" t="s">
        <v>82</v>
      </c>
      <c r="B5834" t="s">
        <v>83</v>
      </c>
      <c r="C5834" t="s">
        <v>56</v>
      </c>
      <c r="D5834">
        <v>14692832</v>
      </c>
      <c r="E5834" t="s">
        <v>53</v>
      </c>
      <c r="F5834" t="s">
        <v>49</v>
      </c>
      <c r="G5834" s="30">
        <v>113968.70798653099</v>
      </c>
    </row>
    <row r="5835" spans="1:7" x14ac:dyDescent="0.25">
      <c r="A5835" t="s">
        <v>79</v>
      </c>
      <c r="B5835" t="s">
        <v>80</v>
      </c>
      <c r="C5835" t="s">
        <v>81</v>
      </c>
      <c r="D5835">
        <v>14693355</v>
      </c>
      <c r="E5835" t="s">
        <v>53</v>
      </c>
      <c r="F5835" t="s">
        <v>49</v>
      </c>
      <c r="G5835" s="30">
        <v>408468.23721784999</v>
      </c>
    </row>
    <row r="5836" spans="1:7" x14ac:dyDescent="0.25">
      <c r="A5836" t="s">
        <v>50</v>
      </c>
      <c r="B5836" t="s">
        <v>51</v>
      </c>
      <c r="C5836" t="s">
        <v>52</v>
      </c>
      <c r="D5836">
        <v>14700424</v>
      </c>
      <c r="E5836" t="s">
        <v>53</v>
      </c>
      <c r="F5836" t="s">
        <v>49</v>
      </c>
      <c r="G5836" s="30">
        <v>17068.808490069299</v>
      </c>
    </row>
    <row r="5837" spans="1:7" x14ac:dyDescent="0.25">
      <c r="A5837" t="s">
        <v>79</v>
      </c>
      <c r="B5837" t="s">
        <v>80</v>
      </c>
      <c r="C5837" t="s">
        <v>81</v>
      </c>
      <c r="D5837">
        <v>14700505</v>
      </c>
      <c r="E5837" t="s">
        <v>48</v>
      </c>
      <c r="F5837" t="s">
        <v>49</v>
      </c>
      <c r="G5837" s="30">
        <v>0</v>
      </c>
    </row>
    <row r="5838" spans="1:7" x14ac:dyDescent="0.25">
      <c r="A5838" t="s">
        <v>104</v>
      </c>
      <c r="B5838" t="s">
        <v>105</v>
      </c>
      <c r="C5838" t="s">
        <v>78</v>
      </c>
      <c r="D5838">
        <v>14700762</v>
      </c>
      <c r="E5838" t="s">
        <v>53</v>
      </c>
      <c r="F5838" t="s">
        <v>49</v>
      </c>
      <c r="G5838" s="30">
        <v>126175.306403062</v>
      </c>
    </row>
    <row r="5839" spans="1:7" x14ac:dyDescent="0.25">
      <c r="A5839" t="s">
        <v>57</v>
      </c>
      <c r="B5839" t="s">
        <v>58</v>
      </c>
      <c r="C5839" t="s">
        <v>56</v>
      </c>
      <c r="D5839">
        <v>14701594</v>
      </c>
      <c r="E5839" t="s">
        <v>53</v>
      </c>
      <c r="F5839" t="s">
        <v>49</v>
      </c>
      <c r="G5839" s="30">
        <v>14.56</v>
      </c>
    </row>
    <row r="5840" spans="1:7" x14ac:dyDescent="0.25">
      <c r="A5840" t="s">
        <v>45</v>
      </c>
      <c r="B5840" t="s">
        <v>46</v>
      </c>
      <c r="C5840" t="s">
        <v>47</v>
      </c>
      <c r="D5840">
        <v>14716717</v>
      </c>
      <c r="E5840" t="s">
        <v>48</v>
      </c>
      <c r="F5840" t="s">
        <v>49</v>
      </c>
      <c r="G5840" s="30">
        <v>0</v>
      </c>
    </row>
    <row r="5841" spans="1:7" x14ac:dyDescent="0.25">
      <c r="A5841" t="s">
        <v>45</v>
      </c>
      <c r="B5841" t="s">
        <v>46</v>
      </c>
      <c r="C5841" t="s">
        <v>47</v>
      </c>
      <c r="D5841">
        <v>14717297</v>
      </c>
      <c r="E5841" t="s">
        <v>48</v>
      </c>
      <c r="F5841" t="s">
        <v>49</v>
      </c>
      <c r="G5841" s="30">
        <v>0</v>
      </c>
    </row>
    <row r="5842" spans="1:7" x14ac:dyDescent="0.25">
      <c r="A5842" t="s">
        <v>112</v>
      </c>
      <c r="B5842" t="s">
        <v>113</v>
      </c>
      <c r="C5842" t="s">
        <v>81</v>
      </c>
      <c r="D5842">
        <v>14718494</v>
      </c>
      <c r="E5842" t="s">
        <v>53</v>
      </c>
      <c r="F5842" t="s">
        <v>49</v>
      </c>
      <c r="G5842" s="30">
        <v>73228.974151127899</v>
      </c>
    </row>
    <row r="5843" spans="1:7" x14ac:dyDescent="0.25">
      <c r="A5843" t="s">
        <v>50</v>
      </c>
      <c r="B5843" t="s">
        <v>51</v>
      </c>
      <c r="C5843" t="s">
        <v>52</v>
      </c>
      <c r="D5843">
        <v>14723396</v>
      </c>
      <c r="E5843" t="s">
        <v>48</v>
      </c>
      <c r="F5843" t="s">
        <v>49</v>
      </c>
      <c r="G5843" s="30">
        <v>0</v>
      </c>
    </row>
    <row r="5844" spans="1:7" x14ac:dyDescent="0.25">
      <c r="A5844" t="s">
        <v>79</v>
      </c>
      <c r="B5844" t="s">
        <v>80</v>
      </c>
      <c r="C5844" t="s">
        <v>81</v>
      </c>
      <c r="D5844">
        <v>14723937</v>
      </c>
      <c r="E5844" t="s">
        <v>53</v>
      </c>
      <c r="F5844" t="s">
        <v>49</v>
      </c>
      <c r="G5844" s="30">
        <v>46144.13</v>
      </c>
    </row>
    <row r="5845" spans="1:7" x14ac:dyDescent="0.25">
      <c r="A5845" t="s">
        <v>79</v>
      </c>
      <c r="B5845" t="s">
        <v>80</v>
      </c>
      <c r="C5845" t="s">
        <v>81</v>
      </c>
      <c r="D5845">
        <v>14723998</v>
      </c>
      <c r="E5845" t="s">
        <v>53</v>
      </c>
      <c r="F5845" t="s">
        <v>49</v>
      </c>
      <c r="G5845" s="30">
        <v>169130.11415718301</v>
      </c>
    </row>
    <row r="5846" spans="1:7" x14ac:dyDescent="0.25">
      <c r="A5846" t="s">
        <v>90</v>
      </c>
      <c r="B5846" t="s">
        <v>91</v>
      </c>
      <c r="C5846" t="s">
        <v>81</v>
      </c>
      <c r="D5846">
        <v>14731534</v>
      </c>
      <c r="E5846" t="s">
        <v>53</v>
      </c>
      <c r="F5846" t="s">
        <v>49</v>
      </c>
      <c r="G5846" s="30">
        <v>832707.42943794106</v>
      </c>
    </row>
    <row r="5847" spans="1:7" x14ac:dyDescent="0.25">
      <c r="A5847" t="s">
        <v>118</v>
      </c>
      <c r="B5847" t="s">
        <v>119</v>
      </c>
      <c r="C5847" t="s">
        <v>56</v>
      </c>
      <c r="D5847">
        <v>14736132</v>
      </c>
      <c r="E5847" t="s">
        <v>53</v>
      </c>
      <c r="F5847" t="s">
        <v>49</v>
      </c>
      <c r="G5847" s="30">
        <v>37856.689900695397</v>
      </c>
    </row>
    <row r="5848" spans="1:7" x14ac:dyDescent="0.25">
      <c r="A5848" t="s">
        <v>63</v>
      </c>
      <c r="B5848" t="s">
        <v>64</v>
      </c>
      <c r="C5848" t="s">
        <v>56</v>
      </c>
      <c r="D5848">
        <v>14736933</v>
      </c>
      <c r="E5848" t="s">
        <v>53</v>
      </c>
      <c r="F5848" t="s">
        <v>49</v>
      </c>
      <c r="G5848" s="30">
        <v>85949.536015624995</v>
      </c>
    </row>
    <row r="5849" spans="1:7" x14ac:dyDescent="0.25">
      <c r="A5849" t="s">
        <v>79</v>
      </c>
      <c r="B5849" t="s">
        <v>80</v>
      </c>
      <c r="C5849" t="s">
        <v>81</v>
      </c>
      <c r="D5849">
        <v>14737714</v>
      </c>
      <c r="E5849" t="s">
        <v>53</v>
      </c>
      <c r="F5849" t="s">
        <v>49</v>
      </c>
      <c r="G5849" s="30">
        <v>125339.706029922</v>
      </c>
    </row>
    <row r="5850" spans="1:7" x14ac:dyDescent="0.25">
      <c r="A5850" t="s">
        <v>50</v>
      </c>
      <c r="B5850" t="s">
        <v>51</v>
      </c>
      <c r="C5850" t="s">
        <v>52</v>
      </c>
      <c r="D5850">
        <v>14738475</v>
      </c>
      <c r="E5850" t="s">
        <v>53</v>
      </c>
      <c r="F5850" t="s">
        <v>49</v>
      </c>
      <c r="G5850" s="30">
        <v>8735.8587435877307</v>
      </c>
    </row>
    <row r="5851" spans="1:7" x14ac:dyDescent="0.25">
      <c r="A5851" t="s">
        <v>50</v>
      </c>
      <c r="B5851" t="s">
        <v>51</v>
      </c>
      <c r="C5851" t="s">
        <v>52</v>
      </c>
      <c r="D5851">
        <v>14747018</v>
      </c>
      <c r="E5851" t="s">
        <v>53</v>
      </c>
      <c r="F5851" t="s">
        <v>49</v>
      </c>
      <c r="G5851" s="30">
        <v>137.71419617382</v>
      </c>
    </row>
    <row r="5852" spans="1:7" x14ac:dyDescent="0.25">
      <c r="A5852" t="s">
        <v>50</v>
      </c>
      <c r="B5852" t="s">
        <v>51</v>
      </c>
      <c r="C5852" t="s">
        <v>52</v>
      </c>
      <c r="D5852">
        <v>14750333</v>
      </c>
      <c r="E5852" t="s">
        <v>53</v>
      </c>
      <c r="F5852" t="s">
        <v>49</v>
      </c>
      <c r="G5852" s="30">
        <v>278.338315940852</v>
      </c>
    </row>
    <row r="5853" spans="1:7" x14ac:dyDescent="0.25">
      <c r="A5853" t="s">
        <v>79</v>
      </c>
      <c r="B5853" t="s">
        <v>80</v>
      </c>
      <c r="C5853" t="s">
        <v>81</v>
      </c>
      <c r="D5853">
        <v>14753802</v>
      </c>
      <c r="E5853" t="s">
        <v>53</v>
      </c>
      <c r="F5853" t="s">
        <v>49</v>
      </c>
      <c r="G5853" s="30">
        <v>1446622.3335945499</v>
      </c>
    </row>
    <row r="5854" spans="1:7" x14ac:dyDescent="0.25">
      <c r="A5854" t="s">
        <v>76</v>
      </c>
      <c r="B5854" t="s">
        <v>77</v>
      </c>
      <c r="C5854" t="s">
        <v>78</v>
      </c>
      <c r="D5854">
        <v>14758280</v>
      </c>
      <c r="E5854" t="s">
        <v>53</v>
      </c>
      <c r="F5854" t="s">
        <v>49</v>
      </c>
      <c r="G5854" s="30">
        <v>21632.747696103601</v>
      </c>
    </row>
    <row r="5855" spans="1:7" x14ac:dyDescent="0.25">
      <c r="A5855" t="s">
        <v>102</v>
      </c>
      <c r="B5855" t="s">
        <v>103</v>
      </c>
      <c r="C5855" t="s">
        <v>47</v>
      </c>
      <c r="D5855">
        <v>14774324</v>
      </c>
      <c r="E5855" t="s">
        <v>53</v>
      </c>
      <c r="F5855" t="s">
        <v>49</v>
      </c>
      <c r="G5855" s="30">
        <v>11524.1155219789</v>
      </c>
    </row>
    <row r="5856" spans="1:7" x14ac:dyDescent="0.25">
      <c r="A5856" t="s">
        <v>50</v>
      </c>
      <c r="B5856" t="s">
        <v>51</v>
      </c>
      <c r="C5856" t="s">
        <v>52</v>
      </c>
      <c r="D5856">
        <v>14776347</v>
      </c>
      <c r="E5856" t="s">
        <v>53</v>
      </c>
      <c r="F5856" t="s">
        <v>49</v>
      </c>
      <c r="G5856" s="30">
        <v>29985.263036108299</v>
      </c>
    </row>
    <row r="5857" spans="1:7" x14ac:dyDescent="0.25">
      <c r="A5857" t="s">
        <v>45</v>
      </c>
      <c r="B5857" t="s">
        <v>46</v>
      </c>
      <c r="C5857" t="s">
        <v>47</v>
      </c>
      <c r="D5857">
        <v>14780979</v>
      </c>
      <c r="E5857" t="s">
        <v>48</v>
      </c>
      <c r="F5857" t="s">
        <v>49</v>
      </c>
      <c r="G5857" s="30">
        <v>0</v>
      </c>
    </row>
    <row r="5858" spans="1:7" x14ac:dyDescent="0.25">
      <c r="A5858" t="s">
        <v>45</v>
      </c>
      <c r="B5858" t="s">
        <v>46</v>
      </c>
      <c r="C5858" t="s">
        <v>47</v>
      </c>
      <c r="D5858">
        <v>14785488</v>
      </c>
      <c r="E5858" t="s">
        <v>48</v>
      </c>
      <c r="F5858" t="s">
        <v>49</v>
      </c>
      <c r="G5858" s="30">
        <v>0</v>
      </c>
    </row>
    <row r="5859" spans="1:7" x14ac:dyDescent="0.25">
      <c r="A5859" t="s">
        <v>45</v>
      </c>
      <c r="B5859" t="s">
        <v>46</v>
      </c>
      <c r="C5859" t="s">
        <v>47</v>
      </c>
      <c r="D5859">
        <v>14788018</v>
      </c>
      <c r="E5859" t="s">
        <v>48</v>
      </c>
      <c r="F5859" t="s">
        <v>49</v>
      </c>
      <c r="G5859" s="30">
        <v>0</v>
      </c>
    </row>
    <row r="5860" spans="1:7" x14ac:dyDescent="0.25">
      <c r="A5860" t="s">
        <v>45</v>
      </c>
      <c r="B5860" t="s">
        <v>46</v>
      </c>
      <c r="C5860" t="s">
        <v>47</v>
      </c>
      <c r="D5860">
        <v>14792601</v>
      </c>
      <c r="E5860" t="s">
        <v>48</v>
      </c>
      <c r="F5860" t="s">
        <v>49</v>
      </c>
      <c r="G5860" s="30">
        <v>0</v>
      </c>
    </row>
    <row r="5861" spans="1:7" x14ac:dyDescent="0.25">
      <c r="A5861" t="s">
        <v>45</v>
      </c>
      <c r="B5861" t="s">
        <v>46</v>
      </c>
      <c r="C5861" t="s">
        <v>47</v>
      </c>
      <c r="D5861">
        <v>14795995</v>
      </c>
      <c r="E5861" t="s">
        <v>48</v>
      </c>
      <c r="F5861" t="s">
        <v>49</v>
      </c>
      <c r="G5861" s="30">
        <v>0</v>
      </c>
    </row>
    <row r="5862" spans="1:7" x14ac:dyDescent="0.25">
      <c r="A5862" t="s">
        <v>45</v>
      </c>
      <c r="B5862" t="s">
        <v>46</v>
      </c>
      <c r="C5862" t="s">
        <v>47</v>
      </c>
      <c r="D5862">
        <v>14804719</v>
      </c>
      <c r="E5862" t="s">
        <v>48</v>
      </c>
      <c r="F5862" t="s">
        <v>49</v>
      </c>
      <c r="G5862" s="30">
        <v>0</v>
      </c>
    </row>
    <row r="5863" spans="1:7" x14ac:dyDescent="0.25">
      <c r="A5863" t="s">
        <v>63</v>
      </c>
      <c r="B5863" t="s">
        <v>64</v>
      </c>
      <c r="C5863" t="s">
        <v>56</v>
      </c>
      <c r="D5863">
        <v>14810082</v>
      </c>
      <c r="E5863" t="s">
        <v>53</v>
      </c>
      <c r="F5863" t="s">
        <v>49</v>
      </c>
      <c r="G5863" s="30">
        <v>112484.86757812501</v>
      </c>
    </row>
    <row r="5864" spans="1:7" x14ac:dyDescent="0.25">
      <c r="A5864" t="s">
        <v>45</v>
      </c>
      <c r="B5864" t="s">
        <v>46</v>
      </c>
      <c r="C5864" t="s">
        <v>47</v>
      </c>
      <c r="D5864">
        <v>14812471</v>
      </c>
      <c r="E5864" t="s">
        <v>53</v>
      </c>
      <c r="F5864" t="s">
        <v>49</v>
      </c>
      <c r="G5864" s="30">
        <v>50893.736809973903</v>
      </c>
    </row>
    <row r="5865" spans="1:7" x14ac:dyDescent="0.25">
      <c r="A5865" t="s">
        <v>54</v>
      </c>
      <c r="B5865" t="s">
        <v>55</v>
      </c>
      <c r="C5865" t="s">
        <v>56</v>
      </c>
      <c r="D5865">
        <v>14815195</v>
      </c>
      <c r="E5865" t="s">
        <v>53</v>
      </c>
      <c r="F5865" t="s">
        <v>49</v>
      </c>
      <c r="G5865" s="30">
        <v>197607.07837523101</v>
      </c>
    </row>
    <row r="5866" spans="1:7" x14ac:dyDescent="0.25">
      <c r="A5866" t="s">
        <v>72</v>
      </c>
      <c r="B5866" t="s">
        <v>73</v>
      </c>
      <c r="C5866" t="s">
        <v>67</v>
      </c>
      <c r="D5866">
        <v>14829009</v>
      </c>
      <c r="E5866" t="s">
        <v>53</v>
      </c>
      <c r="F5866" t="s">
        <v>49</v>
      </c>
      <c r="G5866" s="30">
        <v>317159.243691782</v>
      </c>
    </row>
    <row r="5867" spans="1:7" x14ac:dyDescent="0.25">
      <c r="A5867" t="s">
        <v>92</v>
      </c>
      <c r="B5867" t="s">
        <v>93</v>
      </c>
      <c r="C5867" t="s">
        <v>81</v>
      </c>
      <c r="D5867">
        <v>14836077</v>
      </c>
      <c r="E5867" t="s">
        <v>53</v>
      </c>
      <c r="F5867" t="s">
        <v>49</v>
      </c>
      <c r="G5867" s="30">
        <v>109461.08866621699</v>
      </c>
    </row>
    <row r="5868" spans="1:7" x14ac:dyDescent="0.25">
      <c r="A5868" t="s">
        <v>45</v>
      </c>
      <c r="B5868" t="s">
        <v>46</v>
      </c>
      <c r="C5868" t="s">
        <v>47</v>
      </c>
      <c r="D5868">
        <v>14840423</v>
      </c>
      <c r="E5868" t="s">
        <v>48</v>
      </c>
      <c r="F5868" t="s">
        <v>49</v>
      </c>
      <c r="G5868" s="30">
        <v>0</v>
      </c>
    </row>
    <row r="5869" spans="1:7" x14ac:dyDescent="0.25">
      <c r="A5869" t="s">
        <v>79</v>
      </c>
      <c r="B5869" t="s">
        <v>80</v>
      </c>
      <c r="C5869" t="s">
        <v>81</v>
      </c>
      <c r="D5869">
        <v>14858743</v>
      </c>
      <c r="E5869" t="s">
        <v>53</v>
      </c>
      <c r="F5869" t="s">
        <v>49</v>
      </c>
      <c r="G5869" s="30">
        <v>13919.51</v>
      </c>
    </row>
    <row r="5870" spans="1:7" x14ac:dyDescent="0.25">
      <c r="A5870" t="s">
        <v>45</v>
      </c>
      <c r="B5870" t="s">
        <v>46</v>
      </c>
      <c r="C5870" t="s">
        <v>47</v>
      </c>
      <c r="D5870">
        <v>14865914</v>
      </c>
      <c r="E5870" t="s">
        <v>53</v>
      </c>
      <c r="F5870" t="s">
        <v>49</v>
      </c>
      <c r="G5870" s="30">
        <v>24966.662163085901</v>
      </c>
    </row>
    <row r="5871" spans="1:7" x14ac:dyDescent="0.25">
      <c r="A5871" t="s">
        <v>50</v>
      </c>
      <c r="B5871" t="s">
        <v>51</v>
      </c>
      <c r="C5871" t="s">
        <v>52</v>
      </c>
      <c r="D5871">
        <v>14866043</v>
      </c>
      <c r="E5871" t="s">
        <v>53</v>
      </c>
      <c r="F5871" t="s">
        <v>49</v>
      </c>
      <c r="G5871" s="30">
        <v>5089.7475860232498</v>
      </c>
    </row>
    <row r="5872" spans="1:7" x14ac:dyDescent="0.25">
      <c r="A5872" t="s">
        <v>50</v>
      </c>
      <c r="B5872" t="s">
        <v>51</v>
      </c>
      <c r="C5872" t="s">
        <v>52</v>
      </c>
      <c r="D5872">
        <v>14866292</v>
      </c>
      <c r="E5872" t="s">
        <v>53</v>
      </c>
      <c r="F5872" t="s">
        <v>49</v>
      </c>
      <c r="G5872" s="30">
        <v>63708.003316072798</v>
      </c>
    </row>
    <row r="5873" spans="1:7" x14ac:dyDescent="0.25">
      <c r="A5873" t="s">
        <v>45</v>
      </c>
      <c r="B5873" t="s">
        <v>46</v>
      </c>
      <c r="C5873" t="s">
        <v>47</v>
      </c>
      <c r="D5873">
        <v>14867434</v>
      </c>
      <c r="E5873" t="s">
        <v>48</v>
      </c>
      <c r="F5873" t="s">
        <v>49</v>
      </c>
      <c r="G5873" s="30">
        <v>0</v>
      </c>
    </row>
    <row r="5874" spans="1:7" x14ac:dyDescent="0.25">
      <c r="A5874" t="s">
        <v>45</v>
      </c>
      <c r="B5874" t="s">
        <v>46</v>
      </c>
      <c r="C5874" t="s">
        <v>47</v>
      </c>
      <c r="D5874">
        <v>14867616</v>
      </c>
      <c r="E5874" t="s">
        <v>48</v>
      </c>
      <c r="F5874" t="s">
        <v>49</v>
      </c>
      <c r="G5874" s="30">
        <v>0</v>
      </c>
    </row>
    <row r="5875" spans="1:7" x14ac:dyDescent="0.25">
      <c r="A5875" t="s">
        <v>50</v>
      </c>
      <c r="B5875" t="s">
        <v>51</v>
      </c>
      <c r="C5875" t="s">
        <v>52</v>
      </c>
      <c r="D5875">
        <v>14870778</v>
      </c>
      <c r="E5875" t="s">
        <v>53</v>
      </c>
      <c r="F5875" t="s">
        <v>49</v>
      </c>
      <c r="G5875" s="30">
        <v>227.01</v>
      </c>
    </row>
    <row r="5876" spans="1:7" x14ac:dyDescent="0.25">
      <c r="A5876" t="s">
        <v>63</v>
      </c>
      <c r="B5876" t="s">
        <v>64</v>
      </c>
      <c r="C5876" t="s">
        <v>56</v>
      </c>
      <c r="D5876">
        <v>14871689</v>
      </c>
      <c r="E5876" t="s">
        <v>53</v>
      </c>
      <c r="F5876" t="s">
        <v>49</v>
      </c>
      <c r="G5876" s="30">
        <v>289767.82457034802</v>
      </c>
    </row>
    <row r="5877" spans="1:7" x14ac:dyDescent="0.25">
      <c r="A5877" t="s">
        <v>45</v>
      </c>
      <c r="B5877" t="s">
        <v>46</v>
      </c>
      <c r="C5877" t="s">
        <v>47</v>
      </c>
      <c r="D5877">
        <v>14871717</v>
      </c>
      <c r="E5877" t="s">
        <v>48</v>
      </c>
      <c r="F5877" t="s">
        <v>49</v>
      </c>
      <c r="G5877" s="30">
        <v>0</v>
      </c>
    </row>
    <row r="5878" spans="1:7" x14ac:dyDescent="0.25">
      <c r="A5878" t="s">
        <v>45</v>
      </c>
      <c r="B5878" t="s">
        <v>46</v>
      </c>
      <c r="C5878" t="s">
        <v>47</v>
      </c>
      <c r="D5878">
        <v>14880728</v>
      </c>
      <c r="E5878" t="s">
        <v>48</v>
      </c>
      <c r="F5878" t="s">
        <v>49</v>
      </c>
      <c r="G5878" s="30">
        <v>0</v>
      </c>
    </row>
    <row r="5879" spans="1:7" x14ac:dyDescent="0.25">
      <c r="A5879" t="s">
        <v>45</v>
      </c>
      <c r="B5879" t="s">
        <v>46</v>
      </c>
      <c r="C5879" t="s">
        <v>47</v>
      </c>
      <c r="D5879">
        <v>14887495</v>
      </c>
      <c r="E5879" t="s">
        <v>53</v>
      </c>
      <c r="F5879" t="s">
        <v>49</v>
      </c>
      <c r="G5879" s="30">
        <v>41791.498945577303</v>
      </c>
    </row>
    <row r="5880" spans="1:7" x14ac:dyDescent="0.25">
      <c r="A5880" t="s">
        <v>61</v>
      </c>
      <c r="B5880" t="s">
        <v>62</v>
      </c>
      <c r="C5880" t="s">
        <v>56</v>
      </c>
      <c r="D5880">
        <v>14889375</v>
      </c>
      <c r="E5880" t="s">
        <v>53</v>
      </c>
      <c r="F5880" t="s">
        <v>49</v>
      </c>
      <c r="G5880" s="30">
        <v>13992.855149405499</v>
      </c>
    </row>
    <row r="5881" spans="1:7" x14ac:dyDescent="0.25">
      <c r="A5881" t="s">
        <v>45</v>
      </c>
      <c r="B5881" t="s">
        <v>46</v>
      </c>
      <c r="C5881" t="s">
        <v>47</v>
      </c>
      <c r="D5881">
        <v>14894057</v>
      </c>
      <c r="E5881" t="s">
        <v>48</v>
      </c>
      <c r="F5881" t="s">
        <v>49</v>
      </c>
      <c r="G5881" s="30">
        <v>0</v>
      </c>
    </row>
    <row r="5882" spans="1:7" x14ac:dyDescent="0.25">
      <c r="A5882" t="s">
        <v>45</v>
      </c>
      <c r="B5882" t="s">
        <v>46</v>
      </c>
      <c r="C5882" t="s">
        <v>47</v>
      </c>
      <c r="D5882">
        <v>14899598</v>
      </c>
      <c r="E5882" t="s">
        <v>48</v>
      </c>
      <c r="F5882" t="s">
        <v>49</v>
      </c>
      <c r="G5882" s="30">
        <v>0</v>
      </c>
    </row>
    <row r="5883" spans="1:7" x14ac:dyDescent="0.25">
      <c r="A5883" t="s">
        <v>45</v>
      </c>
      <c r="B5883" t="s">
        <v>46</v>
      </c>
      <c r="C5883" t="s">
        <v>47</v>
      </c>
      <c r="D5883">
        <v>14900155</v>
      </c>
      <c r="E5883" t="s">
        <v>48</v>
      </c>
      <c r="F5883" t="s">
        <v>49</v>
      </c>
      <c r="G5883" s="30">
        <v>0</v>
      </c>
    </row>
    <row r="5884" spans="1:7" x14ac:dyDescent="0.25">
      <c r="A5884" t="s">
        <v>50</v>
      </c>
      <c r="B5884" t="s">
        <v>51</v>
      </c>
      <c r="C5884" t="s">
        <v>52</v>
      </c>
      <c r="D5884">
        <v>14901032</v>
      </c>
      <c r="G5884" s="30">
        <v>0</v>
      </c>
    </row>
    <row r="5885" spans="1:7" x14ac:dyDescent="0.25">
      <c r="A5885" t="s">
        <v>155</v>
      </c>
      <c r="B5885" t="s">
        <v>156</v>
      </c>
      <c r="C5885" t="s">
        <v>78</v>
      </c>
      <c r="D5885">
        <v>14901032</v>
      </c>
      <c r="E5885" t="s">
        <v>53</v>
      </c>
      <c r="F5885" t="s">
        <v>49</v>
      </c>
      <c r="G5885" s="30">
        <v>2619.7399999999998</v>
      </c>
    </row>
    <row r="5886" spans="1:7" x14ac:dyDescent="0.25">
      <c r="A5886" t="s">
        <v>72</v>
      </c>
      <c r="B5886" t="s">
        <v>73</v>
      </c>
      <c r="C5886" t="s">
        <v>67</v>
      </c>
      <c r="D5886">
        <v>14903226</v>
      </c>
      <c r="E5886" t="s">
        <v>48</v>
      </c>
      <c r="F5886" t="s">
        <v>49</v>
      </c>
      <c r="G5886" s="30">
        <v>0</v>
      </c>
    </row>
    <row r="5887" spans="1:7" x14ac:dyDescent="0.25">
      <c r="A5887" t="s">
        <v>45</v>
      </c>
      <c r="B5887" t="s">
        <v>46</v>
      </c>
      <c r="C5887" t="s">
        <v>47</v>
      </c>
      <c r="D5887">
        <v>14907615</v>
      </c>
      <c r="E5887" t="s">
        <v>48</v>
      </c>
      <c r="F5887" t="s">
        <v>49</v>
      </c>
      <c r="G5887" s="30">
        <v>0</v>
      </c>
    </row>
    <row r="5888" spans="1:7" x14ac:dyDescent="0.25">
      <c r="A5888" t="s">
        <v>50</v>
      </c>
      <c r="B5888" t="s">
        <v>51</v>
      </c>
      <c r="C5888" t="s">
        <v>52</v>
      </c>
      <c r="D5888">
        <v>14910543</v>
      </c>
      <c r="E5888" t="s">
        <v>53</v>
      </c>
      <c r="F5888" t="s">
        <v>49</v>
      </c>
      <c r="G5888" s="30">
        <v>34145.119062500002</v>
      </c>
    </row>
    <row r="5889" spans="1:7" x14ac:dyDescent="0.25">
      <c r="A5889" t="s">
        <v>118</v>
      </c>
      <c r="B5889" t="s">
        <v>119</v>
      </c>
      <c r="C5889" t="s">
        <v>56</v>
      </c>
      <c r="D5889">
        <v>14911495</v>
      </c>
      <c r="E5889" t="s">
        <v>53</v>
      </c>
      <c r="F5889" t="s">
        <v>49</v>
      </c>
      <c r="G5889" s="30">
        <v>14704.0458087634</v>
      </c>
    </row>
    <row r="5890" spans="1:7" x14ac:dyDescent="0.25">
      <c r="A5890" t="s">
        <v>88</v>
      </c>
      <c r="B5890" t="s">
        <v>89</v>
      </c>
      <c r="C5890" t="s">
        <v>78</v>
      </c>
      <c r="D5890">
        <v>14912598</v>
      </c>
      <c r="E5890" t="s">
        <v>53</v>
      </c>
      <c r="F5890" t="s">
        <v>49</v>
      </c>
      <c r="G5890" s="30">
        <v>291545.14979768801</v>
      </c>
    </row>
    <row r="5891" spans="1:7" x14ac:dyDescent="0.25">
      <c r="A5891" t="s">
        <v>50</v>
      </c>
      <c r="B5891" t="s">
        <v>51</v>
      </c>
      <c r="C5891" t="s">
        <v>52</v>
      </c>
      <c r="D5891">
        <v>14913409</v>
      </c>
      <c r="E5891" t="s">
        <v>53</v>
      </c>
      <c r="F5891" t="s">
        <v>49</v>
      </c>
      <c r="G5891" s="30">
        <v>2718.8610351562502</v>
      </c>
    </row>
    <row r="5892" spans="1:7" x14ac:dyDescent="0.25">
      <c r="A5892" t="s">
        <v>118</v>
      </c>
      <c r="B5892" t="s">
        <v>119</v>
      </c>
      <c r="C5892" t="s">
        <v>56</v>
      </c>
      <c r="D5892">
        <v>14916273</v>
      </c>
      <c r="E5892" t="s">
        <v>53</v>
      </c>
      <c r="F5892" t="s">
        <v>49</v>
      </c>
      <c r="G5892" s="30">
        <v>87407.487983291401</v>
      </c>
    </row>
    <row r="5893" spans="1:7" x14ac:dyDescent="0.25">
      <c r="A5893" t="s">
        <v>50</v>
      </c>
      <c r="B5893" t="s">
        <v>51</v>
      </c>
      <c r="C5893" t="s">
        <v>52</v>
      </c>
      <c r="D5893">
        <v>14916277</v>
      </c>
      <c r="E5893" t="s">
        <v>53</v>
      </c>
      <c r="F5893" t="s">
        <v>49</v>
      </c>
      <c r="G5893" s="30">
        <v>3002.8344129285802</v>
      </c>
    </row>
    <row r="5894" spans="1:7" x14ac:dyDescent="0.25">
      <c r="A5894" t="s">
        <v>61</v>
      </c>
      <c r="B5894" t="s">
        <v>62</v>
      </c>
      <c r="C5894" t="s">
        <v>56</v>
      </c>
      <c r="D5894">
        <v>14916484</v>
      </c>
      <c r="E5894" t="s">
        <v>53</v>
      </c>
      <c r="F5894" t="s">
        <v>49</v>
      </c>
      <c r="G5894" s="30">
        <v>177230.463934642</v>
      </c>
    </row>
    <row r="5895" spans="1:7" x14ac:dyDescent="0.25">
      <c r="A5895" t="s">
        <v>118</v>
      </c>
      <c r="B5895" t="s">
        <v>119</v>
      </c>
      <c r="C5895" t="s">
        <v>56</v>
      </c>
      <c r="D5895">
        <v>14918332</v>
      </c>
      <c r="E5895" t="s">
        <v>53</v>
      </c>
      <c r="F5895" t="s">
        <v>49</v>
      </c>
      <c r="G5895" s="30">
        <v>893368.01916374802</v>
      </c>
    </row>
    <row r="5896" spans="1:7" x14ac:dyDescent="0.25">
      <c r="A5896" t="s">
        <v>45</v>
      </c>
      <c r="B5896" t="s">
        <v>46</v>
      </c>
      <c r="C5896" t="s">
        <v>47</v>
      </c>
      <c r="D5896">
        <v>14930260</v>
      </c>
      <c r="E5896" t="s">
        <v>48</v>
      </c>
      <c r="F5896" t="s">
        <v>49</v>
      </c>
      <c r="G5896" s="30">
        <v>0</v>
      </c>
    </row>
    <row r="5897" spans="1:7" x14ac:dyDescent="0.25">
      <c r="A5897" t="s">
        <v>79</v>
      </c>
      <c r="B5897" t="s">
        <v>80</v>
      </c>
      <c r="C5897" t="s">
        <v>81</v>
      </c>
      <c r="D5897">
        <v>14934650</v>
      </c>
      <c r="E5897" t="s">
        <v>48</v>
      </c>
      <c r="F5897" t="s">
        <v>49</v>
      </c>
      <c r="G5897" s="30">
        <v>0</v>
      </c>
    </row>
    <row r="5898" spans="1:7" x14ac:dyDescent="0.25">
      <c r="A5898" t="s">
        <v>61</v>
      </c>
      <c r="B5898" t="s">
        <v>62</v>
      </c>
      <c r="C5898" t="s">
        <v>56</v>
      </c>
      <c r="D5898">
        <v>14935020</v>
      </c>
      <c r="E5898" t="s">
        <v>53</v>
      </c>
      <c r="F5898" t="s">
        <v>49</v>
      </c>
      <c r="G5898" s="30">
        <v>356448.798976789</v>
      </c>
    </row>
    <row r="5899" spans="1:7" x14ac:dyDescent="0.25">
      <c r="A5899" t="s">
        <v>50</v>
      </c>
      <c r="B5899" t="s">
        <v>51</v>
      </c>
      <c r="C5899" t="s">
        <v>52</v>
      </c>
      <c r="D5899">
        <v>14937134</v>
      </c>
      <c r="E5899" t="s">
        <v>53</v>
      </c>
      <c r="F5899" t="s">
        <v>49</v>
      </c>
      <c r="G5899" s="30">
        <v>25003.7870048312</v>
      </c>
    </row>
    <row r="5900" spans="1:7" x14ac:dyDescent="0.25">
      <c r="A5900" t="s">
        <v>68</v>
      </c>
      <c r="B5900" t="s">
        <v>69</v>
      </c>
      <c r="C5900" t="s">
        <v>56</v>
      </c>
      <c r="D5900">
        <v>14937282</v>
      </c>
      <c r="E5900" t="s">
        <v>48</v>
      </c>
      <c r="F5900" t="s">
        <v>49</v>
      </c>
      <c r="G5900" s="30">
        <v>0</v>
      </c>
    </row>
    <row r="5901" spans="1:7" x14ac:dyDescent="0.25">
      <c r="A5901" t="s">
        <v>45</v>
      </c>
      <c r="B5901" t="s">
        <v>46</v>
      </c>
      <c r="C5901" t="s">
        <v>47</v>
      </c>
      <c r="D5901">
        <v>14938792</v>
      </c>
      <c r="E5901" t="s">
        <v>48</v>
      </c>
      <c r="F5901" t="s">
        <v>49</v>
      </c>
      <c r="G5901" s="30">
        <v>0</v>
      </c>
    </row>
    <row r="5902" spans="1:7" x14ac:dyDescent="0.25">
      <c r="A5902" t="s">
        <v>45</v>
      </c>
      <c r="B5902" t="s">
        <v>46</v>
      </c>
      <c r="C5902" t="s">
        <v>47</v>
      </c>
      <c r="D5902">
        <v>14947028</v>
      </c>
      <c r="E5902" t="s">
        <v>48</v>
      </c>
      <c r="F5902" t="s">
        <v>49</v>
      </c>
      <c r="G5902" s="30">
        <v>0</v>
      </c>
    </row>
    <row r="5903" spans="1:7" x14ac:dyDescent="0.25">
      <c r="A5903" t="s">
        <v>92</v>
      </c>
      <c r="B5903" t="s">
        <v>93</v>
      </c>
      <c r="C5903" t="s">
        <v>81</v>
      </c>
      <c r="D5903">
        <v>14948656</v>
      </c>
      <c r="E5903" t="s">
        <v>48</v>
      </c>
      <c r="F5903" t="s">
        <v>49</v>
      </c>
      <c r="G5903" s="30">
        <v>0</v>
      </c>
    </row>
    <row r="5904" spans="1:7" x14ac:dyDescent="0.25">
      <c r="A5904" t="s">
        <v>68</v>
      </c>
      <c r="B5904" t="s">
        <v>69</v>
      </c>
      <c r="C5904" t="s">
        <v>56</v>
      </c>
      <c r="D5904">
        <v>14948971</v>
      </c>
      <c r="E5904" t="s">
        <v>48</v>
      </c>
      <c r="F5904" t="s">
        <v>49</v>
      </c>
      <c r="G5904" s="30">
        <v>0</v>
      </c>
    </row>
    <row r="5905" spans="1:7" x14ac:dyDescent="0.25">
      <c r="A5905" t="s">
        <v>92</v>
      </c>
      <c r="B5905" t="s">
        <v>93</v>
      </c>
      <c r="C5905" t="s">
        <v>81</v>
      </c>
      <c r="D5905">
        <v>14949066</v>
      </c>
      <c r="E5905" t="s">
        <v>48</v>
      </c>
      <c r="F5905" t="s">
        <v>49</v>
      </c>
      <c r="G5905" s="30">
        <v>0</v>
      </c>
    </row>
    <row r="5906" spans="1:7" x14ac:dyDescent="0.25">
      <c r="A5906" t="s">
        <v>54</v>
      </c>
      <c r="B5906" t="s">
        <v>55</v>
      </c>
      <c r="C5906" t="s">
        <v>56</v>
      </c>
      <c r="D5906">
        <v>14949727</v>
      </c>
      <c r="E5906" t="s">
        <v>53</v>
      </c>
      <c r="F5906" t="s">
        <v>49</v>
      </c>
      <c r="G5906" s="30">
        <v>86438.366981052095</v>
      </c>
    </row>
    <row r="5907" spans="1:7" x14ac:dyDescent="0.25">
      <c r="A5907" t="s">
        <v>72</v>
      </c>
      <c r="B5907" t="s">
        <v>73</v>
      </c>
      <c r="C5907" t="s">
        <v>67</v>
      </c>
      <c r="D5907">
        <v>14957955</v>
      </c>
      <c r="E5907" t="s">
        <v>53</v>
      </c>
      <c r="F5907" t="s">
        <v>49</v>
      </c>
      <c r="G5907" s="30">
        <v>99858.319635485997</v>
      </c>
    </row>
    <row r="5908" spans="1:7" x14ac:dyDescent="0.25">
      <c r="A5908" t="s">
        <v>79</v>
      </c>
      <c r="B5908" t="s">
        <v>80</v>
      </c>
      <c r="C5908" t="s">
        <v>81</v>
      </c>
      <c r="D5908">
        <v>14958466</v>
      </c>
      <c r="E5908" t="s">
        <v>53</v>
      </c>
      <c r="F5908" t="s">
        <v>49</v>
      </c>
      <c r="G5908" s="30">
        <v>547.36</v>
      </c>
    </row>
    <row r="5909" spans="1:7" x14ac:dyDescent="0.25">
      <c r="A5909" t="s">
        <v>45</v>
      </c>
      <c r="B5909" t="s">
        <v>46</v>
      </c>
      <c r="C5909" t="s">
        <v>47</v>
      </c>
      <c r="D5909">
        <v>14960240</v>
      </c>
      <c r="E5909" t="s">
        <v>48</v>
      </c>
      <c r="F5909" t="s">
        <v>49</v>
      </c>
      <c r="G5909" s="30">
        <v>0</v>
      </c>
    </row>
    <row r="5910" spans="1:7" x14ac:dyDescent="0.25">
      <c r="A5910" t="s">
        <v>128</v>
      </c>
      <c r="B5910" t="s">
        <v>129</v>
      </c>
      <c r="C5910" t="s">
        <v>130</v>
      </c>
      <c r="D5910">
        <v>14965654</v>
      </c>
      <c r="E5910" t="s">
        <v>53</v>
      </c>
      <c r="F5910" t="s">
        <v>49</v>
      </c>
      <c r="G5910" s="30">
        <v>91033.423749111593</v>
      </c>
    </row>
    <row r="5911" spans="1:7" x14ac:dyDescent="0.25">
      <c r="A5911" t="s">
        <v>50</v>
      </c>
      <c r="B5911" t="s">
        <v>51</v>
      </c>
      <c r="C5911" t="s">
        <v>52</v>
      </c>
      <c r="D5911">
        <v>14972601</v>
      </c>
      <c r="E5911" t="s">
        <v>53</v>
      </c>
      <c r="F5911" t="s">
        <v>49</v>
      </c>
      <c r="G5911" s="30">
        <v>274.82759643002402</v>
      </c>
    </row>
    <row r="5912" spans="1:7" x14ac:dyDescent="0.25">
      <c r="A5912" t="s">
        <v>63</v>
      </c>
      <c r="B5912" t="s">
        <v>64</v>
      </c>
      <c r="C5912" t="s">
        <v>56</v>
      </c>
      <c r="D5912">
        <v>14978478</v>
      </c>
      <c r="E5912" t="s">
        <v>53</v>
      </c>
      <c r="F5912" t="s">
        <v>49</v>
      </c>
      <c r="G5912" s="30">
        <v>94305.352552729397</v>
      </c>
    </row>
    <row r="5913" spans="1:7" x14ac:dyDescent="0.25">
      <c r="A5913" t="s">
        <v>45</v>
      </c>
      <c r="B5913" t="s">
        <v>46</v>
      </c>
      <c r="C5913" t="s">
        <v>47</v>
      </c>
      <c r="D5913">
        <v>14978664</v>
      </c>
      <c r="E5913" t="s">
        <v>48</v>
      </c>
      <c r="F5913" t="s">
        <v>49</v>
      </c>
      <c r="G5913" s="30">
        <v>0</v>
      </c>
    </row>
    <row r="5914" spans="1:7" x14ac:dyDescent="0.25">
      <c r="A5914" t="s">
        <v>50</v>
      </c>
      <c r="B5914" t="s">
        <v>51</v>
      </c>
      <c r="C5914" t="s">
        <v>52</v>
      </c>
      <c r="D5914">
        <v>14983620</v>
      </c>
      <c r="E5914" t="s">
        <v>53</v>
      </c>
      <c r="F5914" t="s">
        <v>49</v>
      </c>
      <c r="G5914" s="30">
        <v>27842.560391027499</v>
      </c>
    </row>
    <row r="5915" spans="1:7" x14ac:dyDescent="0.25">
      <c r="A5915" t="s">
        <v>79</v>
      </c>
      <c r="B5915" t="s">
        <v>80</v>
      </c>
      <c r="C5915" t="s">
        <v>81</v>
      </c>
      <c r="D5915">
        <v>14984815</v>
      </c>
      <c r="E5915" t="s">
        <v>53</v>
      </c>
      <c r="F5915" t="s">
        <v>49</v>
      </c>
      <c r="G5915" s="30">
        <v>54580.785946941804</v>
      </c>
    </row>
    <row r="5916" spans="1:7" x14ac:dyDescent="0.25">
      <c r="A5916" t="s">
        <v>50</v>
      </c>
      <c r="B5916" t="s">
        <v>51</v>
      </c>
      <c r="C5916" t="s">
        <v>52</v>
      </c>
      <c r="D5916">
        <v>14991351</v>
      </c>
      <c r="E5916" t="s">
        <v>53</v>
      </c>
      <c r="F5916" t="s">
        <v>49</v>
      </c>
      <c r="G5916" s="30">
        <v>48401.708542480497</v>
      </c>
    </row>
    <row r="5917" spans="1:7" x14ac:dyDescent="0.25">
      <c r="A5917" t="s">
        <v>45</v>
      </c>
      <c r="B5917" t="s">
        <v>46</v>
      </c>
      <c r="C5917" t="s">
        <v>47</v>
      </c>
      <c r="D5917">
        <v>14992302</v>
      </c>
      <c r="E5917" t="s">
        <v>53</v>
      </c>
      <c r="F5917" t="s">
        <v>49</v>
      </c>
      <c r="G5917" s="30">
        <v>261.29342781158999</v>
      </c>
    </row>
    <row r="5918" spans="1:7" x14ac:dyDescent="0.25">
      <c r="A5918" t="s">
        <v>50</v>
      </c>
      <c r="B5918" t="s">
        <v>51</v>
      </c>
      <c r="C5918" t="s">
        <v>52</v>
      </c>
      <c r="D5918">
        <v>14994958</v>
      </c>
      <c r="E5918" t="s">
        <v>53</v>
      </c>
      <c r="F5918" t="s">
        <v>49</v>
      </c>
      <c r="G5918" s="30">
        <v>34173.765301133302</v>
      </c>
    </row>
    <row r="5919" spans="1:7" x14ac:dyDescent="0.25">
      <c r="A5919" t="s">
        <v>94</v>
      </c>
      <c r="B5919" t="s">
        <v>95</v>
      </c>
      <c r="C5919" t="s">
        <v>78</v>
      </c>
      <c r="D5919">
        <v>14995271</v>
      </c>
      <c r="E5919" t="s">
        <v>53</v>
      </c>
      <c r="F5919" t="s">
        <v>49</v>
      </c>
      <c r="G5919" s="30">
        <v>57993.969175247199</v>
      </c>
    </row>
    <row r="5920" spans="1:7" x14ac:dyDescent="0.25">
      <c r="A5920" t="s">
        <v>82</v>
      </c>
      <c r="B5920" t="s">
        <v>83</v>
      </c>
      <c r="C5920" t="s">
        <v>56</v>
      </c>
      <c r="D5920">
        <v>14996897</v>
      </c>
      <c r="E5920" t="s">
        <v>53</v>
      </c>
      <c r="F5920" t="s">
        <v>49</v>
      </c>
      <c r="G5920" s="30">
        <v>343194.85436552501</v>
      </c>
    </row>
    <row r="5921" spans="1:7" x14ac:dyDescent="0.25">
      <c r="A5921" t="s">
        <v>50</v>
      </c>
      <c r="B5921" t="s">
        <v>51</v>
      </c>
      <c r="C5921" t="s">
        <v>52</v>
      </c>
      <c r="D5921">
        <v>14998774</v>
      </c>
      <c r="E5921" t="s">
        <v>53</v>
      </c>
      <c r="F5921" t="s">
        <v>49</v>
      </c>
      <c r="G5921" s="30">
        <v>3457.9597498799999</v>
      </c>
    </row>
    <row r="5922" spans="1:7" x14ac:dyDescent="0.25">
      <c r="A5922" t="s">
        <v>76</v>
      </c>
      <c r="B5922" t="s">
        <v>77</v>
      </c>
      <c r="C5922" t="s">
        <v>78</v>
      </c>
      <c r="D5922">
        <v>15007422</v>
      </c>
      <c r="E5922" t="s">
        <v>53</v>
      </c>
      <c r="F5922" t="s">
        <v>49</v>
      </c>
      <c r="G5922" s="30">
        <v>125880.491429833</v>
      </c>
    </row>
    <row r="5923" spans="1:7" x14ac:dyDescent="0.25">
      <c r="A5923" t="s">
        <v>106</v>
      </c>
      <c r="B5923" t="s">
        <v>107</v>
      </c>
      <c r="C5923" t="s">
        <v>56</v>
      </c>
      <c r="D5923">
        <v>15007635</v>
      </c>
      <c r="E5923" t="s">
        <v>53</v>
      </c>
      <c r="F5923" t="s">
        <v>49</v>
      </c>
      <c r="G5923" s="30">
        <v>3398244.0452167802</v>
      </c>
    </row>
    <row r="5924" spans="1:7" x14ac:dyDescent="0.25">
      <c r="A5924" t="s">
        <v>45</v>
      </c>
      <c r="B5924" t="s">
        <v>46</v>
      </c>
      <c r="C5924" t="s">
        <v>47</v>
      </c>
      <c r="D5924">
        <v>15008028</v>
      </c>
      <c r="E5924" t="s">
        <v>48</v>
      </c>
      <c r="F5924" t="s">
        <v>49</v>
      </c>
      <c r="G5924" s="30">
        <v>0</v>
      </c>
    </row>
    <row r="5925" spans="1:7" x14ac:dyDescent="0.25">
      <c r="A5925" t="s">
        <v>112</v>
      </c>
      <c r="B5925" t="s">
        <v>113</v>
      </c>
      <c r="C5925" t="s">
        <v>81</v>
      </c>
      <c r="D5925">
        <v>15012660</v>
      </c>
      <c r="E5925" t="s">
        <v>53</v>
      </c>
      <c r="F5925" t="s">
        <v>49</v>
      </c>
      <c r="G5925" s="30">
        <v>443264.32745870698</v>
      </c>
    </row>
    <row r="5926" spans="1:7" x14ac:dyDescent="0.25">
      <c r="A5926" t="s">
        <v>45</v>
      </c>
      <c r="B5926" t="s">
        <v>46</v>
      </c>
      <c r="C5926" t="s">
        <v>47</v>
      </c>
      <c r="D5926">
        <v>15013453</v>
      </c>
      <c r="E5926" t="s">
        <v>53</v>
      </c>
      <c r="F5926" t="s">
        <v>49</v>
      </c>
      <c r="G5926" s="30">
        <v>37422.821536480304</v>
      </c>
    </row>
    <row r="5927" spans="1:7" x14ac:dyDescent="0.25">
      <c r="A5927" t="s">
        <v>82</v>
      </c>
      <c r="B5927" t="s">
        <v>83</v>
      </c>
      <c r="C5927" t="s">
        <v>56</v>
      </c>
      <c r="D5927">
        <v>15014410</v>
      </c>
      <c r="E5927" t="s">
        <v>53</v>
      </c>
      <c r="F5927" t="s">
        <v>49</v>
      </c>
      <c r="G5927" s="30">
        <v>754489.95747181203</v>
      </c>
    </row>
    <row r="5928" spans="1:7" x14ac:dyDescent="0.25">
      <c r="A5928" t="s">
        <v>45</v>
      </c>
      <c r="B5928" t="s">
        <v>46</v>
      </c>
      <c r="C5928" t="s">
        <v>47</v>
      </c>
      <c r="D5928">
        <v>15020584</v>
      </c>
      <c r="E5928" t="s">
        <v>48</v>
      </c>
      <c r="F5928" t="s">
        <v>49</v>
      </c>
      <c r="G5928" s="30">
        <v>0</v>
      </c>
    </row>
    <row r="5929" spans="1:7" x14ac:dyDescent="0.25">
      <c r="A5929" t="s">
        <v>45</v>
      </c>
      <c r="B5929" t="s">
        <v>46</v>
      </c>
      <c r="C5929" t="s">
        <v>47</v>
      </c>
      <c r="D5929">
        <v>15020813</v>
      </c>
      <c r="E5929" t="s">
        <v>48</v>
      </c>
      <c r="F5929" t="s">
        <v>49</v>
      </c>
      <c r="G5929" s="30">
        <v>0</v>
      </c>
    </row>
    <row r="5930" spans="1:7" x14ac:dyDescent="0.25">
      <c r="A5930" t="s">
        <v>106</v>
      </c>
      <c r="B5930" t="s">
        <v>107</v>
      </c>
      <c r="C5930" t="s">
        <v>56</v>
      </c>
      <c r="D5930">
        <v>15022885</v>
      </c>
      <c r="E5930" t="s">
        <v>53</v>
      </c>
      <c r="F5930" t="s">
        <v>49</v>
      </c>
      <c r="G5930" s="30">
        <v>3747204.7980115102</v>
      </c>
    </row>
    <row r="5931" spans="1:7" x14ac:dyDescent="0.25">
      <c r="A5931" t="s">
        <v>112</v>
      </c>
      <c r="B5931" t="s">
        <v>113</v>
      </c>
      <c r="C5931" t="s">
        <v>81</v>
      </c>
      <c r="D5931">
        <v>15025673</v>
      </c>
      <c r="E5931" t="s">
        <v>53</v>
      </c>
      <c r="F5931" t="s">
        <v>49</v>
      </c>
      <c r="G5931" s="30">
        <v>529556.768091787</v>
      </c>
    </row>
    <row r="5932" spans="1:7" x14ac:dyDescent="0.25">
      <c r="A5932" t="s">
        <v>106</v>
      </c>
      <c r="B5932" t="s">
        <v>107</v>
      </c>
      <c r="C5932" t="s">
        <v>56</v>
      </c>
      <c r="D5932">
        <v>15026498</v>
      </c>
      <c r="E5932" t="s">
        <v>48</v>
      </c>
      <c r="F5932" t="s">
        <v>49</v>
      </c>
      <c r="G5932" s="30">
        <v>0</v>
      </c>
    </row>
    <row r="5933" spans="1:7" x14ac:dyDescent="0.25">
      <c r="A5933" t="s">
        <v>45</v>
      </c>
      <c r="B5933" t="s">
        <v>46</v>
      </c>
      <c r="C5933" t="s">
        <v>47</v>
      </c>
      <c r="D5933">
        <v>15028827</v>
      </c>
      <c r="E5933" t="s">
        <v>48</v>
      </c>
      <c r="F5933" t="s">
        <v>49</v>
      </c>
      <c r="G5933" s="30">
        <v>0</v>
      </c>
    </row>
    <row r="5934" spans="1:7" x14ac:dyDescent="0.25">
      <c r="A5934" t="s">
        <v>45</v>
      </c>
      <c r="B5934" t="s">
        <v>46</v>
      </c>
      <c r="C5934" t="s">
        <v>47</v>
      </c>
      <c r="D5934">
        <v>15031006</v>
      </c>
      <c r="E5934" t="s">
        <v>48</v>
      </c>
      <c r="F5934" t="s">
        <v>49</v>
      </c>
      <c r="G5934" s="30">
        <v>0</v>
      </c>
    </row>
    <row r="5935" spans="1:7" x14ac:dyDescent="0.25">
      <c r="A5935" t="s">
        <v>50</v>
      </c>
      <c r="B5935" t="s">
        <v>51</v>
      </c>
      <c r="C5935" t="s">
        <v>52</v>
      </c>
      <c r="D5935">
        <v>15031313</v>
      </c>
      <c r="E5935" t="s">
        <v>53</v>
      </c>
      <c r="F5935" t="s">
        <v>49</v>
      </c>
      <c r="G5935" s="30">
        <v>316.33134597778297</v>
      </c>
    </row>
    <row r="5936" spans="1:7" x14ac:dyDescent="0.25">
      <c r="A5936" t="s">
        <v>94</v>
      </c>
      <c r="B5936" t="s">
        <v>95</v>
      </c>
      <c r="C5936" t="s">
        <v>78</v>
      </c>
      <c r="D5936">
        <v>15032836</v>
      </c>
      <c r="E5936" t="s">
        <v>53</v>
      </c>
      <c r="F5936" t="s">
        <v>49</v>
      </c>
      <c r="G5936" s="30">
        <v>209376.61684993599</v>
      </c>
    </row>
    <row r="5937" spans="1:7" x14ac:dyDescent="0.25">
      <c r="A5937" t="s">
        <v>45</v>
      </c>
      <c r="B5937" t="s">
        <v>46</v>
      </c>
      <c r="C5937" t="s">
        <v>47</v>
      </c>
      <c r="D5937">
        <v>15032945</v>
      </c>
      <c r="E5937" t="s">
        <v>48</v>
      </c>
      <c r="F5937" t="s">
        <v>49</v>
      </c>
      <c r="G5937" s="30">
        <v>0</v>
      </c>
    </row>
    <row r="5938" spans="1:7" x14ac:dyDescent="0.25">
      <c r="A5938" t="s">
        <v>124</v>
      </c>
      <c r="B5938" t="s">
        <v>125</v>
      </c>
      <c r="C5938" t="s">
        <v>78</v>
      </c>
      <c r="D5938">
        <v>15036721</v>
      </c>
      <c r="E5938" t="s">
        <v>53</v>
      </c>
      <c r="F5938" t="s">
        <v>49</v>
      </c>
      <c r="G5938" s="30">
        <v>406559.02500000002</v>
      </c>
    </row>
    <row r="5939" spans="1:7" x14ac:dyDescent="0.25">
      <c r="A5939" t="s">
        <v>79</v>
      </c>
      <c r="B5939" t="s">
        <v>80</v>
      </c>
      <c r="C5939" t="s">
        <v>81</v>
      </c>
      <c r="D5939">
        <v>15041257</v>
      </c>
      <c r="E5939" t="s">
        <v>53</v>
      </c>
      <c r="F5939" t="s">
        <v>49</v>
      </c>
      <c r="G5939" s="30">
        <v>13023.11</v>
      </c>
    </row>
    <row r="5940" spans="1:7" x14ac:dyDescent="0.25">
      <c r="A5940" t="s">
        <v>45</v>
      </c>
      <c r="B5940" t="s">
        <v>46</v>
      </c>
      <c r="C5940" t="s">
        <v>47</v>
      </c>
      <c r="D5940">
        <v>15041914</v>
      </c>
      <c r="E5940" t="s">
        <v>48</v>
      </c>
      <c r="F5940" t="s">
        <v>49</v>
      </c>
      <c r="G5940" s="30">
        <v>0.75</v>
      </c>
    </row>
    <row r="5941" spans="1:7" x14ac:dyDescent="0.25">
      <c r="A5941" t="s">
        <v>50</v>
      </c>
      <c r="B5941" t="s">
        <v>51</v>
      </c>
      <c r="C5941" t="s">
        <v>52</v>
      </c>
      <c r="D5941">
        <v>15048153</v>
      </c>
      <c r="E5941" t="s">
        <v>53</v>
      </c>
      <c r="F5941" t="s">
        <v>49</v>
      </c>
      <c r="G5941" s="30">
        <v>9199.2853568115006</v>
      </c>
    </row>
    <row r="5942" spans="1:7" x14ac:dyDescent="0.25">
      <c r="A5942" t="s">
        <v>90</v>
      </c>
      <c r="B5942" t="s">
        <v>91</v>
      </c>
      <c r="C5942" t="s">
        <v>81</v>
      </c>
      <c r="D5942">
        <v>15052183</v>
      </c>
      <c r="E5942" t="s">
        <v>53</v>
      </c>
      <c r="F5942" t="s">
        <v>49</v>
      </c>
      <c r="G5942" s="30">
        <v>418101.925769942</v>
      </c>
    </row>
    <row r="5943" spans="1:7" x14ac:dyDescent="0.25">
      <c r="A5943" t="s">
        <v>45</v>
      </c>
      <c r="B5943" t="s">
        <v>46</v>
      </c>
      <c r="C5943" t="s">
        <v>47</v>
      </c>
      <c r="D5943">
        <v>15055593</v>
      </c>
      <c r="E5943" t="s">
        <v>48</v>
      </c>
      <c r="F5943" t="s">
        <v>49</v>
      </c>
      <c r="G5943" s="30">
        <v>0</v>
      </c>
    </row>
    <row r="5944" spans="1:7" x14ac:dyDescent="0.25">
      <c r="A5944" t="s">
        <v>45</v>
      </c>
      <c r="B5944" t="s">
        <v>46</v>
      </c>
      <c r="C5944" t="s">
        <v>47</v>
      </c>
      <c r="D5944">
        <v>15060887</v>
      </c>
      <c r="E5944" t="s">
        <v>48</v>
      </c>
      <c r="F5944" t="s">
        <v>49</v>
      </c>
      <c r="G5944" s="30">
        <v>0</v>
      </c>
    </row>
    <row r="5945" spans="1:7" x14ac:dyDescent="0.25">
      <c r="A5945" t="s">
        <v>45</v>
      </c>
      <c r="B5945" t="s">
        <v>46</v>
      </c>
      <c r="C5945" t="s">
        <v>47</v>
      </c>
      <c r="D5945">
        <v>15061341</v>
      </c>
      <c r="E5945" t="s">
        <v>53</v>
      </c>
      <c r="F5945" t="s">
        <v>49</v>
      </c>
      <c r="G5945" s="30">
        <v>907.25</v>
      </c>
    </row>
    <row r="5946" spans="1:7" x14ac:dyDescent="0.25">
      <c r="A5946" t="s">
        <v>88</v>
      </c>
      <c r="B5946" t="s">
        <v>89</v>
      </c>
      <c r="C5946" t="s">
        <v>78</v>
      </c>
      <c r="D5946">
        <v>15072040</v>
      </c>
      <c r="E5946" t="s">
        <v>53</v>
      </c>
      <c r="F5946" t="s">
        <v>49</v>
      </c>
      <c r="G5946" s="30">
        <v>602028.49514478201</v>
      </c>
    </row>
    <row r="5947" spans="1:7" x14ac:dyDescent="0.25">
      <c r="A5947" t="s">
        <v>50</v>
      </c>
      <c r="B5947" t="s">
        <v>51</v>
      </c>
      <c r="C5947" t="s">
        <v>52</v>
      </c>
      <c r="D5947">
        <v>15072451</v>
      </c>
      <c r="E5947" t="s">
        <v>53</v>
      </c>
      <c r="F5947" t="s">
        <v>49</v>
      </c>
      <c r="G5947" s="30">
        <v>21471.734821349499</v>
      </c>
    </row>
    <row r="5948" spans="1:7" x14ac:dyDescent="0.25">
      <c r="A5948" t="s">
        <v>72</v>
      </c>
      <c r="B5948" t="s">
        <v>73</v>
      </c>
      <c r="C5948" t="s">
        <v>67</v>
      </c>
      <c r="D5948">
        <v>15073927</v>
      </c>
      <c r="E5948" t="s">
        <v>53</v>
      </c>
      <c r="F5948" t="s">
        <v>49</v>
      </c>
      <c r="G5948" s="30">
        <v>29772.049413353299</v>
      </c>
    </row>
    <row r="5949" spans="1:7" x14ac:dyDescent="0.25">
      <c r="A5949" t="s">
        <v>72</v>
      </c>
      <c r="B5949" t="s">
        <v>73</v>
      </c>
      <c r="C5949" t="s">
        <v>67</v>
      </c>
      <c r="D5949">
        <v>15075600</v>
      </c>
      <c r="E5949" t="s">
        <v>53</v>
      </c>
      <c r="F5949" t="s">
        <v>49</v>
      </c>
      <c r="G5949" s="30">
        <v>29783.0895782154</v>
      </c>
    </row>
    <row r="5950" spans="1:7" x14ac:dyDescent="0.25">
      <c r="A5950" t="s">
        <v>45</v>
      </c>
      <c r="B5950" t="s">
        <v>46</v>
      </c>
      <c r="C5950" t="s">
        <v>47</v>
      </c>
      <c r="D5950">
        <v>15075649</v>
      </c>
      <c r="E5950" t="s">
        <v>48</v>
      </c>
      <c r="F5950" t="s">
        <v>49</v>
      </c>
      <c r="G5950" s="30">
        <v>0</v>
      </c>
    </row>
    <row r="5951" spans="1:7" x14ac:dyDescent="0.25">
      <c r="A5951" t="s">
        <v>79</v>
      </c>
      <c r="B5951" t="s">
        <v>80</v>
      </c>
      <c r="C5951" t="s">
        <v>81</v>
      </c>
      <c r="D5951">
        <v>15081210</v>
      </c>
      <c r="E5951" t="s">
        <v>53</v>
      </c>
      <c r="F5951" t="s">
        <v>49</v>
      </c>
      <c r="G5951" s="30">
        <v>62199.310156250001</v>
      </c>
    </row>
    <row r="5952" spans="1:7" x14ac:dyDescent="0.25">
      <c r="A5952" t="s">
        <v>45</v>
      </c>
      <c r="B5952" t="s">
        <v>46</v>
      </c>
      <c r="C5952" t="s">
        <v>47</v>
      </c>
      <c r="D5952">
        <v>15082559</v>
      </c>
      <c r="E5952" t="s">
        <v>48</v>
      </c>
      <c r="F5952" t="s">
        <v>49</v>
      </c>
      <c r="G5952" s="30">
        <v>0</v>
      </c>
    </row>
    <row r="5953" spans="1:7" x14ac:dyDescent="0.25">
      <c r="A5953" t="s">
        <v>92</v>
      </c>
      <c r="B5953" t="s">
        <v>93</v>
      </c>
      <c r="C5953" t="s">
        <v>81</v>
      </c>
      <c r="D5953">
        <v>15085286</v>
      </c>
      <c r="E5953" t="s">
        <v>53</v>
      </c>
      <c r="F5953" t="s">
        <v>49</v>
      </c>
      <c r="G5953" s="30">
        <v>63870.710524875598</v>
      </c>
    </row>
    <row r="5954" spans="1:7" x14ac:dyDescent="0.25">
      <c r="A5954" t="s">
        <v>50</v>
      </c>
      <c r="B5954" t="s">
        <v>51</v>
      </c>
      <c r="C5954" t="s">
        <v>52</v>
      </c>
      <c r="D5954">
        <v>15094143</v>
      </c>
      <c r="E5954" t="s">
        <v>48</v>
      </c>
      <c r="F5954" t="s">
        <v>49</v>
      </c>
      <c r="G5954" s="30">
        <v>0</v>
      </c>
    </row>
    <row r="5955" spans="1:7" x14ac:dyDescent="0.25">
      <c r="A5955" t="s">
        <v>50</v>
      </c>
      <c r="B5955" t="s">
        <v>51</v>
      </c>
      <c r="C5955" t="s">
        <v>52</v>
      </c>
      <c r="D5955">
        <v>15095527</v>
      </c>
      <c r="E5955" t="s">
        <v>53</v>
      </c>
      <c r="F5955" t="s">
        <v>49</v>
      </c>
      <c r="G5955" s="30">
        <v>186.18</v>
      </c>
    </row>
    <row r="5956" spans="1:7" x14ac:dyDescent="0.25">
      <c r="A5956" t="s">
        <v>50</v>
      </c>
      <c r="B5956" t="s">
        <v>51</v>
      </c>
      <c r="C5956" t="s">
        <v>52</v>
      </c>
      <c r="D5956">
        <v>15100520</v>
      </c>
      <c r="E5956" t="s">
        <v>48</v>
      </c>
      <c r="F5956" t="s">
        <v>49</v>
      </c>
      <c r="G5956" s="30">
        <v>0</v>
      </c>
    </row>
    <row r="5957" spans="1:7" x14ac:dyDescent="0.25">
      <c r="A5957" t="s">
        <v>50</v>
      </c>
      <c r="B5957" t="s">
        <v>51</v>
      </c>
      <c r="C5957" t="s">
        <v>52</v>
      </c>
      <c r="D5957">
        <v>15100638</v>
      </c>
      <c r="E5957" t="s">
        <v>48</v>
      </c>
      <c r="F5957" t="s">
        <v>49</v>
      </c>
      <c r="G5957" s="30">
        <v>0</v>
      </c>
    </row>
    <row r="5958" spans="1:7" x14ac:dyDescent="0.25">
      <c r="A5958" t="s">
        <v>112</v>
      </c>
      <c r="B5958" t="s">
        <v>113</v>
      </c>
      <c r="C5958" t="s">
        <v>81</v>
      </c>
      <c r="D5958">
        <v>15105330</v>
      </c>
      <c r="E5958" t="s">
        <v>53</v>
      </c>
      <c r="F5958" t="s">
        <v>49</v>
      </c>
      <c r="G5958" s="30">
        <v>286916.10730904102</v>
      </c>
    </row>
    <row r="5959" spans="1:7" x14ac:dyDescent="0.25">
      <c r="A5959" t="s">
        <v>112</v>
      </c>
      <c r="B5959" t="s">
        <v>113</v>
      </c>
      <c r="C5959" t="s">
        <v>81</v>
      </c>
      <c r="D5959">
        <v>15106195</v>
      </c>
      <c r="E5959" t="s">
        <v>53</v>
      </c>
      <c r="F5959" t="s">
        <v>49</v>
      </c>
      <c r="G5959" s="30">
        <v>261871.85013942001</v>
      </c>
    </row>
    <row r="5960" spans="1:7" x14ac:dyDescent="0.25">
      <c r="A5960" t="s">
        <v>45</v>
      </c>
      <c r="B5960" t="s">
        <v>46</v>
      </c>
      <c r="C5960" t="s">
        <v>47</v>
      </c>
      <c r="D5960">
        <v>15107776</v>
      </c>
      <c r="E5960" t="s">
        <v>48</v>
      </c>
      <c r="F5960" t="s">
        <v>49</v>
      </c>
      <c r="G5960" s="30">
        <v>0</v>
      </c>
    </row>
    <row r="5961" spans="1:7" x14ac:dyDescent="0.25">
      <c r="A5961" t="s">
        <v>50</v>
      </c>
      <c r="B5961" t="s">
        <v>51</v>
      </c>
      <c r="C5961" t="s">
        <v>52</v>
      </c>
      <c r="D5961">
        <v>15112026</v>
      </c>
      <c r="E5961" t="s">
        <v>53</v>
      </c>
      <c r="F5961" t="s">
        <v>49</v>
      </c>
      <c r="G5961" s="30">
        <v>4295.79</v>
      </c>
    </row>
    <row r="5962" spans="1:7" x14ac:dyDescent="0.25">
      <c r="A5962" t="s">
        <v>45</v>
      </c>
      <c r="B5962" t="s">
        <v>46</v>
      </c>
      <c r="C5962" t="s">
        <v>47</v>
      </c>
      <c r="D5962">
        <v>15114212</v>
      </c>
      <c r="E5962" t="s">
        <v>48</v>
      </c>
      <c r="F5962" t="s">
        <v>49</v>
      </c>
      <c r="G5962" s="30">
        <v>0</v>
      </c>
    </row>
    <row r="5963" spans="1:7" x14ac:dyDescent="0.25">
      <c r="A5963" t="s">
        <v>79</v>
      </c>
      <c r="B5963" t="s">
        <v>80</v>
      </c>
      <c r="C5963" t="s">
        <v>81</v>
      </c>
      <c r="D5963">
        <v>15117925</v>
      </c>
      <c r="E5963" t="s">
        <v>53</v>
      </c>
      <c r="F5963" t="s">
        <v>49</v>
      </c>
      <c r="G5963" s="30">
        <v>27417.527103410601</v>
      </c>
    </row>
    <row r="5964" spans="1:7" x14ac:dyDescent="0.25">
      <c r="A5964" t="s">
        <v>45</v>
      </c>
      <c r="B5964" t="s">
        <v>46</v>
      </c>
      <c r="C5964" t="s">
        <v>47</v>
      </c>
      <c r="D5964">
        <v>15121557</v>
      </c>
      <c r="E5964" t="s">
        <v>48</v>
      </c>
      <c r="F5964" t="s">
        <v>49</v>
      </c>
      <c r="G5964" s="30">
        <v>0</v>
      </c>
    </row>
    <row r="5965" spans="1:7" x14ac:dyDescent="0.25">
      <c r="A5965" t="s">
        <v>50</v>
      </c>
      <c r="B5965" t="s">
        <v>51</v>
      </c>
      <c r="C5965" t="s">
        <v>52</v>
      </c>
      <c r="D5965">
        <v>15121767</v>
      </c>
      <c r="E5965" t="s">
        <v>53</v>
      </c>
      <c r="F5965" t="s">
        <v>49</v>
      </c>
      <c r="G5965" s="30">
        <v>3704.39</v>
      </c>
    </row>
    <row r="5966" spans="1:7" x14ac:dyDescent="0.25">
      <c r="A5966" t="s">
        <v>63</v>
      </c>
      <c r="B5966" t="s">
        <v>64</v>
      </c>
      <c r="C5966" t="s">
        <v>56</v>
      </c>
      <c r="D5966">
        <v>15123033</v>
      </c>
      <c r="E5966" t="s">
        <v>53</v>
      </c>
      <c r="F5966" t="s">
        <v>49</v>
      </c>
      <c r="G5966" s="30">
        <v>255507.578125</v>
      </c>
    </row>
    <row r="5967" spans="1:7" x14ac:dyDescent="0.25">
      <c r="A5967" t="s">
        <v>54</v>
      </c>
      <c r="B5967" t="s">
        <v>55</v>
      </c>
      <c r="C5967" t="s">
        <v>56</v>
      </c>
      <c r="D5967">
        <v>15123274</v>
      </c>
      <c r="E5967" t="s">
        <v>53</v>
      </c>
      <c r="F5967" t="s">
        <v>49</v>
      </c>
      <c r="G5967" s="30">
        <v>62491.839254526698</v>
      </c>
    </row>
    <row r="5968" spans="1:7" x14ac:dyDescent="0.25">
      <c r="A5968" t="s">
        <v>54</v>
      </c>
      <c r="B5968" t="s">
        <v>55</v>
      </c>
      <c r="C5968" t="s">
        <v>56</v>
      </c>
      <c r="D5968">
        <v>15123758</v>
      </c>
      <c r="E5968" t="s">
        <v>53</v>
      </c>
      <c r="F5968" t="s">
        <v>49</v>
      </c>
      <c r="G5968" s="30">
        <v>62448.188739373298</v>
      </c>
    </row>
    <row r="5969" spans="1:7" x14ac:dyDescent="0.25">
      <c r="A5969" t="s">
        <v>45</v>
      </c>
      <c r="B5969" t="s">
        <v>46</v>
      </c>
      <c r="C5969" t="s">
        <v>47</v>
      </c>
      <c r="D5969">
        <v>15125051</v>
      </c>
      <c r="E5969" t="s">
        <v>53</v>
      </c>
      <c r="F5969" t="s">
        <v>49</v>
      </c>
      <c r="G5969" s="30">
        <v>3892.6432178530599</v>
      </c>
    </row>
    <row r="5970" spans="1:7" x14ac:dyDescent="0.25">
      <c r="A5970" t="s">
        <v>68</v>
      </c>
      <c r="B5970" t="s">
        <v>69</v>
      </c>
      <c r="C5970" t="s">
        <v>56</v>
      </c>
      <c r="D5970">
        <v>15134871</v>
      </c>
      <c r="E5970" t="s">
        <v>53</v>
      </c>
      <c r="F5970" t="s">
        <v>49</v>
      </c>
      <c r="G5970" s="30">
        <v>568251.98978400195</v>
      </c>
    </row>
    <row r="5971" spans="1:7" x14ac:dyDescent="0.25">
      <c r="A5971" t="s">
        <v>61</v>
      </c>
      <c r="B5971" t="s">
        <v>62</v>
      </c>
      <c r="C5971" t="s">
        <v>56</v>
      </c>
      <c r="D5971">
        <v>15136392</v>
      </c>
      <c r="E5971" t="s">
        <v>53</v>
      </c>
      <c r="F5971" t="s">
        <v>49</v>
      </c>
      <c r="G5971" s="30">
        <v>533006.97264864598</v>
      </c>
    </row>
    <row r="5972" spans="1:7" x14ac:dyDescent="0.25">
      <c r="A5972" t="s">
        <v>45</v>
      </c>
      <c r="B5972" t="s">
        <v>46</v>
      </c>
      <c r="C5972" t="s">
        <v>47</v>
      </c>
      <c r="D5972">
        <v>15138609</v>
      </c>
      <c r="E5972" t="s">
        <v>48</v>
      </c>
      <c r="F5972" t="s">
        <v>49</v>
      </c>
      <c r="G5972" s="30">
        <v>0</v>
      </c>
    </row>
    <row r="5973" spans="1:7" x14ac:dyDescent="0.25">
      <c r="A5973" t="s">
        <v>45</v>
      </c>
      <c r="B5973" t="s">
        <v>46</v>
      </c>
      <c r="C5973" t="s">
        <v>47</v>
      </c>
      <c r="D5973">
        <v>15141536</v>
      </c>
      <c r="E5973" t="s">
        <v>48</v>
      </c>
      <c r="F5973" t="s">
        <v>49</v>
      </c>
      <c r="G5973" s="30">
        <v>0</v>
      </c>
    </row>
    <row r="5974" spans="1:7" x14ac:dyDescent="0.25">
      <c r="A5974" t="s">
        <v>106</v>
      </c>
      <c r="B5974" t="s">
        <v>107</v>
      </c>
      <c r="C5974" t="s">
        <v>56</v>
      </c>
      <c r="D5974">
        <v>15149383</v>
      </c>
      <c r="E5974" t="s">
        <v>53</v>
      </c>
      <c r="F5974" t="s">
        <v>49</v>
      </c>
      <c r="G5974" s="30">
        <v>813721.98354142101</v>
      </c>
    </row>
    <row r="5975" spans="1:7" x14ac:dyDescent="0.25">
      <c r="A5975" t="s">
        <v>118</v>
      </c>
      <c r="B5975" t="s">
        <v>119</v>
      </c>
      <c r="C5975" t="s">
        <v>56</v>
      </c>
      <c r="D5975">
        <v>15152945</v>
      </c>
      <c r="E5975" t="s">
        <v>48</v>
      </c>
      <c r="F5975" t="s">
        <v>49</v>
      </c>
      <c r="G5975" s="30">
        <v>0</v>
      </c>
    </row>
    <row r="5976" spans="1:7" x14ac:dyDescent="0.25">
      <c r="A5976" t="s">
        <v>79</v>
      </c>
      <c r="B5976" t="s">
        <v>80</v>
      </c>
      <c r="C5976" t="s">
        <v>81</v>
      </c>
      <c r="D5976">
        <v>15156565</v>
      </c>
      <c r="E5976" t="s">
        <v>53</v>
      </c>
      <c r="F5976" t="s">
        <v>49</v>
      </c>
      <c r="G5976" s="30">
        <v>302849.54319698602</v>
      </c>
    </row>
    <row r="5977" spans="1:7" x14ac:dyDescent="0.25">
      <c r="A5977" t="s">
        <v>84</v>
      </c>
      <c r="B5977" t="s">
        <v>85</v>
      </c>
      <c r="C5977" t="s">
        <v>67</v>
      </c>
      <c r="D5977">
        <v>15157640</v>
      </c>
      <c r="E5977" t="s">
        <v>53</v>
      </c>
      <c r="F5977" t="s">
        <v>49</v>
      </c>
      <c r="G5977" s="30">
        <v>155456.58687479701</v>
      </c>
    </row>
    <row r="5978" spans="1:7" x14ac:dyDescent="0.25">
      <c r="A5978" t="s">
        <v>45</v>
      </c>
      <c r="B5978" t="s">
        <v>46</v>
      </c>
      <c r="C5978" t="s">
        <v>47</v>
      </c>
      <c r="D5978">
        <v>15161258</v>
      </c>
      <c r="E5978" t="s">
        <v>48</v>
      </c>
      <c r="F5978" t="s">
        <v>49</v>
      </c>
      <c r="G5978" s="30">
        <v>0</v>
      </c>
    </row>
    <row r="5979" spans="1:7" x14ac:dyDescent="0.25">
      <c r="A5979" t="s">
        <v>116</v>
      </c>
      <c r="B5979" t="s">
        <v>117</v>
      </c>
      <c r="C5979" t="s">
        <v>47</v>
      </c>
      <c r="D5979">
        <v>15164097</v>
      </c>
      <c r="E5979" t="s">
        <v>48</v>
      </c>
      <c r="F5979" t="s">
        <v>49</v>
      </c>
      <c r="G5979" s="30">
        <v>0</v>
      </c>
    </row>
    <row r="5980" spans="1:7" x14ac:dyDescent="0.25">
      <c r="A5980" t="s">
        <v>86</v>
      </c>
      <c r="B5980" t="s">
        <v>87</v>
      </c>
      <c r="C5980" t="s">
        <v>78</v>
      </c>
      <c r="D5980">
        <v>15166822</v>
      </c>
      <c r="E5980" t="s">
        <v>53</v>
      </c>
      <c r="F5980" t="s">
        <v>49</v>
      </c>
      <c r="G5980" s="30">
        <v>620342.062184743</v>
      </c>
    </row>
    <row r="5981" spans="1:7" x14ac:dyDescent="0.25">
      <c r="A5981" t="s">
        <v>50</v>
      </c>
      <c r="B5981" t="s">
        <v>51</v>
      </c>
      <c r="C5981" t="s">
        <v>52</v>
      </c>
      <c r="D5981">
        <v>15172725</v>
      </c>
      <c r="E5981" t="s">
        <v>53</v>
      </c>
      <c r="F5981" t="s">
        <v>49</v>
      </c>
      <c r="G5981" s="30">
        <v>8728.3189658007996</v>
      </c>
    </row>
    <row r="5982" spans="1:7" x14ac:dyDescent="0.25">
      <c r="A5982" t="s">
        <v>112</v>
      </c>
      <c r="B5982" t="s">
        <v>113</v>
      </c>
      <c r="C5982" t="s">
        <v>81</v>
      </c>
      <c r="D5982">
        <v>15176962</v>
      </c>
      <c r="E5982" t="s">
        <v>53</v>
      </c>
      <c r="F5982" t="s">
        <v>49</v>
      </c>
      <c r="G5982" s="30">
        <v>1000845.66314269</v>
      </c>
    </row>
    <row r="5983" spans="1:7" x14ac:dyDescent="0.25">
      <c r="A5983" t="s">
        <v>112</v>
      </c>
      <c r="B5983" t="s">
        <v>113</v>
      </c>
      <c r="C5983" t="s">
        <v>81</v>
      </c>
      <c r="D5983">
        <v>15189779</v>
      </c>
      <c r="E5983" t="s">
        <v>53</v>
      </c>
      <c r="F5983" t="s">
        <v>49</v>
      </c>
      <c r="G5983" s="30">
        <v>39361.499464179702</v>
      </c>
    </row>
    <row r="5984" spans="1:7" x14ac:dyDescent="0.25">
      <c r="A5984" t="s">
        <v>79</v>
      </c>
      <c r="B5984" t="s">
        <v>80</v>
      </c>
      <c r="C5984" t="s">
        <v>81</v>
      </c>
      <c r="D5984">
        <v>15191562</v>
      </c>
      <c r="E5984" t="s">
        <v>53</v>
      </c>
      <c r="F5984" t="s">
        <v>49</v>
      </c>
      <c r="G5984" s="30">
        <v>139834.41348890701</v>
      </c>
    </row>
    <row r="5985" spans="1:7" x14ac:dyDescent="0.25">
      <c r="A5985" t="s">
        <v>106</v>
      </c>
      <c r="B5985" t="s">
        <v>107</v>
      </c>
      <c r="C5985" t="s">
        <v>56</v>
      </c>
      <c r="D5985">
        <v>15195164</v>
      </c>
      <c r="E5985" t="s">
        <v>53</v>
      </c>
      <c r="F5985" t="s">
        <v>49</v>
      </c>
      <c r="G5985" s="30">
        <v>6845133.9288566802</v>
      </c>
    </row>
    <row r="5986" spans="1:7" x14ac:dyDescent="0.25">
      <c r="A5986" t="s">
        <v>45</v>
      </c>
      <c r="B5986" t="s">
        <v>46</v>
      </c>
      <c r="C5986" t="s">
        <v>47</v>
      </c>
      <c r="D5986">
        <v>15197503</v>
      </c>
      <c r="E5986" t="s">
        <v>48</v>
      </c>
      <c r="F5986" t="s">
        <v>49</v>
      </c>
      <c r="G5986" s="30">
        <v>0</v>
      </c>
    </row>
    <row r="5987" spans="1:7" x14ac:dyDescent="0.25">
      <c r="A5987" t="s">
        <v>102</v>
      </c>
      <c r="B5987" t="s">
        <v>103</v>
      </c>
      <c r="C5987" t="s">
        <v>47</v>
      </c>
      <c r="D5987">
        <v>15197908</v>
      </c>
      <c r="E5987" t="s">
        <v>53</v>
      </c>
      <c r="F5987" t="s">
        <v>49</v>
      </c>
      <c r="G5987" s="30">
        <v>45205.650125579901</v>
      </c>
    </row>
    <row r="5988" spans="1:7" x14ac:dyDescent="0.25">
      <c r="A5988" t="s">
        <v>50</v>
      </c>
      <c r="B5988" t="s">
        <v>51</v>
      </c>
      <c r="C5988" t="s">
        <v>52</v>
      </c>
      <c r="D5988">
        <v>15204230</v>
      </c>
      <c r="E5988" t="s">
        <v>53</v>
      </c>
      <c r="F5988" t="s">
        <v>49</v>
      </c>
      <c r="G5988" s="30">
        <v>68842.755446734896</v>
      </c>
    </row>
    <row r="5989" spans="1:7" x14ac:dyDescent="0.25">
      <c r="A5989" t="s">
        <v>68</v>
      </c>
      <c r="B5989" t="s">
        <v>69</v>
      </c>
      <c r="C5989" t="s">
        <v>56</v>
      </c>
      <c r="D5989">
        <v>15204339</v>
      </c>
      <c r="E5989" t="s">
        <v>53</v>
      </c>
      <c r="F5989" t="s">
        <v>49</v>
      </c>
      <c r="G5989" s="30">
        <v>3266.7757617187499</v>
      </c>
    </row>
    <row r="5990" spans="1:7" x14ac:dyDescent="0.25">
      <c r="A5990" t="s">
        <v>45</v>
      </c>
      <c r="B5990" t="s">
        <v>46</v>
      </c>
      <c r="C5990" t="s">
        <v>47</v>
      </c>
      <c r="D5990">
        <v>15214132</v>
      </c>
      <c r="E5990" t="s">
        <v>48</v>
      </c>
      <c r="F5990" t="s">
        <v>49</v>
      </c>
      <c r="G5990" s="30">
        <v>0</v>
      </c>
    </row>
    <row r="5991" spans="1:7" x14ac:dyDescent="0.25">
      <c r="A5991" t="s">
        <v>45</v>
      </c>
      <c r="B5991" t="s">
        <v>46</v>
      </c>
      <c r="C5991" t="s">
        <v>47</v>
      </c>
      <c r="D5991">
        <v>15214785</v>
      </c>
      <c r="E5991" t="s">
        <v>48</v>
      </c>
      <c r="F5991" t="s">
        <v>49</v>
      </c>
      <c r="G5991" s="30">
        <v>0</v>
      </c>
    </row>
    <row r="5992" spans="1:7" x14ac:dyDescent="0.25">
      <c r="A5992" t="s">
        <v>118</v>
      </c>
      <c r="B5992" t="s">
        <v>119</v>
      </c>
      <c r="C5992" t="s">
        <v>56</v>
      </c>
      <c r="D5992">
        <v>15222186</v>
      </c>
      <c r="E5992" t="s">
        <v>53</v>
      </c>
      <c r="F5992" t="s">
        <v>49</v>
      </c>
      <c r="G5992" s="30">
        <v>83492.428287039802</v>
      </c>
    </row>
    <row r="5993" spans="1:7" x14ac:dyDescent="0.25">
      <c r="A5993" t="s">
        <v>45</v>
      </c>
      <c r="B5993" t="s">
        <v>46</v>
      </c>
      <c r="C5993" t="s">
        <v>47</v>
      </c>
      <c r="D5993">
        <v>15222188</v>
      </c>
      <c r="E5993" t="s">
        <v>53</v>
      </c>
      <c r="F5993" t="s">
        <v>49</v>
      </c>
      <c r="G5993" s="30">
        <v>3259.92041015625</v>
      </c>
    </row>
    <row r="5994" spans="1:7" x14ac:dyDescent="0.25">
      <c r="A5994" t="s">
        <v>118</v>
      </c>
      <c r="B5994" t="s">
        <v>119</v>
      </c>
      <c r="C5994" t="s">
        <v>56</v>
      </c>
      <c r="D5994">
        <v>15222785</v>
      </c>
      <c r="E5994" t="s">
        <v>53</v>
      </c>
      <c r="F5994" t="s">
        <v>49</v>
      </c>
      <c r="G5994" s="30">
        <v>58586.0517578125</v>
      </c>
    </row>
    <row r="5995" spans="1:7" x14ac:dyDescent="0.25">
      <c r="A5995" t="s">
        <v>131</v>
      </c>
      <c r="B5995" t="s">
        <v>132</v>
      </c>
      <c r="C5995" t="s">
        <v>67</v>
      </c>
      <c r="D5995">
        <v>15222870</v>
      </c>
      <c r="E5995" t="s">
        <v>48</v>
      </c>
      <c r="F5995" t="s">
        <v>49</v>
      </c>
      <c r="G5995" s="30">
        <v>0</v>
      </c>
    </row>
    <row r="5996" spans="1:7" x14ac:dyDescent="0.25">
      <c r="A5996" t="s">
        <v>124</v>
      </c>
      <c r="B5996" t="s">
        <v>125</v>
      </c>
      <c r="C5996" t="s">
        <v>78</v>
      </c>
      <c r="D5996">
        <v>15224929</v>
      </c>
      <c r="E5996" t="s">
        <v>53</v>
      </c>
      <c r="F5996" t="s">
        <v>49</v>
      </c>
      <c r="G5996" s="30">
        <v>641.58257062377902</v>
      </c>
    </row>
    <row r="5997" spans="1:7" x14ac:dyDescent="0.25">
      <c r="A5997" t="s">
        <v>45</v>
      </c>
      <c r="B5997" t="s">
        <v>46</v>
      </c>
      <c r="C5997" t="s">
        <v>47</v>
      </c>
      <c r="D5997">
        <v>15225364</v>
      </c>
      <c r="E5997" t="s">
        <v>48</v>
      </c>
      <c r="F5997" t="s">
        <v>49</v>
      </c>
      <c r="G5997" s="30">
        <v>0</v>
      </c>
    </row>
    <row r="5998" spans="1:7" x14ac:dyDescent="0.25">
      <c r="A5998" t="s">
        <v>86</v>
      </c>
      <c r="B5998" t="s">
        <v>87</v>
      </c>
      <c r="C5998" t="s">
        <v>78</v>
      </c>
      <c r="D5998">
        <v>15229186</v>
      </c>
      <c r="E5998" t="s">
        <v>53</v>
      </c>
      <c r="F5998" t="s">
        <v>49</v>
      </c>
      <c r="G5998" s="30">
        <v>268619.55463003198</v>
      </c>
    </row>
    <row r="5999" spans="1:7" x14ac:dyDescent="0.25">
      <c r="A5999" t="s">
        <v>79</v>
      </c>
      <c r="B5999" t="s">
        <v>80</v>
      </c>
      <c r="C5999" t="s">
        <v>81</v>
      </c>
      <c r="D5999">
        <v>15229376</v>
      </c>
      <c r="E5999" t="s">
        <v>48</v>
      </c>
      <c r="F5999" t="s">
        <v>49</v>
      </c>
      <c r="G5999" s="30">
        <v>0</v>
      </c>
    </row>
    <row r="6000" spans="1:7" x14ac:dyDescent="0.25">
      <c r="A6000" t="s">
        <v>68</v>
      </c>
      <c r="B6000" t="s">
        <v>69</v>
      </c>
      <c r="C6000" t="s">
        <v>56</v>
      </c>
      <c r="D6000">
        <v>15231172</v>
      </c>
      <c r="E6000" t="s">
        <v>48</v>
      </c>
      <c r="F6000" t="s">
        <v>49</v>
      </c>
      <c r="G6000" s="30">
        <v>0</v>
      </c>
    </row>
    <row r="6001" spans="1:7" x14ac:dyDescent="0.25">
      <c r="A6001" t="s">
        <v>45</v>
      </c>
      <c r="B6001" t="s">
        <v>46</v>
      </c>
      <c r="C6001" t="s">
        <v>47</v>
      </c>
      <c r="D6001">
        <v>15234276</v>
      </c>
      <c r="E6001" t="s">
        <v>48</v>
      </c>
      <c r="F6001" t="s">
        <v>49</v>
      </c>
      <c r="G6001" s="30">
        <v>0</v>
      </c>
    </row>
    <row r="6002" spans="1:7" x14ac:dyDescent="0.25">
      <c r="A6002" t="s">
        <v>45</v>
      </c>
      <c r="B6002" t="s">
        <v>46</v>
      </c>
      <c r="C6002" t="s">
        <v>47</v>
      </c>
      <c r="D6002">
        <v>15235077</v>
      </c>
      <c r="E6002" t="s">
        <v>48</v>
      </c>
      <c r="F6002" t="s">
        <v>49</v>
      </c>
      <c r="G6002" s="30">
        <v>0</v>
      </c>
    </row>
    <row r="6003" spans="1:7" x14ac:dyDescent="0.25">
      <c r="A6003" t="s">
        <v>65</v>
      </c>
      <c r="B6003" t="s">
        <v>66</v>
      </c>
      <c r="C6003" t="s">
        <v>67</v>
      </c>
      <c r="D6003">
        <v>15237943</v>
      </c>
      <c r="E6003" t="s">
        <v>53</v>
      </c>
      <c r="F6003" t="s">
        <v>49</v>
      </c>
      <c r="G6003" s="30">
        <v>55.7113911403505</v>
      </c>
    </row>
    <row r="6004" spans="1:7" x14ac:dyDescent="0.25">
      <c r="A6004" t="s">
        <v>50</v>
      </c>
      <c r="B6004" t="s">
        <v>51</v>
      </c>
      <c r="C6004" t="s">
        <v>52</v>
      </c>
      <c r="D6004">
        <v>15238912</v>
      </c>
      <c r="E6004" t="s">
        <v>53</v>
      </c>
      <c r="F6004" t="s">
        <v>49</v>
      </c>
      <c r="G6004" s="30">
        <v>1041.21592417899</v>
      </c>
    </row>
    <row r="6005" spans="1:7" x14ac:dyDescent="0.25">
      <c r="A6005" t="s">
        <v>118</v>
      </c>
      <c r="B6005" t="s">
        <v>119</v>
      </c>
      <c r="C6005" t="s">
        <v>56</v>
      </c>
      <c r="D6005">
        <v>15240021</v>
      </c>
      <c r="E6005" t="s">
        <v>53</v>
      </c>
      <c r="F6005" t="s">
        <v>49</v>
      </c>
      <c r="G6005" s="30">
        <v>39247.593262431801</v>
      </c>
    </row>
    <row r="6006" spans="1:7" x14ac:dyDescent="0.25">
      <c r="A6006" t="s">
        <v>86</v>
      </c>
      <c r="B6006" t="s">
        <v>87</v>
      </c>
      <c r="C6006" t="s">
        <v>78</v>
      </c>
      <c r="D6006">
        <v>15248672</v>
      </c>
      <c r="E6006" t="s">
        <v>53</v>
      </c>
      <c r="F6006" t="s">
        <v>49</v>
      </c>
      <c r="G6006" s="30">
        <v>75280.985139461001</v>
      </c>
    </row>
    <row r="6007" spans="1:7" x14ac:dyDescent="0.25">
      <c r="A6007" t="s">
        <v>45</v>
      </c>
      <c r="B6007" t="s">
        <v>46</v>
      </c>
      <c r="C6007" t="s">
        <v>47</v>
      </c>
      <c r="D6007">
        <v>15251337</v>
      </c>
      <c r="E6007" t="s">
        <v>48</v>
      </c>
      <c r="F6007" t="s">
        <v>49</v>
      </c>
      <c r="G6007" s="30">
        <v>7.23</v>
      </c>
    </row>
    <row r="6008" spans="1:7" x14ac:dyDescent="0.25">
      <c r="A6008" t="s">
        <v>45</v>
      </c>
      <c r="B6008" t="s">
        <v>46</v>
      </c>
      <c r="C6008" t="s">
        <v>47</v>
      </c>
      <c r="D6008">
        <v>15252213</v>
      </c>
      <c r="E6008" t="s">
        <v>48</v>
      </c>
      <c r="F6008" t="s">
        <v>49</v>
      </c>
      <c r="G6008" s="30">
        <v>0</v>
      </c>
    </row>
    <row r="6009" spans="1:7" x14ac:dyDescent="0.25">
      <c r="A6009" t="s">
        <v>45</v>
      </c>
      <c r="B6009" t="s">
        <v>46</v>
      </c>
      <c r="C6009" t="s">
        <v>47</v>
      </c>
      <c r="D6009">
        <v>15252834</v>
      </c>
      <c r="E6009" t="s">
        <v>53</v>
      </c>
      <c r="F6009" t="s">
        <v>49</v>
      </c>
      <c r="G6009" s="30">
        <v>292.38</v>
      </c>
    </row>
    <row r="6010" spans="1:7" x14ac:dyDescent="0.25">
      <c r="A6010" t="s">
        <v>50</v>
      </c>
      <c r="B6010" t="s">
        <v>51</v>
      </c>
      <c r="C6010" t="s">
        <v>52</v>
      </c>
      <c r="D6010">
        <v>15253211</v>
      </c>
      <c r="E6010" t="s">
        <v>48</v>
      </c>
      <c r="F6010" t="s">
        <v>49</v>
      </c>
      <c r="G6010" s="30">
        <v>0</v>
      </c>
    </row>
    <row r="6011" spans="1:7" x14ac:dyDescent="0.25">
      <c r="A6011" t="s">
        <v>79</v>
      </c>
      <c r="B6011" t="s">
        <v>80</v>
      </c>
      <c r="C6011" t="s">
        <v>81</v>
      </c>
      <c r="D6011">
        <v>15253318</v>
      </c>
      <c r="E6011" t="s">
        <v>53</v>
      </c>
      <c r="F6011" t="s">
        <v>49</v>
      </c>
      <c r="G6011" s="30">
        <v>122751.11687180201</v>
      </c>
    </row>
    <row r="6012" spans="1:7" x14ac:dyDescent="0.25">
      <c r="A6012" t="s">
        <v>94</v>
      </c>
      <c r="B6012" t="s">
        <v>95</v>
      </c>
      <c r="C6012" t="s">
        <v>78</v>
      </c>
      <c r="D6012">
        <v>15254010</v>
      </c>
      <c r="E6012" t="s">
        <v>53</v>
      </c>
      <c r="F6012" t="s">
        <v>49</v>
      </c>
      <c r="G6012" s="30">
        <v>58984.815423057502</v>
      </c>
    </row>
    <row r="6013" spans="1:7" x14ac:dyDescent="0.25">
      <c r="A6013" t="s">
        <v>50</v>
      </c>
      <c r="B6013" t="s">
        <v>51</v>
      </c>
      <c r="C6013" t="s">
        <v>52</v>
      </c>
      <c r="D6013">
        <v>15254634</v>
      </c>
      <c r="E6013" t="s">
        <v>53</v>
      </c>
      <c r="F6013" t="s">
        <v>49</v>
      </c>
      <c r="G6013" s="30">
        <v>22406.983424376998</v>
      </c>
    </row>
    <row r="6014" spans="1:7" x14ac:dyDescent="0.25">
      <c r="A6014" t="s">
        <v>45</v>
      </c>
      <c r="B6014" t="s">
        <v>46</v>
      </c>
      <c r="C6014" t="s">
        <v>47</v>
      </c>
      <c r="D6014">
        <v>15259651</v>
      </c>
      <c r="E6014" t="s">
        <v>48</v>
      </c>
      <c r="F6014" t="s">
        <v>49</v>
      </c>
      <c r="G6014" s="30">
        <v>0</v>
      </c>
    </row>
    <row r="6015" spans="1:7" x14ac:dyDescent="0.25">
      <c r="A6015" t="s">
        <v>79</v>
      </c>
      <c r="B6015" t="s">
        <v>80</v>
      </c>
      <c r="C6015" t="s">
        <v>81</v>
      </c>
      <c r="D6015">
        <v>15263506</v>
      </c>
      <c r="E6015" t="s">
        <v>53</v>
      </c>
      <c r="F6015" t="s">
        <v>49</v>
      </c>
      <c r="G6015" s="30">
        <v>122514.94432723999</v>
      </c>
    </row>
    <row r="6016" spans="1:7" x14ac:dyDescent="0.25">
      <c r="A6016" t="s">
        <v>50</v>
      </c>
      <c r="B6016" t="s">
        <v>51</v>
      </c>
      <c r="C6016" t="s">
        <v>52</v>
      </c>
      <c r="D6016">
        <v>15264176</v>
      </c>
      <c r="E6016" t="s">
        <v>48</v>
      </c>
      <c r="F6016" t="s">
        <v>49</v>
      </c>
      <c r="G6016" s="30">
        <v>0</v>
      </c>
    </row>
    <row r="6017" spans="1:7" x14ac:dyDescent="0.25">
      <c r="A6017" t="s">
        <v>45</v>
      </c>
      <c r="B6017" t="s">
        <v>46</v>
      </c>
      <c r="C6017" t="s">
        <v>47</v>
      </c>
      <c r="D6017">
        <v>15265714</v>
      </c>
      <c r="E6017" t="s">
        <v>48</v>
      </c>
      <c r="F6017" t="s">
        <v>49</v>
      </c>
      <c r="G6017" s="30">
        <v>0</v>
      </c>
    </row>
    <row r="6018" spans="1:7" x14ac:dyDescent="0.25">
      <c r="A6018" t="s">
        <v>102</v>
      </c>
      <c r="B6018" t="s">
        <v>103</v>
      </c>
      <c r="C6018" t="s">
        <v>47</v>
      </c>
      <c r="D6018">
        <v>15265841</v>
      </c>
      <c r="E6018" t="s">
        <v>53</v>
      </c>
      <c r="F6018" t="s">
        <v>49</v>
      </c>
      <c r="G6018" s="30">
        <v>279780.83071265102</v>
      </c>
    </row>
    <row r="6019" spans="1:7" x14ac:dyDescent="0.25">
      <c r="A6019" t="s">
        <v>45</v>
      </c>
      <c r="B6019" t="s">
        <v>46</v>
      </c>
      <c r="C6019" t="s">
        <v>47</v>
      </c>
      <c r="D6019">
        <v>15266359</v>
      </c>
      <c r="E6019" t="s">
        <v>48</v>
      </c>
      <c r="F6019" t="s">
        <v>49</v>
      </c>
      <c r="G6019" s="30">
        <v>0</v>
      </c>
    </row>
    <row r="6020" spans="1:7" x14ac:dyDescent="0.25">
      <c r="A6020" t="s">
        <v>116</v>
      </c>
      <c r="B6020" t="s">
        <v>117</v>
      </c>
      <c r="C6020" t="s">
        <v>47</v>
      </c>
      <c r="D6020">
        <v>15269422</v>
      </c>
      <c r="E6020" t="s">
        <v>48</v>
      </c>
      <c r="F6020" t="s">
        <v>49</v>
      </c>
      <c r="G6020" s="30">
        <v>0</v>
      </c>
    </row>
    <row r="6021" spans="1:7" x14ac:dyDescent="0.25">
      <c r="A6021" t="s">
        <v>45</v>
      </c>
      <c r="B6021" t="s">
        <v>46</v>
      </c>
      <c r="C6021" t="s">
        <v>47</v>
      </c>
      <c r="D6021">
        <v>15271514</v>
      </c>
      <c r="E6021" t="s">
        <v>48</v>
      </c>
      <c r="F6021" t="s">
        <v>49</v>
      </c>
      <c r="G6021" s="30">
        <v>0</v>
      </c>
    </row>
    <row r="6022" spans="1:7" x14ac:dyDescent="0.25">
      <c r="A6022" t="s">
        <v>79</v>
      </c>
      <c r="B6022" t="s">
        <v>80</v>
      </c>
      <c r="C6022" t="s">
        <v>81</v>
      </c>
      <c r="D6022">
        <v>15278358</v>
      </c>
      <c r="E6022" t="s">
        <v>53</v>
      </c>
      <c r="F6022" t="s">
        <v>49</v>
      </c>
      <c r="G6022" s="30">
        <v>17932.9971739578</v>
      </c>
    </row>
    <row r="6023" spans="1:7" x14ac:dyDescent="0.25">
      <c r="A6023" t="s">
        <v>88</v>
      </c>
      <c r="B6023" t="s">
        <v>89</v>
      </c>
      <c r="C6023" t="s">
        <v>78</v>
      </c>
      <c r="D6023">
        <v>15281398</v>
      </c>
      <c r="E6023" t="s">
        <v>48</v>
      </c>
      <c r="F6023" t="s">
        <v>49</v>
      </c>
      <c r="G6023" s="30">
        <v>0</v>
      </c>
    </row>
    <row r="6024" spans="1:7" x14ac:dyDescent="0.25">
      <c r="A6024" t="s">
        <v>45</v>
      </c>
      <c r="B6024" t="s">
        <v>46</v>
      </c>
      <c r="C6024" t="s">
        <v>47</v>
      </c>
      <c r="D6024">
        <v>15288552</v>
      </c>
      <c r="E6024" t="s">
        <v>48</v>
      </c>
      <c r="F6024" t="s">
        <v>49</v>
      </c>
      <c r="G6024" s="30">
        <v>0</v>
      </c>
    </row>
    <row r="6025" spans="1:7" x14ac:dyDescent="0.25">
      <c r="A6025" t="s">
        <v>45</v>
      </c>
      <c r="B6025" t="s">
        <v>46</v>
      </c>
      <c r="C6025" t="s">
        <v>47</v>
      </c>
      <c r="D6025">
        <v>15296193</v>
      </c>
      <c r="E6025" t="s">
        <v>48</v>
      </c>
      <c r="F6025" t="s">
        <v>49</v>
      </c>
      <c r="G6025" s="30">
        <v>0</v>
      </c>
    </row>
    <row r="6026" spans="1:7" x14ac:dyDescent="0.25">
      <c r="A6026" t="s">
        <v>45</v>
      </c>
      <c r="B6026" t="s">
        <v>46</v>
      </c>
      <c r="C6026" t="s">
        <v>47</v>
      </c>
      <c r="D6026">
        <v>15299033</v>
      </c>
      <c r="E6026" t="s">
        <v>48</v>
      </c>
      <c r="F6026" t="s">
        <v>49</v>
      </c>
      <c r="G6026" s="30">
        <v>0</v>
      </c>
    </row>
    <row r="6027" spans="1:7" x14ac:dyDescent="0.25">
      <c r="A6027" t="s">
        <v>54</v>
      </c>
      <c r="B6027" t="s">
        <v>55</v>
      </c>
      <c r="C6027" t="s">
        <v>56</v>
      </c>
      <c r="D6027">
        <v>15312036</v>
      </c>
      <c r="E6027" t="s">
        <v>53</v>
      </c>
      <c r="F6027" t="s">
        <v>49</v>
      </c>
      <c r="G6027" s="30">
        <v>240960.09349648401</v>
      </c>
    </row>
    <row r="6028" spans="1:7" x14ac:dyDescent="0.25">
      <c r="A6028" t="s">
        <v>106</v>
      </c>
      <c r="B6028" t="s">
        <v>107</v>
      </c>
      <c r="C6028" t="s">
        <v>56</v>
      </c>
      <c r="D6028">
        <v>15314935</v>
      </c>
      <c r="E6028" t="s">
        <v>53</v>
      </c>
      <c r="F6028" t="s">
        <v>49</v>
      </c>
      <c r="G6028" s="30">
        <v>100630.487519014</v>
      </c>
    </row>
    <row r="6029" spans="1:7" x14ac:dyDescent="0.25">
      <c r="A6029" t="s">
        <v>124</v>
      </c>
      <c r="B6029" t="s">
        <v>125</v>
      </c>
      <c r="C6029" t="s">
        <v>78</v>
      </c>
      <c r="D6029">
        <v>15315359</v>
      </c>
      <c r="E6029" t="s">
        <v>53</v>
      </c>
      <c r="F6029" t="s">
        <v>49</v>
      </c>
      <c r="G6029" s="30">
        <v>116548.916554116</v>
      </c>
    </row>
    <row r="6030" spans="1:7" x14ac:dyDescent="0.25">
      <c r="A6030" t="s">
        <v>45</v>
      </c>
      <c r="B6030" t="s">
        <v>46</v>
      </c>
      <c r="C6030" t="s">
        <v>47</v>
      </c>
      <c r="D6030">
        <v>15315702</v>
      </c>
      <c r="E6030" t="s">
        <v>48</v>
      </c>
      <c r="F6030" t="s">
        <v>49</v>
      </c>
      <c r="G6030" s="30">
        <v>0</v>
      </c>
    </row>
    <row r="6031" spans="1:7" x14ac:dyDescent="0.25">
      <c r="A6031" t="s">
        <v>45</v>
      </c>
      <c r="B6031" t="s">
        <v>46</v>
      </c>
      <c r="C6031" t="s">
        <v>47</v>
      </c>
      <c r="D6031">
        <v>15319346</v>
      </c>
      <c r="E6031" t="s">
        <v>48</v>
      </c>
      <c r="F6031" t="s">
        <v>49</v>
      </c>
      <c r="G6031" s="30">
        <v>0</v>
      </c>
    </row>
    <row r="6032" spans="1:7" x14ac:dyDescent="0.25">
      <c r="A6032" t="s">
        <v>70</v>
      </c>
      <c r="B6032" t="s">
        <v>71</v>
      </c>
      <c r="C6032" t="s">
        <v>47</v>
      </c>
      <c r="D6032">
        <v>15321113</v>
      </c>
      <c r="E6032" t="s">
        <v>53</v>
      </c>
      <c r="F6032" t="s">
        <v>49</v>
      </c>
      <c r="G6032" s="30">
        <v>89292.01</v>
      </c>
    </row>
    <row r="6033" spans="1:7" x14ac:dyDescent="0.25">
      <c r="A6033" t="s">
        <v>79</v>
      </c>
      <c r="B6033" t="s">
        <v>80</v>
      </c>
      <c r="C6033" t="s">
        <v>81</v>
      </c>
      <c r="D6033">
        <v>15321409</v>
      </c>
      <c r="E6033" t="s">
        <v>53</v>
      </c>
      <c r="F6033" t="s">
        <v>49</v>
      </c>
      <c r="G6033" s="30">
        <v>40497.315955912498</v>
      </c>
    </row>
    <row r="6034" spans="1:7" x14ac:dyDescent="0.25">
      <c r="A6034" t="s">
        <v>45</v>
      </c>
      <c r="B6034" t="s">
        <v>46</v>
      </c>
      <c r="C6034" t="s">
        <v>47</v>
      </c>
      <c r="D6034">
        <v>15336071</v>
      </c>
      <c r="E6034" t="s">
        <v>53</v>
      </c>
      <c r="F6034" t="s">
        <v>49</v>
      </c>
      <c r="G6034" s="30">
        <v>110.17027708356299</v>
      </c>
    </row>
    <row r="6035" spans="1:7" x14ac:dyDescent="0.25">
      <c r="A6035" t="s">
        <v>45</v>
      </c>
      <c r="B6035" t="s">
        <v>46</v>
      </c>
      <c r="C6035" t="s">
        <v>47</v>
      </c>
      <c r="D6035">
        <v>15337145</v>
      </c>
      <c r="E6035" t="s">
        <v>48</v>
      </c>
      <c r="F6035" t="s">
        <v>49</v>
      </c>
      <c r="G6035" s="30">
        <v>0</v>
      </c>
    </row>
    <row r="6036" spans="1:7" x14ac:dyDescent="0.25">
      <c r="A6036" t="s">
        <v>45</v>
      </c>
      <c r="B6036" t="s">
        <v>46</v>
      </c>
      <c r="C6036" t="s">
        <v>47</v>
      </c>
      <c r="D6036">
        <v>15338344</v>
      </c>
      <c r="E6036" t="s">
        <v>48</v>
      </c>
      <c r="F6036" t="s">
        <v>49</v>
      </c>
      <c r="G6036" s="30">
        <v>0</v>
      </c>
    </row>
    <row r="6037" spans="1:7" x14ac:dyDescent="0.25">
      <c r="A6037" t="s">
        <v>50</v>
      </c>
      <c r="B6037" t="s">
        <v>51</v>
      </c>
      <c r="C6037" t="s">
        <v>52</v>
      </c>
      <c r="D6037">
        <v>15348267</v>
      </c>
      <c r="E6037" t="s">
        <v>53</v>
      </c>
      <c r="F6037" t="s">
        <v>49</v>
      </c>
      <c r="G6037" s="30">
        <v>10789.8267539279</v>
      </c>
    </row>
    <row r="6038" spans="1:7" x14ac:dyDescent="0.25">
      <c r="A6038" t="s">
        <v>50</v>
      </c>
      <c r="B6038" t="s">
        <v>51</v>
      </c>
      <c r="C6038" t="s">
        <v>52</v>
      </c>
      <c r="D6038">
        <v>15349221</v>
      </c>
      <c r="E6038" t="s">
        <v>53</v>
      </c>
      <c r="F6038" t="s">
        <v>49</v>
      </c>
      <c r="G6038" s="30">
        <v>347.34559412606097</v>
      </c>
    </row>
    <row r="6039" spans="1:7" x14ac:dyDescent="0.25">
      <c r="A6039" t="s">
        <v>50</v>
      </c>
      <c r="B6039" t="s">
        <v>51</v>
      </c>
      <c r="C6039" t="s">
        <v>52</v>
      </c>
      <c r="D6039">
        <v>15351202</v>
      </c>
      <c r="E6039" t="s">
        <v>53</v>
      </c>
      <c r="F6039" t="s">
        <v>49</v>
      </c>
      <c r="G6039" s="30">
        <v>1616.29894544238</v>
      </c>
    </row>
    <row r="6040" spans="1:7" x14ac:dyDescent="0.25">
      <c r="A6040" t="s">
        <v>45</v>
      </c>
      <c r="B6040" t="s">
        <v>46</v>
      </c>
      <c r="C6040" t="s">
        <v>47</v>
      </c>
      <c r="D6040">
        <v>15356129</v>
      </c>
      <c r="E6040" t="s">
        <v>48</v>
      </c>
      <c r="F6040" t="s">
        <v>49</v>
      </c>
      <c r="G6040" s="30">
        <v>0</v>
      </c>
    </row>
    <row r="6041" spans="1:7" x14ac:dyDescent="0.25">
      <c r="A6041" t="s">
        <v>116</v>
      </c>
      <c r="B6041" t="s">
        <v>117</v>
      </c>
      <c r="C6041" t="s">
        <v>47</v>
      </c>
      <c r="D6041">
        <v>15357950</v>
      </c>
      <c r="E6041" t="s">
        <v>53</v>
      </c>
      <c r="F6041" t="s">
        <v>49</v>
      </c>
      <c r="G6041" s="30">
        <v>254987.77602295601</v>
      </c>
    </row>
    <row r="6042" spans="1:7" x14ac:dyDescent="0.25">
      <c r="A6042" t="s">
        <v>50</v>
      </c>
      <c r="B6042" t="s">
        <v>51</v>
      </c>
      <c r="C6042" t="s">
        <v>52</v>
      </c>
      <c r="D6042">
        <v>15358718</v>
      </c>
      <c r="E6042" t="s">
        <v>53</v>
      </c>
      <c r="F6042" t="s">
        <v>49</v>
      </c>
      <c r="G6042" s="30">
        <v>1269.25</v>
      </c>
    </row>
    <row r="6043" spans="1:7" x14ac:dyDescent="0.25">
      <c r="A6043" t="s">
        <v>112</v>
      </c>
      <c r="B6043" t="s">
        <v>113</v>
      </c>
      <c r="C6043" t="s">
        <v>81</v>
      </c>
      <c r="D6043">
        <v>15361912</v>
      </c>
      <c r="E6043" t="s">
        <v>53</v>
      </c>
      <c r="F6043" t="s">
        <v>49</v>
      </c>
      <c r="G6043" s="30">
        <v>4208934.6653594999</v>
      </c>
    </row>
    <row r="6044" spans="1:7" x14ac:dyDescent="0.25">
      <c r="A6044" t="s">
        <v>50</v>
      </c>
      <c r="B6044" t="s">
        <v>51</v>
      </c>
      <c r="C6044" t="s">
        <v>52</v>
      </c>
      <c r="D6044">
        <v>15362011</v>
      </c>
      <c r="E6044" t="s">
        <v>48</v>
      </c>
      <c r="F6044" t="s">
        <v>49</v>
      </c>
      <c r="G6044" s="30">
        <v>0</v>
      </c>
    </row>
    <row r="6045" spans="1:7" x14ac:dyDescent="0.25">
      <c r="A6045" t="s">
        <v>131</v>
      </c>
      <c r="B6045" t="s">
        <v>132</v>
      </c>
      <c r="C6045" t="s">
        <v>67</v>
      </c>
      <c r="D6045">
        <v>15369870</v>
      </c>
      <c r="E6045" t="s">
        <v>53</v>
      </c>
      <c r="F6045" t="s">
        <v>49</v>
      </c>
      <c r="G6045" s="30">
        <v>119.753765525041</v>
      </c>
    </row>
    <row r="6046" spans="1:7" x14ac:dyDescent="0.25">
      <c r="A6046" t="s">
        <v>100</v>
      </c>
      <c r="B6046" t="s">
        <v>101</v>
      </c>
      <c r="C6046" t="s">
        <v>52</v>
      </c>
      <c r="D6046">
        <v>15373811</v>
      </c>
      <c r="E6046" t="s">
        <v>53</v>
      </c>
      <c r="F6046" t="s">
        <v>49</v>
      </c>
      <c r="G6046" s="30">
        <v>79040.77</v>
      </c>
    </row>
    <row r="6047" spans="1:7" x14ac:dyDescent="0.25">
      <c r="A6047" t="s">
        <v>124</v>
      </c>
      <c r="B6047" t="s">
        <v>125</v>
      </c>
      <c r="C6047" t="s">
        <v>78</v>
      </c>
      <c r="D6047">
        <v>15374979</v>
      </c>
      <c r="E6047" t="s">
        <v>48</v>
      </c>
      <c r="F6047" t="s">
        <v>49</v>
      </c>
      <c r="G6047" s="30">
        <v>0</v>
      </c>
    </row>
    <row r="6048" spans="1:7" x14ac:dyDescent="0.25">
      <c r="A6048" t="s">
        <v>68</v>
      </c>
      <c r="B6048" t="s">
        <v>69</v>
      </c>
      <c r="C6048" t="s">
        <v>56</v>
      </c>
      <c r="D6048">
        <v>15381947</v>
      </c>
      <c r="E6048" t="s">
        <v>53</v>
      </c>
      <c r="F6048" t="s">
        <v>49</v>
      </c>
      <c r="G6048" s="30">
        <v>218786.58607478099</v>
      </c>
    </row>
    <row r="6049" spans="1:7" x14ac:dyDescent="0.25">
      <c r="A6049" t="s">
        <v>102</v>
      </c>
      <c r="B6049" t="s">
        <v>103</v>
      </c>
      <c r="C6049" t="s">
        <v>47</v>
      </c>
      <c r="D6049">
        <v>15390045</v>
      </c>
      <c r="E6049" t="s">
        <v>53</v>
      </c>
      <c r="F6049" t="s">
        <v>49</v>
      </c>
      <c r="G6049" s="30">
        <v>139013.147421253</v>
      </c>
    </row>
    <row r="6050" spans="1:7" x14ac:dyDescent="0.25">
      <c r="A6050" t="s">
        <v>45</v>
      </c>
      <c r="B6050" t="s">
        <v>46</v>
      </c>
      <c r="C6050" t="s">
        <v>47</v>
      </c>
      <c r="D6050">
        <v>15393653</v>
      </c>
      <c r="E6050" t="s">
        <v>48</v>
      </c>
      <c r="F6050" t="s">
        <v>49</v>
      </c>
      <c r="G6050" s="30">
        <v>0</v>
      </c>
    </row>
    <row r="6051" spans="1:7" x14ac:dyDescent="0.25">
      <c r="A6051" t="s">
        <v>45</v>
      </c>
      <c r="B6051" t="s">
        <v>46</v>
      </c>
      <c r="C6051" t="s">
        <v>47</v>
      </c>
      <c r="D6051">
        <v>15394928</v>
      </c>
      <c r="E6051" t="s">
        <v>48</v>
      </c>
      <c r="F6051" t="s">
        <v>49</v>
      </c>
      <c r="G6051" s="30">
        <v>0</v>
      </c>
    </row>
    <row r="6052" spans="1:7" x14ac:dyDescent="0.25">
      <c r="A6052" t="s">
        <v>50</v>
      </c>
      <c r="B6052" t="s">
        <v>51</v>
      </c>
      <c r="C6052" t="s">
        <v>52</v>
      </c>
      <c r="D6052">
        <v>15394958</v>
      </c>
      <c r="E6052" t="s">
        <v>53</v>
      </c>
      <c r="F6052" t="s">
        <v>49</v>
      </c>
      <c r="G6052" s="30">
        <v>9645.9218720048593</v>
      </c>
    </row>
    <row r="6053" spans="1:7" x14ac:dyDescent="0.25">
      <c r="A6053" t="s">
        <v>63</v>
      </c>
      <c r="B6053" t="s">
        <v>64</v>
      </c>
      <c r="C6053" t="s">
        <v>56</v>
      </c>
      <c r="D6053">
        <v>15399667</v>
      </c>
      <c r="E6053" t="s">
        <v>53</v>
      </c>
      <c r="F6053" t="s">
        <v>49</v>
      </c>
      <c r="G6053" s="30">
        <v>134383.16765632099</v>
      </c>
    </row>
    <row r="6054" spans="1:7" x14ac:dyDescent="0.25">
      <c r="A6054" t="s">
        <v>54</v>
      </c>
      <c r="B6054" t="s">
        <v>55</v>
      </c>
      <c r="C6054" t="s">
        <v>56</v>
      </c>
      <c r="D6054">
        <v>15399707</v>
      </c>
      <c r="E6054" t="s">
        <v>53</v>
      </c>
      <c r="F6054" t="s">
        <v>49</v>
      </c>
      <c r="G6054" s="30">
        <v>22030.960164428699</v>
      </c>
    </row>
    <row r="6055" spans="1:7" x14ac:dyDescent="0.25">
      <c r="A6055" t="s">
        <v>45</v>
      </c>
      <c r="B6055" t="s">
        <v>46</v>
      </c>
      <c r="C6055" t="s">
        <v>47</v>
      </c>
      <c r="D6055">
        <v>15401927</v>
      </c>
      <c r="E6055" t="s">
        <v>48</v>
      </c>
      <c r="F6055" t="s">
        <v>49</v>
      </c>
      <c r="G6055" s="30">
        <v>0.32</v>
      </c>
    </row>
    <row r="6056" spans="1:7" x14ac:dyDescent="0.25">
      <c r="A6056" t="s">
        <v>92</v>
      </c>
      <c r="B6056" t="s">
        <v>93</v>
      </c>
      <c r="C6056" t="s">
        <v>81</v>
      </c>
      <c r="D6056">
        <v>15413709</v>
      </c>
      <c r="E6056" t="s">
        <v>48</v>
      </c>
      <c r="F6056" t="s">
        <v>49</v>
      </c>
      <c r="G6056" s="30">
        <v>0</v>
      </c>
    </row>
    <row r="6057" spans="1:7" x14ac:dyDescent="0.25">
      <c r="A6057" t="s">
        <v>45</v>
      </c>
      <c r="B6057" t="s">
        <v>46</v>
      </c>
      <c r="C6057" t="s">
        <v>47</v>
      </c>
      <c r="D6057">
        <v>15414008</v>
      </c>
      <c r="E6057" t="s">
        <v>48</v>
      </c>
      <c r="F6057" t="s">
        <v>49</v>
      </c>
      <c r="G6057" s="30">
        <v>0</v>
      </c>
    </row>
    <row r="6058" spans="1:7" x14ac:dyDescent="0.25">
      <c r="A6058" t="s">
        <v>94</v>
      </c>
      <c r="B6058" t="s">
        <v>95</v>
      </c>
      <c r="C6058" t="s">
        <v>78</v>
      </c>
      <c r="D6058">
        <v>15415818</v>
      </c>
      <c r="E6058" t="s">
        <v>53</v>
      </c>
      <c r="F6058" t="s">
        <v>49</v>
      </c>
      <c r="G6058" s="30">
        <v>106245.40387901101</v>
      </c>
    </row>
    <row r="6059" spans="1:7" x14ac:dyDescent="0.25">
      <c r="A6059" t="s">
        <v>45</v>
      </c>
      <c r="B6059" t="s">
        <v>46</v>
      </c>
      <c r="C6059" t="s">
        <v>47</v>
      </c>
      <c r="D6059">
        <v>15416188</v>
      </c>
      <c r="E6059" t="s">
        <v>48</v>
      </c>
      <c r="F6059" t="s">
        <v>49</v>
      </c>
      <c r="G6059" s="30">
        <v>0</v>
      </c>
    </row>
    <row r="6060" spans="1:7" x14ac:dyDescent="0.25">
      <c r="A6060" t="s">
        <v>65</v>
      </c>
      <c r="B6060" t="s">
        <v>66</v>
      </c>
      <c r="C6060" t="s">
        <v>67</v>
      </c>
      <c r="D6060">
        <v>15423094</v>
      </c>
      <c r="E6060" t="s">
        <v>53</v>
      </c>
      <c r="F6060" t="s">
        <v>49</v>
      </c>
      <c r="G6060" s="30">
        <v>141265.17913850199</v>
      </c>
    </row>
    <row r="6061" spans="1:7" x14ac:dyDescent="0.25">
      <c r="A6061" t="s">
        <v>114</v>
      </c>
      <c r="B6061" t="s">
        <v>115</v>
      </c>
      <c r="C6061" t="s">
        <v>56</v>
      </c>
      <c r="D6061">
        <v>15431656</v>
      </c>
      <c r="E6061" t="s">
        <v>53</v>
      </c>
      <c r="F6061" t="s">
        <v>49</v>
      </c>
      <c r="G6061" s="30">
        <v>550377.59</v>
      </c>
    </row>
    <row r="6062" spans="1:7" x14ac:dyDescent="0.25">
      <c r="A6062" t="s">
        <v>118</v>
      </c>
      <c r="B6062" t="s">
        <v>119</v>
      </c>
      <c r="C6062" t="s">
        <v>56</v>
      </c>
      <c r="D6062">
        <v>15437616</v>
      </c>
      <c r="E6062" t="s">
        <v>53</v>
      </c>
      <c r="F6062" t="s">
        <v>49</v>
      </c>
      <c r="G6062" s="30">
        <v>24238.333460042799</v>
      </c>
    </row>
    <row r="6063" spans="1:7" x14ac:dyDescent="0.25">
      <c r="A6063" t="s">
        <v>45</v>
      </c>
      <c r="B6063" t="s">
        <v>46</v>
      </c>
      <c r="C6063" t="s">
        <v>47</v>
      </c>
      <c r="D6063">
        <v>15450553</v>
      </c>
      <c r="E6063" t="s">
        <v>53</v>
      </c>
      <c r="F6063" t="s">
        <v>49</v>
      </c>
      <c r="G6063" s="30">
        <v>163810.373793301</v>
      </c>
    </row>
    <row r="6064" spans="1:7" x14ac:dyDescent="0.25">
      <c r="A6064" t="s">
        <v>116</v>
      </c>
      <c r="B6064" t="s">
        <v>117</v>
      </c>
      <c r="C6064" t="s">
        <v>47</v>
      </c>
      <c r="D6064">
        <v>15451060</v>
      </c>
      <c r="E6064" t="s">
        <v>53</v>
      </c>
      <c r="F6064" t="s">
        <v>49</v>
      </c>
      <c r="G6064" s="30">
        <v>84906.043532614698</v>
      </c>
    </row>
    <row r="6065" spans="1:7" x14ac:dyDescent="0.25">
      <c r="A6065" t="s">
        <v>45</v>
      </c>
      <c r="B6065" t="s">
        <v>46</v>
      </c>
      <c r="C6065" t="s">
        <v>47</v>
      </c>
      <c r="D6065">
        <v>15454128</v>
      </c>
      <c r="E6065" t="s">
        <v>48</v>
      </c>
      <c r="F6065" t="s">
        <v>49</v>
      </c>
      <c r="G6065" s="30">
        <v>0</v>
      </c>
    </row>
    <row r="6066" spans="1:7" x14ac:dyDescent="0.25">
      <c r="A6066" t="s">
        <v>45</v>
      </c>
      <c r="B6066" t="s">
        <v>46</v>
      </c>
      <c r="C6066" t="s">
        <v>47</v>
      </c>
      <c r="D6066">
        <v>15454386</v>
      </c>
      <c r="E6066" t="s">
        <v>48</v>
      </c>
      <c r="F6066" t="s">
        <v>49</v>
      </c>
      <c r="G6066" s="30">
        <v>0</v>
      </c>
    </row>
    <row r="6067" spans="1:7" x14ac:dyDescent="0.25">
      <c r="A6067" t="s">
        <v>45</v>
      </c>
      <c r="B6067" t="s">
        <v>46</v>
      </c>
      <c r="C6067" t="s">
        <v>47</v>
      </c>
      <c r="D6067">
        <v>15459797</v>
      </c>
      <c r="E6067" t="s">
        <v>48</v>
      </c>
      <c r="F6067" t="s">
        <v>49</v>
      </c>
      <c r="G6067" s="30">
        <v>0</v>
      </c>
    </row>
    <row r="6068" spans="1:7" x14ac:dyDescent="0.25">
      <c r="A6068" t="s">
        <v>112</v>
      </c>
      <c r="B6068" t="s">
        <v>113</v>
      </c>
      <c r="C6068" t="s">
        <v>81</v>
      </c>
      <c r="D6068">
        <v>15460314</v>
      </c>
      <c r="E6068" t="s">
        <v>53</v>
      </c>
      <c r="F6068" t="s">
        <v>49</v>
      </c>
      <c r="G6068" s="30">
        <v>230602.338944833</v>
      </c>
    </row>
    <row r="6069" spans="1:7" x14ac:dyDescent="0.25">
      <c r="A6069" t="s">
        <v>45</v>
      </c>
      <c r="B6069" t="s">
        <v>46</v>
      </c>
      <c r="C6069" t="s">
        <v>47</v>
      </c>
      <c r="D6069">
        <v>15460402</v>
      </c>
      <c r="E6069" t="s">
        <v>48</v>
      </c>
      <c r="F6069" t="s">
        <v>49</v>
      </c>
      <c r="G6069" s="30">
        <v>0</v>
      </c>
    </row>
    <row r="6070" spans="1:7" x14ac:dyDescent="0.25">
      <c r="A6070" t="s">
        <v>45</v>
      </c>
      <c r="B6070" t="s">
        <v>46</v>
      </c>
      <c r="C6070" t="s">
        <v>47</v>
      </c>
      <c r="D6070">
        <v>15464277</v>
      </c>
      <c r="E6070" t="s">
        <v>53</v>
      </c>
      <c r="F6070" t="s">
        <v>49</v>
      </c>
      <c r="G6070" s="30">
        <v>21611.373807592099</v>
      </c>
    </row>
    <row r="6071" spans="1:7" x14ac:dyDescent="0.25">
      <c r="A6071" t="s">
        <v>45</v>
      </c>
      <c r="B6071" t="s">
        <v>46</v>
      </c>
      <c r="C6071" t="s">
        <v>47</v>
      </c>
      <c r="D6071">
        <v>15464358</v>
      </c>
      <c r="E6071" t="s">
        <v>53</v>
      </c>
      <c r="F6071" t="s">
        <v>49</v>
      </c>
      <c r="G6071" s="30">
        <v>150.083061661165</v>
      </c>
    </row>
    <row r="6072" spans="1:7" x14ac:dyDescent="0.25">
      <c r="A6072" t="s">
        <v>82</v>
      </c>
      <c r="B6072" t="s">
        <v>83</v>
      </c>
      <c r="C6072" t="s">
        <v>56</v>
      </c>
      <c r="D6072">
        <v>15468026</v>
      </c>
      <c r="E6072" t="s">
        <v>53</v>
      </c>
      <c r="F6072" t="s">
        <v>49</v>
      </c>
      <c r="G6072" s="30">
        <v>21015.1526074494</v>
      </c>
    </row>
    <row r="6073" spans="1:7" x14ac:dyDescent="0.25">
      <c r="A6073" t="s">
        <v>102</v>
      </c>
      <c r="B6073" t="s">
        <v>103</v>
      </c>
      <c r="C6073" t="s">
        <v>47</v>
      </c>
      <c r="D6073">
        <v>15469154</v>
      </c>
      <c r="E6073" t="s">
        <v>53</v>
      </c>
      <c r="F6073" t="s">
        <v>49</v>
      </c>
      <c r="G6073" s="30">
        <v>210908.84497094399</v>
      </c>
    </row>
    <row r="6074" spans="1:7" x14ac:dyDescent="0.25">
      <c r="A6074" t="s">
        <v>45</v>
      </c>
      <c r="B6074" t="s">
        <v>46</v>
      </c>
      <c r="C6074" t="s">
        <v>47</v>
      </c>
      <c r="D6074">
        <v>15491409</v>
      </c>
      <c r="E6074" t="s">
        <v>48</v>
      </c>
      <c r="F6074" t="s">
        <v>49</v>
      </c>
      <c r="G6074" s="30">
        <v>0</v>
      </c>
    </row>
    <row r="6075" spans="1:7" x14ac:dyDescent="0.25">
      <c r="A6075" t="s">
        <v>50</v>
      </c>
      <c r="B6075" t="s">
        <v>51</v>
      </c>
      <c r="C6075" t="s">
        <v>52</v>
      </c>
      <c r="D6075">
        <v>15497116</v>
      </c>
      <c r="E6075" t="s">
        <v>48</v>
      </c>
      <c r="F6075" t="s">
        <v>49</v>
      </c>
      <c r="G6075" s="30">
        <v>0</v>
      </c>
    </row>
    <row r="6076" spans="1:7" x14ac:dyDescent="0.25">
      <c r="A6076" t="s">
        <v>54</v>
      </c>
      <c r="B6076" t="s">
        <v>55</v>
      </c>
      <c r="C6076" t="s">
        <v>56</v>
      </c>
      <c r="D6076">
        <v>15506224</v>
      </c>
      <c r="E6076" t="s">
        <v>53</v>
      </c>
      <c r="F6076" t="s">
        <v>49</v>
      </c>
      <c r="G6076" s="30">
        <v>262534.78926050197</v>
      </c>
    </row>
    <row r="6077" spans="1:7" x14ac:dyDescent="0.25">
      <c r="A6077" t="s">
        <v>50</v>
      </c>
      <c r="B6077" t="s">
        <v>51</v>
      </c>
      <c r="C6077" t="s">
        <v>52</v>
      </c>
      <c r="D6077">
        <v>15509424</v>
      </c>
      <c r="E6077" t="s">
        <v>53</v>
      </c>
      <c r="F6077" t="s">
        <v>49</v>
      </c>
      <c r="G6077" s="30">
        <v>92472.996072464899</v>
      </c>
    </row>
    <row r="6078" spans="1:7" x14ac:dyDescent="0.25">
      <c r="A6078" t="s">
        <v>50</v>
      </c>
      <c r="B6078" t="s">
        <v>51</v>
      </c>
      <c r="C6078" t="s">
        <v>52</v>
      </c>
      <c r="D6078">
        <v>15517962</v>
      </c>
      <c r="E6078" t="s">
        <v>48</v>
      </c>
      <c r="F6078" t="s">
        <v>49</v>
      </c>
      <c r="G6078" s="30">
        <v>0</v>
      </c>
    </row>
    <row r="6079" spans="1:7" x14ac:dyDescent="0.25">
      <c r="A6079" t="s">
        <v>50</v>
      </c>
      <c r="B6079" t="s">
        <v>51</v>
      </c>
      <c r="C6079" t="s">
        <v>52</v>
      </c>
      <c r="D6079">
        <v>15517970</v>
      </c>
      <c r="E6079" t="s">
        <v>48</v>
      </c>
      <c r="F6079" t="s">
        <v>49</v>
      </c>
      <c r="G6079" s="30">
        <v>0</v>
      </c>
    </row>
    <row r="6080" spans="1:7" x14ac:dyDescent="0.25">
      <c r="A6080" t="s">
        <v>92</v>
      </c>
      <c r="B6080" t="s">
        <v>93</v>
      </c>
      <c r="C6080" t="s">
        <v>81</v>
      </c>
      <c r="D6080">
        <v>15518089</v>
      </c>
      <c r="E6080" t="s">
        <v>53</v>
      </c>
      <c r="F6080" t="s">
        <v>49</v>
      </c>
      <c r="G6080" s="30">
        <v>31409.59786596</v>
      </c>
    </row>
    <row r="6081" spans="1:7" x14ac:dyDescent="0.25">
      <c r="A6081" t="s">
        <v>118</v>
      </c>
      <c r="B6081" t="s">
        <v>119</v>
      </c>
      <c r="C6081" t="s">
        <v>56</v>
      </c>
      <c r="D6081">
        <v>15523328</v>
      </c>
      <c r="E6081" t="s">
        <v>48</v>
      </c>
      <c r="F6081" t="s">
        <v>49</v>
      </c>
      <c r="G6081" s="30">
        <v>0</v>
      </c>
    </row>
    <row r="6082" spans="1:7" x14ac:dyDescent="0.25">
      <c r="A6082" t="s">
        <v>57</v>
      </c>
      <c r="B6082" t="s">
        <v>58</v>
      </c>
      <c r="C6082" t="s">
        <v>56</v>
      </c>
      <c r="D6082">
        <v>15533942</v>
      </c>
      <c r="E6082" t="s">
        <v>53</v>
      </c>
      <c r="F6082" t="s">
        <v>49</v>
      </c>
      <c r="G6082" s="30">
        <v>1757.73828514616</v>
      </c>
    </row>
    <row r="6083" spans="1:7" x14ac:dyDescent="0.25">
      <c r="A6083" t="s">
        <v>50</v>
      </c>
      <c r="B6083" t="s">
        <v>51</v>
      </c>
      <c r="C6083" t="s">
        <v>52</v>
      </c>
      <c r="D6083">
        <v>15534055</v>
      </c>
      <c r="E6083" t="s">
        <v>48</v>
      </c>
      <c r="F6083" t="s">
        <v>49</v>
      </c>
      <c r="G6083" s="30">
        <v>0</v>
      </c>
    </row>
    <row r="6084" spans="1:7" x14ac:dyDescent="0.25">
      <c r="A6084" t="s">
        <v>112</v>
      </c>
      <c r="B6084" t="s">
        <v>113</v>
      </c>
      <c r="C6084" t="s">
        <v>81</v>
      </c>
      <c r="D6084">
        <v>15534193</v>
      </c>
      <c r="E6084" t="s">
        <v>53</v>
      </c>
      <c r="F6084" t="s">
        <v>49</v>
      </c>
      <c r="G6084" s="30">
        <v>53832.942338395398</v>
      </c>
    </row>
    <row r="6085" spans="1:7" x14ac:dyDescent="0.25">
      <c r="A6085" t="s">
        <v>45</v>
      </c>
      <c r="B6085" t="s">
        <v>46</v>
      </c>
      <c r="C6085" t="s">
        <v>47</v>
      </c>
      <c r="D6085">
        <v>15553205</v>
      </c>
      <c r="E6085" t="s">
        <v>48</v>
      </c>
      <c r="F6085" t="s">
        <v>49</v>
      </c>
      <c r="G6085" s="30">
        <v>0</v>
      </c>
    </row>
    <row r="6086" spans="1:7" x14ac:dyDescent="0.25">
      <c r="A6086" t="s">
        <v>50</v>
      </c>
      <c r="B6086" t="s">
        <v>51</v>
      </c>
      <c r="C6086" t="s">
        <v>52</v>
      </c>
      <c r="D6086">
        <v>15553314</v>
      </c>
      <c r="E6086" t="s">
        <v>53</v>
      </c>
      <c r="F6086" t="s">
        <v>49</v>
      </c>
      <c r="G6086" s="30">
        <v>8557.0304355699991</v>
      </c>
    </row>
    <row r="6087" spans="1:7" x14ac:dyDescent="0.25">
      <c r="A6087" t="s">
        <v>50</v>
      </c>
      <c r="B6087" t="s">
        <v>51</v>
      </c>
      <c r="C6087" t="s">
        <v>52</v>
      </c>
      <c r="D6087">
        <v>15553330</v>
      </c>
      <c r="E6087" t="s">
        <v>48</v>
      </c>
      <c r="F6087" t="s">
        <v>49</v>
      </c>
      <c r="G6087" s="30">
        <v>0</v>
      </c>
    </row>
    <row r="6088" spans="1:7" x14ac:dyDescent="0.25">
      <c r="A6088" t="s">
        <v>114</v>
      </c>
      <c r="B6088" t="s">
        <v>115</v>
      </c>
      <c r="C6088" t="s">
        <v>56</v>
      </c>
      <c r="D6088">
        <v>15554730</v>
      </c>
      <c r="E6088" t="s">
        <v>53</v>
      </c>
      <c r="F6088" t="s">
        <v>49</v>
      </c>
      <c r="G6088" s="30">
        <v>59459.3039473034</v>
      </c>
    </row>
    <row r="6089" spans="1:7" x14ac:dyDescent="0.25">
      <c r="A6089" t="s">
        <v>50</v>
      </c>
      <c r="B6089" t="s">
        <v>51</v>
      </c>
      <c r="C6089" t="s">
        <v>52</v>
      </c>
      <c r="D6089">
        <v>15558977</v>
      </c>
      <c r="E6089" t="s">
        <v>48</v>
      </c>
      <c r="F6089" t="s">
        <v>49</v>
      </c>
      <c r="G6089" s="30">
        <v>0</v>
      </c>
    </row>
    <row r="6090" spans="1:7" x14ac:dyDescent="0.25">
      <c r="A6090" t="s">
        <v>45</v>
      </c>
      <c r="B6090" t="s">
        <v>46</v>
      </c>
      <c r="C6090" t="s">
        <v>47</v>
      </c>
      <c r="D6090">
        <v>15562426</v>
      </c>
      <c r="E6090" t="s">
        <v>53</v>
      </c>
      <c r="F6090" t="s">
        <v>49</v>
      </c>
      <c r="G6090" s="30">
        <v>24992.453179056902</v>
      </c>
    </row>
    <row r="6091" spans="1:7" x14ac:dyDescent="0.25">
      <c r="A6091" t="s">
        <v>61</v>
      </c>
      <c r="B6091" t="s">
        <v>62</v>
      </c>
      <c r="C6091" t="s">
        <v>56</v>
      </c>
      <c r="D6091">
        <v>15563058</v>
      </c>
      <c r="E6091" t="s">
        <v>53</v>
      </c>
      <c r="F6091" t="s">
        <v>49</v>
      </c>
      <c r="G6091" s="30">
        <v>199249.17278392901</v>
      </c>
    </row>
    <row r="6092" spans="1:7" x14ac:dyDescent="0.25">
      <c r="A6092" t="s">
        <v>102</v>
      </c>
      <c r="B6092" t="s">
        <v>103</v>
      </c>
      <c r="C6092" t="s">
        <v>47</v>
      </c>
      <c r="D6092">
        <v>15567176</v>
      </c>
      <c r="E6092" t="s">
        <v>53</v>
      </c>
      <c r="F6092" t="s">
        <v>49</v>
      </c>
      <c r="G6092" s="30">
        <v>49905.961464843698</v>
      </c>
    </row>
    <row r="6093" spans="1:7" x14ac:dyDescent="0.25">
      <c r="A6093" t="s">
        <v>112</v>
      </c>
      <c r="B6093" t="s">
        <v>113</v>
      </c>
      <c r="C6093" t="s">
        <v>81</v>
      </c>
      <c r="D6093">
        <v>15567293</v>
      </c>
      <c r="E6093" t="s">
        <v>53</v>
      </c>
      <c r="F6093" t="s">
        <v>49</v>
      </c>
      <c r="G6093" s="30">
        <v>65479.240691376501</v>
      </c>
    </row>
    <row r="6094" spans="1:7" x14ac:dyDescent="0.25">
      <c r="A6094" t="s">
        <v>96</v>
      </c>
      <c r="B6094" t="s">
        <v>97</v>
      </c>
      <c r="C6094" t="s">
        <v>81</v>
      </c>
      <c r="D6094">
        <v>15593544</v>
      </c>
      <c r="E6094" t="s">
        <v>53</v>
      </c>
      <c r="F6094" t="s">
        <v>49</v>
      </c>
      <c r="G6094" s="30">
        <v>1600</v>
      </c>
    </row>
    <row r="6095" spans="1:7" x14ac:dyDescent="0.25">
      <c r="A6095" t="s">
        <v>50</v>
      </c>
      <c r="B6095" t="s">
        <v>51</v>
      </c>
      <c r="C6095" t="s">
        <v>52</v>
      </c>
      <c r="D6095">
        <v>15595865</v>
      </c>
      <c r="E6095" t="s">
        <v>53</v>
      </c>
      <c r="F6095" t="s">
        <v>49</v>
      </c>
      <c r="G6095" s="30">
        <v>6676.8079833984402</v>
      </c>
    </row>
    <row r="6096" spans="1:7" x14ac:dyDescent="0.25">
      <c r="A6096" t="s">
        <v>82</v>
      </c>
      <c r="B6096" t="s">
        <v>83</v>
      </c>
      <c r="C6096" t="s">
        <v>56</v>
      </c>
      <c r="D6096">
        <v>15596032</v>
      </c>
      <c r="E6096" t="s">
        <v>53</v>
      </c>
      <c r="F6096" t="s">
        <v>49</v>
      </c>
      <c r="G6096" s="30">
        <v>381386.23978196998</v>
      </c>
    </row>
    <row r="6097" spans="1:7" x14ac:dyDescent="0.25">
      <c r="A6097" t="s">
        <v>155</v>
      </c>
      <c r="B6097" t="s">
        <v>156</v>
      </c>
      <c r="C6097" t="s">
        <v>78</v>
      </c>
      <c r="D6097">
        <v>15602446</v>
      </c>
      <c r="E6097" t="s">
        <v>53</v>
      </c>
      <c r="F6097" t="s">
        <v>49</v>
      </c>
      <c r="G6097" s="30">
        <v>23772.862935532499</v>
      </c>
    </row>
    <row r="6098" spans="1:7" x14ac:dyDescent="0.25">
      <c r="A6098" t="s">
        <v>79</v>
      </c>
      <c r="B6098" t="s">
        <v>80</v>
      </c>
      <c r="C6098" t="s">
        <v>81</v>
      </c>
      <c r="D6098">
        <v>15602525</v>
      </c>
      <c r="E6098" t="s">
        <v>53</v>
      </c>
      <c r="F6098" t="s">
        <v>49</v>
      </c>
      <c r="G6098" s="30">
        <v>11147.166988540899</v>
      </c>
    </row>
    <row r="6099" spans="1:7" x14ac:dyDescent="0.25">
      <c r="A6099" t="s">
        <v>50</v>
      </c>
      <c r="B6099" t="s">
        <v>51</v>
      </c>
      <c r="C6099" t="s">
        <v>52</v>
      </c>
      <c r="D6099">
        <v>15602622</v>
      </c>
      <c r="E6099" t="s">
        <v>53</v>
      </c>
      <c r="F6099" t="s">
        <v>49</v>
      </c>
      <c r="G6099" s="30">
        <v>648.17447135999998</v>
      </c>
    </row>
    <row r="6100" spans="1:7" x14ac:dyDescent="0.25">
      <c r="A6100" t="s">
        <v>112</v>
      </c>
      <c r="B6100" t="s">
        <v>113</v>
      </c>
      <c r="C6100" t="s">
        <v>81</v>
      </c>
      <c r="D6100">
        <v>15603567</v>
      </c>
      <c r="E6100" t="s">
        <v>53</v>
      </c>
      <c r="F6100" t="s">
        <v>49</v>
      </c>
      <c r="G6100" s="30">
        <v>74498.460000000006</v>
      </c>
    </row>
    <row r="6101" spans="1:7" x14ac:dyDescent="0.25">
      <c r="A6101" t="s">
        <v>74</v>
      </c>
      <c r="B6101" t="s">
        <v>75</v>
      </c>
      <c r="C6101" t="s">
        <v>67</v>
      </c>
      <c r="D6101">
        <v>15604788</v>
      </c>
      <c r="E6101" t="s">
        <v>53</v>
      </c>
      <c r="F6101" t="s">
        <v>49</v>
      </c>
      <c r="G6101" s="30">
        <v>175812.11492456499</v>
      </c>
    </row>
    <row r="6102" spans="1:7" x14ac:dyDescent="0.25">
      <c r="A6102" t="s">
        <v>74</v>
      </c>
      <c r="B6102" t="s">
        <v>75</v>
      </c>
      <c r="C6102" t="s">
        <v>67</v>
      </c>
      <c r="D6102">
        <v>15604964</v>
      </c>
      <c r="E6102" t="s">
        <v>53</v>
      </c>
      <c r="F6102" t="s">
        <v>49</v>
      </c>
      <c r="G6102" s="30">
        <v>1675452.29</v>
      </c>
    </row>
    <row r="6103" spans="1:7" x14ac:dyDescent="0.25">
      <c r="A6103" t="s">
        <v>120</v>
      </c>
      <c r="B6103" t="s">
        <v>121</v>
      </c>
      <c r="C6103" t="s">
        <v>67</v>
      </c>
      <c r="D6103">
        <v>15608891</v>
      </c>
      <c r="E6103" t="s">
        <v>53</v>
      </c>
      <c r="F6103" t="s">
        <v>49</v>
      </c>
      <c r="G6103" s="30">
        <v>2682750.7886518999</v>
      </c>
    </row>
    <row r="6104" spans="1:7" x14ac:dyDescent="0.25">
      <c r="A6104" t="s">
        <v>45</v>
      </c>
      <c r="B6104" t="s">
        <v>46</v>
      </c>
      <c r="C6104" t="s">
        <v>47</v>
      </c>
      <c r="D6104">
        <v>15612245</v>
      </c>
      <c r="E6104" t="s">
        <v>48</v>
      </c>
      <c r="F6104" t="s">
        <v>49</v>
      </c>
      <c r="G6104" s="30">
        <v>0</v>
      </c>
    </row>
    <row r="6105" spans="1:7" x14ac:dyDescent="0.25">
      <c r="A6105" t="s">
        <v>45</v>
      </c>
      <c r="B6105" t="s">
        <v>46</v>
      </c>
      <c r="C6105" t="s">
        <v>47</v>
      </c>
      <c r="D6105">
        <v>15615741</v>
      </c>
      <c r="E6105" t="s">
        <v>48</v>
      </c>
      <c r="F6105" t="s">
        <v>49</v>
      </c>
      <c r="G6105" s="30">
        <v>35</v>
      </c>
    </row>
    <row r="6106" spans="1:7" x14ac:dyDescent="0.25">
      <c r="A6106" t="s">
        <v>45</v>
      </c>
      <c r="B6106" t="s">
        <v>46</v>
      </c>
      <c r="C6106" t="s">
        <v>47</v>
      </c>
      <c r="D6106">
        <v>15616996</v>
      </c>
      <c r="E6106" t="s">
        <v>48</v>
      </c>
      <c r="F6106" t="s">
        <v>49</v>
      </c>
      <c r="G6106" s="30">
        <v>0</v>
      </c>
    </row>
    <row r="6107" spans="1:7" x14ac:dyDescent="0.25">
      <c r="A6107" t="s">
        <v>50</v>
      </c>
      <c r="B6107" t="s">
        <v>51</v>
      </c>
      <c r="C6107" t="s">
        <v>52</v>
      </c>
      <c r="D6107">
        <v>15617444</v>
      </c>
      <c r="E6107" t="s">
        <v>53</v>
      </c>
      <c r="F6107" t="s">
        <v>49</v>
      </c>
      <c r="G6107" s="30">
        <v>69385.645507416804</v>
      </c>
    </row>
    <row r="6108" spans="1:7" x14ac:dyDescent="0.25">
      <c r="A6108" t="s">
        <v>45</v>
      </c>
      <c r="B6108" t="s">
        <v>46</v>
      </c>
      <c r="C6108" t="s">
        <v>47</v>
      </c>
      <c r="D6108">
        <v>15618418</v>
      </c>
      <c r="E6108" t="s">
        <v>53</v>
      </c>
      <c r="F6108" t="s">
        <v>49</v>
      </c>
      <c r="G6108" s="30">
        <v>10119.797411965001</v>
      </c>
    </row>
    <row r="6109" spans="1:7" x14ac:dyDescent="0.25">
      <c r="A6109" t="s">
        <v>50</v>
      </c>
      <c r="B6109" t="s">
        <v>51</v>
      </c>
      <c r="C6109" t="s">
        <v>52</v>
      </c>
      <c r="D6109">
        <v>15618607</v>
      </c>
      <c r="E6109" t="s">
        <v>53</v>
      </c>
      <c r="F6109" t="s">
        <v>49</v>
      </c>
      <c r="G6109" s="30">
        <v>73640.976296386696</v>
      </c>
    </row>
    <row r="6110" spans="1:7" x14ac:dyDescent="0.25">
      <c r="A6110" t="s">
        <v>157</v>
      </c>
      <c r="B6110" t="s">
        <v>158</v>
      </c>
      <c r="C6110" t="s">
        <v>56</v>
      </c>
      <c r="D6110">
        <v>15620092</v>
      </c>
      <c r="E6110" t="s">
        <v>53</v>
      </c>
      <c r="F6110" t="s">
        <v>49</v>
      </c>
      <c r="G6110" s="30">
        <v>91927.216249999998</v>
      </c>
    </row>
    <row r="6111" spans="1:7" x14ac:dyDescent="0.25">
      <c r="A6111" t="s">
        <v>45</v>
      </c>
      <c r="B6111" t="s">
        <v>46</v>
      </c>
      <c r="C6111" t="s">
        <v>47</v>
      </c>
      <c r="D6111">
        <v>15625408</v>
      </c>
      <c r="E6111" t="s">
        <v>48</v>
      </c>
      <c r="F6111" t="s">
        <v>49</v>
      </c>
      <c r="G6111" s="30">
        <v>0</v>
      </c>
    </row>
    <row r="6112" spans="1:7" x14ac:dyDescent="0.25">
      <c r="A6112" t="s">
        <v>68</v>
      </c>
      <c r="B6112" t="s">
        <v>69</v>
      </c>
      <c r="C6112" t="s">
        <v>56</v>
      </c>
      <c r="D6112">
        <v>15628779</v>
      </c>
      <c r="E6112" t="s">
        <v>53</v>
      </c>
      <c r="F6112" t="s">
        <v>49</v>
      </c>
      <c r="G6112" s="30">
        <v>33624.116406250003</v>
      </c>
    </row>
    <row r="6113" spans="1:7" x14ac:dyDescent="0.25">
      <c r="A6113" t="s">
        <v>59</v>
      </c>
      <c r="B6113" t="s">
        <v>60</v>
      </c>
      <c r="C6113" t="s">
        <v>56</v>
      </c>
      <c r="D6113">
        <v>15631358</v>
      </c>
      <c r="E6113" t="s">
        <v>53</v>
      </c>
      <c r="F6113" t="s">
        <v>49</v>
      </c>
      <c r="G6113" s="30">
        <v>373065.91274117102</v>
      </c>
    </row>
    <row r="6114" spans="1:7" x14ac:dyDescent="0.25">
      <c r="A6114" t="s">
        <v>112</v>
      </c>
      <c r="B6114" t="s">
        <v>113</v>
      </c>
      <c r="C6114" t="s">
        <v>81</v>
      </c>
      <c r="D6114">
        <v>15634308</v>
      </c>
      <c r="E6114" t="s">
        <v>53</v>
      </c>
      <c r="F6114" t="s">
        <v>49</v>
      </c>
      <c r="G6114" s="30">
        <v>217856.2</v>
      </c>
    </row>
    <row r="6115" spans="1:7" x14ac:dyDescent="0.25">
      <c r="A6115" t="s">
        <v>114</v>
      </c>
      <c r="B6115" t="s">
        <v>115</v>
      </c>
      <c r="C6115" t="s">
        <v>56</v>
      </c>
      <c r="D6115">
        <v>15644806</v>
      </c>
      <c r="E6115" t="s">
        <v>53</v>
      </c>
      <c r="F6115" t="s">
        <v>49</v>
      </c>
      <c r="G6115" s="30">
        <v>36081.629999999997</v>
      </c>
    </row>
    <row r="6116" spans="1:7" x14ac:dyDescent="0.25">
      <c r="A6116" t="s">
        <v>86</v>
      </c>
      <c r="B6116" t="s">
        <v>87</v>
      </c>
      <c r="C6116" t="s">
        <v>78</v>
      </c>
      <c r="D6116">
        <v>15645566</v>
      </c>
      <c r="E6116" t="s">
        <v>48</v>
      </c>
      <c r="F6116" t="s">
        <v>49</v>
      </c>
      <c r="G6116" s="30">
        <v>0</v>
      </c>
    </row>
    <row r="6117" spans="1:7" x14ac:dyDescent="0.25">
      <c r="A6117" t="s">
        <v>86</v>
      </c>
      <c r="B6117" t="s">
        <v>87</v>
      </c>
      <c r="C6117" t="s">
        <v>78</v>
      </c>
      <c r="D6117">
        <v>15648845</v>
      </c>
      <c r="E6117" t="s">
        <v>48</v>
      </c>
      <c r="F6117" t="s">
        <v>49</v>
      </c>
      <c r="G6117" s="30">
        <v>0</v>
      </c>
    </row>
    <row r="6118" spans="1:7" x14ac:dyDescent="0.25">
      <c r="A6118" t="s">
        <v>50</v>
      </c>
      <c r="B6118" t="s">
        <v>51</v>
      </c>
      <c r="C6118" t="s">
        <v>52</v>
      </c>
      <c r="D6118">
        <v>15663785</v>
      </c>
      <c r="E6118" t="s">
        <v>53</v>
      </c>
      <c r="F6118" t="s">
        <v>49</v>
      </c>
      <c r="G6118" s="30">
        <v>47225.612838123998</v>
      </c>
    </row>
    <row r="6119" spans="1:7" x14ac:dyDescent="0.25">
      <c r="A6119" t="s">
        <v>54</v>
      </c>
      <c r="B6119" t="s">
        <v>55</v>
      </c>
      <c r="C6119" t="s">
        <v>56</v>
      </c>
      <c r="D6119">
        <v>15668649</v>
      </c>
      <c r="E6119" t="s">
        <v>53</v>
      </c>
      <c r="F6119" t="s">
        <v>49</v>
      </c>
      <c r="G6119" s="30">
        <v>15000</v>
      </c>
    </row>
    <row r="6120" spans="1:7" x14ac:dyDescent="0.25">
      <c r="A6120" t="s">
        <v>112</v>
      </c>
      <c r="B6120" t="s">
        <v>113</v>
      </c>
      <c r="C6120" t="s">
        <v>81</v>
      </c>
      <c r="D6120">
        <v>15669197</v>
      </c>
      <c r="E6120" t="s">
        <v>53</v>
      </c>
      <c r="F6120" t="s">
        <v>49</v>
      </c>
      <c r="G6120" s="30">
        <v>1937167.62269628</v>
      </c>
    </row>
    <row r="6121" spans="1:7" x14ac:dyDescent="0.25">
      <c r="A6121" t="s">
        <v>104</v>
      </c>
      <c r="B6121" t="s">
        <v>105</v>
      </c>
      <c r="C6121" t="s">
        <v>78</v>
      </c>
      <c r="D6121">
        <v>15673544</v>
      </c>
      <c r="E6121" t="s">
        <v>48</v>
      </c>
      <c r="F6121" t="s">
        <v>49</v>
      </c>
      <c r="G6121" s="30">
        <v>0</v>
      </c>
    </row>
    <row r="6122" spans="1:7" x14ac:dyDescent="0.25">
      <c r="A6122" t="s">
        <v>45</v>
      </c>
      <c r="B6122" t="s">
        <v>46</v>
      </c>
      <c r="C6122" t="s">
        <v>47</v>
      </c>
      <c r="D6122">
        <v>15680228</v>
      </c>
      <c r="E6122" t="s">
        <v>48</v>
      </c>
      <c r="F6122" t="s">
        <v>49</v>
      </c>
      <c r="G6122" s="30">
        <v>0</v>
      </c>
    </row>
    <row r="6123" spans="1:7" x14ac:dyDescent="0.25">
      <c r="A6123" t="s">
        <v>45</v>
      </c>
      <c r="B6123" t="s">
        <v>46</v>
      </c>
      <c r="C6123" t="s">
        <v>47</v>
      </c>
      <c r="D6123">
        <v>15680260</v>
      </c>
      <c r="E6123" t="s">
        <v>48</v>
      </c>
      <c r="F6123" t="s">
        <v>49</v>
      </c>
      <c r="G6123" s="30">
        <v>0</v>
      </c>
    </row>
    <row r="6124" spans="1:7" x14ac:dyDescent="0.25">
      <c r="A6124" t="s">
        <v>50</v>
      </c>
      <c r="B6124" t="s">
        <v>51</v>
      </c>
      <c r="C6124" t="s">
        <v>52</v>
      </c>
      <c r="D6124">
        <v>15691468</v>
      </c>
      <c r="E6124" t="s">
        <v>53</v>
      </c>
      <c r="F6124" t="s">
        <v>49</v>
      </c>
      <c r="G6124" s="30">
        <v>4034.16</v>
      </c>
    </row>
    <row r="6125" spans="1:7" x14ac:dyDescent="0.25">
      <c r="A6125" t="s">
        <v>84</v>
      </c>
      <c r="B6125" t="s">
        <v>85</v>
      </c>
      <c r="C6125" t="s">
        <v>67</v>
      </c>
      <c r="D6125">
        <v>15696066</v>
      </c>
      <c r="E6125" t="s">
        <v>53</v>
      </c>
      <c r="F6125" t="s">
        <v>49</v>
      </c>
      <c r="G6125" s="30">
        <v>635496.30542149395</v>
      </c>
    </row>
    <row r="6126" spans="1:7" x14ac:dyDescent="0.25">
      <c r="A6126" t="s">
        <v>45</v>
      </c>
      <c r="B6126" t="s">
        <v>46</v>
      </c>
      <c r="C6126" t="s">
        <v>47</v>
      </c>
      <c r="D6126">
        <v>15697798</v>
      </c>
      <c r="E6126" t="s">
        <v>48</v>
      </c>
      <c r="F6126" t="s">
        <v>49</v>
      </c>
      <c r="G6126" s="30">
        <v>0</v>
      </c>
    </row>
    <row r="6127" spans="1:7" x14ac:dyDescent="0.25">
      <c r="A6127" t="s">
        <v>45</v>
      </c>
      <c r="B6127" t="s">
        <v>46</v>
      </c>
      <c r="C6127" t="s">
        <v>47</v>
      </c>
      <c r="D6127">
        <v>15700077</v>
      </c>
      <c r="E6127" t="s">
        <v>48</v>
      </c>
      <c r="F6127" t="s">
        <v>49</v>
      </c>
      <c r="G6127" s="30">
        <v>0</v>
      </c>
    </row>
    <row r="6128" spans="1:7" x14ac:dyDescent="0.25">
      <c r="A6128" t="s">
        <v>45</v>
      </c>
      <c r="B6128" t="s">
        <v>46</v>
      </c>
      <c r="C6128" t="s">
        <v>47</v>
      </c>
      <c r="D6128">
        <v>15701789</v>
      </c>
      <c r="E6128" t="s">
        <v>48</v>
      </c>
      <c r="F6128" t="s">
        <v>49</v>
      </c>
      <c r="G6128" s="30">
        <v>0</v>
      </c>
    </row>
    <row r="6129" spans="1:7" x14ac:dyDescent="0.25">
      <c r="A6129" t="s">
        <v>116</v>
      </c>
      <c r="B6129" t="s">
        <v>117</v>
      </c>
      <c r="C6129" t="s">
        <v>47</v>
      </c>
      <c r="D6129">
        <v>15710888</v>
      </c>
      <c r="E6129" t="s">
        <v>53</v>
      </c>
      <c r="F6129" t="s">
        <v>49</v>
      </c>
      <c r="G6129" s="30">
        <v>100938.35037463</v>
      </c>
    </row>
    <row r="6130" spans="1:7" x14ac:dyDescent="0.25">
      <c r="A6130" t="s">
        <v>102</v>
      </c>
      <c r="B6130" t="s">
        <v>103</v>
      </c>
      <c r="C6130" t="s">
        <v>47</v>
      </c>
      <c r="D6130">
        <v>15727095</v>
      </c>
      <c r="E6130" t="s">
        <v>53</v>
      </c>
      <c r="F6130" t="s">
        <v>49</v>
      </c>
      <c r="G6130" s="30">
        <v>147162.751778342</v>
      </c>
    </row>
    <row r="6131" spans="1:7" x14ac:dyDescent="0.25">
      <c r="A6131" t="s">
        <v>57</v>
      </c>
      <c r="B6131" t="s">
        <v>58</v>
      </c>
      <c r="C6131" t="s">
        <v>56</v>
      </c>
      <c r="D6131">
        <v>15730416</v>
      </c>
      <c r="E6131" t="s">
        <v>48</v>
      </c>
      <c r="F6131" t="s">
        <v>49</v>
      </c>
      <c r="G6131" s="30">
        <v>0</v>
      </c>
    </row>
    <row r="6132" spans="1:7" x14ac:dyDescent="0.25">
      <c r="A6132" t="s">
        <v>155</v>
      </c>
      <c r="B6132" t="s">
        <v>156</v>
      </c>
      <c r="C6132" t="s">
        <v>78</v>
      </c>
      <c r="D6132">
        <v>15731747</v>
      </c>
      <c r="E6132" t="s">
        <v>53</v>
      </c>
      <c r="F6132" t="s">
        <v>49</v>
      </c>
      <c r="G6132" s="30">
        <v>1850.3597921010801</v>
      </c>
    </row>
    <row r="6133" spans="1:7" x14ac:dyDescent="0.25">
      <c r="A6133" t="s">
        <v>50</v>
      </c>
      <c r="B6133" t="s">
        <v>51</v>
      </c>
      <c r="C6133" t="s">
        <v>52</v>
      </c>
      <c r="D6133">
        <v>15740409</v>
      </c>
      <c r="E6133" t="s">
        <v>48</v>
      </c>
      <c r="F6133" t="s">
        <v>49</v>
      </c>
      <c r="G6133" s="30">
        <v>0</v>
      </c>
    </row>
    <row r="6134" spans="1:7" x14ac:dyDescent="0.25">
      <c r="A6134" t="s">
        <v>57</v>
      </c>
      <c r="B6134" t="s">
        <v>58</v>
      </c>
      <c r="C6134" t="s">
        <v>56</v>
      </c>
      <c r="D6134">
        <v>15745659</v>
      </c>
      <c r="E6134" t="s">
        <v>48</v>
      </c>
      <c r="F6134" t="s">
        <v>49</v>
      </c>
      <c r="G6134" s="30">
        <v>0</v>
      </c>
    </row>
    <row r="6135" spans="1:7" x14ac:dyDescent="0.25">
      <c r="A6135" t="s">
        <v>112</v>
      </c>
      <c r="B6135" t="s">
        <v>113</v>
      </c>
      <c r="C6135" t="s">
        <v>81</v>
      </c>
      <c r="D6135">
        <v>15746939</v>
      </c>
      <c r="E6135" t="s">
        <v>53</v>
      </c>
      <c r="F6135" t="s">
        <v>49</v>
      </c>
      <c r="G6135" s="30">
        <v>134716.17239372499</v>
      </c>
    </row>
    <row r="6136" spans="1:7" x14ac:dyDescent="0.25">
      <c r="A6136" t="s">
        <v>45</v>
      </c>
      <c r="B6136" t="s">
        <v>46</v>
      </c>
      <c r="C6136" t="s">
        <v>47</v>
      </c>
      <c r="D6136">
        <v>15747658</v>
      </c>
      <c r="E6136" t="s">
        <v>48</v>
      </c>
      <c r="F6136" t="s">
        <v>49</v>
      </c>
      <c r="G6136" s="30">
        <v>0</v>
      </c>
    </row>
    <row r="6137" spans="1:7" x14ac:dyDescent="0.25">
      <c r="A6137" t="s">
        <v>72</v>
      </c>
      <c r="B6137" t="s">
        <v>73</v>
      </c>
      <c r="C6137" t="s">
        <v>67</v>
      </c>
      <c r="D6137">
        <v>15748182</v>
      </c>
      <c r="E6137" t="s">
        <v>53</v>
      </c>
      <c r="F6137" t="s">
        <v>49</v>
      </c>
      <c r="G6137" s="30">
        <v>343233.134638672</v>
      </c>
    </row>
    <row r="6138" spans="1:7" x14ac:dyDescent="0.25">
      <c r="A6138" t="s">
        <v>50</v>
      </c>
      <c r="B6138" t="s">
        <v>51</v>
      </c>
      <c r="C6138" t="s">
        <v>52</v>
      </c>
      <c r="D6138">
        <v>15752061</v>
      </c>
      <c r="E6138" t="s">
        <v>53</v>
      </c>
      <c r="F6138" t="s">
        <v>49</v>
      </c>
      <c r="G6138" s="30">
        <v>34622.862630039803</v>
      </c>
    </row>
    <row r="6139" spans="1:7" x14ac:dyDescent="0.25">
      <c r="A6139" t="s">
        <v>65</v>
      </c>
      <c r="B6139" t="s">
        <v>66</v>
      </c>
      <c r="C6139" t="s">
        <v>67</v>
      </c>
      <c r="D6139">
        <v>15753480</v>
      </c>
      <c r="E6139" t="s">
        <v>48</v>
      </c>
      <c r="F6139" t="s">
        <v>49</v>
      </c>
      <c r="G6139" s="30">
        <v>0</v>
      </c>
    </row>
    <row r="6140" spans="1:7" x14ac:dyDescent="0.25">
      <c r="A6140" t="s">
        <v>45</v>
      </c>
      <c r="B6140" t="s">
        <v>46</v>
      </c>
      <c r="C6140" t="s">
        <v>47</v>
      </c>
      <c r="D6140">
        <v>15753907</v>
      </c>
      <c r="E6140" t="s">
        <v>48</v>
      </c>
      <c r="F6140" t="s">
        <v>49</v>
      </c>
      <c r="G6140" s="30">
        <v>0</v>
      </c>
    </row>
    <row r="6141" spans="1:7" x14ac:dyDescent="0.25">
      <c r="A6141" t="s">
        <v>74</v>
      </c>
      <c r="B6141" t="s">
        <v>75</v>
      </c>
      <c r="C6141" t="s">
        <v>67</v>
      </c>
      <c r="D6141">
        <v>15754033</v>
      </c>
      <c r="E6141" t="s">
        <v>48</v>
      </c>
      <c r="F6141" t="s">
        <v>49</v>
      </c>
      <c r="G6141" s="30">
        <v>0</v>
      </c>
    </row>
    <row r="6142" spans="1:7" x14ac:dyDescent="0.25">
      <c r="A6142" t="s">
        <v>45</v>
      </c>
      <c r="B6142" t="s">
        <v>46</v>
      </c>
      <c r="C6142" t="s">
        <v>47</v>
      </c>
      <c r="D6142">
        <v>15758156</v>
      </c>
      <c r="E6142" t="s">
        <v>48</v>
      </c>
      <c r="F6142" t="s">
        <v>49</v>
      </c>
      <c r="G6142" s="30">
        <v>0</v>
      </c>
    </row>
    <row r="6143" spans="1:7" x14ac:dyDescent="0.25">
      <c r="A6143" t="s">
        <v>79</v>
      </c>
      <c r="B6143" t="s">
        <v>80</v>
      </c>
      <c r="C6143" t="s">
        <v>81</v>
      </c>
      <c r="D6143">
        <v>15763852</v>
      </c>
      <c r="E6143" t="s">
        <v>53</v>
      </c>
      <c r="F6143" t="s">
        <v>49</v>
      </c>
      <c r="G6143" s="30">
        <v>911942.35184738599</v>
      </c>
    </row>
    <row r="6144" spans="1:7" x14ac:dyDescent="0.25">
      <c r="A6144" t="s">
        <v>45</v>
      </c>
      <c r="B6144" t="s">
        <v>46</v>
      </c>
      <c r="C6144" t="s">
        <v>47</v>
      </c>
      <c r="D6144">
        <v>15765468</v>
      </c>
      <c r="E6144" t="s">
        <v>48</v>
      </c>
      <c r="F6144" t="s">
        <v>49</v>
      </c>
      <c r="G6144" s="30">
        <v>0</v>
      </c>
    </row>
    <row r="6145" spans="1:7" x14ac:dyDescent="0.25">
      <c r="A6145" t="s">
        <v>92</v>
      </c>
      <c r="B6145" t="s">
        <v>93</v>
      </c>
      <c r="C6145" t="s">
        <v>81</v>
      </c>
      <c r="D6145">
        <v>15765751</v>
      </c>
      <c r="E6145" t="s">
        <v>48</v>
      </c>
      <c r="F6145" t="s">
        <v>49</v>
      </c>
      <c r="G6145" s="30">
        <v>0</v>
      </c>
    </row>
    <row r="6146" spans="1:7" x14ac:dyDescent="0.25">
      <c r="A6146" t="s">
        <v>74</v>
      </c>
      <c r="B6146" t="s">
        <v>75</v>
      </c>
      <c r="C6146" t="s">
        <v>67</v>
      </c>
      <c r="D6146">
        <v>15770586</v>
      </c>
      <c r="E6146" t="s">
        <v>48</v>
      </c>
      <c r="F6146" t="s">
        <v>49</v>
      </c>
      <c r="G6146" s="30">
        <v>0</v>
      </c>
    </row>
    <row r="6147" spans="1:7" x14ac:dyDescent="0.25">
      <c r="A6147" t="s">
        <v>54</v>
      </c>
      <c r="B6147" t="s">
        <v>55</v>
      </c>
      <c r="C6147" t="s">
        <v>56</v>
      </c>
      <c r="D6147">
        <v>15772643</v>
      </c>
      <c r="E6147" t="s">
        <v>53</v>
      </c>
      <c r="F6147" t="s">
        <v>49</v>
      </c>
      <c r="G6147" s="30">
        <v>22024.276649393501</v>
      </c>
    </row>
    <row r="6148" spans="1:7" x14ac:dyDescent="0.25">
      <c r="A6148" t="s">
        <v>45</v>
      </c>
      <c r="B6148" t="s">
        <v>46</v>
      </c>
      <c r="C6148" t="s">
        <v>47</v>
      </c>
      <c r="D6148">
        <v>15776123</v>
      </c>
      <c r="E6148" t="s">
        <v>53</v>
      </c>
      <c r="F6148" t="s">
        <v>49</v>
      </c>
      <c r="G6148" s="30">
        <v>4932.9169921875</v>
      </c>
    </row>
    <row r="6149" spans="1:7" x14ac:dyDescent="0.25">
      <c r="A6149" t="s">
        <v>100</v>
      </c>
      <c r="B6149" t="s">
        <v>101</v>
      </c>
      <c r="C6149" t="s">
        <v>52</v>
      </c>
      <c r="D6149">
        <v>15777966</v>
      </c>
      <c r="E6149" t="s">
        <v>48</v>
      </c>
      <c r="F6149" t="s">
        <v>49</v>
      </c>
      <c r="G6149" s="30">
        <v>0</v>
      </c>
    </row>
    <row r="6150" spans="1:7" x14ac:dyDescent="0.25">
      <c r="A6150" t="s">
        <v>74</v>
      </c>
      <c r="B6150" t="s">
        <v>75</v>
      </c>
      <c r="C6150" t="s">
        <v>67</v>
      </c>
      <c r="D6150">
        <v>15779290</v>
      </c>
      <c r="E6150" t="s">
        <v>48</v>
      </c>
      <c r="F6150" t="s">
        <v>49</v>
      </c>
      <c r="G6150" s="30">
        <v>0</v>
      </c>
    </row>
    <row r="6151" spans="1:7" x14ac:dyDescent="0.25">
      <c r="A6151" t="s">
        <v>74</v>
      </c>
      <c r="B6151" t="s">
        <v>75</v>
      </c>
      <c r="C6151" t="s">
        <v>67</v>
      </c>
      <c r="D6151">
        <v>15782262</v>
      </c>
      <c r="E6151" t="s">
        <v>48</v>
      </c>
      <c r="F6151" t="s">
        <v>49</v>
      </c>
      <c r="G6151" s="30">
        <v>0</v>
      </c>
    </row>
    <row r="6152" spans="1:7" x14ac:dyDescent="0.25">
      <c r="A6152" t="s">
        <v>61</v>
      </c>
      <c r="B6152" t="s">
        <v>62</v>
      </c>
      <c r="C6152" t="s">
        <v>56</v>
      </c>
      <c r="D6152">
        <v>15782510</v>
      </c>
      <c r="E6152" t="s">
        <v>53</v>
      </c>
      <c r="F6152" t="s">
        <v>49</v>
      </c>
      <c r="G6152" s="30">
        <v>207254.055640534</v>
      </c>
    </row>
    <row r="6153" spans="1:7" x14ac:dyDescent="0.25">
      <c r="A6153" t="s">
        <v>124</v>
      </c>
      <c r="B6153" t="s">
        <v>125</v>
      </c>
      <c r="C6153" t="s">
        <v>78</v>
      </c>
      <c r="D6153">
        <v>15783913</v>
      </c>
      <c r="E6153" t="s">
        <v>53</v>
      </c>
      <c r="F6153" t="s">
        <v>49</v>
      </c>
      <c r="G6153" s="30">
        <v>142378.81039447201</v>
      </c>
    </row>
    <row r="6154" spans="1:7" x14ac:dyDescent="0.25">
      <c r="A6154" t="s">
        <v>106</v>
      </c>
      <c r="B6154" t="s">
        <v>107</v>
      </c>
      <c r="C6154" t="s">
        <v>56</v>
      </c>
      <c r="D6154">
        <v>15789875</v>
      </c>
      <c r="E6154" t="s">
        <v>53</v>
      </c>
      <c r="F6154" t="s">
        <v>49</v>
      </c>
      <c r="G6154" s="30">
        <v>194608.234375</v>
      </c>
    </row>
    <row r="6155" spans="1:7" x14ac:dyDescent="0.25">
      <c r="A6155" t="s">
        <v>106</v>
      </c>
      <c r="B6155" t="s">
        <v>107</v>
      </c>
      <c r="C6155" t="s">
        <v>56</v>
      </c>
      <c r="D6155">
        <v>15789957</v>
      </c>
      <c r="E6155" t="s">
        <v>48</v>
      </c>
      <c r="F6155" t="s">
        <v>49</v>
      </c>
      <c r="G6155" s="30">
        <v>0</v>
      </c>
    </row>
    <row r="6156" spans="1:7" x14ac:dyDescent="0.25">
      <c r="A6156" t="s">
        <v>50</v>
      </c>
      <c r="B6156" t="s">
        <v>51</v>
      </c>
      <c r="C6156" t="s">
        <v>52</v>
      </c>
      <c r="D6156">
        <v>15793184</v>
      </c>
      <c r="E6156" t="s">
        <v>48</v>
      </c>
      <c r="F6156" t="s">
        <v>49</v>
      </c>
      <c r="G6156" s="30">
        <v>0</v>
      </c>
    </row>
    <row r="6157" spans="1:7" x14ac:dyDescent="0.25">
      <c r="A6157" t="s">
        <v>63</v>
      </c>
      <c r="B6157" t="s">
        <v>64</v>
      </c>
      <c r="C6157" t="s">
        <v>56</v>
      </c>
      <c r="D6157">
        <v>15797149</v>
      </c>
      <c r="E6157" t="s">
        <v>53</v>
      </c>
      <c r="F6157" t="s">
        <v>49</v>
      </c>
      <c r="G6157" s="30">
        <v>885112.231328125</v>
      </c>
    </row>
    <row r="6158" spans="1:7" x14ac:dyDescent="0.25">
      <c r="A6158" t="s">
        <v>50</v>
      </c>
      <c r="B6158" t="s">
        <v>51</v>
      </c>
      <c r="C6158" t="s">
        <v>52</v>
      </c>
      <c r="D6158">
        <v>15800259</v>
      </c>
      <c r="E6158" t="s">
        <v>48</v>
      </c>
      <c r="F6158" t="s">
        <v>49</v>
      </c>
      <c r="G6158" s="30">
        <v>2.99</v>
      </c>
    </row>
    <row r="6159" spans="1:7" x14ac:dyDescent="0.25">
      <c r="A6159" t="s">
        <v>100</v>
      </c>
      <c r="B6159" t="s">
        <v>101</v>
      </c>
      <c r="C6159" t="s">
        <v>52</v>
      </c>
      <c r="D6159">
        <v>15801044</v>
      </c>
      <c r="E6159" t="s">
        <v>53</v>
      </c>
      <c r="F6159" t="s">
        <v>49</v>
      </c>
      <c r="G6159" s="30">
        <v>292143.16897703399</v>
      </c>
    </row>
    <row r="6160" spans="1:7" x14ac:dyDescent="0.25">
      <c r="A6160" t="s">
        <v>45</v>
      </c>
      <c r="B6160" t="s">
        <v>46</v>
      </c>
      <c r="C6160" t="s">
        <v>47</v>
      </c>
      <c r="D6160">
        <v>15805507</v>
      </c>
      <c r="E6160" t="s">
        <v>48</v>
      </c>
      <c r="F6160" t="s">
        <v>49</v>
      </c>
      <c r="G6160" s="30">
        <v>0</v>
      </c>
    </row>
    <row r="6161" spans="1:7" x14ac:dyDescent="0.25">
      <c r="A6161" t="s">
        <v>45</v>
      </c>
      <c r="B6161" t="s">
        <v>46</v>
      </c>
      <c r="C6161" t="s">
        <v>47</v>
      </c>
      <c r="D6161">
        <v>15810317</v>
      </c>
      <c r="E6161" t="s">
        <v>48</v>
      </c>
      <c r="F6161" t="s">
        <v>49</v>
      </c>
      <c r="G6161" s="30">
        <v>0</v>
      </c>
    </row>
    <row r="6162" spans="1:7" x14ac:dyDescent="0.25">
      <c r="A6162" t="s">
        <v>45</v>
      </c>
      <c r="B6162" t="s">
        <v>46</v>
      </c>
      <c r="C6162" t="s">
        <v>47</v>
      </c>
      <c r="D6162">
        <v>15815317</v>
      </c>
      <c r="E6162" t="s">
        <v>48</v>
      </c>
      <c r="F6162" t="s">
        <v>49</v>
      </c>
      <c r="G6162" s="30">
        <v>0</v>
      </c>
    </row>
    <row r="6163" spans="1:7" x14ac:dyDescent="0.25">
      <c r="A6163" t="s">
        <v>120</v>
      </c>
      <c r="B6163" t="s">
        <v>121</v>
      </c>
      <c r="C6163" t="s">
        <v>67</v>
      </c>
      <c r="D6163">
        <v>15820417</v>
      </c>
      <c r="E6163" t="s">
        <v>48</v>
      </c>
      <c r="F6163" t="s">
        <v>49</v>
      </c>
      <c r="G6163" s="30">
        <v>0</v>
      </c>
    </row>
    <row r="6164" spans="1:7" x14ac:dyDescent="0.25">
      <c r="A6164" t="s">
        <v>86</v>
      </c>
      <c r="B6164" t="s">
        <v>87</v>
      </c>
      <c r="C6164" t="s">
        <v>78</v>
      </c>
      <c r="D6164">
        <v>15842830</v>
      </c>
      <c r="E6164" t="s">
        <v>53</v>
      </c>
      <c r="F6164" t="s">
        <v>49</v>
      </c>
      <c r="G6164" s="30">
        <v>40239.6100078077</v>
      </c>
    </row>
    <row r="6165" spans="1:7" x14ac:dyDescent="0.25">
      <c r="A6165" t="s">
        <v>45</v>
      </c>
      <c r="B6165" t="s">
        <v>46</v>
      </c>
      <c r="C6165" t="s">
        <v>47</v>
      </c>
      <c r="D6165">
        <v>15877137</v>
      </c>
      <c r="E6165" t="s">
        <v>53</v>
      </c>
      <c r="F6165" t="s">
        <v>49</v>
      </c>
      <c r="G6165" s="30">
        <v>64120.341844350798</v>
      </c>
    </row>
    <row r="6166" spans="1:7" x14ac:dyDescent="0.25">
      <c r="A6166" t="s">
        <v>84</v>
      </c>
      <c r="B6166" t="s">
        <v>85</v>
      </c>
      <c r="C6166" t="s">
        <v>67</v>
      </c>
      <c r="D6166">
        <v>15879065</v>
      </c>
      <c r="E6166" t="s">
        <v>48</v>
      </c>
      <c r="F6166" t="s">
        <v>49</v>
      </c>
      <c r="G6166" s="30">
        <v>0</v>
      </c>
    </row>
    <row r="6167" spans="1:7" x14ac:dyDescent="0.25">
      <c r="A6167" t="s">
        <v>79</v>
      </c>
      <c r="B6167" t="s">
        <v>80</v>
      </c>
      <c r="C6167" t="s">
        <v>81</v>
      </c>
      <c r="D6167">
        <v>15886112</v>
      </c>
      <c r="E6167" t="s">
        <v>53</v>
      </c>
      <c r="F6167" t="s">
        <v>49</v>
      </c>
      <c r="G6167" s="30">
        <v>23631.294813059601</v>
      </c>
    </row>
    <row r="6168" spans="1:7" x14ac:dyDescent="0.25">
      <c r="A6168" t="s">
        <v>92</v>
      </c>
      <c r="B6168" t="s">
        <v>93</v>
      </c>
      <c r="C6168" t="s">
        <v>81</v>
      </c>
      <c r="D6168">
        <v>15886691</v>
      </c>
      <c r="E6168" t="s">
        <v>48</v>
      </c>
      <c r="F6168" t="s">
        <v>49</v>
      </c>
      <c r="G6168" s="30">
        <v>0</v>
      </c>
    </row>
    <row r="6169" spans="1:7" x14ac:dyDescent="0.25">
      <c r="A6169" t="s">
        <v>79</v>
      </c>
      <c r="B6169" t="s">
        <v>80</v>
      </c>
      <c r="C6169" t="s">
        <v>81</v>
      </c>
      <c r="D6169">
        <v>15887504</v>
      </c>
      <c r="E6169" t="s">
        <v>53</v>
      </c>
      <c r="F6169" t="s">
        <v>49</v>
      </c>
      <c r="G6169" s="30">
        <v>74358.087316043806</v>
      </c>
    </row>
    <row r="6170" spans="1:7" x14ac:dyDescent="0.25">
      <c r="A6170" t="s">
        <v>50</v>
      </c>
      <c r="B6170" t="s">
        <v>51</v>
      </c>
      <c r="C6170" t="s">
        <v>52</v>
      </c>
      <c r="D6170">
        <v>15888024</v>
      </c>
      <c r="E6170" t="s">
        <v>53</v>
      </c>
      <c r="F6170" t="s">
        <v>49</v>
      </c>
      <c r="G6170" s="30">
        <v>55028.1034785827</v>
      </c>
    </row>
    <row r="6171" spans="1:7" x14ac:dyDescent="0.25">
      <c r="A6171" t="s">
        <v>45</v>
      </c>
      <c r="B6171" t="s">
        <v>46</v>
      </c>
      <c r="C6171" t="s">
        <v>47</v>
      </c>
      <c r="D6171">
        <v>15889114</v>
      </c>
      <c r="E6171" t="s">
        <v>48</v>
      </c>
      <c r="F6171" t="s">
        <v>49</v>
      </c>
      <c r="G6171" s="30">
        <v>10</v>
      </c>
    </row>
    <row r="6172" spans="1:7" x14ac:dyDescent="0.25">
      <c r="A6172" t="s">
        <v>45</v>
      </c>
      <c r="B6172" t="s">
        <v>46</v>
      </c>
      <c r="C6172" t="s">
        <v>47</v>
      </c>
      <c r="D6172">
        <v>15890105</v>
      </c>
      <c r="E6172" t="s">
        <v>48</v>
      </c>
      <c r="F6172" t="s">
        <v>49</v>
      </c>
      <c r="G6172" s="30">
        <v>0</v>
      </c>
    </row>
    <row r="6173" spans="1:7" x14ac:dyDescent="0.25">
      <c r="A6173" t="s">
        <v>45</v>
      </c>
      <c r="B6173" t="s">
        <v>46</v>
      </c>
      <c r="C6173" t="s">
        <v>47</v>
      </c>
      <c r="D6173">
        <v>15908858</v>
      </c>
      <c r="E6173" t="s">
        <v>48</v>
      </c>
      <c r="F6173" t="s">
        <v>49</v>
      </c>
      <c r="G6173" s="30">
        <v>0</v>
      </c>
    </row>
    <row r="6174" spans="1:7" x14ac:dyDescent="0.25">
      <c r="A6174" t="s">
        <v>57</v>
      </c>
      <c r="B6174" t="s">
        <v>58</v>
      </c>
      <c r="C6174" t="s">
        <v>56</v>
      </c>
      <c r="D6174">
        <v>15937868</v>
      </c>
      <c r="E6174" t="s">
        <v>53</v>
      </c>
      <c r="F6174" t="s">
        <v>49</v>
      </c>
      <c r="G6174" s="30">
        <v>71327.533593750006</v>
      </c>
    </row>
    <row r="6175" spans="1:7" x14ac:dyDescent="0.25">
      <c r="A6175" t="s">
        <v>50</v>
      </c>
      <c r="B6175" t="s">
        <v>51</v>
      </c>
      <c r="C6175" t="s">
        <v>52</v>
      </c>
      <c r="D6175">
        <v>15947727</v>
      </c>
      <c r="E6175" t="s">
        <v>48</v>
      </c>
      <c r="F6175" t="s">
        <v>49</v>
      </c>
      <c r="G6175" s="30">
        <v>0</v>
      </c>
    </row>
    <row r="6176" spans="1:7" x14ac:dyDescent="0.25">
      <c r="A6176" t="s">
        <v>45</v>
      </c>
      <c r="B6176" t="s">
        <v>46</v>
      </c>
      <c r="C6176" t="s">
        <v>47</v>
      </c>
      <c r="D6176">
        <v>15953985</v>
      </c>
      <c r="E6176" t="s">
        <v>48</v>
      </c>
      <c r="F6176" t="s">
        <v>49</v>
      </c>
      <c r="G6176" s="30">
        <v>0</v>
      </c>
    </row>
    <row r="6177" spans="1:7" x14ac:dyDescent="0.25">
      <c r="A6177" t="s">
        <v>74</v>
      </c>
      <c r="B6177" t="s">
        <v>75</v>
      </c>
      <c r="C6177" t="s">
        <v>67</v>
      </c>
      <c r="D6177">
        <v>15955728</v>
      </c>
      <c r="E6177" t="s">
        <v>48</v>
      </c>
      <c r="F6177" t="s">
        <v>49</v>
      </c>
      <c r="G6177" s="30">
        <v>0</v>
      </c>
    </row>
    <row r="6178" spans="1:7" x14ac:dyDescent="0.25">
      <c r="A6178" t="s">
        <v>45</v>
      </c>
      <c r="B6178" t="s">
        <v>46</v>
      </c>
      <c r="C6178" t="s">
        <v>47</v>
      </c>
      <c r="D6178">
        <v>15957111</v>
      </c>
      <c r="E6178" t="s">
        <v>53</v>
      </c>
      <c r="F6178" t="s">
        <v>49</v>
      </c>
      <c r="G6178" s="30">
        <v>15265.43</v>
      </c>
    </row>
    <row r="6179" spans="1:7" x14ac:dyDescent="0.25">
      <c r="A6179" t="s">
        <v>57</v>
      </c>
      <c r="B6179" t="s">
        <v>58</v>
      </c>
      <c r="C6179" t="s">
        <v>56</v>
      </c>
      <c r="D6179">
        <v>15957847</v>
      </c>
      <c r="E6179" t="s">
        <v>53</v>
      </c>
      <c r="F6179" t="s">
        <v>49</v>
      </c>
      <c r="G6179" s="30">
        <v>958615.050453478</v>
      </c>
    </row>
    <row r="6180" spans="1:7" x14ac:dyDescent="0.25">
      <c r="A6180" t="s">
        <v>79</v>
      </c>
      <c r="B6180" t="s">
        <v>80</v>
      </c>
      <c r="C6180" t="s">
        <v>81</v>
      </c>
      <c r="D6180">
        <v>15958220</v>
      </c>
      <c r="E6180" t="s">
        <v>53</v>
      </c>
      <c r="F6180" t="s">
        <v>49</v>
      </c>
      <c r="G6180" s="30">
        <v>6346.8960449290298</v>
      </c>
    </row>
    <row r="6181" spans="1:7" x14ac:dyDescent="0.25">
      <c r="A6181" t="s">
        <v>54</v>
      </c>
      <c r="B6181" t="s">
        <v>55</v>
      </c>
      <c r="C6181" t="s">
        <v>56</v>
      </c>
      <c r="D6181">
        <v>15969115</v>
      </c>
      <c r="E6181" t="s">
        <v>53</v>
      </c>
      <c r="F6181" t="s">
        <v>49</v>
      </c>
      <c r="G6181" s="30">
        <v>124254.91623854901</v>
      </c>
    </row>
    <row r="6182" spans="1:7" x14ac:dyDescent="0.25">
      <c r="A6182" t="s">
        <v>63</v>
      </c>
      <c r="B6182" t="s">
        <v>64</v>
      </c>
      <c r="C6182" t="s">
        <v>56</v>
      </c>
      <c r="D6182">
        <v>15970129</v>
      </c>
      <c r="E6182" t="s">
        <v>53</v>
      </c>
      <c r="F6182" t="s">
        <v>49</v>
      </c>
      <c r="G6182" s="30">
        <v>2577.06</v>
      </c>
    </row>
    <row r="6183" spans="1:7" x14ac:dyDescent="0.25">
      <c r="A6183" t="s">
        <v>88</v>
      </c>
      <c r="B6183" t="s">
        <v>89</v>
      </c>
      <c r="C6183" t="s">
        <v>78</v>
      </c>
      <c r="D6183">
        <v>15975115</v>
      </c>
      <c r="E6183" t="s">
        <v>48</v>
      </c>
      <c r="F6183" t="s">
        <v>49</v>
      </c>
      <c r="G6183" s="30">
        <v>0</v>
      </c>
    </row>
    <row r="6184" spans="1:7" x14ac:dyDescent="0.25">
      <c r="A6184" t="s">
        <v>45</v>
      </c>
      <c r="B6184" t="s">
        <v>46</v>
      </c>
      <c r="C6184" t="s">
        <v>47</v>
      </c>
      <c r="D6184">
        <v>15975167</v>
      </c>
      <c r="E6184" t="s">
        <v>48</v>
      </c>
      <c r="F6184" t="s">
        <v>49</v>
      </c>
      <c r="G6184" s="30">
        <v>0</v>
      </c>
    </row>
    <row r="6185" spans="1:7" x14ac:dyDescent="0.25">
      <c r="A6185" t="s">
        <v>50</v>
      </c>
      <c r="B6185" t="s">
        <v>51</v>
      </c>
      <c r="C6185" t="s">
        <v>52</v>
      </c>
      <c r="D6185">
        <v>15975552</v>
      </c>
      <c r="E6185" t="s">
        <v>48</v>
      </c>
      <c r="F6185" t="s">
        <v>49</v>
      </c>
      <c r="G6185" s="30">
        <v>0</v>
      </c>
    </row>
    <row r="6186" spans="1:7" x14ac:dyDescent="0.25">
      <c r="A6186" t="s">
        <v>68</v>
      </c>
      <c r="B6186" t="s">
        <v>69</v>
      </c>
      <c r="C6186" t="s">
        <v>56</v>
      </c>
      <c r="D6186">
        <v>15977800</v>
      </c>
      <c r="E6186" t="s">
        <v>48</v>
      </c>
      <c r="F6186" t="s">
        <v>49</v>
      </c>
      <c r="G6186" s="30">
        <v>0</v>
      </c>
    </row>
    <row r="6187" spans="1:7" x14ac:dyDescent="0.25">
      <c r="A6187" t="s">
        <v>120</v>
      </c>
      <c r="B6187" t="s">
        <v>121</v>
      </c>
      <c r="C6187" t="s">
        <v>67</v>
      </c>
      <c r="D6187">
        <v>15977919</v>
      </c>
      <c r="E6187" t="s">
        <v>48</v>
      </c>
      <c r="F6187" t="s">
        <v>49</v>
      </c>
      <c r="G6187" s="30">
        <v>0</v>
      </c>
    </row>
    <row r="6188" spans="1:7" x14ac:dyDescent="0.25">
      <c r="A6188" t="s">
        <v>74</v>
      </c>
      <c r="B6188" t="s">
        <v>75</v>
      </c>
      <c r="C6188" t="s">
        <v>67</v>
      </c>
      <c r="D6188">
        <v>15996798</v>
      </c>
      <c r="E6188" t="s">
        <v>48</v>
      </c>
      <c r="F6188" t="s">
        <v>49</v>
      </c>
      <c r="G6188" s="30">
        <v>0</v>
      </c>
    </row>
    <row r="6189" spans="1:7" x14ac:dyDescent="0.25">
      <c r="A6189" t="s">
        <v>146</v>
      </c>
      <c r="B6189" t="s">
        <v>147</v>
      </c>
      <c r="C6189" t="s">
        <v>56</v>
      </c>
      <c r="D6189">
        <v>16015607</v>
      </c>
      <c r="E6189" t="s">
        <v>53</v>
      </c>
      <c r="F6189" t="s">
        <v>49</v>
      </c>
      <c r="G6189" s="30">
        <v>476474.15228374198</v>
      </c>
    </row>
    <row r="6190" spans="1:7" x14ac:dyDescent="0.25">
      <c r="A6190" t="s">
        <v>120</v>
      </c>
      <c r="B6190" t="s">
        <v>121</v>
      </c>
      <c r="C6190" t="s">
        <v>67</v>
      </c>
      <c r="D6190">
        <v>16030936</v>
      </c>
      <c r="E6190" t="s">
        <v>53</v>
      </c>
      <c r="F6190" t="s">
        <v>49</v>
      </c>
      <c r="G6190" s="30">
        <v>173269.15431510899</v>
      </c>
    </row>
    <row r="6191" spans="1:7" x14ac:dyDescent="0.25">
      <c r="A6191" t="s">
        <v>74</v>
      </c>
      <c r="B6191" t="s">
        <v>75</v>
      </c>
      <c r="C6191" t="s">
        <v>67</v>
      </c>
      <c r="D6191">
        <v>16031871</v>
      </c>
      <c r="E6191" t="s">
        <v>53</v>
      </c>
      <c r="F6191" t="s">
        <v>49</v>
      </c>
      <c r="G6191" s="30">
        <v>933.28107068851398</v>
      </c>
    </row>
    <row r="6192" spans="1:7" x14ac:dyDescent="0.25">
      <c r="A6192" t="s">
        <v>45</v>
      </c>
      <c r="B6192" t="s">
        <v>46</v>
      </c>
      <c r="C6192" t="s">
        <v>47</v>
      </c>
      <c r="D6192">
        <v>16034392</v>
      </c>
      <c r="E6192" t="s">
        <v>48</v>
      </c>
      <c r="F6192" t="s">
        <v>49</v>
      </c>
      <c r="G6192" s="30">
        <v>0</v>
      </c>
    </row>
    <row r="6193" spans="1:7" x14ac:dyDescent="0.25">
      <c r="A6193" t="s">
        <v>106</v>
      </c>
      <c r="B6193" t="s">
        <v>107</v>
      </c>
      <c r="C6193" t="s">
        <v>56</v>
      </c>
      <c r="D6193">
        <v>16034506</v>
      </c>
      <c r="E6193" t="s">
        <v>53</v>
      </c>
      <c r="F6193" t="s">
        <v>49</v>
      </c>
      <c r="G6193" s="30">
        <v>217437.68276670499</v>
      </c>
    </row>
    <row r="6194" spans="1:7" x14ac:dyDescent="0.25">
      <c r="A6194" t="s">
        <v>45</v>
      </c>
      <c r="B6194" t="s">
        <v>46</v>
      </c>
      <c r="C6194" t="s">
        <v>47</v>
      </c>
      <c r="D6194">
        <v>16039241</v>
      </c>
      <c r="E6194" t="s">
        <v>48</v>
      </c>
      <c r="F6194" t="s">
        <v>49</v>
      </c>
      <c r="G6194" s="30">
        <v>0</v>
      </c>
    </row>
    <row r="6195" spans="1:7" x14ac:dyDescent="0.25">
      <c r="A6195" t="s">
        <v>45</v>
      </c>
      <c r="B6195" t="s">
        <v>46</v>
      </c>
      <c r="C6195" t="s">
        <v>47</v>
      </c>
      <c r="D6195">
        <v>16040917</v>
      </c>
      <c r="E6195" t="s">
        <v>48</v>
      </c>
      <c r="F6195" t="s">
        <v>49</v>
      </c>
      <c r="G6195" s="30">
        <v>0</v>
      </c>
    </row>
    <row r="6196" spans="1:7" x14ac:dyDescent="0.25">
      <c r="A6196" t="s">
        <v>102</v>
      </c>
      <c r="B6196" t="s">
        <v>103</v>
      </c>
      <c r="C6196" t="s">
        <v>47</v>
      </c>
      <c r="D6196">
        <v>16051822</v>
      </c>
      <c r="E6196" t="s">
        <v>53</v>
      </c>
      <c r="F6196" t="s">
        <v>49</v>
      </c>
      <c r="G6196" s="30">
        <v>145530.48798037399</v>
      </c>
    </row>
    <row r="6197" spans="1:7" x14ac:dyDescent="0.25">
      <c r="A6197" t="s">
        <v>79</v>
      </c>
      <c r="B6197" t="s">
        <v>80</v>
      </c>
      <c r="C6197" t="s">
        <v>81</v>
      </c>
      <c r="D6197">
        <v>16057365</v>
      </c>
      <c r="E6197" t="s">
        <v>53</v>
      </c>
      <c r="F6197" t="s">
        <v>49</v>
      </c>
      <c r="G6197" s="30">
        <v>3032.53</v>
      </c>
    </row>
    <row r="6198" spans="1:7" x14ac:dyDescent="0.25">
      <c r="A6198" t="s">
        <v>122</v>
      </c>
      <c r="B6198" t="s">
        <v>123</v>
      </c>
      <c r="C6198" t="s">
        <v>52</v>
      </c>
      <c r="D6198">
        <v>16067730</v>
      </c>
      <c r="E6198" t="s">
        <v>53</v>
      </c>
      <c r="F6198" t="s">
        <v>49</v>
      </c>
      <c r="G6198" s="30">
        <v>780993.32268690295</v>
      </c>
    </row>
    <row r="6199" spans="1:7" x14ac:dyDescent="0.25">
      <c r="A6199" t="s">
        <v>94</v>
      </c>
      <c r="B6199" t="s">
        <v>95</v>
      </c>
      <c r="C6199" t="s">
        <v>78</v>
      </c>
      <c r="D6199">
        <v>16067819</v>
      </c>
      <c r="E6199" t="s">
        <v>53</v>
      </c>
      <c r="F6199" t="s">
        <v>49</v>
      </c>
      <c r="G6199" s="30">
        <v>379410.42364129203</v>
      </c>
    </row>
    <row r="6200" spans="1:7" x14ac:dyDescent="0.25">
      <c r="A6200" t="s">
        <v>45</v>
      </c>
      <c r="B6200" t="s">
        <v>46</v>
      </c>
      <c r="C6200" t="s">
        <v>47</v>
      </c>
      <c r="D6200">
        <v>16103347</v>
      </c>
      <c r="E6200" t="s">
        <v>53</v>
      </c>
      <c r="F6200" t="s">
        <v>49</v>
      </c>
      <c r="G6200" s="30">
        <v>1150.1400000000001</v>
      </c>
    </row>
    <row r="6201" spans="1:7" x14ac:dyDescent="0.25">
      <c r="A6201" t="s">
        <v>50</v>
      </c>
      <c r="B6201" t="s">
        <v>51</v>
      </c>
      <c r="C6201" t="s">
        <v>52</v>
      </c>
      <c r="D6201">
        <v>16104135</v>
      </c>
      <c r="E6201" t="s">
        <v>53</v>
      </c>
      <c r="F6201" t="s">
        <v>49</v>
      </c>
      <c r="G6201" s="30">
        <v>14774.1290276444</v>
      </c>
    </row>
    <row r="6202" spans="1:7" x14ac:dyDescent="0.25">
      <c r="A6202" t="s">
        <v>74</v>
      </c>
      <c r="B6202" t="s">
        <v>75</v>
      </c>
      <c r="C6202" t="s">
        <v>67</v>
      </c>
      <c r="D6202">
        <v>16105440</v>
      </c>
      <c r="E6202" t="s">
        <v>48</v>
      </c>
      <c r="F6202" t="s">
        <v>49</v>
      </c>
      <c r="G6202" s="30">
        <v>0</v>
      </c>
    </row>
    <row r="6203" spans="1:7" x14ac:dyDescent="0.25">
      <c r="A6203" t="s">
        <v>45</v>
      </c>
      <c r="B6203" t="s">
        <v>46</v>
      </c>
      <c r="C6203" t="s">
        <v>47</v>
      </c>
      <c r="D6203">
        <v>16106082</v>
      </c>
      <c r="E6203" t="s">
        <v>48</v>
      </c>
      <c r="F6203" t="s">
        <v>49</v>
      </c>
      <c r="G6203" s="30">
        <v>0</v>
      </c>
    </row>
    <row r="6204" spans="1:7" x14ac:dyDescent="0.25">
      <c r="A6204" t="s">
        <v>120</v>
      </c>
      <c r="B6204" t="s">
        <v>121</v>
      </c>
      <c r="C6204" t="s">
        <v>67</v>
      </c>
      <c r="D6204">
        <v>16106999</v>
      </c>
      <c r="E6204" t="s">
        <v>53</v>
      </c>
      <c r="F6204" t="s">
        <v>49</v>
      </c>
      <c r="G6204" s="30">
        <v>74603.229678389893</v>
      </c>
    </row>
    <row r="6205" spans="1:7" x14ac:dyDescent="0.25">
      <c r="A6205" t="s">
        <v>45</v>
      </c>
      <c r="B6205" t="s">
        <v>46</v>
      </c>
      <c r="C6205" t="s">
        <v>47</v>
      </c>
      <c r="D6205">
        <v>16111632</v>
      </c>
      <c r="E6205" t="s">
        <v>53</v>
      </c>
      <c r="F6205" t="s">
        <v>49</v>
      </c>
      <c r="G6205" s="30">
        <v>12476.169927524499</v>
      </c>
    </row>
    <row r="6206" spans="1:7" x14ac:dyDescent="0.25">
      <c r="A6206" t="s">
        <v>45</v>
      </c>
      <c r="B6206" t="s">
        <v>46</v>
      </c>
      <c r="C6206" t="s">
        <v>47</v>
      </c>
      <c r="D6206">
        <v>16111752</v>
      </c>
      <c r="E6206" t="s">
        <v>48</v>
      </c>
      <c r="F6206" t="s">
        <v>49</v>
      </c>
      <c r="G6206" s="30">
        <v>0</v>
      </c>
    </row>
    <row r="6207" spans="1:7" x14ac:dyDescent="0.25">
      <c r="A6207" t="s">
        <v>118</v>
      </c>
      <c r="B6207" t="s">
        <v>119</v>
      </c>
      <c r="C6207" t="s">
        <v>56</v>
      </c>
      <c r="D6207">
        <v>16112507</v>
      </c>
      <c r="E6207" t="s">
        <v>53</v>
      </c>
      <c r="F6207" t="s">
        <v>49</v>
      </c>
      <c r="G6207" s="30">
        <v>724706.77748890698</v>
      </c>
    </row>
    <row r="6208" spans="1:7" x14ac:dyDescent="0.25">
      <c r="A6208" t="s">
        <v>50</v>
      </c>
      <c r="B6208" t="s">
        <v>51</v>
      </c>
      <c r="C6208" t="s">
        <v>52</v>
      </c>
      <c r="D6208">
        <v>16113149</v>
      </c>
      <c r="E6208" t="s">
        <v>53</v>
      </c>
      <c r="F6208" t="s">
        <v>49</v>
      </c>
      <c r="G6208" s="30">
        <v>8527.1223690959396</v>
      </c>
    </row>
    <row r="6209" spans="1:7" x14ac:dyDescent="0.25">
      <c r="A6209" t="s">
        <v>50</v>
      </c>
      <c r="B6209" t="s">
        <v>51</v>
      </c>
      <c r="C6209" t="s">
        <v>52</v>
      </c>
      <c r="D6209">
        <v>16125935</v>
      </c>
      <c r="E6209" t="s">
        <v>53</v>
      </c>
      <c r="F6209" t="s">
        <v>49</v>
      </c>
      <c r="G6209" s="30">
        <v>78045.429999999993</v>
      </c>
    </row>
    <row r="6210" spans="1:7" x14ac:dyDescent="0.25">
      <c r="A6210" t="s">
        <v>84</v>
      </c>
      <c r="B6210" t="s">
        <v>85</v>
      </c>
      <c r="C6210" t="s">
        <v>67</v>
      </c>
      <c r="D6210">
        <v>16128312</v>
      </c>
      <c r="E6210" t="s">
        <v>53</v>
      </c>
      <c r="F6210" t="s">
        <v>49</v>
      </c>
      <c r="G6210" s="30">
        <v>74660.167042824003</v>
      </c>
    </row>
    <row r="6211" spans="1:7" x14ac:dyDescent="0.25">
      <c r="A6211" t="s">
        <v>74</v>
      </c>
      <c r="B6211" t="s">
        <v>75</v>
      </c>
      <c r="C6211" t="s">
        <v>67</v>
      </c>
      <c r="D6211">
        <v>16135723</v>
      </c>
      <c r="E6211" t="s">
        <v>48</v>
      </c>
      <c r="F6211" t="s">
        <v>49</v>
      </c>
      <c r="G6211" s="30">
        <v>0</v>
      </c>
    </row>
    <row r="6212" spans="1:7" x14ac:dyDescent="0.25">
      <c r="A6212" t="s">
        <v>45</v>
      </c>
      <c r="B6212" t="s">
        <v>46</v>
      </c>
      <c r="C6212" t="s">
        <v>47</v>
      </c>
      <c r="D6212">
        <v>16136534</v>
      </c>
      <c r="E6212" t="s">
        <v>48</v>
      </c>
      <c r="F6212" t="s">
        <v>49</v>
      </c>
      <c r="G6212" s="30">
        <v>0</v>
      </c>
    </row>
    <row r="6213" spans="1:7" x14ac:dyDescent="0.25">
      <c r="A6213" t="s">
        <v>50</v>
      </c>
      <c r="B6213" t="s">
        <v>51</v>
      </c>
      <c r="C6213" t="s">
        <v>52</v>
      </c>
      <c r="D6213">
        <v>16136940</v>
      </c>
      <c r="E6213" t="s">
        <v>48</v>
      </c>
      <c r="F6213" t="s">
        <v>49</v>
      </c>
      <c r="G6213" s="30">
        <v>0</v>
      </c>
    </row>
    <row r="6214" spans="1:7" x14ac:dyDescent="0.25">
      <c r="A6214" t="s">
        <v>45</v>
      </c>
      <c r="B6214" t="s">
        <v>46</v>
      </c>
      <c r="C6214" t="s">
        <v>47</v>
      </c>
      <c r="D6214">
        <v>16140885</v>
      </c>
      <c r="E6214" t="s">
        <v>48</v>
      </c>
      <c r="F6214" t="s">
        <v>49</v>
      </c>
      <c r="G6214" s="30">
        <v>0</v>
      </c>
    </row>
    <row r="6215" spans="1:7" x14ac:dyDescent="0.25">
      <c r="A6215" t="s">
        <v>45</v>
      </c>
      <c r="B6215" t="s">
        <v>46</v>
      </c>
      <c r="C6215" t="s">
        <v>47</v>
      </c>
      <c r="D6215">
        <v>16156415</v>
      </c>
      <c r="E6215" t="s">
        <v>48</v>
      </c>
      <c r="F6215" t="s">
        <v>49</v>
      </c>
      <c r="G6215" s="30">
        <v>0</v>
      </c>
    </row>
    <row r="6216" spans="1:7" x14ac:dyDescent="0.25">
      <c r="A6216" t="s">
        <v>61</v>
      </c>
      <c r="B6216" t="s">
        <v>62</v>
      </c>
      <c r="C6216" t="s">
        <v>56</v>
      </c>
      <c r="D6216">
        <v>16156882</v>
      </c>
      <c r="E6216" t="s">
        <v>48</v>
      </c>
      <c r="F6216" t="s">
        <v>49</v>
      </c>
      <c r="G6216" s="30">
        <v>0</v>
      </c>
    </row>
    <row r="6217" spans="1:7" x14ac:dyDescent="0.25">
      <c r="A6217" t="s">
        <v>45</v>
      </c>
      <c r="B6217" t="s">
        <v>46</v>
      </c>
      <c r="C6217" t="s">
        <v>47</v>
      </c>
      <c r="D6217">
        <v>16173808</v>
      </c>
      <c r="E6217" t="s">
        <v>48</v>
      </c>
      <c r="F6217" t="s">
        <v>49</v>
      </c>
      <c r="G6217" s="30">
        <v>0</v>
      </c>
    </row>
    <row r="6218" spans="1:7" x14ac:dyDescent="0.25">
      <c r="A6218" t="s">
        <v>45</v>
      </c>
      <c r="B6218" t="s">
        <v>46</v>
      </c>
      <c r="C6218" t="s">
        <v>47</v>
      </c>
      <c r="D6218">
        <v>16174225</v>
      </c>
      <c r="E6218" t="s">
        <v>53</v>
      </c>
      <c r="F6218" t="s">
        <v>49</v>
      </c>
      <c r="G6218" s="30">
        <v>3113.0124804687498</v>
      </c>
    </row>
    <row r="6219" spans="1:7" x14ac:dyDescent="0.25">
      <c r="A6219" t="s">
        <v>50</v>
      </c>
      <c r="B6219" t="s">
        <v>51</v>
      </c>
      <c r="C6219" t="s">
        <v>52</v>
      </c>
      <c r="D6219">
        <v>16175804</v>
      </c>
      <c r="E6219" t="s">
        <v>53</v>
      </c>
      <c r="F6219" t="s">
        <v>49</v>
      </c>
      <c r="G6219" s="30">
        <v>26965.2864997738</v>
      </c>
    </row>
    <row r="6220" spans="1:7" x14ac:dyDescent="0.25">
      <c r="A6220" t="s">
        <v>45</v>
      </c>
      <c r="B6220" t="s">
        <v>46</v>
      </c>
      <c r="C6220" t="s">
        <v>47</v>
      </c>
      <c r="D6220">
        <v>16177103</v>
      </c>
      <c r="E6220" t="s">
        <v>48</v>
      </c>
      <c r="F6220" t="s">
        <v>49</v>
      </c>
      <c r="G6220" s="30">
        <v>0</v>
      </c>
    </row>
    <row r="6221" spans="1:7" x14ac:dyDescent="0.25">
      <c r="A6221" t="s">
        <v>118</v>
      </c>
      <c r="B6221" t="s">
        <v>119</v>
      </c>
      <c r="C6221" t="s">
        <v>56</v>
      </c>
      <c r="D6221">
        <v>16178082</v>
      </c>
      <c r="E6221" t="s">
        <v>53</v>
      </c>
      <c r="F6221" t="s">
        <v>49</v>
      </c>
      <c r="G6221" s="30">
        <v>117197.36258472</v>
      </c>
    </row>
    <row r="6222" spans="1:7" x14ac:dyDescent="0.25">
      <c r="A6222" t="s">
        <v>45</v>
      </c>
      <c r="B6222" t="s">
        <v>46</v>
      </c>
      <c r="C6222" t="s">
        <v>47</v>
      </c>
      <c r="D6222">
        <v>16182234</v>
      </c>
      <c r="E6222" t="s">
        <v>48</v>
      </c>
      <c r="F6222" t="s">
        <v>49</v>
      </c>
      <c r="G6222" s="30">
        <v>0</v>
      </c>
    </row>
    <row r="6223" spans="1:7" x14ac:dyDescent="0.25">
      <c r="A6223" t="s">
        <v>82</v>
      </c>
      <c r="B6223" t="s">
        <v>83</v>
      </c>
      <c r="C6223" t="s">
        <v>56</v>
      </c>
      <c r="D6223">
        <v>16183438</v>
      </c>
      <c r="E6223" t="s">
        <v>48</v>
      </c>
      <c r="F6223" t="s">
        <v>49</v>
      </c>
      <c r="G6223" s="30">
        <v>42.1</v>
      </c>
    </row>
    <row r="6224" spans="1:7" x14ac:dyDescent="0.25">
      <c r="A6224" t="s">
        <v>54</v>
      </c>
      <c r="B6224" t="s">
        <v>55</v>
      </c>
      <c r="C6224" t="s">
        <v>56</v>
      </c>
      <c r="D6224">
        <v>16184037</v>
      </c>
      <c r="E6224" t="s">
        <v>53</v>
      </c>
      <c r="F6224" t="s">
        <v>49</v>
      </c>
      <c r="G6224" s="30">
        <v>194111.91070334101</v>
      </c>
    </row>
    <row r="6225" spans="1:7" x14ac:dyDescent="0.25">
      <c r="A6225" t="s">
        <v>50</v>
      </c>
      <c r="B6225" t="s">
        <v>51</v>
      </c>
      <c r="C6225" t="s">
        <v>52</v>
      </c>
      <c r="D6225">
        <v>16188668</v>
      </c>
      <c r="E6225" t="s">
        <v>53</v>
      </c>
      <c r="F6225" t="s">
        <v>49</v>
      </c>
      <c r="G6225" s="30">
        <v>14685.4955986523</v>
      </c>
    </row>
    <row r="6226" spans="1:7" x14ac:dyDescent="0.25">
      <c r="A6226" t="s">
        <v>79</v>
      </c>
      <c r="B6226" t="s">
        <v>80</v>
      </c>
      <c r="C6226" t="s">
        <v>81</v>
      </c>
      <c r="D6226">
        <v>16191529</v>
      </c>
      <c r="E6226" t="s">
        <v>48</v>
      </c>
      <c r="F6226" t="s">
        <v>49</v>
      </c>
      <c r="G6226" s="30">
        <v>0</v>
      </c>
    </row>
    <row r="6227" spans="1:7" x14ac:dyDescent="0.25">
      <c r="A6227" t="s">
        <v>65</v>
      </c>
      <c r="B6227" t="s">
        <v>66</v>
      </c>
      <c r="C6227" t="s">
        <v>67</v>
      </c>
      <c r="D6227">
        <v>16191646</v>
      </c>
      <c r="E6227" t="s">
        <v>53</v>
      </c>
      <c r="F6227" t="s">
        <v>49</v>
      </c>
      <c r="G6227" s="30">
        <v>686891.756409475</v>
      </c>
    </row>
    <row r="6228" spans="1:7" x14ac:dyDescent="0.25">
      <c r="A6228" t="s">
        <v>82</v>
      </c>
      <c r="B6228" t="s">
        <v>83</v>
      </c>
      <c r="C6228" t="s">
        <v>56</v>
      </c>
      <c r="D6228">
        <v>16201786</v>
      </c>
      <c r="E6228" t="s">
        <v>53</v>
      </c>
      <c r="F6228" t="s">
        <v>49</v>
      </c>
      <c r="G6228" s="30">
        <v>1252736.36855139</v>
      </c>
    </row>
    <row r="6229" spans="1:7" x14ac:dyDescent="0.25">
      <c r="A6229" t="s">
        <v>84</v>
      </c>
      <c r="B6229" t="s">
        <v>85</v>
      </c>
      <c r="C6229" t="s">
        <v>67</v>
      </c>
      <c r="D6229">
        <v>16202792</v>
      </c>
      <c r="E6229" t="s">
        <v>53</v>
      </c>
      <c r="F6229" t="s">
        <v>49</v>
      </c>
      <c r="G6229" s="30">
        <v>526079.17131752602</v>
      </c>
    </row>
    <row r="6230" spans="1:7" x14ac:dyDescent="0.25">
      <c r="A6230" t="s">
        <v>74</v>
      </c>
      <c r="B6230" t="s">
        <v>75</v>
      </c>
      <c r="C6230" t="s">
        <v>67</v>
      </c>
      <c r="D6230">
        <v>16204262</v>
      </c>
      <c r="E6230" t="s">
        <v>48</v>
      </c>
      <c r="F6230" t="s">
        <v>49</v>
      </c>
      <c r="G6230" s="30">
        <v>0</v>
      </c>
    </row>
    <row r="6231" spans="1:7" x14ac:dyDescent="0.25">
      <c r="A6231" t="s">
        <v>116</v>
      </c>
      <c r="B6231" t="s">
        <v>117</v>
      </c>
      <c r="C6231" t="s">
        <v>47</v>
      </c>
      <c r="D6231">
        <v>16211893</v>
      </c>
      <c r="E6231" t="s">
        <v>53</v>
      </c>
      <c r="F6231" t="s">
        <v>49</v>
      </c>
      <c r="G6231" s="30">
        <v>252230.62217341701</v>
      </c>
    </row>
    <row r="6232" spans="1:7" x14ac:dyDescent="0.25">
      <c r="A6232" t="s">
        <v>131</v>
      </c>
      <c r="B6232" t="s">
        <v>132</v>
      </c>
      <c r="C6232" t="s">
        <v>67</v>
      </c>
      <c r="D6232">
        <v>16215458</v>
      </c>
      <c r="E6232" t="s">
        <v>53</v>
      </c>
      <c r="F6232" t="s">
        <v>49</v>
      </c>
      <c r="G6232" s="30">
        <v>17463.14</v>
      </c>
    </row>
    <row r="6233" spans="1:7" x14ac:dyDescent="0.25">
      <c r="A6233" t="s">
        <v>92</v>
      </c>
      <c r="B6233" t="s">
        <v>93</v>
      </c>
      <c r="C6233" t="s">
        <v>81</v>
      </c>
      <c r="D6233">
        <v>16216308</v>
      </c>
      <c r="E6233" t="s">
        <v>48</v>
      </c>
      <c r="F6233" t="s">
        <v>49</v>
      </c>
      <c r="G6233" s="30">
        <v>0</v>
      </c>
    </row>
    <row r="6234" spans="1:7" x14ac:dyDescent="0.25">
      <c r="A6234" t="s">
        <v>112</v>
      </c>
      <c r="B6234" t="s">
        <v>113</v>
      </c>
      <c r="C6234" t="s">
        <v>81</v>
      </c>
      <c r="D6234">
        <v>16227135</v>
      </c>
      <c r="E6234" t="s">
        <v>53</v>
      </c>
      <c r="F6234" t="s">
        <v>49</v>
      </c>
      <c r="G6234" s="30">
        <v>531601.42566862598</v>
      </c>
    </row>
    <row r="6235" spans="1:7" x14ac:dyDescent="0.25">
      <c r="A6235" t="s">
        <v>82</v>
      </c>
      <c r="B6235" t="s">
        <v>83</v>
      </c>
      <c r="C6235" t="s">
        <v>56</v>
      </c>
      <c r="D6235">
        <v>16244973</v>
      </c>
      <c r="E6235" t="s">
        <v>53</v>
      </c>
      <c r="F6235" t="s">
        <v>49</v>
      </c>
      <c r="G6235" s="30">
        <v>479918.54021484498</v>
      </c>
    </row>
    <row r="6236" spans="1:7" x14ac:dyDescent="0.25">
      <c r="A6236" t="s">
        <v>82</v>
      </c>
      <c r="B6236" t="s">
        <v>83</v>
      </c>
      <c r="C6236" t="s">
        <v>56</v>
      </c>
      <c r="D6236">
        <v>16257500</v>
      </c>
      <c r="E6236" t="s">
        <v>48</v>
      </c>
      <c r="F6236" t="s">
        <v>49</v>
      </c>
      <c r="G6236" s="30">
        <v>0</v>
      </c>
    </row>
    <row r="6237" spans="1:7" x14ac:dyDescent="0.25">
      <c r="A6237" t="s">
        <v>79</v>
      </c>
      <c r="B6237" t="s">
        <v>80</v>
      </c>
      <c r="C6237" t="s">
        <v>81</v>
      </c>
      <c r="D6237">
        <v>16258427</v>
      </c>
      <c r="E6237" t="s">
        <v>48</v>
      </c>
      <c r="F6237" t="s">
        <v>49</v>
      </c>
      <c r="G6237" s="30">
        <v>0</v>
      </c>
    </row>
    <row r="6238" spans="1:7" x14ac:dyDescent="0.25">
      <c r="A6238" t="s">
        <v>45</v>
      </c>
      <c r="B6238" t="s">
        <v>46</v>
      </c>
      <c r="C6238" t="s">
        <v>47</v>
      </c>
      <c r="D6238">
        <v>16260785</v>
      </c>
      <c r="E6238" t="s">
        <v>48</v>
      </c>
      <c r="F6238" t="s">
        <v>49</v>
      </c>
      <c r="G6238" s="30">
        <v>0</v>
      </c>
    </row>
    <row r="6239" spans="1:7" x14ac:dyDescent="0.25">
      <c r="A6239" t="s">
        <v>45</v>
      </c>
      <c r="B6239" t="s">
        <v>46</v>
      </c>
      <c r="C6239" t="s">
        <v>47</v>
      </c>
      <c r="D6239">
        <v>16260919</v>
      </c>
      <c r="E6239" t="s">
        <v>48</v>
      </c>
      <c r="F6239" t="s">
        <v>49</v>
      </c>
      <c r="G6239" s="30">
        <v>0</v>
      </c>
    </row>
    <row r="6240" spans="1:7" x14ac:dyDescent="0.25">
      <c r="A6240" t="s">
        <v>146</v>
      </c>
      <c r="B6240" t="s">
        <v>147</v>
      </c>
      <c r="C6240" t="s">
        <v>56</v>
      </c>
      <c r="D6240">
        <v>16264270</v>
      </c>
      <c r="E6240" t="s">
        <v>53</v>
      </c>
      <c r="F6240" t="s">
        <v>49</v>
      </c>
      <c r="G6240" s="30">
        <v>28212.250570254699</v>
      </c>
    </row>
    <row r="6241" spans="1:7" x14ac:dyDescent="0.25">
      <c r="A6241" t="s">
        <v>65</v>
      </c>
      <c r="B6241" t="s">
        <v>66</v>
      </c>
      <c r="C6241" t="s">
        <v>67</v>
      </c>
      <c r="D6241">
        <v>16264367</v>
      </c>
      <c r="E6241" t="s">
        <v>53</v>
      </c>
      <c r="F6241" t="s">
        <v>49</v>
      </c>
      <c r="G6241" s="30">
        <v>117905.6346875</v>
      </c>
    </row>
    <row r="6242" spans="1:7" x14ac:dyDescent="0.25">
      <c r="A6242" t="s">
        <v>65</v>
      </c>
      <c r="B6242" t="s">
        <v>66</v>
      </c>
      <c r="C6242" t="s">
        <v>67</v>
      </c>
      <c r="D6242">
        <v>16264656</v>
      </c>
      <c r="E6242" t="s">
        <v>53</v>
      </c>
      <c r="F6242" t="s">
        <v>49</v>
      </c>
      <c r="G6242" s="30">
        <v>1163971.9295312499</v>
      </c>
    </row>
    <row r="6243" spans="1:7" x14ac:dyDescent="0.25">
      <c r="A6243" t="s">
        <v>90</v>
      </c>
      <c r="B6243" t="s">
        <v>91</v>
      </c>
      <c r="C6243" t="s">
        <v>81</v>
      </c>
      <c r="D6243">
        <v>16264962</v>
      </c>
      <c r="E6243" t="s">
        <v>48</v>
      </c>
      <c r="F6243" t="s">
        <v>49</v>
      </c>
      <c r="G6243" s="30">
        <v>0</v>
      </c>
    </row>
    <row r="6244" spans="1:7" x14ac:dyDescent="0.25">
      <c r="A6244" t="s">
        <v>133</v>
      </c>
      <c r="B6244" t="s">
        <v>134</v>
      </c>
      <c r="C6244" t="s">
        <v>47</v>
      </c>
      <c r="D6244">
        <v>16265961</v>
      </c>
      <c r="E6244" t="s">
        <v>53</v>
      </c>
      <c r="F6244" t="s">
        <v>49</v>
      </c>
      <c r="G6244" s="30">
        <v>323787.21491501603</v>
      </c>
    </row>
    <row r="6245" spans="1:7" x14ac:dyDescent="0.25">
      <c r="A6245" t="s">
        <v>59</v>
      </c>
      <c r="B6245" t="s">
        <v>60</v>
      </c>
      <c r="C6245" t="s">
        <v>56</v>
      </c>
      <c r="D6245">
        <v>16266725</v>
      </c>
      <c r="E6245" t="s">
        <v>53</v>
      </c>
      <c r="F6245" t="s">
        <v>49</v>
      </c>
      <c r="G6245" s="30">
        <v>35506.718165597798</v>
      </c>
    </row>
    <row r="6246" spans="1:7" x14ac:dyDescent="0.25">
      <c r="A6246" t="s">
        <v>82</v>
      </c>
      <c r="B6246" t="s">
        <v>83</v>
      </c>
      <c r="C6246" t="s">
        <v>56</v>
      </c>
      <c r="D6246">
        <v>16267815</v>
      </c>
      <c r="E6246" t="s">
        <v>48</v>
      </c>
      <c r="F6246" t="s">
        <v>49</v>
      </c>
      <c r="G6246" s="30">
        <v>0</v>
      </c>
    </row>
    <row r="6247" spans="1:7" x14ac:dyDescent="0.25">
      <c r="A6247" t="s">
        <v>54</v>
      </c>
      <c r="B6247" t="s">
        <v>55</v>
      </c>
      <c r="C6247" t="s">
        <v>56</v>
      </c>
      <c r="D6247">
        <v>16271731</v>
      </c>
      <c r="E6247" t="s">
        <v>53</v>
      </c>
      <c r="F6247" t="s">
        <v>167</v>
      </c>
      <c r="G6247" s="30">
        <v>2000</v>
      </c>
    </row>
    <row r="6248" spans="1:7" x14ac:dyDescent="0.25">
      <c r="A6248" t="s">
        <v>50</v>
      </c>
      <c r="B6248" t="s">
        <v>51</v>
      </c>
      <c r="C6248" t="s">
        <v>52</v>
      </c>
      <c r="D6248">
        <v>16286563</v>
      </c>
      <c r="E6248" t="s">
        <v>48</v>
      </c>
      <c r="F6248" t="s">
        <v>49</v>
      </c>
      <c r="G6248" s="30">
        <v>0</v>
      </c>
    </row>
    <row r="6249" spans="1:7" x14ac:dyDescent="0.25">
      <c r="A6249" t="s">
        <v>74</v>
      </c>
      <c r="B6249" t="s">
        <v>75</v>
      </c>
      <c r="C6249" t="s">
        <v>67</v>
      </c>
      <c r="D6249">
        <v>16301910</v>
      </c>
      <c r="E6249" t="s">
        <v>53</v>
      </c>
      <c r="F6249" t="s">
        <v>49</v>
      </c>
      <c r="G6249" s="30">
        <v>130341.944832457</v>
      </c>
    </row>
    <row r="6250" spans="1:7" x14ac:dyDescent="0.25">
      <c r="A6250" t="s">
        <v>45</v>
      </c>
      <c r="B6250" t="s">
        <v>46</v>
      </c>
      <c r="C6250" t="s">
        <v>47</v>
      </c>
      <c r="D6250">
        <v>16302684</v>
      </c>
      <c r="E6250" t="s">
        <v>53</v>
      </c>
      <c r="F6250" t="s">
        <v>49</v>
      </c>
      <c r="G6250" s="30">
        <v>20928.039378862599</v>
      </c>
    </row>
    <row r="6251" spans="1:7" x14ac:dyDescent="0.25">
      <c r="A6251" t="s">
        <v>146</v>
      </c>
      <c r="B6251" t="s">
        <v>147</v>
      </c>
      <c r="C6251" t="s">
        <v>56</v>
      </c>
      <c r="D6251">
        <v>16302715</v>
      </c>
      <c r="E6251" t="s">
        <v>53</v>
      </c>
      <c r="F6251" t="s">
        <v>49</v>
      </c>
      <c r="G6251" s="30">
        <v>169535.54514378801</v>
      </c>
    </row>
    <row r="6252" spans="1:7" x14ac:dyDescent="0.25">
      <c r="A6252" t="s">
        <v>45</v>
      </c>
      <c r="B6252" t="s">
        <v>46</v>
      </c>
      <c r="C6252" t="s">
        <v>47</v>
      </c>
      <c r="D6252">
        <v>16306003</v>
      </c>
      <c r="E6252" t="s">
        <v>48</v>
      </c>
      <c r="F6252" t="s">
        <v>49</v>
      </c>
      <c r="G6252" s="30">
        <v>0</v>
      </c>
    </row>
    <row r="6253" spans="1:7" x14ac:dyDescent="0.25">
      <c r="A6253" t="s">
        <v>102</v>
      </c>
      <c r="B6253" t="s">
        <v>103</v>
      </c>
      <c r="C6253" t="s">
        <v>47</v>
      </c>
      <c r="D6253">
        <v>16306141</v>
      </c>
      <c r="E6253" t="s">
        <v>53</v>
      </c>
      <c r="F6253" t="s">
        <v>49</v>
      </c>
      <c r="G6253" s="30">
        <v>229556.75187499999</v>
      </c>
    </row>
    <row r="6254" spans="1:7" x14ac:dyDescent="0.25">
      <c r="A6254" t="s">
        <v>92</v>
      </c>
      <c r="B6254" t="s">
        <v>93</v>
      </c>
      <c r="C6254" t="s">
        <v>81</v>
      </c>
      <c r="D6254">
        <v>16307641</v>
      </c>
      <c r="E6254" t="s">
        <v>53</v>
      </c>
      <c r="F6254" t="s">
        <v>49</v>
      </c>
      <c r="G6254" s="30">
        <v>233551.48135627399</v>
      </c>
    </row>
    <row r="6255" spans="1:7" x14ac:dyDescent="0.25">
      <c r="A6255" t="s">
        <v>82</v>
      </c>
      <c r="B6255" t="s">
        <v>83</v>
      </c>
      <c r="C6255" t="s">
        <v>56</v>
      </c>
      <c r="D6255">
        <v>16308688</v>
      </c>
      <c r="E6255" t="s">
        <v>48</v>
      </c>
      <c r="F6255" t="s">
        <v>49</v>
      </c>
      <c r="G6255" s="30">
        <v>0</v>
      </c>
    </row>
    <row r="6256" spans="1:7" x14ac:dyDescent="0.25">
      <c r="A6256" t="s">
        <v>45</v>
      </c>
      <c r="B6256" t="s">
        <v>46</v>
      </c>
      <c r="C6256" t="s">
        <v>47</v>
      </c>
      <c r="D6256">
        <v>16310144</v>
      </c>
      <c r="E6256" t="s">
        <v>48</v>
      </c>
      <c r="F6256" t="s">
        <v>49</v>
      </c>
      <c r="G6256" s="30">
        <v>0</v>
      </c>
    </row>
    <row r="6257" spans="1:7" x14ac:dyDescent="0.25">
      <c r="A6257" t="s">
        <v>59</v>
      </c>
      <c r="B6257" t="s">
        <v>60</v>
      </c>
      <c r="C6257" t="s">
        <v>56</v>
      </c>
      <c r="D6257">
        <v>16314075</v>
      </c>
      <c r="E6257" t="s">
        <v>48</v>
      </c>
      <c r="F6257" t="s">
        <v>49</v>
      </c>
      <c r="G6257" s="30">
        <v>0</v>
      </c>
    </row>
    <row r="6258" spans="1:7" x14ac:dyDescent="0.25">
      <c r="A6258" t="s">
        <v>45</v>
      </c>
      <c r="B6258" t="s">
        <v>46</v>
      </c>
      <c r="C6258" t="s">
        <v>47</v>
      </c>
      <c r="D6258">
        <v>16318090</v>
      </c>
      <c r="E6258" t="s">
        <v>53</v>
      </c>
      <c r="F6258" t="s">
        <v>49</v>
      </c>
      <c r="G6258" s="30">
        <v>18837.7322064125</v>
      </c>
    </row>
    <row r="6259" spans="1:7" x14ac:dyDescent="0.25">
      <c r="A6259" t="s">
        <v>45</v>
      </c>
      <c r="B6259" t="s">
        <v>46</v>
      </c>
      <c r="C6259" t="s">
        <v>47</v>
      </c>
      <c r="D6259">
        <v>16320812</v>
      </c>
      <c r="E6259" t="s">
        <v>48</v>
      </c>
      <c r="F6259" t="s">
        <v>49</v>
      </c>
      <c r="G6259" s="30">
        <v>0</v>
      </c>
    </row>
    <row r="6260" spans="1:7" x14ac:dyDescent="0.25">
      <c r="A6260" t="s">
        <v>112</v>
      </c>
      <c r="B6260" t="s">
        <v>113</v>
      </c>
      <c r="C6260" t="s">
        <v>81</v>
      </c>
      <c r="D6260">
        <v>16332252</v>
      </c>
      <c r="E6260" t="s">
        <v>53</v>
      </c>
      <c r="F6260" t="s">
        <v>49</v>
      </c>
      <c r="G6260" s="30">
        <v>993866.60721102695</v>
      </c>
    </row>
    <row r="6261" spans="1:7" x14ac:dyDescent="0.25">
      <c r="A6261" t="s">
        <v>45</v>
      </c>
      <c r="B6261" t="s">
        <v>46</v>
      </c>
      <c r="C6261" t="s">
        <v>47</v>
      </c>
      <c r="D6261">
        <v>16337320</v>
      </c>
      <c r="E6261" t="s">
        <v>48</v>
      </c>
      <c r="F6261" t="s">
        <v>49</v>
      </c>
      <c r="G6261" s="30">
        <v>0</v>
      </c>
    </row>
    <row r="6262" spans="1:7" x14ac:dyDescent="0.25">
      <c r="A6262" t="s">
        <v>50</v>
      </c>
      <c r="B6262" t="s">
        <v>51</v>
      </c>
      <c r="C6262" t="s">
        <v>52</v>
      </c>
      <c r="D6262">
        <v>16338205</v>
      </c>
      <c r="E6262" t="s">
        <v>53</v>
      </c>
      <c r="F6262" t="s">
        <v>49</v>
      </c>
      <c r="G6262" s="30">
        <v>1466.0815357376</v>
      </c>
    </row>
    <row r="6263" spans="1:7" x14ac:dyDescent="0.25">
      <c r="A6263" t="s">
        <v>57</v>
      </c>
      <c r="B6263" t="s">
        <v>58</v>
      </c>
      <c r="C6263" t="s">
        <v>56</v>
      </c>
      <c r="D6263">
        <v>16343585</v>
      </c>
      <c r="E6263" t="s">
        <v>53</v>
      </c>
      <c r="F6263" t="s">
        <v>49</v>
      </c>
      <c r="G6263" s="30">
        <v>110158.677578125</v>
      </c>
    </row>
    <row r="6264" spans="1:7" x14ac:dyDescent="0.25">
      <c r="A6264" t="s">
        <v>126</v>
      </c>
      <c r="B6264" t="s">
        <v>127</v>
      </c>
      <c r="C6264" t="s">
        <v>67</v>
      </c>
      <c r="D6264">
        <v>16345867</v>
      </c>
      <c r="E6264" t="s">
        <v>48</v>
      </c>
      <c r="F6264" t="s">
        <v>49</v>
      </c>
      <c r="G6264" s="30">
        <v>0</v>
      </c>
    </row>
    <row r="6265" spans="1:7" x14ac:dyDescent="0.25">
      <c r="A6265" t="s">
        <v>45</v>
      </c>
      <c r="B6265" t="s">
        <v>46</v>
      </c>
      <c r="C6265" t="s">
        <v>47</v>
      </c>
      <c r="D6265">
        <v>16349744</v>
      </c>
      <c r="E6265" t="s">
        <v>48</v>
      </c>
      <c r="F6265" t="s">
        <v>49</v>
      </c>
      <c r="G6265" s="30">
        <v>0</v>
      </c>
    </row>
    <row r="6266" spans="1:7" x14ac:dyDescent="0.25">
      <c r="A6266" t="s">
        <v>74</v>
      </c>
      <c r="B6266" t="s">
        <v>75</v>
      </c>
      <c r="C6266" t="s">
        <v>67</v>
      </c>
      <c r="D6266">
        <v>16351440</v>
      </c>
      <c r="E6266" t="s">
        <v>48</v>
      </c>
      <c r="F6266" t="s">
        <v>49</v>
      </c>
      <c r="G6266" s="30">
        <v>0</v>
      </c>
    </row>
    <row r="6267" spans="1:7" x14ac:dyDescent="0.25">
      <c r="A6267" t="s">
        <v>54</v>
      </c>
      <c r="B6267" t="s">
        <v>55</v>
      </c>
      <c r="C6267" t="s">
        <v>56</v>
      </c>
      <c r="D6267">
        <v>16351591</v>
      </c>
      <c r="E6267" t="s">
        <v>53</v>
      </c>
      <c r="F6267" t="s">
        <v>49</v>
      </c>
      <c r="G6267" s="30">
        <v>24519.352128796902</v>
      </c>
    </row>
    <row r="6268" spans="1:7" x14ac:dyDescent="0.25">
      <c r="A6268" t="s">
        <v>116</v>
      </c>
      <c r="B6268" t="s">
        <v>117</v>
      </c>
      <c r="C6268" t="s">
        <v>47</v>
      </c>
      <c r="D6268">
        <v>16362961</v>
      </c>
      <c r="E6268" t="s">
        <v>53</v>
      </c>
      <c r="F6268" t="s">
        <v>49</v>
      </c>
      <c r="G6268" s="30">
        <v>2194040.6301065199</v>
      </c>
    </row>
    <row r="6269" spans="1:7" x14ac:dyDescent="0.25">
      <c r="A6269" t="s">
        <v>45</v>
      </c>
      <c r="B6269" t="s">
        <v>46</v>
      </c>
      <c r="C6269" t="s">
        <v>47</v>
      </c>
      <c r="D6269">
        <v>16363882</v>
      </c>
      <c r="E6269" t="s">
        <v>48</v>
      </c>
      <c r="F6269" t="s">
        <v>49</v>
      </c>
      <c r="G6269" s="30">
        <v>0</v>
      </c>
    </row>
    <row r="6270" spans="1:7" x14ac:dyDescent="0.25">
      <c r="A6270" t="s">
        <v>45</v>
      </c>
      <c r="B6270" t="s">
        <v>46</v>
      </c>
      <c r="C6270" t="s">
        <v>47</v>
      </c>
      <c r="D6270">
        <v>16366598</v>
      </c>
      <c r="E6270" t="s">
        <v>48</v>
      </c>
      <c r="F6270" t="s">
        <v>49</v>
      </c>
      <c r="G6270" s="30">
        <v>0</v>
      </c>
    </row>
    <row r="6271" spans="1:7" x14ac:dyDescent="0.25">
      <c r="A6271" t="s">
        <v>90</v>
      </c>
      <c r="B6271" t="s">
        <v>91</v>
      </c>
      <c r="C6271" t="s">
        <v>81</v>
      </c>
      <c r="D6271">
        <v>16367071</v>
      </c>
      <c r="E6271" t="s">
        <v>53</v>
      </c>
      <c r="F6271" t="s">
        <v>49</v>
      </c>
      <c r="G6271" s="30">
        <v>532220.63589866902</v>
      </c>
    </row>
    <row r="6272" spans="1:7" x14ac:dyDescent="0.25">
      <c r="A6272" t="s">
        <v>50</v>
      </c>
      <c r="B6272" t="s">
        <v>51</v>
      </c>
      <c r="C6272" t="s">
        <v>52</v>
      </c>
      <c r="D6272">
        <v>16367325</v>
      </c>
      <c r="E6272" t="s">
        <v>53</v>
      </c>
      <c r="F6272" t="s">
        <v>49</v>
      </c>
      <c r="G6272" s="30">
        <v>809.87306073604805</v>
      </c>
    </row>
    <row r="6273" spans="1:7" x14ac:dyDescent="0.25">
      <c r="A6273" t="s">
        <v>50</v>
      </c>
      <c r="B6273" t="s">
        <v>51</v>
      </c>
      <c r="C6273" t="s">
        <v>52</v>
      </c>
      <c r="D6273">
        <v>16369963</v>
      </c>
      <c r="E6273" t="s">
        <v>53</v>
      </c>
      <c r="F6273" t="s">
        <v>49</v>
      </c>
      <c r="G6273" s="30">
        <v>115.38</v>
      </c>
    </row>
    <row r="6274" spans="1:7" x14ac:dyDescent="0.25">
      <c r="A6274" t="s">
        <v>45</v>
      </c>
      <c r="B6274" t="s">
        <v>46</v>
      </c>
      <c r="C6274" t="s">
        <v>47</v>
      </c>
      <c r="D6274">
        <v>16371254</v>
      </c>
      <c r="E6274" t="s">
        <v>48</v>
      </c>
      <c r="F6274" t="s">
        <v>49</v>
      </c>
      <c r="G6274" s="30">
        <v>0</v>
      </c>
    </row>
    <row r="6275" spans="1:7" x14ac:dyDescent="0.25">
      <c r="A6275" t="s">
        <v>65</v>
      </c>
      <c r="B6275" t="s">
        <v>66</v>
      </c>
      <c r="C6275" t="s">
        <v>67</v>
      </c>
      <c r="D6275">
        <v>16375338</v>
      </c>
      <c r="E6275" t="s">
        <v>53</v>
      </c>
      <c r="F6275" t="s">
        <v>49</v>
      </c>
      <c r="G6275" s="30">
        <v>365577.72333883599</v>
      </c>
    </row>
    <row r="6276" spans="1:7" x14ac:dyDescent="0.25">
      <c r="A6276" t="s">
        <v>50</v>
      </c>
      <c r="B6276" t="s">
        <v>51</v>
      </c>
      <c r="C6276" t="s">
        <v>52</v>
      </c>
      <c r="D6276">
        <v>16375507</v>
      </c>
      <c r="E6276" t="s">
        <v>48</v>
      </c>
      <c r="F6276" t="s">
        <v>49</v>
      </c>
      <c r="G6276" s="30">
        <v>0</v>
      </c>
    </row>
    <row r="6277" spans="1:7" x14ac:dyDescent="0.25">
      <c r="A6277" t="s">
        <v>54</v>
      </c>
      <c r="B6277" t="s">
        <v>55</v>
      </c>
      <c r="C6277" t="s">
        <v>56</v>
      </c>
      <c r="D6277">
        <v>16401835</v>
      </c>
      <c r="E6277" t="s">
        <v>53</v>
      </c>
      <c r="F6277" t="s">
        <v>49</v>
      </c>
      <c r="G6277" s="30">
        <v>264622.52026707999</v>
      </c>
    </row>
    <row r="6278" spans="1:7" x14ac:dyDescent="0.25">
      <c r="A6278" t="s">
        <v>102</v>
      </c>
      <c r="B6278" t="s">
        <v>103</v>
      </c>
      <c r="C6278" t="s">
        <v>47</v>
      </c>
      <c r="D6278">
        <v>16426381</v>
      </c>
      <c r="E6278" t="s">
        <v>53</v>
      </c>
      <c r="F6278" t="s">
        <v>49</v>
      </c>
      <c r="G6278" s="30">
        <v>127949.489286595</v>
      </c>
    </row>
    <row r="6279" spans="1:7" x14ac:dyDescent="0.25">
      <c r="A6279" t="s">
        <v>50</v>
      </c>
      <c r="B6279" t="s">
        <v>51</v>
      </c>
      <c r="C6279" t="s">
        <v>52</v>
      </c>
      <c r="D6279">
        <v>16427441</v>
      </c>
      <c r="E6279" t="s">
        <v>53</v>
      </c>
      <c r="F6279" t="s">
        <v>49</v>
      </c>
      <c r="G6279" s="30">
        <v>15026.945285043599</v>
      </c>
    </row>
    <row r="6280" spans="1:7" x14ac:dyDescent="0.25">
      <c r="A6280" t="s">
        <v>100</v>
      </c>
      <c r="B6280" t="s">
        <v>101</v>
      </c>
      <c r="C6280" t="s">
        <v>52</v>
      </c>
      <c r="D6280">
        <v>16427618</v>
      </c>
      <c r="E6280" t="s">
        <v>48</v>
      </c>
      <c r="F6280" t="s">
        <v>49</v>
      </c>
      <c r="G6280" s="30">
        <v>0</v>
      </c>
    </row>
    <row r="6281" spans="1:7" x14ac:dyDescent="0.25">
      <c r="A6281" t="s">
        <v>88</v>
      </c>
      <c r="B6281" t="s">
        <v>89</v>
      </c>
      <c r="C6281" t="s">
        <v>78</v>
      </c>
      <c r="D6281">
        <v>16429837</v>
      </c>
      <c r="E6281" t="s">
        <v>53</v>
      </c>
      <c r="F6281" t="s">
        <v>49</v>
      </c>
      <c r="G6281" s="30">
        <v>227774.18825563</v>
      </c>
    </row>
    <row r="6282" spans="1:7" x14ac:dyDescent="0.25">
      <c r="A6282" t="s">
        <v>50</v>
      </c>
      <c r="B6282" t="s">
        <v>51</v>
      </c>
      <c r="C6282" t="s">
        <v>52</v>
      </c>
      <c r="D6282">
        <v>16431856</v>
      </c>
      <c r="E6282" t="s">
        <v>53</v>
      </c>
      <c r="F6282" t="s">
        <v>49</v>
      </c>
      <c r="G6282" s="30">
        <v>32842.6908937802</v>
      </c>
    </row>
    <row r="6283" spans="1:7" x14ac:dyDescent="0.25">
      <c r="A6283" t="s">
        <v>72</v>
      </c>
      <c r="B6283" t="s">
        <v>73</v>
      </c>
      <c r="C6283" t="s">
        <v>67</v>
      </c>
      <c r="D6283">
        <v>16434334</v>
      </c>
      <c r="E6283" t="s">
        <v>53</v>
      </c>
      <c r="F6283" t="s">
        <v>49</v>
      </c>
      <c r="G6283" s="30">
        <v>6889887.9769990696</v>
      </c>
    </row>
    <row r="6284" spans="1:7" x14ac:dyDescent="0.25">
      <c r="A6284" t="s">
        <v>45</v>
      </c>
      <c r="B6284" t="s">
        <v>46</v>
      </c>
      <c r="C6284" t="s">
        <v>47</v>
      </c>
      <c r="D6284">
        <v>16443310</v>
      </c>
      <c r="E6284" t="s">
        <v>48</v>
      </c>
      <c r="F6284" t="s">
        <v>49</v>
      </c>
      <c r="G6284" s="30">
        <v>0</v>
      </c>
    </row>
    <row r="6285" spans="1:7" x14ac:dyDescent="0.25">
      <c r="A6285" t="s">
        <v>54</v>
      </c>
      <c r="B6285" t="s">
        <v>55</v>
      </c>
      <c r="C6285" t="s">
        <v>56</v>
      </c>
      <c r="D6285">
        <v>16443977</v>
      </c>
      <c r="E6285" t="s">
        <v>53</v>
      </c>
      <c r="F6285" t="s">
        <v>49</v>
      </c>
      <c r="G6285" s="30">
        <v>487631.66359674098</v>
      </c>
    </row>
    <row r="6286" spans="1:7" x14ac:dyDescent="0.25">
      <c r="A6286" t="s">
        <v>92</v>
      </c>
      <c r="B6286" t="s">
        <v>93</v>
      </c>
      <c r="C6286" t="s">
        <v>81</v>
      </c>
      <c r="D6286">
        <v>16449602</v>
      </c>
      <c r="E6286" t="s">
        <v>53</v>
      </c>
      <c r="F6286" t="s">
        <v>49</v>
      </c>
      <c r="G6286" s="30">
        <v>3139.7750156304201</v>
      </c>
    </row>
    <row r="6287" spans="1:7" x14ac:dyDescent="0.25">
      <c r="A6287" t="s">
        <v>92</v>
      </c>
      <c r="B6287" t="s">
        <v>93</v>
      </c>
      <c r="C6287" t="s">
        <v>81</v>
      </c>
      <c r="D6287">
        <v>16451472</v>
      </c>
      <c r="E6287" t="s">
        <v>48</v>
      </c>
      <c r="F6287" t="s">
        <v>49</v>
      </c>
      <c r="G6287" s="30">
        <v>24.31</v>
      </c>
    </row>
    <row r="6288" spans="1:7" x14ac:dyDescent="0.25">
      <c r="A6288" t="s">
        <v>45</v>
      </c>
      <c r="B6288" t="s">
        <v>46</v>
      </c>
      <c r="C6288" t="s">
        <v>47</v>
      </c>
      <c r="D6288">
        <v>16452586</v>
      </c>
      <c r="E6288" t="s">
        <v>48</v>
      </c>
      <c r="F6288" t="s">
        <v>49</v>
      </c>
      <c r="G6288" s="30">
        <v>0</v>
      </c>
    </row>
    <row r="6289" spans="1:7" x14ac:dyDescent="0.25">
      <c r="A6289" t="s">
        <v>45</v>
      </c>
      <c r="B6289" t="s">
        <v>46</v>
      </c>
      <c r="C6289" t="s">
        <v>47</v>
      </c>
      <c r="D6289">
        <v>16457681</v>
      </c>
      <c r="E6289" t="s">
        <v>48</v>
      </c>
      <c r="F6289" t="s">
        <v>49</v>
      </c>
      <c r="G6289" s="30">
        <v>0</v>
      </c>
    </row>
    <row r="6290" spans="1:7" x14ac:dyDescent="0.25">
      <c r="A6290" t="s">
        <v>74</v>
      </c>
      <c r="B6290" t="s">
        <v>75</v>
      </c>
      <c r="C6290" t="s">
        <v>67</v>
      </c>
      <c r="D6290">
        <v>16460935</v>
      </c>
      <c r="E6290" t="s">
        <v>48</v>
      </c>
      <c r="F6290" t="s">
        <v>49</v>
      </c>
      <c r="G6290" s="30">
        <v>0</v>
      </c>
    </row>
    <row r="6291" spans="1:7" x14ac:dyDescent="0.25">
      <c r="A6291" t="s">
        <v>45</v>
      </c>
      <c r="B6291" t="s">
        <v>46</v>
      </c>
      <c r="C6291" t="s">
        <v>47</v>
      </c>
      <c r="D6291">
        <v>16463229</v>
      </c>
      <c r="E6291" t="s">
        <v>48</v>
      </c>
      <c r="F6291" t="s">
        <v>49</v>
      </c>
      <c r="G6291" s="30">
        <v>0</v>
      </c>
    </row>
    <row r="6292" spans="1:7" x14ac:dyDescent="0.25">
      <c r="A6292" t="s">
        <v>112</v>
      </c>
      <c r="B6292" t="s">
        <v>113</v>
      </c>
      <c r="C6292" t="s">
        <v>81</v>
      </c>
      <c r="D6292">
        <v>16468683</v>
      </c>
      <c r="E6292" t="s">
        <v>53</v>
      </c>
      <c r="F6292" t="s">
        <v>49</v>
      </c>
      <c r="G6292" s="30">
        <v>68949.4730389834</v>
      </c>
    </row>
    <row r="6293" spans="1:7" x14ac:dyDescent="0.25">
      <c r="A6293" t="s">
        <v>76</v>
      </c>
      <c r="B6293" t="s">
        <v>77</v>
      </c>
      <c r="C6293" t="s">
        <v>78</v>
      </c>
      <c r="D6293">
        <v>16474274</v>
      </c>
      <c r="E6293" t="s">
        <v>53</v>
      </c>
      <c r="F6293" t="s">
        <v>49</v>
      </c>
      <c r="G6293" s="30">
        <v>320668.71462828002</v>
      </c>
    </row>
    <row r="6294" spans="1:7" x14ac:dyDescent="0.25">
      <c r="A6294" t="s">
        <v>45</v>
      </c>
      <c r="B6294" t="s">
        <v>46</v>
      </c>
      <c r="C6294" t="s">
        <v>47</v>
      </c>
      <c r="D6294">
        <v>16485884</v>
      </c>
      <c r="E6294" t="s">
        <v>48</v>
      </c>
      <c r="F6294" t="s">
        <v>49</v>
      </c>
      <c r="G6294" s="30">
        <v>0</v>
      </c>
    </row>
    <row r="6295" spans="1:7" x14ac:dyDescent="0.25">
      <c r="A6295" t="s">
        <v>45</v>
      </c>
      <c r="B6295" t="s">
        <v>46</v>
      </c>
      <c r="C6295" t="s">
        <v>47</v>
      </c>
      <c r="D6295">
        <v>16488277</v>
      </c>
      <c r="E6295" t="s">
        <v>48</v>
      </c>
      <c r="F6295" t="s">
        <v>49</v>
      </c>
      <c r="G6295" s="30">
        <v>0</v>
      </c>
    </row>
    <row r="6296" spans="1:7" x14ac:dyDescent="0.25">
      <c r="A6296" t="s">
        <v>45</v>
      </c>
      <c r="B6296" t="s">
        <v>46</v>
      </c>
      <c r="C6296" t="s">
        <v>47</v>
      </c>
      <c r="D6296">
        <v>16492450</v>
      </c>
      <c r="E6296" t="s">
        <v>48</v>
      </c>
      <c r="F6296" t="s">
        <v>49</v>
      </c>
      <c r="G6296" s="30">
        <v>0</v>
      </c>
    </row>
    <row r="6297" spans="1:7" x14ac:dyDescent="0.25">
      <c r="A6297" t="s">
        <v>88</v>
      </c>
      <c r="B6297" t="s">
        <v>89</v>
      </c>
      <c r="C6297" t="s">
        <v>78</v>
      </c>
      <c r="D6297">
        <v>16515313</v>
      </c>
      <c r="E6297" t="s">
        <v>53</v>
      </c>
      <c r="F6297" t="s">
        <v>49</v>
      </c>
      <c r="G6297" s="30">
        <v>133096.77701372901</v>
      </c>
    </row>
    <row r="6298" spans="1:7" x14ac:dyDescent="0.25">
      <c r="A6298" t="s">
        <v>50</v>
      </c>
      <c r="B6298" t="s">
        <v>51</v>
      </c>
      <c r="C6298" t="s">
        <v>52</v>
      </c>
      <c r="D6298">
        <v>16515954</v>
      </c>
      <c r="E6298" t="s">
        <v>53</v>
      </c>
      <c r="F6298" t="s">
        <v>49</v>
      </c>
      <c r="G6298" s="30">
        <v>27.64</v>
      </c>
    </row>
    <row r="6299" spans="1:7" x14ac:dyDescent="0.25">
      <c r="A6299" t="s">
        <v>45</v>
      </c>
      <c r="B6299" t="s">
        <v>46</v>
      </c>
      <c r="C6299" t="s">
        <v>47</v>
      </c>
      <c r="D6299">
        <v>16541532</v>
      </c>
      <c r="E6299" t="s">
        <v>48</v>
      </c>
      <c r="F6299" t="s">
        <v>49</v>
      </c>
      <c r="G6299" s="30">
        <v>0</v>
      </c>
    </row>
    <row r="6300" spans="1:7" x14ac:dyDescent="0.25">
      <c r="A6300" t="s">
        <v>50</v>
      </c>
      <c r="B6300" t="s">
        <v>51</v>
      </c>
      <c r="C6300" t="s">
        <v>52</v>
      </c>
      <c r="D6300">
        <v>16543460</v>
      </c>
      <c r="E6300" t="s">
        <v>53</v>
      </c>
      <c r="F6300" t="s">
        <v>49</v>
      </c>
      <c r="G6300" s="30">
        <v>38765.967507729103</v>
      </c>
    </row>
    <row r="6301" spans="1:7" x14ac:dyDescent="0.25">
      <c r="A6301" t="s">
        <v>86</v>
      </c>
      <c r="B6301" t="s">
        <v>87</v>
      </c>
      <c r="C6301" t="s">
        <v>78</v>
      </c>
      <c r="D6301">
        <v>16543991</v>
      </c>
      <c r="E6301" t="s">
        <v>53</v>
      </c>
      <c r="F6301" t="s">
        <v>49</v>
      </c>
      <c r="G6301" s="30">
        <v>111133.13847985399</v>
      </c>
    </row>
    <row r="6302" spans="1:7" x14ac:dyDescent="0.25">
      <c r="A6302" t="s">
        <v>50</v>
      </c>
      <c r="B6302" t="s">
        <v>51</v>
      </c>
      <c r="C6302" t="s">
        <v>52</v>
      </c>
      <c r="D6302">
        <v>16544677</v>
      </c>
      <c r="E6302" t="s">
        <v>48</v>
      </c>
      <c r="F6302" t="s">
        <v>49</v>
      </c>
      <c r="G6302" s="30">
        <v>0</v>
      </c>
    </row>
    <row r="6303" spans="1:7" x14ac:dyDescent="0.25">
      <c r="A6303" t="s">
        <v>45</v>
      </c>
      <c r="B6303" t="s">
        <v>46</v>
      </c>
      <c r="C6303" t="s">
        <v>47</v>
      </c>
      <c r="D6303">
        <v>16553375</v>
      </c>
      <c r="E6303" t="s">
        <v>48</v>
      </c>
      <c r="F6303" t="s">
        <v>49</v>
      </c>
      <c r="G6303" s="30">
        <v>0</v>
      </c>
    </row>
    <row r="6304" spans="1:7" x14ac:dyDescent="0.25">
      <c r="A6304" t="s">
        <v>102</v>
      </c>
      <c r="B6304" t="s">
        <v>103</v>
      </c>
      <c r="C6304" t="s">
        <v>47</v>
      </c>
      <c r="D6304">
        <v>16585199</v>
      </c>
      <c r="E6304" t="s">
        <v>53</v>
      </c>
      <c r="F6304" t="s">
        <v>49</v>
      </c>
      <c r="G6304" s="30">
        <v>11424.6236737783</v>
      </c>
    </row>
    <row r="6305" spans="1:7" x14ac:dyDescent="0.25">
      <c r="A6305" t="s">
        <v>54</v>
      </c>
      <c r="B6305" t="s">
        <v>55</v>
      </c>
      <c r="C6305" t="s">
        <v>56</v>
      </c>
      <c r="D6305">
        <v>16586604</v>
      </c>
      <c r="E6305" t="s">
        <v>53</v>
      </c>
      <c r="F6305" t="s">
        <v>49</v>
      </c>
      <c r="G6305" s="30">
        <v>22104.2802734375</v>
      </c>
    </row>
    <row r="6306" spans="1:7" x14ac:dyDescent="0.25">
      <c r="A6306" t="s">
        <v>50</v>
      </c>
      <c r="B6306" t="s">
        <v>51</v>
      </c>
      <c r="C6306" t="s">
        <v>52</v>
      </c>
      <c r="D6306">
        <v>16588048</v>
      </c>
      <c r="E6306" t="s">
        <v>53</v>
      </c>
      <c r="F6306" t="s">
        <v>49</v>
      </c>
      <c r="G6306" s="30">
        <v>70649.94</v>
      </c>
    </row>
    <row r="6307" spans="1:7" x14ac:dyDescent="0.25">
      <c r="A6307" t="s">
        <v>92</v>
      </c>
      <c r="B6307" t="s">
        <v>93</v>
      </c>
      <c r="C6307" t="s">
        <v>81</v>
      </c>
      <c r="D6307">
        <v>16595622</v>
      </c>
      <c r="E6307" t="s">
        <v>48</v>
      </c>
      <c r="F6307" t="s">
        <v>49</v>
      </c>
      <c r="G6307" s="30">
        <v>0</v>
      </c>
    </row>
    <row r="6308" spans="1:7" x14ac:dyDescent="0.25">
      <c r="A6308" t="s">
        <v>128</v>
      </c>
      <c r="B6308" t="s">
        <v>129</v>
      </c>
      <c r="C6308" t="s">
        <v>130</v>
      </c>
      <c r="D6308">
        <v>16597135</v>
      </c>
      <c r="E6308" t="s">
        <v>53</v>
      </c>
      <c r="F6308" t="s">
        <v>49</v>
      </c>
      <c r="G6308" s="30">
        <v>205454.11368942901</v>
      </c>
    </row>
    <row r="6309" spans="1:7" x14ac:dyDescent="0.25">
      <c r="A6309" t="s">
        <v>106</v>
      </c>
      <c r="B6309" t="s">
        <v>107</v>
      </c>
      <c r="C6309" t="s">
        <v>56</v>
      </c>
      <c r="D6309">
        <v>16599560</v>
      </c>
      <c r="E6309" t="s">
        <v>48</v>
      </c>
      <c r="F6309" t="s">
        <v>49</v>
      </c>
      <c r="G6309" s="30">
        <v>0</v>
      </c>
    </row>
    <row r="6310" spans="1:7" x14ac:dyDescent="0.25">
      <c r="A6310" t="s">
        <v>45</v>
      </c>
      <c r="B6310" t="s">
        <v>46</v>
      </c>
      <c r="C6310" t="s">
        <v>47</v>
      </c>
      <c r="D6310">
        <v>16602343</v>
      </c>
      <c r="E6310" t="s">
        <v>48</v>
      </c>
      <c r="F6310" t="s">
        <v>49</v>
      </c>
      <c r="G6310" s="30">
        <v>0</v>
      </c>
    </row>
    <row r="6311" spans="1:7" x14ac:dyDescent="0.25">
      <c r="A6311" t="s">
        <v>45</v>
      </c>
      <c r="B6311" t="s">
        <v>46</v>
      </c>
      <c r="C6311" t="s">
        <v>47</v>
      </c>
      <c r="D6311">
        <v>16604418</v>
      </c>
      <c r="E6311" t="s">
        <v>53</v>
      </c>
      <c r="F6311" t="s">
        <v>49</v>
      </c>
      <c r="G6311" s="30">
        <v>71041.010796955496</v>
      </c>
    </row>
    <row r="6312" spans="1:7" x14ac:dyDescent="0.25">
      <c r="A6312" t="s">
        <v>94</v>
      </c>
      <c r="B6312" t="s">
        <v>95</v>
      </c>
      <c r="C6312" t="s">
        <v>78</v>
      </c>
      <c r="D6312">
        <v>16604641</v>
      </c>
      <c r="E6312" t="s">
        <v>53</v>
      </c>
      <c r="F6312" t="s">
        <v>49</v>
      </c>
      <c r="G6312" s="30">
        <v>288851.04837663099</v>
      </c>
    </row>
    <row r="6313" spans="1:7" x14ac:dyDescent="0.25">
      <c r="A6313" t="s">
        <v>94</v>
      </c>
      <c r="B6313" t="s">
        <v>95</v>
      </c>
      <c r="C6313" t="s">
        <v>78</v>
      </c>
      <c r="D6313">
        <v>16607154</v>
      </c>
      <c r="E6313" t="s">
        <v>53</v>
      </c>
      <c r="F6313" t="s">
        <v>49</v>
      </c>
      <c r="G6313" s="30">
        <v>348.4</v>
      </c>
    </row>
    <row r="6314" spans="1:7" x14ac:dyDescent="0.25">
      <c r="A6314" t="s">
        <v>45</v>
      </c>
      <c r="B6314" t="s">
        <v>46</v>
      </c>
      <c r="C6314" t="s">
        <v>47</v>
      </c>
      <c r="D6314">
        <v>16609875</v>
      </c>
      <c r="E6314" t="s">
        <v>53</v>
      </c>
      <c r="F6314" t="s">
        <v>49</v>
      </c>
      <c r="G6314" s="30">
        <v>99283.356199233502</v>
      </c>
    </row>
    <row r="6315" spans="1:7" x14ac:dyDescent="0.25">
      <c r="A6315" t="s">
        <v>92</v>
      </c>
      <c r="B6315" t="s">
        <v>93</v>
      </c>
      <c r="C6315" t="s">
        <v>81</v>
      </c>
      <c r="D6315">
        <v>16618886</v>
      </c>
      <c r="E6315" t="s">
        <v>48</v>
      </c>
      <c r="F6315" t="s">
        <v>49</v>
      </c>
      <c r="G6315" s="30">
        <v>0</v>
      </c>
    </row>
    <row r="6316" spans="1:7" x14ac:dyDescent="0.25">
      <c r="A6316" t="s">
        <v>50</v>
      </c>
      <c r="B6316" t="s">
        <v>51</v>
      </c>
      <c r="C6316" t="s">
        <v>52</v>
      </c>
      <c r="D6316">
        <v>16691100</v>
      </c>
      <c r="E6316" t="s">
        <v>48</v>
      </c>
      <c r="F6316" t="s">
        <v>49</v>
      </c>
      <c r="G6316" s="30">
        <v>0</v>
      </c>
    </row>
    <row r="6317" spans="1:7" x14ac:dyDescent="0.25">
      <c r="A6317" t="s">
        <v>82</v>
      </c>
      <c r="B6317" t="s">
        <v>83</v>
      </c>
      <c r="C6317" t="s">
        <v>56</v>
      </c>
      <c r="D6317">
        <v>16697844</v>
      </c>
      <c r="E6317" t="s">
        <v>48</v>
      </c>
      <c r="F6317" t="s">
        <v>49</v>
      </c>
      <c r="G6317" s="30">
        <v>0</v>
      </c>
    </row>
    <row r="6318" spans="1:7" x14ac:dyDescent="0.25">
      <c r="A6318" t="s">
        <v>82</v>
      </c>
      <c r="B6318" t="s">
        <v>83</v>
      </c>
      <c r="C6318" t="s">
        <v>56</v>
      </c>
      <c r="D6318">
        <v>16697927</v>
      </c>
      <c r="E6318" t="s">
        <v>48</v>
      </c>
      <c r="F6318" t="s">
        <v>49</v>
      </c>
      <c r="G6318" s="30">
        <v>0</v>
      </c>
    </row>
    <row r="6319" spans="1:7" x14ac:dyDescent="0.25">
      <c r="A6319" t="s">
        <v>84</v>
      </c>
      <c r="B6319" t="s">
        <v>85</v>
      </c>
      <c r="C6319" t="s">
        <v>67</v>
      </c>
      <c r="D6319">
        <v>16708575</v>
      </c>
      <c r="E6319" t="s">
        <v>53</v>
      </c>
      <c r="F6319" t="s">
        <v>49</v>
      </c>
      <c r="G6319" s="30">
        <v>570584.68777852901</v>
      </c>
    </row>
    <row r="6320" spans="1:7" x14ac:dyDescent="0.25">
      <c r="A6320" t="s">
        <v>50</v>
      </c>
      <c r="B6320" t="s">
        <v>51</v>
      </c>
      <c r="C6320" t="s">
        <v>52</v>
      </c>
      <c r="D6320">
        <v>16713287</v>
      </c>
      <c r="E6320" t="s">
        <v>53</v>
      </c>
      <c r="F6320" t="s">
        <v>49</v>
      </c>
      <c r="G6320" s="30">
        <v>3681.91070322427</v>
      </c>
    </row>
    <row r="6321" spans="1:7" x14ac:dyDescent="0.25">
      <c r="A6321" t="s">
        <v>50</v>
      </c>
      <c r="B6321" t="s">
        <v>51</v>
      </c>
      <c r="C6321" t="s">
        <v>52</v>
      </c>
      <c r="D6321">
        <v>16713855</v>
      </c>
      <c r="E6321" t="s">
        <v>48</v>
      </c>
      <c r="F6321" t="s">
        <v>49</v>
      </c>
      <c r="G6321" s="30">
        <v>0.7</v>
      </c>
    </row>
    <row r="6322" spans="1:7" x14ac:dyDescent="0.25">
      <c r="A6322" t="s">
        <v>45</v>
      </c>
      <c r="B6322" t="s">
        <v>46</v>
      </c>
      <c r="C6322" t="s">
        <v>47</v>
      </c>
      <c r="D6322">
        <v>16716032</v>
      </c>
      <c r="E6322" t="s">
        <v>48</v>
      </c>
      <c r="F6322" t="s">
        <v>49</v>
      </c>
      <c r="G6322" s="30">
        <v>0</v>
      </c>
    </row>
    <row r="6323" spans="1:7" x14ac:dyDescent="0.25">
      <c r="A6323" t="s">
        <v>50</v>
      </c>
      <c r="B6323" t="s">
        <v>51</v>
      </c>
      <c r="C6323" t="s">
        <v>52</v>
      </c>
      <c r="D6323">
        <v>16720870</v>
      </c>
      <c r="E6323" t="s">
        <v>53</v>
      </c>
      <c r="F6323" t="s">
        <v>49</v>
      </c>
      <c r="G6323" s="30">
        <v>22188.374082160401</v>
      </c>
    </row>
    <row r="6324" spans="1:7" x14ac:dyDescent="0.25">
      <c r="A6324" t="s">
        <v>128</v>
      </c>
      <c r="B6324" t="s">
        <v>129</v>
      </c>
      <c r="C6324" t="s">
        <v>130</v>
      </c>
      <c r="D6324">
        <v>16724171</v>
      </c>
      <c r="E6324" t="s">
        <v>53</v>
      </c>
      <c r="F6324" t="s">
        <v>49</v>
      </c>
      <c r="G6324" s="30">
        <v>1701630.6635708001</v>
      </c>
    </row>
    <row r="6325" spans="1:7" x14ac:dyDescent="0.25">
      <c r="A6325" t="s">
        <v>94</v>
      </c>
      <c r="B6325" t="s">
        <v>95</v>
      </c>
      <c r="C6325" t="s">
        <v>78</v>
      </c>
      <c r="D6325">
        <v>16724253</v>
      </c>
      <c r="E6325" t="s">
        <v>53</v>
      </c>
      <c r="F6325" t="s">
        <v>49</v>
      </c>
      <c r="G6325" s="30">
        <v>46217.528865354099</v>
      </c>
    </row>
    <row r="6326" spans="1:7" x14ac:dyDescent="0.25">
      <c r="A6326" t="s">
        <v>79</v>
      </c>
      <c r="B6326" t="s">
        <v>80</v>
      </c>
      <c r="C6326" t="s">
        <v>81</v>
      </c>
      <c r="D6326">
        <v>16730301</v>
      </c>
      <c r="E6326" t="s">
        <v>53</v>
      </c>
      <c r="F6326" t="s">
        <v>49</v>
      </c>
      <c r="G6326" s="30">
        <v>71587.158975382496</v>
      </c>
    </row>
    <row r="6327" spans="1:7" x14ac:dyDescent="0.25">
      <c r="A6327" t="s">
        <v>45</v>
      </c>
      <c r="B6327" t="s">
        <v>46</v>
      </c>
      <c r="C6327" t="s">
        <v>47</v>
      </c>
      <c r="D6327">
        <v>16730540</v>
      </c>
      <c r="E6327" t="s">
        <v>48</v>
      </c>
      <c r="F6327" t="s">
        <v>49</v>
      </c>
      <c r="G6327" s="30">
        <v>0</v>
      </c>
    </row>
    <row r="6328" spans="1:7" x14ac:dyDescent="0.25">
      <c r="A6328" t="s">
        <v>137</v>
      </c>
      <c r="B6328" t="s">
        <v>138</v>
      </c>
      <c r="C6328" t="s">
        <v>47</v>
      </c>
      <c r="D6328">
        <v>16733552</v>
      </c>
      <c r="E6328" t="s">
        <v>53</v>
      </c>
      <c r="F6328" t="s">
        <v>49</v>
      </c>
      <c r="G6328" s="30">
        <v>21479.764774097599</v>
      </c>
    </row>
    <row r="6329" spans="1:7" x14ac:dyDescent="0.25">
      <c r="A6329" t="s">
        <v>63</v>
      </c>
      <c r="B6329" t="s">
        <v>64</v>
      </c>
      <c r="C6329" t="s">
        <v>56</v>
      </c>
      <c r="D6329">
        <v>16746010</v>
      </c>
      <c r="E6329" t="s">
        <v>53</v>
      </c>
      <c r="F6329" t="s">
        <v>49</v>
      </c>
      <c r="G6329" s="30">
        <v>382580.41831143602</v>
      </c>
    </row>
    <row r="6330" spans="1:7" x14ac:dyDescent="0.25">
      <c r="A6330" t="s">
        <v>45</v>
      </c>
      <c r="B6330" t="s">
        <v>46</v>
      </c>
      <c r="C6330" t="s">
        <v>47</v>
      </c>
      <c r="D6330">
        <v>16747815</v>
      </c>
      <c r="E6330" t="s">
        <v>48</v>
      </c>
      <c r="F6330" t="s">
        <v>49</v>
      </c>
      <c r="G6330" s="30">
        <v>0</v>
      </c>
    </row>
    <row r="6331" spans="1:7" x14ac:dyDescent="0.25">
      <c r="A6331" t="s">
        <v>50</v>
      </c>
      <c r="B6331" t="s">
        <v>51</v>
      </c>
      <c r="C6331" t="s">
        <v>52</v>
      </c>
      <c r="D6331">
        <v>16754980</v>
      </c>
      <c r="E6331" t="s">
        <v>53</v>
      </c>
      <c r="F6331" t="s">
        <v>49</v>
      </c>
      <c r="G6331" s="30">
        <v>449.945024086822</v>
      </c>
    </row>
    <row r="6332" spans="1:7" x14ac:dyDescent="0.25">
      <c r="A6332" t="s">
        <v>118</v>
      </c>
      <c r="B6332" t="s">
        <v>119</v>
      </c>
      <c r="C6332" t="s">
        <v>56</v>
      </c>
      <c r="D6332">
        <v>16757011</v>
      </c>
      <c r="E6332" t="s">
        <v>53</v>
      </c>
      <c r="F6332" t="s">
        <v>49</v>
      </c>
      <c r="G6332" s="30">
        <v>274368.40999999997</v>
      </c>
    </row>
    <row r="6333" spans="1:7" x14ac:dyDescent="0.25">
      <c r="A6333" t="s">
        <v>118</v>
      </c>
      <c r="B6333" t="s">
        <v>119</v>
      </c>
      <c r="C6333" t="s">
        <v>56</v>
      </c>
      <c r="D6333">
        <v>16757085</v>
      </c>
      <c r="E6333" t="s">
        <v>53</v>
      </c>
      <c r="F6333" t="s">
        <v>49</v>
      </c>
      <c r="G6333" s="30">
        <v>623803.13686326297</v>
      </c>
    </row>
    <row r="6334" spans="1:7" x14ac:dyDescent="0.25">
      <c r="A6334" t="s">
        <v>50</v>
      </c>
      <c r="B6334" t="s">
        <v>51</v>
      </c>
      <c r="C6334" t="s">
        <v>52</v>
      </c>
      <c r="D6334">
        <v>16764290</v>
      </c>
      <c r="E6334" t="s">
        <v>53</v>
      </c>
      <c r="F6334" t="s">
        <v>49</v>
      </c>
      <c r="G6334" s="30">
        <v>3192.49</v>
      </c>
    </row>
    <row r="6335" spans="1:7" x14ac:dyDescent="0.25">
      <c r="A6335" t="s">
        <v>82</v>
      </c>
      <c r="B6335" t="s">
        <v>83</v>
      </c>
      <c r="C6335" t="s">
        <v>56</v>
      </c>
      <c r="D6335">
        <v>16765497</v>
      </c>
      <c r="E6335" t="s">
        <v>48</v>
      </c>
      <c r="F6335" t="s">
        <v>49</v>
      </c>
      <c r="G6335" s="30">
        <v>0.81</v>
      </c>
    </row>
    <row r="6336" spans="1:7" x14ac:dyDescent="0.25">
      <c r="A6336" t="s">
        <v>102</v>
      </c>
      <c r="B6336" t="s">
        <v>103</v>
      </c>
      <c r="C6336" t="s">
        <v>47</v>
      </c>
      <c r="D6336">
        <v>16766828</v>
      </c>
      <c r="E6336" t="s">
        <v>53</v>
      </c>
      <c r="F6336" t="s">
        <v>49</v>
      </c>
      <c r="G6336" s="30">
        <v>0</v>
      </c>
    </row>
    <row r="6337" spans="1:7" x14ac:dyDescent="0.25">
      <c r="A6337" t="s">
        <v>146</v>
      </c>
      <c r="B6337" t="s">
        <v>147</v>
      </c>
      <c r="C6337" t="s">
        <v>56</v>
      </c>
      <c r="D6337">
        <v>16772674</v>
      </c>
      <c r="E6337" t="s">
        <v>53</v>
      </c>
      <c r="F6337" t="s">
        <v>49</v>
      </c>
      <c r="G6337" s="30">
        <v>17900.643742625402</v>
      </c>
    </row>
    <row r="6338" spans="1:7" x14ac:dyDescent="0.25">
      <c r="A6338" t="s">
        <v>88</v>
      </c>
      <c r="B6338" t="s">
        <v>89</v>
      </c>
      <c r="C6338" t="s">
        <v>78</v>
      </c>
      <c r="D6338">
        <v>16772998</v>
      </c>
      <c r="E6338" t="s">
        <v>53</v>
      </c>
      <c r="F6338" t="s">
        <v>49</v>
      </c>
      <c r="G6338" s="30">
        <v>218477.81968116801</v>
      </c>
    </row>
    <row r="6339" spans="1:7" x14ac:dyDescent="0.25">
      <c r="A6339" t="s">
        <v>50</v>
      </c>
      <c r="B6339" t="s">
        <v>51</v>
      </c>
      <c r="C6339" t="s">
        <v>52</v>
      </c>
      <c r="D6339">
        <v>16774706</v>
      </c>
      <c r="E6339" t="s">
        <v>53</v>
      </c>
      <c r="F6339" t="s">
        <v>49</v>
      </c>
      <c r="G6339" s="30">
        <v>10017.068698405101</v>
      </c>
    </row>
    <row r="6340" spans="1:7" x14ac:dyDescent="0.25">
      <c r="A6340" t="s">
        <v>45</v>
      </c>
      <c r="B6340" t="s">
        <v>46</v>
      </c>
      <c r="C6340" t="s">
        <v>47</v>
      </c>
      <c r="D6340">
        <v>16784259</v>
      </c>
      <c r="E6340" t="s">
        <v>48</v>
      </c>
      <c r="F6340" t="s">
        <v>49</v>
      </c>
      <c r="G6340" s="30">
        <v>0</v>
      </c>
    </row>
    <row r="6341" spans="1:7" x14ac:dyDescent="0.25">
      <c r="A6341" t="s">
        <v>45</v>
      </c>
      <c r="B6341" t="s">
        <v>46</v>
      </c>
      <c r="C6341" t="s">
        <v>47</v>
      </c>
      <c r="D6341">
        <v>16795532</v>
      </c>
      <c r="E6341" t="s">
        <v>48</v>
      </c>
      <c r="F6341" t="s">
        <v>49</v>
      </c>
      <c r="G6341" s="30">
        <v>0</v>
      </c>
    </row>
    <row r="6342" spans="1:7" x14ac:dyDescent="0.25">
      <c r="A6342" t="s">
        <v>45</v>
      </c>
      <c r="B6342" t="s">
        <v>46</v>
      </c>
      <c r="C6342" t="s">
        <v>47</v>
      </c>
      <c r="D6342">
        <v>16795755</v>
      </c>
      <c r="E6342" t="s">
        <v>48</v>
      </c>
      <c r="F6342" t="s">
        <v>49</v>
      </c>
      <c r="G6342" s="30">
        <v>0</v>
      </c>
    </row>
    <row r="6343" spans="1:7" x14ac:dyDescent="0.25">
      <c r="A6343" t="s">
        <v>63</v>
      </c>
      <c r="B6343" t="s">
        <v>64</v>
      </c>
      <c r="C6343" t="s">
        <v>56</v>
      </c>
      <c r="D6343">
        <v>16806001</v>
      </c>
      <c r="E6343" t="s">
        <v>53</v>
      </c>
      <c r="F6343" t="s">
        <v>49</v>
      </c>
      <c r="G6343" s="30">
        <v>63647.476836765403</v>
      </c>
    </row>
    <row r="6344" spans="1:7" x14ac:dyDescent="0.25">
      <c r="A6344" t="s">
        <v>45</v>
      </c>
      <c r="B6344" t="s">
        <v>46</v>
      </c>
      <c r="C6344" t="s">
        <v>47</v>
      </c>
      <c r="D6344">
        <v>16819360</v>
      </c>
      <c r="E6344" t="s">
        <v>53</v>
      </c>
      <c r="F6344" t="s">
        <v>49</v>
      </c>
      <c r="G6344" s="30">
        <v>33462.558927121499</v>
      </c>
    </row>
    <row r="6345" spans="1:7" x14ac:dyDescent="0.25">
      <c r="A6345" t="s">
        <v>45</v>
      </c>
      <c r="B6345" t="s">
        <v>46</v>
      </c>
      <c r="C6345" t="s">
        <v>47</v>
      </c>
      <c r="D6345">
        <v>16819370</v>
      </c>
      <c r="E6345" t="s">
        <v>53</v>
      </c>
      <c r="F6345" t="s">
        <v>49</v>
      </c>
      <c r="G6345" s="30">
        <v>52895.513751255901</v>
      </c>
    </row>
    <row r="6346" spans="1:7" x14ac:dyDescent="0.25">
      <c r="A6346" t="s">
        <v>94</v>
      </c>
      <c r="B6346" t="s">
        <v>95</v>
      </c>
      <c r="C6346" t="s">
        <v>78</v>
      </c>
      <c r="D6346">
        <v>16822601</v>
      </c>
      <c r="E6346" t="s">
        <v>53</v>
      </c>
      <c r="F6346" t="s">
        <v>49</v>
      </c>
      <c r="G6346" s="30">
        <v>111940.81247658101</v>
      </c>
    </row>
    <row r="6347" spans="1:7" x14ac:dyDescent="0.25">
      <c r="A6347" t="s">
        <v>45</v>
      </c>
      <c r="B6347" t="s">
        <v>46</v>
      </c>
      <c r="C6347" t="s">
        <v>47</v>
      </c>
      <c r="D6347">
        <v>16830284</v>
      </c>
      <c r="E6347" t="s">
        <v>48</v>
      </c>
      <c r="F6347" t="s">
        <v>49</v>
      </c>
      <c r="G6347" s="30">
        <v>0.1</v>
      </c>
    </row>
    <row r="6348" spans="1:7" x14ac:dyDescent="0.25">
      <c r="A6348" t="s">
        <v>45</v>
      </c>
      <c r="B6348" t="s">
        <v>46</v>
      </c>
      <c r="C6348" t="s">
        <v>47</v>
      </c>
      <c r="D6348">
        <v>16832533</v>
      </c>
      <c r="E6348" t="s">
        <v>48</v>
      </c>
      <c r="F6348" t="s">
        <v>49</v>
      </c>
      <c r="G6348" s="30">
        <v>0</v>
      </c>
    </row>
    <row r="6349" spans="1:7" x14ac:dyDescent="0.25">
      <c r="A6349" t="s">
        <v>76</v>
      </c>
      <c r="B6349" t="s">
        <v>77</v>
      </c>
      <c r="C6349" t="s">
        <v>78</v>
      </c>
      <c r="D6349">
        <v>16837586</v>
      </c>
      <c r="E6349" t="s">
        <v>53</v>
      </c>
      <c r="F6349" t="s">
        <v>49</v>
      </c>
      <c r="G6349" s="30">
        <v>80624.681151551194</v>
      </c>
    </row>
    <row r="6350" spans="1:7" x14ac:dyDescent="0.25">
      <c r="A6350" t="s">
        <v>50</v>
      </c>
      <c r="B6350" t="s">
        <v>51</v>
      </c>
      <c r="C6350" t="s">
        <v>52</v>
      </c>
      <c r="D6350">
        <v>16840650</v>
      </c>
      <c r="E6350" t="s">
        <v>53</v>
      </c>
      <c r="F6350" t="s">
        <v>49</v>
      </c>
      <c r="G6350" s="30">
        <v>21212.883500836801</v>
      </c>
    </row>
    <row r="6351" spans="1:7" x14ac:dyDescent="0.25">
      <c r="A6351" t="s">
        <v>50</v>
      </c>
      <c r="B6351" t="s">
        <v>51</v>
      </c>
      <c r="C6351" t="s">
        <v>52</v>
      </c>
      <c r="D6351">
        <v>16841312</v>
      </c>
      <c r="E6351" t="s">
        <v>48</v>
      </c>
      <c r="F6351" t="s">
        <v>49</v>
      </c>
      <c r="G6351" s="30">
        <v>0</v>
      </c>
    </row>
    <row r="6352" spans="1:7" x14ac:dyDescent="0.25">
      <c r="A6352" t="s">
        <v>92</v>
      </c>
      <c r="B6352" t="s">
        <v>93</v>
      </c>
      <c r="C6352" t="s">
        <v>81</v>
      </c>
      <c r="D6352">
        <v>16846181</v>
      </c>
      <c r="E6352" t="s">
        <v>53</v>
      </c>
      <c r="F6352" t="s">
        <v>49</v>
      </c>
      <c r="G6352" s="30">
        <v>-66.510000000000005</v>
      </c>
    </row>
    <row r="6353" spans="1:7" x14ac:dyDescent="0.25">
      <c r="A6353" t="s">
        <v>102</v>
      </c>
      <c r="B6353" t="s">
        <v>103</v>
      </c>
      <c r="C6353" t="s">
        <v>47</v>
      </c>
      <c r="D6353">
        <v>16846628</v>
      </c>
      <c r="E6353" t="s">
        <v>53</v>
      </c>
      <c r="F6353" t="s">
        <v>49</v>
      </c>
      <c r="G6353" s="30">
        <v>74626.656841291202</v>
      </c>
    </row>
    <row r="6354" spans="1:7" x14ac:dyDescent="0.25">
      <c r="A6354" t="s">
        <v>96</v>
      </c>
      <c r="B6354" t="s">
        <v>97</v>
      </c>
      <c r="C6354" t="s">
        <v>81</v>
      </c>
      <c r="D6354">
        <v>16852102</v>
      </c>
      <c r="E6354" t="s">
        <v>48</v>
      </c>
      <c r="F6354" t="s">
        <v>49</v>
      </c>
      <c r="G6354" s="30">
        <v>0</v>
      </c>
    </row>
    <row r="6355" spans="1:7" x14ac:dyDescent="0.25">
      <c r="A6355" t="s">
        <v>45</v>
      </c>
      <c r="B6355" t="s">
        <v>46</v>
      </c>
      <c r="C6355" t="s">
        <v>47</v>
      </c>
      <c r="D6355">
        <v>16853109</v>
      </c>
      <c r="E6355" t="s">
        <v>48</v>
      </c>
      <c r="F6355" t="s">
        <v>49</v>
      </c>
      <c r="G6355" s="30">
        <v>0</v>
      </c>
    </row>
    <row r="6356" spans="1:7" x14ac:dyDescent="0.25">
      <c r="A6356" t="s">
        <v>45</v>
      </c>
      <c r="B6356" t="s">
        <v>46</v>
      </c>
      <c r="C6356" t="s">
        <v>47</v>
      </c>
      <c r="D6356">
        <v>16857469</v>
      </c>
      <c r="E6356" t="s">
        <v>48</v>
      </c>
      <c r="F6356" t="s">
        <v>49</v>
      </c>
      <c r="G6356" s="30">
        <v>0</v>
      </c>
    </row>
    <row r="6357" spans="1:7" x14ac:dyDescent="0.25">
      <c r="A6357" t="s">
        <v>98</v>
      </c>
      <c r="B6357" t="s">
        <v>99</v>
      </c>
      <c r="C6357" t="s">
        <v>81</v>
      </c>
      <c r="D6357">
        <v>16858847</v>
      </c>
      <c r="E6357" t="s">
        <v>53</v>
      </c>
      <c r="F6357" t="s">
        <v>49</v>
      </c>
      <c r="G6357" s="30">
        <v>125072.458807353</v>
      </c>
    </row>
    <row r="6358" spans="1:7" x14ac:dyDescent="0.25">
      <c r="A6358" t="s">
        <v>98</v>
      </c>
      <c r="B6358" t="s">
        <v>99</v>
      </c>
      <c r="C6358" t="s">
        <v>81</v>
      </c>
      <c r="D6358">
        <v>16859952</v>
      </c>
      <c r="E6358" t="s">
        <v>48</v>
      </c>
      <c r="F6358" t="s">
        <v>49</v>
      </c>
      <c r="G6358" s="30">
        <v>0</v>
      </c>
    </row>
    <row r="6359" spans="1:7" x14ac:dyDescent="0.25">
      <c r="A6359" t="s">
        <v>50</v>
      </c>
      <c r="B6359" t="s">
        <v>51</v>
      </c>
      <c r="C6359" t="s">
        <v>52</v>
      </c>
      <c r="D6359">
        <v>16861048</v>
      </c>
      <c r="E6359" t="s">
        <v>53</v>
      </c>
      <c r="F6359" t="s">
        <v>49</v>
      </c>
      <c r="G6359" s="30">
        <v>11516.433090180701</v>
      </c>
    </row>
    <row r="6360" spans="1:7" x14ac:dyDescent="0.25">
      <c r="A6360" t="s">
        <v>45</v>
      </c>
      <c r="B6360" t="s">
        <v>46</v>
      </c>
      <c r="C6360" t="s">
        <v>47</v>
      </c>
      <c r="D6360">
        <v>16887911</v>
      </c>
      <c r="E6360" t="s">
        <v>48</v>
      </c>
      <c r="F6360" t="s">
        <v>49</v>
      </c>
      <c r="G6360" s="30">
        <v>0</v>
      </c>
    </row>
    <row r="6361" spans="1:7" x14ac:dyDescent="0.25">
      <c r="A6361" t="s">
        <v>74</v>
      </c>
      <c r="B6361" t="s">
        <v>75</v>
      </c>
      <c r="C6361" t="s">
        <v>67</v>
      </c>
      <c r="D6361">
        <v>16908985</v>
      </c>
      <c r="E6361" t="s">
        <v>48</v>
      </c>
      <c r="F6361" t="s">
        <v>49</v>
      </c>
      <c r="G6361" s="30">
        <v>0</v>
      </c>
    </row>
    <row r="6362" spans="1:7" x14ac:dyDescent="0.25">
      <c r="A6362" t="s">
        <v>45</v>
      </c>
      <c r="B6362" t="s">
        <v>46</v>
      </c>
      <c r="C6362" t="s">
        <v>47</v>
      </c>
      <c r="D6362">
        <v>16918414</v>
      </c>
      <c r="E6362" t="s">
        <v>53</v>
      </c>
      <c r="F6362" t="s">
        <v>49</v>
      </c>
      <c r="G6362" s="30">
        <v>4629.5363229141803</v>
      </c>
    </row>
    <row r="6363" spans="1:7" x14ac:dyDescent="0.25">
      <c r="A6363" t="s">
        <v>168</v>
      </c>
      <c r="B6363" t="s">
        <v>169</v>
      </c>
      <c r="C6363" t="s">
        <v>56</v>
      </c>
      <c r="D6363">
        <v>16919662</v>
      </c>
      <c r="E6363" t="s">
        <v>48</v>
      </c>
      <c r="F6363" t="s">
        <v>49</v>
      </c>
      <c r="G6363" s="30">
        <v>0</v>
      </c>
    </row>
    <row r="6364" spans="1:7" x14ac:dyDescent="0.25">
      <c r="A6364" t="s">
        <v>45</v>
      </c>
      <c r="B6364" t="s">
        <v>46</v>
      </c>
      <c r="C6364" t="s">
        <v>47</v>
      </c>
      <c r="D6364">
        <v>16944541</v>
      </c>
      <c r="E6364" t="s">
        <v>48</v>
      </c>
      <c r="F6364" t="s">
        <v>49</v>
      </c>
      <c r="G6364" s="30">
        <v>0</v>
      </c>
    </row>
    <row r="6365" spans="1:7" x14ac:dyDescent="0.25">
      <c r="A6365" t="s">
        <v>45</v>
      </c>
      <c r="B6365" t="s">
        <v>46</v>
      </c>
      <c r="C6365" t="s">
        <v>47</v>
      </c>
      <c r="D6365">
        <v>16945637</v>
      </c>
      <c r="E6365" t="s">
        <v>48</v>
      </c>
      <c r="F6365" t="s">
        <v>49</v>
      </c>
      <c r="G6365" s="30">
        <v>0</v>
      </c>
    </row>
    <row r="6366" spans="1:7" x14ac:dyDescent="0.25">
      <c r="A6366" t="s">
        <v>50</v>
      </c>
      <c r="B6366" t="s">
        <v>51</v>
      </c>
      <c r="C6366" t="s">
        <v>52</v>
      </c>
      <c r="D6366">
        <v>16947676</v>
      </c>
      <c r="E6366" t="s">
        <v>48</v>
      </c>
      <c r="F6366" t="s">
        <v>49</v>
      </c>
      <c r="G6366" s="30">
        <v>0</v>
      </c>
    </row>
    <row r="6367" spans="1:7" x14ac:dyDescent="0.25">
      <c r="A6367" t="s">
        <v>45</v>
      </c>
      <c r="B6367" t="s">
        <v>46</v>
      </c>
      <c r="C6367" t="s">
        <v>47</v>
      </c>
      <c r="D6367">
        <v>16947906</v>
      </c>
      <c r="E6367" t="s">
        <v>48</v>
      </c>
      <c r="F6367" t="s">
        <v>49</v>
      </c>
      <c r="G6367" s="30">
        <v>0</v>
      </c>
    </row>
    <row r="6368" spans="1:7" x14ac:dyDescent="0.25">
      <c r="A6368" t="s">
        <v>50</v>
      </c>
      <c r="B6368" t="s">
        <v>51</v>
      </c>
      <c r="C6368" t="s">
        <v>52</v>
      </c>
      <c r="D6368">
        <v>16949010</v>
      </c>
      <c r="E6368" t="s">
        <v>48</v>
      </c>
      <c r="F6368" t="s">
        <v>49</v>
      </c>
      <c r="G6368" s="30">
        <v>0</v>
      </c>
    </row>
    <row r="6369" spans="1:7" x14ac:dyDescent="0.25">
      <c r="A6369" t="s">
        <v>45</v>
      </c>
      <c r="B6369" t="s">
        <v>46</v>
      </c>
      <c r="C6369" t="s">
        <v>47</v>
      </c>
      <c r="D6369">
        <v>16949745</v>
      </c>
      <c r="E6369" t="s">
        <v>48</v>
      </c>
      <c r="F6369" t="s">
        <v>49</v>
      </c>
      <c r="G6369" s="30">
        <v>0</v>
      </c>
    </row>
    <row r="6370" spans="1:7" x14ac:dyDescent="0.25">
      <c r="A6370" t="s">
        <v>45</v>
      </c>
      <c r="B6370" t="s">
        <v>46</v>
      </c>
      <c r="C6370" t="s">
        <v>47</v>
      </c>
      <c r="D6370">
        <v>16950085</v>
      </c>
      <c r="E6370" t="s">
        <v>48</v>
      </c>
      <c r="F6370" t="s">
        <v>49</v>
      </c>
      <c r="G6370" s="30">
        <v>0</v>
      </c>
    </row>
    <row r="6371" spans="1:7" x14ac:dyDescent="0.25">
      <c r="A6371" t="s">
        <v>45</v>
      </c>
      <c r="B6371" t="s">
        <v>46</v>
      </c>
      <c r="C6371" t="s">
        <v>47</v>
      </c>
      <c r="D6371">
        <v>16953439</v>
      </c>
      <c r="E6371" t="s">
        <v>48</v>
      </c>
      <c r="F6371" t="s">
        <v>49</v>
      </c>
      <c r="G6371" s="30">
        <v>0</v>
      </c>
    </row>
    <row r="6372" spans="1:7" x14ac:dyDescent="0.25">
      <c r="A6372" t="s">
        <v>45</v>
      </c>
      <c r="B6372" t="s">
        <v>46</v>
      </c>
      <c r="C6372" t="s">
        <v>47</v>
      </c>
      <c r="D6372">
        <v>16953598</v>
      </c>
      <c r="E6372" t="s">
        <v>48</v>
      </c>
      <c r="F6372" t="s">
        <v>49</v>
      </c>
      <c r="G6372" s="30">
        <v>0</v>
      </c>
    </row>
    <row r="6373" spans="1:7" x14ac:dyDescent="0.25">
      <c r="A6373" t="s">
        <v>45</v>
      </c>
      <c r="B6373" t="s">
        <v>46</v>
      </c>
      <c r="C6373" t="s">
        <v>47</v>
      </c>
      <c r="D6373">
        <v>16953981</v>
      </c>
      <c r="E6373" t="s">
        <v>48</v>
      </c>
      <c r="F6373" t="s">
        <v>49</v>
      </c>
      <c r="G6373" s="30">
        <v>0</v>
      </c>
    </row>
    <row r="6374" spans="1:7" x14ac:dyDescent="0.25">
      <c r="A6374" t="s">
        <v>50</v>
      </c>
      <c r="B6374" t="s">
        <v>51</v>
      </c>
      <c r="C6374" t="s">
        <v>52</v>
      </c>
      <c r="D6374">
        <v>16954661</v>
      </c>
      <c r="E6374" t="s">
        <v>48</v>
      </c>
      <c r="F6374" t="s">
        <v>49</v>
      </c>
      <c r="G6374" s="30">
        <v>0</v>
      </c>
    </row>
    <row r="6375" spans="1:7" x14ac:dyDescent="0.25">
      <c r="A6375" t="s">
        <v>79</v>
      </c>
      <c r="B6375" t="s">
        <v>80</v>
      </c>
      <c r="C6375" t="s">
        <v>81</v>
      </c>
      <c r="D6375">
        <v>16955002</v>
      </c>
      <c r="E6375" t="s">
        <v>53</v>
      </c>
      <c r="F6375" t="s">
        <v>49</v>
      </c>
      <c r="G6375" s="30">
        <v>1242.67</v>
      </c>
    </row>
    <row r="6376" spans="1:7" x14ac:dyDescent="0.25">
      <c r="A6376" t="s">
        <v>45</v>
      </c>
      <c r="B6376" t="s">
        <v>46</v>
      </c>
      <c r="C6376" t="s">
        <v>47</v>
      </c>
      <c r="D6376">
        <v>16955338</v>
      </c>
      <c r="E6376" t="s">
        <v>48</v>
      </c>
      <c r="F6376" t="s">
        <v>49</v>
      </c>
      <c r="G6376" s="30">
        <v>0</v>
      </c>
    </row>
    <row r="6377" spans="1:7" x14ac:dyDescent="0.25">
      <c r="A6377" t="s">
        <v>124</v>
      </c>
      <c r="B6377" t="s">
        <v>125</v>
      </c>
      <c r="C6377" t="s">
        <v>78</v>
      </c>
      <c r="D6377">
        <v>16955690</v>
      </c>
      <c r="E6377" t="s">
        <v>53</v>
      </c>
      <c r="F6377" t="s">
        <v>49</v>
      </c>
      <c r="G6377" s="30">
        <v>300955.647494759</v>
      </c>
    </row>
    <row r="6378" spans="1:7" x14ac:dyDescent="0.25">
      <c r="A6378" t="s">
        <v>70</v>
      </c>
      <c r="B6378" t="s">
        <v>71</v>
      </c>
      <c r="C6378" t="s">
        <v>47</v>
      </c>
      <c r="D6378">
        <v>16960028</v>
      </c>
      <c r="E6378" t="s">
        <v>53</v>
      </c>
      <c r="F6378" t="s">
        <v>49</v>
      </c>
      <c r="G6378" s="30">
        <v>75743.818329597998</v>
      </c>
    </row>
    <row r="6379" spans="1:7" x14ac:dyDescent="0.25">
      <c r="A6379" t="s">
        <v>82</v>
      </c>
      <c r="B6379" t="s">
        <v>83</v>
      </c>
      <c r="C6379" t="s">
        <v>56</v>
      </c>
      <c r="D6379">
        <v>16960725</v>
      </c>
      <c r="E6379" t="s">
        <v>53</v>
      </c>
      <c r="F6379" t="s">
        <v>49</v>
      </c>
      <c r="G6379" s="30">
        <v>455620.27418435097</v>
      </c>
    </row>
    <row r="6380" spans="1:7" x14ac:dyDescent="0.25">
      <c r="A6380" t="s">
        <v>92</v>
      </c>
      <c r="B6380" t="s">
        <v>93</v>
      </c>
      <c r="C6380" t="s">
        <v>81</v>
      </c>
      <c r="D6380">
        <v>16969077</v>
      </c>
      <c r="E6380" t="s">
        <v>53</v>
      </c>
      <c r="F6380" t="s">
        <v>49</v>
      </c>
      <c r="G6380" s="30">
        <v>182206.32456424201</v>
      </c>
    </row>
    <row r="6381" spans="1:7" x14ac:dyDescent="0.25">
      <c r="A6381" t="s">
        <v>92</v>
      </c>
      <c r="B6381" t="s">
        <v>93</v>
      </c>
      <c r="C6381" t="s">
        <v>81</v>
      </c>
      <c r="D6381">
        <v>16972175</v>
      </c>
      <c r="E6381" t="s">
        <v>53</v>
      </c>
      <c r="F6381" t="s">
        <v>49</v>
      </c>
      <c r="G6381" s="30">
        <v>161434.561554877</v>
      </c>
    </row>
    <row r="6382" spans="1:7" x14ac:dyDescent="0.25">
      <c r="A6382" t="s">
        <v>50</v>
      </c>
      <c r="B6382" t="s">
        <v>51</v>
      </c>
      <c r="C6382" t="s">
        <v>52</v>
      </c>
      <c r="D6382">
        <v>16973759</v>
      </c>
      <c r="E6382" t="s">
        <v>48</v>
      </c>
      <c r="F6382" t="s">
        <v>49</v>
      </c>
      <c r="G6382" s="30">
        <v>0</v>
      </c>
    </row>
    <row r="6383" spans="1:7" x14ac:dyDescent="0.25">
      <c r="A6383" t="s">
        <v>61</v>
      </c>
      <c r="B6383" t="s">
        <v>62</v>
      </c>
      <c r="C6383" t="s">
        <v>56</v>
      </c>
      <c r="D6383">
        <v>16975358</v>
      </c>
      <c r="E6383" t="s">
        <v>53</v>
      </c>
      <c r="F6383" t="s">
        <v>49</v>
      </c>
      <c r="G6383" s="30">
        <v>166413.295467102</v>
      </c>
    </row>
    <row r="6384" spans="1:7" x14ac:dyDescent="0.25">
      <c r="A6384" t="s">
        <v>57</v>
      </c>
      <c r="B6384" t="s">
        <v>58</v>
      </c>
      <c r="C6384" t="s">
        <v>56</v>
      </c>
      <c r="D6384">
        <v>16978553</v>
      </c>
      <c r="E6384" t="s">
        <v>53</v>
      </c>
      <c r="F6384" t="s">
        <v>49</v>
      </c>
      <c r="G6384" s="30">
        <v>26727.836495277301</v>
      </c>
    </row>
    <row r="6385" spans="1:7" x14ac:dyDescent="0.25">
      <c r="A6385" t="s">
        <v>98</v>
      </c>
      <c r="B6385" t="s">
        <v>99</v>
      </c>
      <c r="C6385" t="s">
        <v>81</v>
      </c>
      <c r="D6385">
        <v>16980202</v>
      </c>
      <c r="E6385" t="s">
        <v>53</v>
      </c>
      <c r="F6385" t="s">
        <v>49</v>
      </c>
      <c r="G6385" s="30">
        <v>295799.89049703901</v>
      </c>
    </row>
    <row r="6386" spans="1:7" x14ac:dyDescent="0.25">
      <c r="A6386" t="s">
        <v>45</v>
      </c>
      <c r="B6386" t="s">
        <v>46</v>
      </c>
      <c r="C6386" t="s">
        <v>47</v>
      </c>
      <c r="D6386">
        <v>16982258</v>
      </c>
      <c r="E6386" t="s">
        <v>48</v>
      </c>
      <c r="F6386" t="s">
        <v>49</v>
      </c>
      <c r="G6386" s="30">
        <v>0</v>
      </c>
    </row>
    <row r="6387" spans="1:7" x14ac:dyDescent="0.25">
      <c r="A6387" t="s">
        <v>45</v>
      </c>
      <c r="B6387" t="s">
        <v>46</v>
      </c>
      <c r="C6387" t="s">
        <v>47</v>
      </c>
      <c r="D6387">
        <v>16982324</v>
      </c>
      <c r="E6387" t="s">
        <v>48</v>
      </c>
      <c r="F6387" t="s">
        <v>49</v>
      </c>
      <c r="G6387" s="30">
        <v>0</v>
      </c>
    </row>
    <row r="6388" spans="1:7" x14ac:dyDescent="0.25">
      <c r="A6388" t="s">
        <v>50</v>
      </c>
      <c r="B6388" t="s">
        <v>51</v>
      </c>
      <c r="C6388" t="s">
        <v>52</v>
      </c>
      <c r="D6388">
        <v>16983344</v>
      </c>
      <c r="E6388" t="s">
        <v>48</v>
      </c>
      <c r="F6388" t="s">
        <v>49</v>
      </c>
      <c r="G6388" s="30">
        <v>0</v>
      </c>
    </row>
    <row r="6389" spans="1:7" x14ac:dyDescent="0.25">
      <c r="A6389" t="s">
        <v>45</v>
      </c>
      <c r="B6389" t="s">
        <v>46</v>
      </c>
      <c r="C6389" t="s">
        <v>47</v>
      </c>
      <c r="D6389">
        <v>16983633</v>
      </c>
      <c r="E6389" t="s">
        <v>48</v>
      </c>
      <c r="F6389" t="s">
        <v>49</v>
      </c>
      <c r="G6389" s="30">
        <v>0</v>
      </c>
    </row>
    <row r="6390" spans="1:7" x14ac:dyDescent="0.25">
      <c r="A6390" t="s">
        <v>45</v>
      </c>
      <c r="B6390" t="s">
        <v>46</v>
      </c>
      <c r="C6390" t="s">
        <v>47</v>
      </c>
      <c r="D6390">
        <v>16984714</v>
      </c>
      <c r="E6390" t="s">
        <v>48</v>
      </c>
      <c r="F6390" t="s">
        <v>49</v>
      </c>
      <c r="G6390" s="30">
        <v>0</v>
      </c>
    </row>
    <row r="6391" spans="1:7" x14ac:dyDescent="0.25">
      <c r="A6391" t="s">
        <v>92</v>
      </c>
      <c r="B6391" t="s">
        <v>93</v>
      </c>
      <c r="C6391" t="s">
        <v>81</v>
      </c>
      <c r="D6391">
        <v>16986056</v>
      </c>
      <c r="E6391" t="s">
        <v>53</v>
      </c>
      <c r="F6391" t="s">
        <v>49</v>
      </c>
      <c r="G6391" s="30">
        <v>317615.65040585003</v>
      </c>
    </row>
    <row r="6392" spans="1:7" x14ac:dyDescent="0.25">
      <c r="A6392" t="s">
        <v>79</v>
      </c>
      <c r="B6392" t="s">
        <v>80</v>
      </c>
      <c r="C6392" t="s">
        <v>81</v>
      </c>
      <c r="D6392">
        <v>16987260</v>
      </c>
      <c r="E6392" t="s">
        <v>53</v>
      </c>
      <c r="F6392" t="s">
        <v>49</v>
      </c>
      <c r="G6392" s="30">
        <v>179188.79946152499</v>
      </c>
    </row>
    <row r="6393" spans="1:7" x14ac:dyDescent="0.25">
      <c r="A6393" t="s">
        <v>92</v>
      </c>
      <c r="B6393" t="s">
        <v>93</v>
      </c>
      <c r="C6393" t="s">
        <v>81</v>
      </c>
      <c r="D6393">
        <v>16987539</v>
      </c>
      <c r="E6393" t="s">
        <v>53</v>
      </c>
      <c r="F6393" t="s">
        <v>49</v>
      </c>
      <c r="G6393" s="30">
        <v>654389.68330228305</v>
      </c>
    </row>
    <row r="6394" spans="1:7" x14ac:dyDescent="0.25">
      <c r="A6394" t="s">
        <v>45</v>
      </c>
      <c r="B6394" t="s">
        <v>46</v>
      </c>
      <c r="C6394" t="s">
        <v>47</v>
      </c>
      <c r="D6394">
        <v>16988962</v>
      </c>
      <c r="E6394" t="s">
        <v>48</v>
      </c>
      <c r="F6394" t="s">
        <v>49</v>
      </c>
      <c r="G6394" s="30">
        <v>0</v>
      </c>
    </row>
    <row r="6395" spans="1:7" x14ac:dyDescent="0.25">
      <c r="A6395" t="s">
        <v>92</v>
      </c>
      <c r="B6395" t="s">
        <v>93</v>
      </c>
      <c r="C6395" t="s">
        <v>81</v>
      </c>
      <c r="D6395">
        <v>16990445</v>
      </c>
      <c r="E6395" t="s">
        <v>53</v>
      </c>
      <c r="F6395" t="s">
        <v>49</v>
      </c>
      <c r="G6395" s="30">
        <v>177758.288863347</v>
      </c>
    </row>
    <row r="6396" spans="1:7" x14ac:dyDescent="0.25">
      <c r="A6396" t="s">
        <v>57</v>
      </c>
      <c r="B6396" t="s">
        <v>58</v>
      </c>
      <c r="C6396" t="s">
        <v>56</v>
      </c>
      <c r="D6396">
        <v>16993973</v>
      </c>
      <c r="E6396" t="s">
        <v>48</v>
      </c>
      <c r="F6396" t="s">
        <v>49</v>
      </c>
      <c r="G6396" s="30">
        <v>0</v>
      </c>
    </row>
    <row r="6397" spans="1:7" x14ac:dyDescent="0.25">
      <c r="A6397" t="s">
        <v>45</v>
      </c>
      <c r="B6397" t="s">
        <v>46</v>
      </c>
      <c r="C6397" t="s">
        <v>47</v>
      </c>
      <c r="D6397">
        <v>16995327</v>
      </c>
      <c r="E6397" t="s">
        <v>48</v>
      </c>
      <c r="F6397" t="s">
        <v>49</v>
      </c>
      <c r="G6397" s="30">
        <v>0</v>
      </c>
    </row>
    <row r="6398" spans="1:7" x14ac:dyDescent="0.25">
      <c r="A6398" t="s">
        <v>45</v>
      </c>
      <c r="B6398" t="s">
        <v>46</v>
      </c>
      <c r="C6398" t="s">
        <v>47</v>
      </c>
      <c r="D6398">
        <v>17001496</v>
      </c>
      <c r="E6398" t="s">
        <v>48</v>
      </c>
      <c r="F6398" t="s">
        <v>49</v>
      </c>
      <c r="G6398" s="30">
        <v>0</v>
      </c>
    </row>
    <row r="6399" spans="1:7" x14ac:dyDescent="0.25">
      <c r="A6399" t="s">
        <v>63</v>
      </c>
      <c r="B6399" t="s">
        <v>64</v>
      </c>
      <c r="C6399" t="s">
        <v>56</v>
      </c>
      <c r="D6399">
        <v>17007831</v>
      </c>
      <c r="E6399" t="s">
        <v>53</v>
      </c>
      <c r="F6399" t="s">
        <v>49</v>
      </c>
      <c r="G6399" s="30">
        <v>897329.81779057404</v>
      </c>
    </row>
    <row r="6400" spans="1:7" x14ac:dyDescent="0.25">
      <c r="A6400" t="s">
        <v>45</v>
      </c>
      <c r="B6400" t="s">
        <v>46</v>
      </c>
      <c r="C6400" t="s">
        <v>47</v>
      </c>
      <c r="D6400">
        <v>17028494</v>
      </c>
      <c r="E6400" t="s">
        <v>48</v>
      </c>
      <c r="F6400" t="s">
        <v>49</v>
      </c>
      <c r="G6400" s="30">
        <v>0</v>
      </c>
    </row>
    <row r="6401" spans="1:7" x14ac:dyDescent="0.25">
      <c r="A6401" t="s">
        <v>59</v>
      </c>
      <c r="B6401" t="s">
        <v>60</v>
      </c>
      <c r="C6401" t="s">
        <v>56</v>
      </c>
      <c r="D6401">
        <v>17031109</v>
      </c>
      <c r="E6401" t="s">
        <v>53</v>
      </c>
      <c r="F6401" t="s">
        <v>49</v>
      </c>
      <c r="G6401" s="30">
        <v>4058.19</v>
      </c>
    </row>
    <row r="6402" spans="1:7" x14ac:dyDescent="0.25">
      <c r="A6402" t="s">
        <v>50</v>
      </c>
      <c r="B6402" t="s">
        <v>51</v>
      </c>
      <c r="C6402" t="s">
        <v>52</v>
      </c>
      <c r="D6402">
        <v>17033679</v>
      </c>
      <c r="E6402" t="s">
        <v>53</v>
      </c>
      <c r="F6402" t="s">
        <v>49</v>
      </c>
      <c r="G6402" s="30">
        <v>17433.67578125</v>
      </c>
    </row>
    <row r="6403" spans="1:7" x14ac:dyDescent="0.25">
      <c r="A6403" t="s">
        <v>106</v>
      </c>
      <c r="B6403" t="s">
        <v>107</v>
      </c>
      <c r="C6403" t="s">
        <v>56</v>
      </c>
      <c r="D6403">
        <v>17037587</v>
      </c>
      <c r="E6403" t="s">
        <v>53</v>
      </c>
      <c r="F6403" t="s">
        <v>49</v>
      </c>
      <c r="G6403" s="30">
        <v>635488.48195394303</v>
      </c>
    </row>
    <row r="6404" spans="1:7" x14ac:dyDescent="0.25">
      <c r="A6404" t="s">
        <v>50</v>
      </c>
      <c r="B6404" t="s">
        <v>51</v>
      </c>
      <c r="C6404" t="s">
        <v>52</v>
      </c>
      <c r="D6404">
        <v>17039419</v>
      </c>
      <c r="E6404" t="s">
        <v>53</v>
      </c>
      <c r="F6404" t="s">
        <v>49</v>
      </c>
      <c r="G6404" s="30">
        <v>76605.785584345198</v>
      </c>
    </row>
    <row r="6405" spans="1:7" x14ac:dyDescent="0.25">
      <c r="A6405" t="s">
        <v>90</v>
      </c>
      <c r="B6405" t="s">
        <v>91</v>
      </c>
      <c r="C6405" t="s">
        <v>81</v>
      </c>
      <c r="D6405">
        <v>17049413</v>
      </c>
      <c r="E6405" t="s">
        <v>53</v>
      </c>
      <c r="F6405" t="s">
        <v>49</v>
      </c>
      <c r="G6405" s="30">
        <v>201262.58211542101</v>
      </c>
    </row>
    <row r="6406" spans="1:7" x14ac:dyDescent="0.25">
      <c r="A6406" t="s">
        <v>63</v>
      </c>
      <c r="B6406" t="s">
        <v>64</v>
      </c>
      <c r="C6406" t="s">
        <v>56</v>
      </c>
      <c r="D6406">
        <v>17050380</v>
      </c>
      <c r="E6406" t="s">
        <v>53</v>
      </c>
      <c r="F6406" t="s">
        <v>49</v>
      </c>
      <c r="G6406" s="30">
        <v>5269.9041730894296</v>
      </c>
    </row>
    <row r="6407" spans="1:7" x14ac:dyDescent="0.25">
      <c r="A6407" t="s">
        <v>45</v>
      </c>
      <c r="B6407" t="s">
        <v>46</v>
      </c>
      <c r="C6407" t="s">
        <v>47</v>
      </c>
      <c r="D6407">
        <v>17097155</v>
      </c>
      <c r="E6407" t="s">
        <v>48</v>
      </c>
      <c r="F6407" t="s">
        <v>49</v>
      </c>
      <c r="G6407" s="30">
        <v>0</v>
      </c>
    </row>
    <row r="6408" spans="1:7" x14ac:dyDescent="0.25">
      <c r="A6408" t="s">
        <v>74</v>
      </c>
      <c r="B6408" t="s">
        <v>75</v>
      </c>
      <c r="C6408" t="s">
        <v>67</v>
      </c>
      <c r="D6408">
        <v>17100223</v>
      </c>
      <c r="E6408" t="s">
        <v>48</v>
      </c>
      <c r="F6408" t="s">
        <v>49</v>
      </c>
      <c r="G6408" s="30">
        <v>0</v>
      </c>
    </row>
    <row r="6409" spans="1:7" x14ac:dyDescent="0.25">
      <c r="A6409" t="s">
        <v>112</v>
      </c>
      <c r="B6409" t="s">
        <v>113</v>
      </c>
      <c r="C6409" t="s">
        <v>81</v>
      </c>
      <c r="D6409">
        <v>17108872</v>
      </c>
      <c r="E6409" t="s">
        <v>53</v>
      </c>
      <c r="F6409" t="s">
        <v>49</v>
      </c>
      <c r="G6409" s="30">
        <v>91835.520512912306</v>
      </c>
    </row>
    <row r="6410" spans="1:7" x14ac:dyDescent="0.25">
      <c r="A6410" t="s">
        <v>50</v>
      </c>
      <c r="B6410" t="s">
        <v>51</v>
      </c>
      <c r="C6410" t="s">
        <v>52</v>
      </c>
      <c r="D6410">
        <v>17112130</v>
      </c>
      <c r="E6410" t="s">
        <v>53</v>
      </c>
      <c r="F6410" t="s">
        <v>49</v>
      </c>
      <c r="G6410" s="30">
        <v>26956.868723033698</v>
      </c>
    </row>
    <row r="6411" spans="1:7" x14ac:dyDescent="0.25">
      <c r="A6411" t="s">
        <v>45</v>
      </c>
      <c r="B6411" t="s">
        <v>46</v>
      </c>
      <c r="C6411" t="s">
        <v>47</v>
      </c>
      <c r="D6411">
        <v>17114022</v>
      </c>
      <c r="E6411" t="s">
        <v>48</v>
      </c>
      <c r="F6411" t="s">
        <v>49</v>
      </c>
      <c r="G6411" s="30">
        <v>0</v>
      </c>
    </row>
    <row r="6412" spans="1:7" x14ac:dyDescent="0.25">
      <c r="A6412" t="s">
        <v>128</v>
      </c>
      <c r="B6412" t="s">
        <v>129</v>
      </c>
      <c r="C6412" t="s">
        <v>130</v>
      </c>
      <c r="D6412">
        <v>17114559</v>
      </c>
      <c r="E6412" t="s">
        <v>53</v>
      </c>
      <c r="F6412" t="s">
        <v>49</v>
      </c>
      <c r="G6412" s="30">
        <v>989606.77852242498</v>
      </c>
    </row>
    <row r="6413" spans="1:7" x14ac:dyDescent="0.25">
      <c r="A6413" t="s">
        <v>45</v>
      </c>
      <c r="B6413" t="s">
        <v>46</v>
      </c>
      <c r="C6413" t="s">
        <v>47</v>
      </c>
      <c r="D6413">
        <v>17115562</v>
      </c>
      <c r="E6413" t="s">
        <v>53</v>
      </c>
      <c r="F6413" t="s">
        <v>49</v>
      </c>
      <c r="G6413" s="30">
        <v>134804.84389150699</v>
      </c>
    </row>
    <row r="6414" spans="1:7" x14ac:dyDescent="0.25">
      <c r="A6414" t="s">
        <v>98</v>
      </c>
      <c r="B6414" t="s">
        <v>99</v>
      </c>
      <c r="C6414" t="s">
        <v>81</v>
      </c>
      <c r="D6414">
        <v>17128310</v>
      </c>
      <c r="E6414" t="s">
        <v>53</v>
      </c>
      <c r="F6414" t="s">
        <v>49</v>
      </c>
      <c r="G6414" s="30">
        <v>349955.07631891198</v>
      </c>
    </row>
    <row r="6415" spans="1:7" x14ac:dyDescent="0.25">
      <c r="A6415" t="s">
        <v>45</v>
      </c>
      <c r="B6415" t="s">
        <v>46</v>
      </c>
      <c r="C6415" t="s">
        <v>47</v>
      </c>
      <c r="D6415">
        <v>17151513</v>
      </c>
      <c r="E6415" t="s">
        <v>53</v>
      </c>
      <c r="F6415" t="s">
        <v>49</v>
      </c>
      <c r="G6415" s="30">
        <v>1482.65</v>
      </c>
    </row>
    <row r="6416" spans="1:7" x14ac:dyDescent="0.25">
      <c r="A6416" t="s">
        <v>45</v>
      </c>
      <c r="B6416" t="s">
        <v>46</v>
      </c>
      <c r="C6416" t="s">
        <v>47</v>
      </c>
      <c r="D6416">
        <v>17152190</v>
      </c>
      <c r="E6416" t="s">
        <v>48</v>
      </c>
      <c r="F6416" t="s">
        <v>49</v>
      </c>
      <c r="G6416" s="30">
        <v>0</v>
      </c>
    </row>
    <row r="6417" spans="1:7" x14ac:dyDescent="0.25">
      <c r="A6417" t="s">
        <v>45</v>
      </c>
      <c r="B6417" t="s">
        <v>46</v>
      </c>
      <c r="C6417" t="s">
        <v>47</v>
      </c>
      <c r="D6417">
        <v>17156042</v>
      </c>
      <c r="E6417" t="s">
        <v>48</v>
      </c>
      <c r="F6417" t="s">
        <v>49</v>
      </c>
      <c r="G6417" s="30">
        <v>0</v>
      </c>
    </row>
    <row r="6418" spans="1:7" x14ac:dyDescent="0.25">
      <c r="A6418" t="s">
        <v>94</v>
      </c>
      <c r="B6418" t="s">
        <v>95</v>
      </c>
      <c r="C6418" t="s">
        <v>78</v>
      </c>
      <c r="D6418">
        <v>17157899</v>
      </c>
      <c r="E6418" t="s">
        <v>53</v>
      </c>
      <c r="F6418" t="s">
        <v>49</v>
      </c>
      <c r="G6418" s="30">
        <v>98660.524365004603</v>
      </c>
    </row>
    <row r="6419" spans="1:7" x14ac:dyDescent="0.25">
      <c r="A6419" t="s">
        <v>92</v>
      </c>
      <c r="B6419" t="s">
        <v>93</v>
      </c>
      <c r="C6419" t="s">
        <v>81</v>
      </c>
      <c r="D6419">
        <v>17159616</v>
      </c>
      <c r="E6419" t="s">
        <v>53</v>
      </c>
      <c r="F6419" t="s">
        <v>49</v>
      </c>
      <c r="G6419" s="30">
        <v>340312.14753673301</v>
      </c>
    </row>
    <row r="6420" spans="1:7" x14ac:dyDescent="0.25">
      <c r="A6420" t="s">
        <v>82</v>
      </c>
      <c r="B6420" t="s">
        <v>83</v>
      </c>
      <c r="C6420" t="s">
        <v>56</v>
      </c>
      <c r="D6420">
        <v>17161553</v>
      </c>
      <c r="E6420" t="s">
        <v>48</v>
      </c>
      <c r="F6420" t="s">
        <v>49</v>
      </c>
      <c r="G6420" s="30">
        <v>0</v>
      </c>
    </row>
    <row r="6421" spans="1:7" x14ac:dyDescent="0.25">
      <c r="A6421" t="s">
        <v>57</v>
      </c>
      <c r="B6421" t="s">
        <v>58</v>
      </c>
      <c r="C6421" t="s">
        <v>56</v>
      </c>
      <c r="D6421">
        <v>17173629</v>
      </c>
      <c r="E6421" t="s">
        <v>48</v>
      </c>
      <c r="F6421" t="s">
        <v>49</v>
      </c>
      <c r="G6421" s="30">
        <v>0.72</v>
      </c>
    </row>
    <row r="6422" spans="1:7" x14ac:dyDescent="0.25">
      <c r="A6422" t="s">
        <v>92</v>
      </c>
      <c r="B6422" t="s">
        <v>93</v>
      </c>
      <c r="C6422" t="s">
        <v>81</v>
      </c>
      <c r="D6422">
        <v>17175366</v>
      </c>
      <c r="E6422" t="s">
        <v>48</v>
      </c>
      <c r="F6422" t="s">
        <v>49</v>
      </c>
      <c r="G6422" s="30">
        <v>0</v>
      </c>
    </row>
    <row r="6423" spans="1:7" x14ac:dyDescent="0.25">
      <c r="A6423" t="s">
        <v>82</v>
      </c>
      <c r="B6423" t="s">
        <v>83</v>
      </c>
      <c r="C6423" t="s">
        <v>56</v>
      </c>
      <c r="D6423">
        <v>17178388</v>
      </c>
      <c r="E6423" t="s">
        <v>48</v>
      </c>
      <c r="F6423" t="s">
        <v>49</v>
      </c>
      <c r="G6423" s="30">
        <v>23.82</v>
      </c>
    </row>
    <row r="6424" spans="1:7" x14ac:dyDescent="0.25">
      <c r="A6424" t="s">
        <v>45</v>
      </c>
      <c r="B6424" t="s">
        <v>46</v>
      </c>
      <c r="C6424" t="s">
        <v>47</v>
      </c>
      <c r="D6424">
        <v>17180423</v>
      </c>
      <c r="E6424" t="s">
        <v>48</v>
      </c>
      <c r="F6424" t="s">
        <v>49</v>
      </c>
      <c r="G6424" s="30">
        <v>0.63</v>
      </c>
    </row>
    <row r="6425" spans="1:7" x14ac:dyDescent="0.25">
      <c r="A6425" t="s">
        <v>45</v>
      </c>
      <c r="B6425" t="s">
        <v>46</v>
      </c>
      <c r="C6425" t="s">
        <v>47</v>
      </c>
      <c r="D6425">
        <v>17180446</v>
      </c>
      <c r="E6425" t="s">
        <v>48</v>
      </c>
      <c r="F6425" t="s">
        <v>49</v>
      </c>
      <c r="G6425" s="30">
        <v>0</v>
      </c>
    </row>
    <row r="6426" spans="1:7" x14ac:dyDescent="0.25">
      <c r="A6426" t="s">
        <v>45</v>
      </c>
      <c r="B6426" t="s">
        <v>46</v>
      </c>
      <c r="C6426" t="s">
        <v>47</v>
      </c>
      <c r="D6426">
        <v>17180872</v>
      </c>
      <c r="E6426" t="s">
        <v>53</v>
      </c>
      <c r="F6426" t="s">
        <v>49</v>
      </c>
      <c r="G6426" s="30">
        <v>6436.93168922927</v>
      </c>
    </row>
    <row r="6427" spans="1:7" x14ac:dyDescent="0.25">
      <c r="A6427" t="s">
        <v>70</v>
      </c>
      <c r="B6427" t="s">
        <v>71</v>
      </c>
      <c r="C6427" t="s">
        <v>47</v>
      </c>
      <c r="D6427">
        <v>17180902</v>
      </c>
      <c r="E6427" t="s">
        <v>53</v>
      </c>
      <c r="F6427" t="s">
        <v>49</v>
      </c>
      <c r="G6427" s="30">
        <v>16774.519667443801</v>
      </c>
    </row>
    <row r="6428" spans="1:7" x14ac:dyDescent="0.25">
      <c r="A6428" t="s">
        <v>45</v>
      </c>
      <c r="B6428" t="s">
        <v>46</v>
      </c>
      <c r="C6428" t="s">
        <v>47</v>
      </c>
      <c r="D6428">
        <v>17182034</v>
      </c>
      <c r="E6428" t="s">
        <v>48</v>
      </c>
      <c r="F6428" t="s">
        <v>49</v>
      </c>
      <c r="G6428" s="30">
        <v>0</v>
      </c>
    </row>
    <row r="6429" spans="1:7" x14ac:dyDescent="0.25">
      <c r="A6429" t="s">
        <v>45</v>
      </c>
      <c r="B6429" t="s">
        <v>46</v>
      </c>
      <c r="C6429" t="s">
        <v>47</v>
      </c>
      <c r="D6429">
        <v>17183735</v>
      </c>
      <c r="E6429" t="s">
        <v>48</v>
      </c>
      <c r="F6429" t="s">
        <v>49</v>
      </c>
      <c r="G6429" s="30">
        <v>0</v>
      </c>
    </row>
    <row r="6430" spans="1:7" x14ac:dyDescent="0.25">
      <c r="A6430" t="s">
        <v>98</v>
      </c>
      <c r="B6430" t="s">
        <v>99</v>
      </c>
      <c r="C6430" t="s">
        <v>81</v>
      </c>
      <c r="D6430">
        <v>17188621</v>
      </c>
      <c r="E6430" t="s">
        <v>48</v>
      </c>
      <c r="F6430" t="s">
        <v>49</v>
      </c>
      <c r="G6430" s="30">
        <v>0</v>
      </c>
    </row>
    <row r="6431" spans="1:7" x14ac:dyDescent="0.25">
      <c r="A6431" t="s">
        <v>98</v>
      </c>
      <c r="B6431" t="s">
        <v>99</v>
      </c>
      <c r="C6431" t="s">
        <v>81</v>
      </c>
      <c r="D6431">
        <v>17188736</v>
      </c>
      <c r="E6431" t="s">
        <v>53</v>
      </c>
      <c r="F6431" t="s">
        <v>49</v>
      </c>
      <c r="G6431" s="30">
        <v>244381.254095468</v>
      </c>
    </row>
    <row r="6432" spans="1:7" x14ac:dyDescent="0.25">
      <c r="A6432" t="s">
        <v>63</v>
      </c>
      <c r="B6432" t="s">
        <v>64</v>
      </c>
      <c r="C6432" t="s">
        <v>56</v>
      </c>
      <c r="D6432">
        <v>17192152</v>
      </c>
      <c r="E6432" t="s">
        <v>48</v>
      </c>
      <c r="F6432" t="s">
        <v>49</v>
      </c>
      <c r="G6432" s="30">
        <v>0</v>
      </c>
    </row>
    <row r="6433" spans="1:7" x14ac:dyDescent="0.25">
      <c r="A6433" t="s">
        <v>45</v>
      </c>
      <c r="B6433" t="s">
        <v>46</v>
      </c>
      <c r="C6433" t="s">
        <v>47</v>
      </c>
      <c r="D6433">
        <v>17193086</v>
      </c>
      <c r="E6433" t="s">
        <v>53</v>
      </c>
      <c r="F6433" t="s">
        <v>49</v>
      </c>
      <c r="G6433" s="30">
        <v>169949.733981981</v>
      </c>
    </row>
    <row r="6434" spans="1:7" x14ac:dyDescent="0.25">
      <c r="A6434" t="s">
        <v>98</v>
      </c>
      <c r="B6434" t="s">
        <v>99</v>
      </c>
      <c r="C6434" t="s">
        <v>81</v>
      </c>
      <c r="D6434">
        <v>17195975</v>
      </c>
      <c r="E6434" t="s">
        <v>53</v>
      </c>
      <c r="F6434" t="s">
        <v>49</v>
      </c>
      <c r="G6434" s="30">
        <v>748625.80648193404</v>
      </c>
    </row>
    <row r="6435" spans="1:7" x14ac:dyDescent="0.25">
      <c r="A6435" t="s">
        <v>59</v>
      </c>
      <c r="B6435" t="s">
        <v>60</v>
      </c>
      <c r="C6435" t="s">
        <v>56</v>
      </c>
      <c r="D6435">
        <v>17196989</v>
      </c>
      <c r="E6435" t="s">
        <v>53</v>
      </c>
      <c r="F6435" t="s">
        <v>49</v>
      </c>
      <c r="G6435" s="30">
        <v>1348662.95844423</v>
      </c>
    </row>
    <row r="6436" spans="1:7" x14ac:dyDescent="0.25">
      <c r="A6436" t="s">
        <v>57</v>
      </c>
      <c r="B6436" t="s">
        <v>58</v>
      </c>
      <c r="C6436" t="s">
        <v>56</v>
      </c>
      <c r="D6436">
        <v>17199118</v>
      </c>
      <c r="E6436" t="s">
        <v>53</v>
      </c>
      <c r="F6436" t="s">
        <v>49</v>
      </c>
      <c r="G6436" s="30">
        <v>59315.793187139403</v>
      </c>
    </row>
    <row r="6437" spans="1:7" x14ac:dyDescent="0.25">
      <c r="A6437" t="s">
        <v>79</v>
      </c>
      <c r="B6437" t="s">
        <v>80</v>
      </c>
      <c r="C6437" t="s">
        <v>81</v>
      </c>
      <c r="D6437">
        <v>17213495</v>
      </c>
      <c r="E6437" t="s">
        <v>53</v>
      </c>
      <c r="F6437" t="s">
        <v>49</v>
      </c>
      <c r="G6437" s="30">
        <v>162436.45640602399</v>
      </c>
    </row>
    <row r="6438" spans="1:7" x14ac:dyDescent="0.25">
      <c r="A6438" t="s">
        <v>82</v>
      </c>
      <c r="B6438" t="s">
        <v>83</v>
      </c>
      <c r="C6438" t="s">
        <v>56</v>
      </c>
      <c r="D6438">
        <v>17220018</v>
      </c>
      <c r="E6438" t="s">
        <v>53</v>
      </c>
      <c r="F6438" t="s">
        <v>49</v>
      </c>
      <c r="G6438" s="30">
        <v>23835.299447649701</v>
      </c>
    </row>
    <row r="6439" spans="1:7" x14ac:dyDescent="0.25">
      <c r="A6439" t="s">
        <v>133</v>
      </c>
      <c r="B6439" t="s">
        <v>134</v>
      </c>
      <c r="C6439" t="s">
        <v>47</v>
      </c>
      <c r="D6439">
        <v>17221275</v>
      </c>
      <c r="E6439" t="s">
        <v>53</v>
      </c>
      <c r="F6439" t="s">
        <v>49</v>
      </c>
      <c r="G6439" s="30">
        <v>7918.6483250398096</v>
      </c>
    </row>
    <row r="6440" spans="1:7" x14ac:dyDescent="0.25">
      <c r="A6440" t="s">
        <v>50</v>
      </c>
      <c r="B6440" t="s">
        <v>51</v>
      </c>
      <c r="C6440" t="s">
        <v>52</v>
      </c>
      <c r="D6440">
        <v>17228301</v>
      </c>
      <c r="E6440" t="s">
        <v>48</v>
      </c>
      <c r="F6440" t="s">
        <v>49</v>
      </c>
      <c r="G6440" s="30">
        <v>0</v>
      </c>
    </row>
    <row r="6441" spans="1:7" x14ac:dyDescent="0.25">
      <c r="A6441" t="s">
        <v>146</v>
      </c>
      <c r="B6441" t="s">
        <v>147</v>
      </c>
      <c r="C6441" t="s">
        <v>56</v>
      </c>
      <c r="D6441">
        <v>17235304</v>
      </c>
      <c r="E6441" t="s">
        <v>53</v>
      </c>
      <c r="F6441" t="s">
        <v>49</v>
      </c>
      <c r="G6441" s="30">
        <v>45315.4684799432</v>
      </c>
    </row>
    <row r="6442" spans="1:7" x14ac:dyDescent="0.25">
      <c r="A6442" t="s">
        <v>79</v>
      </c>
      <c r="B6442" t="s">
        <v>80</v>
      </c>
      <c r="C6442" t="s">
        <v>81</v>
      </c>
      <c r="D6442">
        <v>17237087</v>
      </c>
      <c r="E6442" t="s">
        <v>53</v>
      </c>
      <c r="F6442" t="s">
        <v>49</v>
      </c>
      <c r="G6442" s="30">
        <v>115657.13375268099</v>
      </c>
    </row>
    <row r="6443" spans="1:7" x14ac:dyDescent="0.25">
      <c r="A6443" t="s">
        <v>45</v>
      </c>
      <c r="B6443" t="s">
        <v>46</v>
      </c>
      <c r="C6443" t="s">
        <v>47</v>
      </c>
      <c r="D6443">
        <v>17256050</v>
      </c>
      <c r="E6443" t="s">
        <v>48</v>
      </c>
      <c r="F6443" t="s">
        <v>49</v>
      </c>
      <c r="G6443" s="30">
        <v>0</v>
      </c>
    </row>
    <row r="6444" spans="1:7" x14ac:dyDescent="0.25">
      <c r="A6444" t="s">
        <v>98</v>
      </c>
      <c r="B6444" t="s">
        <v>99</v>
      </c>
      <c r="C6444" t="s">
        <v>81</v>
      </c>
      <c r="D6444">
        <v>17278916</v>
      </c>
      <c r="E6444" t="s">
        <v>53</v>
      </c>
      <c r="F6444" t="s">
        <v>49</v>
      </c>
      <c r="G6444" s="30">
        <v>87360.1804686213</v>
      </c>
    </row>
    <row r="6445" spans="1:7" x14ac:dyDescent="0.25">
      <c r="A6445" t="s">
        <v>45</v>
      </c>
      <c r="B6445" t="s">
        <v>46</v>
      </c>
      <c r="C6445" t="s">
        <v>47</v>
      </c>
      <c r="D6445">
        <v>17281254</v>
      </c>
      <c r="E6445" t="s">
        <v>48</v>
      </c>
      <c r="F6445" t="s">
        <v>49</v>
      </c>
      <c r="G6445" s="30">
        <v>0</v>
      </c>
    </row>
    <row r="6446" spans="1:7" x14ac:dyDescent="0.25">
      <c r="A6446" t="s">
        <v>114</v>
      </c>
      <c r="B6446" t="s">
        <v>115</v>
      </c>
      <c r="C6446" t="s">
        <v>56</v>
      </c>
      <c r="D6446">
        <v>17283599</v>
      </c>
      <c r="E6446" t="s">
        <v>48</v>
      </c>
      <c r="F6446" t="s">
        <v>49</v>
      </c>
      <c r="G6446" s="30">
        <v>0</v>
      </c>
    </row>
    <row r="6447" spans="1:7" x14ac:dyDescent="0.25">
      <c r="A6447" t="s">
        <v>45</v>
      </c>
      <c r="B6447" t="s">
        <v>46</v>
      </c>
      <c r="C6447" t="s">
        <v>47</v>
      </c>
      <c r="D6447">
        <v>17285140</v>
      </c>
      <c r="E6447" t="s">
        <v>48</v>
      </c>
      <c r="F6447" t="s">
        <v>49</v>
      </c>
      <c r="G6447" s="30">
        <v>0</v>
      </c>
    </row>
    <row r="6448" spans="1:7" x14ac:dyDescent="0.25">
      <c r="A6448" t="s">
        <v>120</v>
      </c>
      <c r="B6448" t="s">
        <v>121</v>
      </c>
      <c r="C6448" t="s">
        <v>67</v>
      </c>
      <c r="D6448">
        <v>17288278</v>
      </c>
      <c r="E6448" t="s">
        <v>53</v>
      </c>
      <c r="F6448" t="s">
        <v>49</v>
      </c>
      <c r="G6448" s="30">
        <v>1377143.9781493</v>
      </c>
    </row>
    <row r="6449" spans="1:7" x14ac:dyDescent="0.25">
      <c r="A6449" t="s">
        <v>133</v>
      </c>
      <c r="B6449" t="s">
        <v>134</v>
      </c>
      <c r="C6449" t="s">
        <v>47</v>
      </c>
      <c r="D6449">
        <v>17288958</v>
      </c>
      <c r="E6449" t="s">
        <v>48</v>
      </c>
      <c r="F6449" t="s">
        <v>49</v>
      </c>
      <c r="G6449" s="30">
        <v>0</v>
      </c>
    </row>
    <row r="6450" spans="1:7" x14ac:dyDescent="0.25">
      <c r="A6450" t="s">
        <v>79</v>
      </c>
      <c r="B6450" t="s">
        <v>80</v>
      </c>
      <c r="C6450" t="s">
        <v>81</v>
      </c>
      <c r="D6450">
        <v>17289986</v>
      </c>
      <c r="E6450" t="s">
        <v>53</v>
      </c>
      <c r="F6450" t="s">
        <v>49</v>
      </c>
      <c r="G6450" s="30">
        <v>21793.829505997699</v>
      </c>
    </row>
    <row r="6451" spans="1:7" x14ac:dyDescent="0.25">
      <c r="A6451" t="s">
        <v>50</v>
      </c>
      <c r="B6451" t="s">
        <v>51</v>
      </c>
      <c r="C6451" t="s">
        <v>52</v>
      </c>
      <c r="D6451">
        <v>17292709</v>
      </c>
      <c r="E6451" t="s">
        <v>53</v>
      </c>
      <c r="F6451" t="s">
        <v>49</v>
      </c>
      <c r="G6451" s="30">
        <v>123.950004882812</v>
      </c>
    </row>
    <row r="6452" spans="1:7" x14ac:dyDescent="0.25">
      <c r="A6452" t="s">
        <v>50</v>
      </c>
      <c r="B6452" t="s">
        <v>51</v>
      </c>
      <c r="C6452" t="s">
        <v>52</v>
      </c>
      <c r="D6452">
        <v>17296893</v>
      </c>
      <c r="E6452" t="s">
        <v>48</v>
      </c>
      <c r="F6452" t="s">
        <v>49</v>
      </c>
      <c r="G6452" s="30">
        <v>2.69</v>
      </c>
    </row>
    <row r="6453" spans="1:7" x14ac:dyDescent="0.25">
      <c r="A6453" t="s">
        <v>70</v>
      </c>
      <c r="B6453" t="s">
        <v>71</v>
      </c>
      <c r="C6453" t="s">
        <v>47</v>
      </c>
      <c r="D6453">
        <v>17299501</v>
      </c>
      <c r="E6453" t="s">
        <v>53</v>
      </c>
      <c r="F6453" t="s">
        <v>49</v>
      </c>
      <c r="G6453" s="30">
        <v>66385.017833593403</v>
      </c>
    </row>
    <row r="6454" spans="1:7" x14ac:dyDescent="0.25">
      <c r="A6454" t="s">
        <v>45</v>
      </c>
      <c r="B6454" t="s">
        <v>46</v>
      </c>
      <c r="C6454" t="s">
        <v>47</v>
      </c>
      <c r="D6454">
        <v>17301398</v>
      </c>
      <c r="E6454" t="s">
        <v>48</v>
      </c>
      <c r="F6454" t="s">
        <v>49</v>
      </c>
      <c r="G6454" s="30">
        <v>0</v>
      </c>
    </row>
    <row r="6455" spans="1:7" x14ac:dyDescent="0.25">
      <c r="A6455" t="s">
        <v>45</v>
      </c>
      <c r="B6455" t="s">
        <v>46</v>
      </c>
      <c r="C6455" t="s">
        <v>47</v>
      </c>
      <c r="D6455">
        <v>17301404</v>
      </c>
      <c r="E6455" t="s">
        <v>48</v>
      </c>
      <c r="F6455" t="s">
        <v>49</v>
      </c>
      <c r="G6455" s="30">
        <v>0</v>
      </c>
    </row>
    <row r="6456" spans="1:7" x14ac:dyDescent="0.25">
      <c r="A6456" t="s">
        <v>45</v>
      </c>
      <c r="B6456" t="s">
        <v>46</v>
      </c>
      <c r="C6456" t="s">
        <v>47</v>
      </c>
      <c r="D6456">
        <v>17301668</v>
      </c>
      <c r="E6456" t="s">
        <v>48</v>
      </c>
      <c r="F6456" t="s">
        <v>49</v>
      </c>
      <c r="G6456" s="30">
        <v>0</v>
      </c>
    </row>
    <row r="6457" spans="1:7" x14ac:dyDescent="0.25">
      <c r="A6457" t="s">
        <v>88</v>
      </c>
      <c r="B6457" t="s">
        <v>89</v>
      </c>
      <c r="C6457" t="s">
        <v>78</v>
      </c>
      <c r="D6457">
        <v>17301934</v>
      </c>
      <c r="E6457" t="s">
        <v>53</v>
      </c>
      <c r="F6457" t="s">
        <v>49</v>
      </c>
      <c r="G6457" s="30">
        <v>283113.67515625001</v>
      </c>
    </row>
    <row r="6458" spans="1:7" x14ac:dyDescent="0.25">
      <c r="A6458" t="s">
        <v>120</v>
      </c>
      <c r="B6458" t="s">
        <v>121</v>
      </c>
      <c r="C6458" t="s">
        <v>67</v>
      </c>
      <c r="D6458">
        <v>17304612</v>
      </c>
      <c r="E6458" t="s">
        <v>48</v>
      </c>
      <c r="F6458" t="s">
        <v>49</v>
      </c>
      <c r="G6458" s="30">
        <v>0</v>
      </c>
    </row>
    <row r="6459" spans="1:7" x14ac:dyDescent="0.25">
      <c r="A6459" t="s">
        <v>45</v>
      </c>
      <c r="B6459" t="s">
        <v>46</v>
      </c>
      <c r="C6459" t="s">
        <v>47</v>
      </c>
      <c r="D6459">
        <v>17310552</v>
      </c>
      <c r="E6459" t="s">
        <v>53</v>
      </c>
      <c r="F6459" t="s">
        <v>49</v>
      </c>
      <c r="G6459" s="30">
        <v>25487.445821748999</v>
      </c>
    </row>
    <row r="6460" spans="1:7" x14ac:dyDescent="0.25">
      <c r="A6460" t="s">
        <v>82</v>
      </c>
      <c r="B6460" t="s">
        <v>83</v>
      </c>
      <c r="C6460" t="s">
        <v>56</v>
      </c>
      <c r="D6460">
        <v>17310854</v>
      </c>
      <c r="E6460" t="s">
        <v>48</v>
      </c>
      <c r="F6460" t="s">
        <v>49</v>
      </c>
      <c r="G6460" s="30">
        <v>0</v>
      </c>
    </row>
    <row r="6461" spans="1:7" x14ac:dyDescent="0.25">
      <c r="A6461" t="s">
        <v>128</v>
      </c>
      <c r="B6461" t="s">
        <v>129</v>
      </c>
      <c r="C6461" t="s">
        <v>130</v>
      </c>
      <c r="D6461">
        <v>17314716</v>
      </c>
      <c r="E6461" t="s">
        <v>53</v>
      </c>
      <c r="F6461" t="s">
        <v>49</v>
      </c>
      <c r="G6461" s="30">
        <v>2454547.8143603802</v>
      </c>
    </row>
    <row r="6462" spans="1:7" x14ac:dyDescent="0.25">
      <c r="A6462" t="s">
        <v>98</v>
      </c>
      <c r="B6462" t="s">
        <v>99</v>
      </c>
      <c r="C6462" t="s">
        <v>81</v>
      </c>
      <c r="D6462">
        <v>17317319</v>
      </c>
      <c r="E6462" t="s">
        <v>53</v>
      </c>
      <c r="F6462" t="s">
        <v>49</v>
      </c>
      <c r="G6462" s="30">
        <v>191157.96</v>
      </c>
    </row>
    <row r="6463" spans="1:7" x14ac:dyDescent="0.25">
      <c r="A6463" t="s">
        <v>50</v>
      </c>
      <c r="B6463" t="s">
        <v>51</v>
      </c>
      <c r="C6463" t="s">
        <v>52</v>
      </c>
      <c r="D6463">
        <v>17317753</v>
      </c>
      <c r="E6463" t="s">
        <v>53</v>
      </c>
      <c r="F6463" t="s">
        <v>49</v>
      </c>
      <c r="G6463" s="30">
        <v>64586.854139784002</v>
      </c>
    </row>
    <row r="6464" spans="1:7" x14ac:dyDescent="0.25">
      <c r="A6464" t="s">
        <v>70</v>
      </c>
      <c r="B6464" t="s">
        <v>71</v>
      </c>
      <c r="C6464" t="s">
        <v>47</v>
      </c>
      <c r="D6464">
        <v>17319870</v>
      </c>
      <c r="E6464" t="s">
        <v>53</v>
      </c>
      <c r="F6464" t="s">
        <v>49</v>
      </c>
      <c r="G6464" s="30">
        <v>117016.5859375</v>
      </c>
    </row>
    <row r="6465" spans="1:7" x14ac:dyDescent="0.25">
      <c r="A6465" t="s">
        <v>82</v>
      </c>
      <c r="B6465" t="s">
        <v>83</v>
      </c>
      <c r="C6465" t="s">
        <v>56</v>
      </c>
      <c r="D6465">
        <v>17321666</v>
      </c>
      <c r="E6465" t="s">
        <v>53</v>
      </c>
      <c r="F6465" t="s">
        <v>49</v>
      </c>
      <c r="G6465" s="30">
        <v>811204.75236056303</v>
      </c>
    </row>
    <row r="6466" spans="1:7" x14ac:dyDescent="0.25">
      <c r="A6466" t="s">
        <v>133</v>
      </c>
      <c r="B6466" t="s">
        <v>134</v>
      </c>
      <c r="C6466" t="s">
        <v>47</v>
      </c>
      <c r="D6466">
        <v>17322267</v>
      </c>
      <c r="E6466" t="s">
        <v>53</v>
      </c>
      <c r="F6466" t="s">
        <v>49</v>
      </c>
      <c r="G6466" s="30">
        <v>4373771.0849814396</v>
      </c>
    </row>
    <row r="6467" spans="1:7" x14ac:dyDescent="0.25">
      <c r="A6467" t="s">
        <v>94</v>
      </c>
      <c r="B6467" t="s">
        <v>95</v>
      </c>
      <c r="C6467" t="s">
        <v>78</v>
      </c>
      <c r="D6467">
        <v>17323002</v>
      </c>
      <c r="E6467" t="s">
        <v>53</v>
      </c>
      <c r="F6467" t="s">
        <v>49</v>
      </c>
      <c r="G6467" s="30">
        <v>1420440.55836286</v>
      </c>
    </row>
    <row r="6468" spans="1:7" x14ac:dyDescent="0.25">
      <c r="A6468" t="s">
        <v>45</v>
      </c>
      <c r="B6468" t="s">
        <v>46</v>
      </c>
      <c r="C6468" t="s">
        <v>47</v>
      </c>
      <c r="D6468">
        <v>17323166</v>
      </c>
      <c r="E6468" t="s">
        <v>48</v>
      </c>
      <c r="F6468" t="s">
        <v>49</v>
      </c>
      <c r="G6468" s="30">
        <v>0</v>
      </c>
    </row>
    <row r="6469" spans="1:7" x14ac:dyDescent="0.25">
      <c r="A6469" t="s">
        <v>133</v>
      </c>
      <c r="B6469" t="s">
        <v>134</v>
      </c>
      <c r="C6469" t="s">
        <v>47</v>
      </c>
      <c r="D6469">
        <v>17330849</v>
      </c>
      <c r="E6469" t="s">
        <v>48</v>
      </c>
      <c r="F6469" t="s">
        <v>49</v>
      </c>
      <c r="G6469" s="30">
        <v>96.8</v>
      </c>
    </row>
    <row r="6470" spans="1:7" x14ac:dyDescent="0.25">
      <c r="A6470" t="s">
        <v>45</v>
      </c>
      <c r="B6470" t="s">
        <v>46</v>
      </c>
      <c r="C6470" t="s">
        <v>47</v>
      </c>
      <c r="D6470">
        <v>17402290</v>
      </c>
      <c r="E6470" t="s">
        <v>48</v>
      </c>
      <c r="F6470" t="s">
        <v>49</v>
      </c>
      <c r="G6470" s="30">
        <v>0</v>
      </c>
    </row>
    <row r="6471" spans="1:7" x14ac:dyDescent="0.25">
      <c r="A6471" t="s">
        <v>45</v>
      </c>
      <c r="B6471" t="s">
        <v>46</v>
      </c>
      <c r="C6471" t="s">
        <v>47</v>
      </c>
      <c r="D6471">
        <v>17408745</v>
      </c>
      <c r="E6471" t="s">
        <v>48</v>
      </c>
      <c r="F6471" t="s">
        <v>49</v>
      </c>
      <c r="G6471" s="30">
        <v>0</v>
      </c>
    </row>
    <row r="6472" spans="1:7" x14ac:dyDescent="0.25">
      <c r="A6472" t="s">
        <v>98</v>
      </c>
      <c r="B6472" t="s">
        <v>99</v>
      </c>
      <c r="C6472" t="s">
        <v>81</v>
      </c>
      <c r="D6472">
        <v>17409690</v>
      </c>
      <c r="E6472" t="s">
        <v>53</v>
      </c>
      <c r="F6472" t="s">
        <v>49</v>
      </c>
      <c r="G6472" s="30">
        <v>364181.71</v>
      </c>
    </row>
    <row r="6473" spans="1:7" x14ac:dyDescent="0.25">
      <c r="A6473" t="s">
        <v>98</v>
      </c>
      <c r="B6473" t="s">
        <v>99</v>
      </c>
      <c r="C6473" t="s">
        <v>81</v>
      </c>
      <c r="D6473">
        <v>17409859</v>
      </c>
      <c r="E6473" t="s">
        <v>53</v>
      </c>
      <c r="F6473" t="s">
        <v>49</v>
      </c>
      <c r="G6473" s="30">
        <v>224104.87843691101</v>
      </c>
    </row>
    <row r="6474" spans="1:7" x14ac:dyDescent="0.25">
      <c r="A6474" t="s">
        <v>92</v>
      </c>
      <c r="B6474" t="s">
        <v>93</v>
      </c>
      <c r="C6474" t="s">
        <v>81</v>
      </c>
      <c r="D6474">
        <v>17413097</v>
      </c>
      <c r="E6474" t="s">
        <v>53</v>
      </c>
      <c r="F6474" t="s">
        <v>49</v>
      </c>
      <c r="G6474" s="30">
        <v>4459.1227084497104</v>
      </c>
    </row>
    <row r="6475" spans="1:7" x14ac:dyDescent="0.25">
      <c r="A6475" t="s">
        <v>50</v>
      </c>
      <c r="B6475" t="s">
        <v>51</v>
      </c>
      <c r="C6475" t="s">
        <v>52</v>
      </c>
      <c r="D6475">
        <v>17414445</v>
      </c>
      <c r="E6475" t="s">
        <v>53</v>
      </c>
      <c r="F6475" t="s">
        <v>49</v>
      </c>
      <c r="G6475" s="30">
        <v>1129.04185540865</v>
      </c>
    </row>
    <row r="6476" spans="1:7" x14ac:dyDescent="0.25">
      <c r="A6476" t="s">
        <v>50</v>
      </c>
      <c r="B6476" t="s">
        <v>51</v>
      </c>
      <c r="C6476" t="s">
        <v>52</v>
      </c>
      <c r="D6476">
        <v>17423190</v>
      </c>
      <c r="E6476" t="s">
        <v>53</v>
      </c>
      <c r="F6476" t="s">
        <v>49</v>
      </c>
      <c r="G6476" s="30">
        <v>16962.9168831235</v>
      </c>
    </row>
    <row r="6477" spans="1:7" x14ac:dyDescent="0.25">
      <c r="A6477" t="s">
        <v>45</v>
      </c>
      <c r="B6477" t="s">
        <v>46</v>
      </c>
      <c r="C6477" t="s">
        <v>47</v>
      </c>
      <c r="D6477">
        <v>17423484</v>
      </c>
      <c r="E6477" t="s">
        <v>48</v>
      </c>
      <c r="F6477" t="s">
        <v>49</v>
      </c>
      <c r="G6477" s="30">
        <v>7.27</v>
      </c>
    </row>
    <row r="6478" spans="1:7" x14ac:dyDescent="0.25">
      <c r="A6478" t="s">
        <v>45</v>
      </c>
      <c r="B6478" t="s">
        <v>46</v>
      </c>
      <c r="C6478" t="s">
        <v>47</v>
      </c>
      <c r="D6478">
        <v>17442044</v>
      </c>
      <c r="E6478" t="s">
        <v>48</v>
      </c>
      <c r="F6478" t="s">
        <v>49</v>
      </c>
      <c r="G6478" s="30">
        <v>0</v>
      </c>
    </row>
    <row r="6479" spans="1:7" x14ac:dyDescent="0.25">
      <c r="A6479" t="s">
        <v>50</v>
      </c>
      <c r="B6479" t="s">
        <v>51</v>
      </c>
      <c r="C6479" t="s">
        <v>52</v>
      </c>
      <c r="D6479">
        <v>17444515</v>
      </c>
      <c r="E6479" t="s">
        <v>53</v>
      </c>
      <c r="F6479" t="s">
        <v>49</v>
      </c>
      <c r="G6479" s="30">
        <v>69190.007187499999</v>
      </c>
    </row>
    <row r="6480" spans="1:7" x14ac:dyDescent="0.25">
      <c r="A6480" t="s">
        <v>50</v>
      </c>
      <c r="B6480" t="s">
        <v>51</v>
      </c>
      <c r="C6480" t="s">
        <v>52</v>
      </c>
      <c r="D6480">
        <v>17470706</v>
      </c>
      <c r="E6480" t="s">
        <v>48</v>
      </c>
      <c r="F6480" t="s">
        <v>49</v>
      </c>
      <c r="G6480" s="30">
        <v>0</v>
      </c>
    </row>
    <row r="6481" spans="1:7" x14ac:dyDescent="0.25">
      <c r="A6481" t="s">
        <v>50</v>
      </c>
      <c r="B6481" t="s">
        <v>51</v>
      </c>
      <c r="C6481" t="s">
        <v>52</v>
      </c>
      <c r="D6481">
        <v>17488076</v>
      </c>
      <c r="E6481" t="s">
        <v>48</v>
      </c>
      <c r="F6481" t="s">
        <v>49</v>
      </c>
      <c r="G6481" s="30">
        <v>0</v>
      </c>
    </row>
    <row r="6482" spans="1:7" x14ac:dyDescent="0.25">
      <c r="A6482" t="s">
        <v>122</v>
      </c>
      <c r="B6482" t="s">
        <v>123</v>
      </c>
      <c r="C6482" t="s">
        <v>52</v>
      </c>
      <c r="D6482">
        <v>17505971</v>
      </c>
      <c r="E6482" t="s">
        <v>48</v>
      </c>
      <c r="F6482" t="s">
        <v>49</v>
      </c>
      <c r="G6482" s="30">
        <v>0</v>
      </c>
    </row>
    <row r="6483" spans="1:7" x14ac:dyDescent="0.25">
      <c r="A6483" t="s">
        <v>50</v>
      </c>
      <c r="B6483" t="s">
        <v>51</v>
      </c>
      <c r="C6483" t="s">
        <v>52</v>
      </c>
      <c r="D6483">
        <v>17506992</v>
      </c>
      <c r="E6483" t="s">
        <v>48</v>
      </c>
      <c r="F6483" t="s">
        <v>49</v>
      </c>
      <c r="G6483" s="30">
        <v>0</v>
      </c>
    </row>
    <row r="6484" spans="1:7" x14ac:dyDescent="0.25">
      <c r="A6484" t="s">
        <v>54</v>
      </c>
      <c r="B6484" t="s">
        <v>55</v>
      </c>
      <c r="C6484" t="s">
        <v>56</v>
      </c>
      <c r="D6484">
        <v>17510377</v>
      </c>
      <c r="E6484" t="s">
        <v>53</v>
      </c>
      <c r="F6484" t="s">
        <v>49</v>
      </c>
      <c r="G6484" s="30">
        <v>121383.215768364</v>
      </c>
    </row>
    <row r="6485" spans="1:7" x14ac:dyDescent="0.25">
      <c r="A6485" t="s">
        <v>98</v>
      </c>
      <c r="B6485" t="s">
        <v>99</v>
      </c>
      <c r="C6485" t="s">
        <v>81</v>
      </c>
      <c r="D6485">
        <v>17534216</v>
      </c>
      <c r="E6485" t="s">
        <v>53</v>
      </c>
      <c r="F6485" t="s">
        <v>49</v>
      </c>
      <c r="G6485" s="30">
        <v>55828.279296041001</v>
      </c>
    </row>
    <row r="6486" spans="1:7" x14ac:dyDescent="0.25">
      <c r="A6486" t="s">
        <v>59</v>
      </c>
      <c r="B6486" t="s">
        <v>60</v>
      </c>
      <c r="C6486" t="s">
        <v>56</v>
      </c>
      <c r="D6486">
        <v>17535192</v>
      </c>
      <c r="E6486" t="s">
        <v>53</v>
      </c>
      <c r="F6486" t="s">
        <v>49</v>
      </c>
      <c r="G6486" s="30">
        <v>19358.886394785801</v>
      </c>
    </row>
    <row r="6487" spans="1:7" x14ac:dyDescent="0.25">
      <c r="A6487" t="s">
        <v>45</v>
      </c>
      <c r="B6487" t="s">
        <v>46</v>
      </c>
      <c r="C6487" t="s">
        <v>47</v>
      </c>
      <c r="D6487">
        <v>17536111</v>
      </c>
      <c r="E6487" t="s">
        <v>48</v>
      </c>
      <c r="F6487" t="s">
        <v>49</v>
      </c>
      <c r="G6487" s="30">
        <v>0</v>
      </c>
    </row>
    <row r="6488" spans="1:7" x14ac:dyDescent="0.25">
      <c r="A6488" t="s">
        <v>98</v>
      </c>
      <c r="B6488" t="s">
        <v>99</v>
      </c>
      <c r="C6488" t="s">
        <v>81</v>
      </c>
      <c r="D6488">
        <v>17542086</v>
      </c>
      <c r="E6488" t="s">
        <v>53</v>
      </c>
      <c r="F6488" t="s">
        <v>49</v>
      </c>
      <c r="G6488" s="30">
        <v>22995.698437499999</v>
      </c>
    </row>
    <row r="6489" spans="1:7" x14ac:dyDescent="0.25">
      <c r="A6489" t="s">
        <v>98</v>
      </c>
      <c r="B6489" t="s">
        <v>99</v>
      </c>
      <c r="C6489" t="s">
        <v>81</v>
      </c>
      <c r="D6489">
        <v>17542174</v>
      </c>
      <c r="E6489" t="s">
        <v>53</v>
      </c>
      <c r="F6489" t="s">
        <v>49</v>
      </c>
      <c r="G6489" s="30">
        <v>358068.60265625</v>
      </c>
    </row>
    <row r="6490" spans="1:7" x14ac:dyDescent="0.25">
      <c r="A6490" t="s">
        <v>98</v>
      </c>
      <c r="B6490" t="s">
        <v>99</v>
      </c>
      <c r="C6490" t="s">
        <v>81</v>
      </c>
      <c r="D6490">
        <v>17546175</v>
      </c>
      <c r="E6490" t="s">
        <v>48</v>
      </c>
      <c r="F6490" t="s">
        <v>49</v>
      </c>
      <c r="G6490" s="30">
        <v>0</v>
      </c>
    </row>
    <row r="6491" spans="1:7" x14ac:dyDescent="0.25">
      <c r="A6491" t="s">
        <v>94</v>
      </c>
      <c r="B6491" t="s">
        <v>95</v>
      </c>
      <c r="C6491" t="s">
        <v>78</v>
      </c>
      <c r="D6491">
        <v>17546667</v>
      </c>
      <c r="E6491" t="s">
        <v>53</v>
      </c>
      <c r="F6491" t="s">
        <v>49</v>
      </c>
      <c r="G6491" s="30">
        <v>511754.71050644299</v>
      </c>
    </row>
    <row r="6492" spans="1:7" x14ac:dyDescent="0.25">
      <c r="A6492" t="s">
        <v>131</v>
      </c>
      <c r="B6492" t="s">
        <v>132</v>
      </c>
      <c r="C6492" t="s">
        <v>67</v>
      </c>
      <c r="D6492">
        <v>17563385</v>
      </c>
      <c r="E6492" t="s">
        <v>48</v>
      </c>
      <c r="F6492" t="s">
        <v>49</v>
      </c>
      <c r="G6492" s="30">
        <v>0</v>
      </c>
    </row>
    <row r="6493" spans="1:7" x14ac:dyDescent="0.25">
      <c r="A6493" t="s">
        <v>92</v>
      </c>
      <c r="B6493" t="s">
        <v>93</v>
      </c>
      <c r="C6493" t="s">
        <v>81</v>
      </c>
      <c r="D6493">
        <v>17563564</v>
      </c>
      <c r="E6493" t="s">
        <v>53</v>
      </c>
      <c r="F6493" t="s">
        <v>49</v>
      </c>
      <c r="G6493" s="30">
        <v>5913.52398060413</v>
      </c>
    </row>
    <row r="6494" spans="1:7" x14ac:dyDescent="0.25">
      <c r="A6494" t="s">
        <v>104</v>
      </c>
      <c r="B6494" t="s">
        <v>105</v>
      </c>
      <c r="C6494" t="s">
        <v>78</v>
      </c>
      <c r="D6494">
        <v>17563826</v>
      </c>
      <c r="E6494" t="s">
        <v>53</v>
      </c>
      <c r="F6494" t="s">
        <v>49</v>
      </c>
      <c r="G6494" s="30">
        <v>102759.64796875</v>
      </c>
    </row>
    <row r="6495" spans="1:7" x14ac:dyDescent="0.25">
      <c r="A6495" t="s">
        <v>133</v>
      </c>
      <c r="B6495" t="s">
        <v>134</v>
      </c>
      <c r="C6495" t="s">
        <v>47</v>
      </c>
      <c r="D6495">
        <v>17564737</v>
      </c>
      <c r="E6495" t="s">
        <v>48</v>
      </c>
      <c r="F6495" t="s">
        <v>49</v>
      </c>
      <c r="G6495" s="30">
        <v>0</v>
      </c>
    </row>
    <row r="6496" spans="1:7" x14ac:dyDescent="0.25">
      <c r="A6496" t="s">
        <v>120</v>
      </c>
      <c r="B6496" t="s">
        <v>121</v>
      </c>
      <c r="C6496" t="s">
        <v>67</v>
      </c>
      <c r="D6496">
        <v>17565059</v>
      </c>
      <c r="E6496" t="s">
        <v>48</v>
      </c>
      <c r="F6496" t="s">
        <v>49</v>
      </c>
      <c r="G6496" s="30">
        <v>0</v>
      </c>
    </row>
    <row r="6497" spans="1:7" x14ac:dyDescent="0.25">
      <c r="A6497" t="s">
        <v>90</v>
      </c>
      <c r="B6497" t="s">
        <v>91</v>
      </c>
      <c r="C6497" t="s">
        <v>81</v>
      </c>
      <c r="D6497">
        <v>17569065</v>
      </c>
      <c r="E6497" t="s">
        <v>53</v>
      </c>
      <c r="F6497" t="s">
        <v>49</v>
      </c>
      <c r="G6497" s="30">
        <v>287061.54516601597</v>
      </c>
    </row>
    <row r="6498" spans="1:7" x14ac:dyDescent="0.25">
      <c r="A6498" t="s">
        <v>104</v>
      </c>
      <c r="B6498" t="s">
        <v>105</v>
      </c>
      <c r="C6498" t="s">
        <v>78</v>
      </c>
      <c r="D6498">
        <v>17577424</v>
      </c>
      <c r="E6498" t="s">
        <v>53</v>
      </c>
      <c r="F6498" t="s">
        <v>49</v>
      </c>
      <c r="G6498" s="30">
        <v>99889.480839598298</v>
      </c>
    </row>
    <row r="6499" spans="1:7" x14ac:dyDescent="0.25">
      <c r="A6499" t="s">
        <v>45</v>
      </c>
      <c r="B6499" t="s">
        <v>46</v>
      </c>
      <c r="C6499" t="s">
        <v>47</v>
      </c>
      <c r="D6499">
        <v>17580064</v>
      </c>
      <c r="E6499" t="s">
        <v>48</v>
      </c>
      <c r="F6499" t="s">
        <v>49</v>
      </c>
      <c r="G6499" s="30">
        <v>0</v>
      </c>
    </row>
    <row r="6500" spans="1:7" x14ac:dyDescent="0.25">
      <c r="A6500" t="s">
        <v>131</v>
      </c>
      <c r="B6500" t="s">
        <v>132</v>
      </c>
      <c r="C6500" t="s">
        <v>67</v>
      </c>
      <c r="D6500">
        <v>17581314</v>
      </c>
      <c r="E6500" t="s">
        <v>53</v>
      </c>
      <c r="F6500" t="s">
        <v>49</v>
      </c>
      <c r="G6500" s="30">
        <v>762703.13360500894</v>
      </c>
    </row>
    <row r="6501" spans="1:7" x14ac:dyDescent="0.25">
      <c r="A6501" t="s">
        <v>131</v>
      </c>
      <c r="B6501" t="s">
        <v>132</v>
      </c>
      <c r="C6501" t="s">
        <v>67</v>
      </c>
      <c r="D6501">
        <v>17581361</v>
      </c>
      <c r="E6501" t="s">
        <v>53</v>
      </c>
      <c r="F6501" t="s">
        <v>49</v>
      </c>
      <c r="G6501" s="30">
        <v>928266.63</v>
      </c>
    </row>
    <row r="6502" spans="1:7" x14ac:dyDescent="0.25">
      <c r="A6502" t="s">
        <v>131</v>
      </c>
      <c r="B6502" t="s">
        <v>132</v>
      </c>
      <c r="C6502" t="s">
        <v>67</v>
      </c>
      <c r="D6502">
        <v>17581395</v>
      </c>
      <c r="E6502" t="s">
        <v>53</v>
      </c>
      <c r="F6502" t="s">
        <v>49</v>
      </c>
      <c r="G6502" s="30">
        <v>578243.37</v>
      </c>
    </row>
    <row r="6503" spans="1:7" x14ac:dyDescent="0.25">
      <c r="A6503" t="s">
        <v>131</v>
      </c>
      <c r="B6503" t="s">
        <v>132</v>
      </c>
      <c r="C6503" t="s">
        <v>67</v>
      </c>
      <c r="D6503">
        <v>17581437</v>
      </c>
      <c r="E6503" t="s">
        <v>48</v>
      </c>
      <c r="F6503" t="s">
        <v>49</v>
      </c>
      <c r="G6503" s="30">
        <v>0</v>
      </c>
    </row>
    <row r="6504" spans="1:7" x14ac:dyDescent="0.25">
      <c r="A6504" t="s">
        <v>131</v>
      </c>
      <c r="B6504" t="s">
        <v>132</v>
      </c>
      <c r="C6504" t="s">
        <v>67</v>
      </c>
      <c r="D6504">
        <v>17581467</v>
      </c>
      <c r="E6504" t="s">
        <v>53</v>
      </c>
      <c r="F6504" t="s">
        <v>49</v>
      </c>
      <c r="G6504" s="30">
        <v>248</v>
      </c>
    </row>
    <row r="6505" spans="1:7" x14ac:dyDescent="0.25">
      <c r="A6505" t="s">
        <v>131</v>
      </c>
      <c r="B6505" t="s">
        <v>132</v>
      </c>
      <c r="C6505" t="s">
        <v>67</v>
      </c>
      <c r="D6505">
        <v>17581489</v>
      </c>
      <c r="E6505" t="s">
        <v>53</v>
      </c>
      <c r="F6505" t="s">
        <v>49</v>
      </c>
      <c r="G6505" s="30">
        <v>543730.78</v>
      </c>
    </row>
    <row r="6506" spans="1:7" x14ac:dyDescent="0.25">
      <c r="A6506" t="s">
        <v>45</v>
      </c>
      <c r="B6506" t="s">
        <v>46</v>
      </c>
      <c r="C6506" t="s">
        <v>47</v>
      </c>
      <c r="D6506">
        <v>17586033</v>
      </c>
      <c r="E6506" t="s">
        <v>53</v>
      </c>
      <c r="F6506" t="s">
        <v>49</v>
      </c>
      <c r="G6506" s="30">
        <v>36618.689627400898</v>
      </c>
    </row>
    <row r="6507" spans="1:7" x14ac:dyDescent="0.25">
      <c r="A6507" t="s">
        <v>86</v>
      </c>
      <c r="B6507" t="s">
        <v>87</v>
      </c>
      <c r="C6507" t="s">
        <v>78</v>
      </c>
      <c r="D6507">
        <v>17586825</v>
      </c>
      <c r="E6507" t="s">
        <v>53</v>
      </c>
      <c r="F6507" t="s">
        <v>49</v>
      </c>
      <c r="G6507" s="30">
        <v>0</v>
      </c>
    </row>
    <row r="6508" spans="1:7" x14ac:dyDescent="0.25">
      <c r="A6508" t="s">
        <v>131</v>
      </c>
      <c r="B6508" t="s">
        <v>132</v>
      </c>
      <c r="C6508" t="s">
        <v>67</v>
      </c>
      <c r="D6508">
        <v>17598402</v>
      </c>
      <c r="E6508" t="s">
        <v>48</v>
      </c>
      <c r="F6508" t="s">
        <v>49</v>
      </c>
      <c r="G6508" s="30">
        <v>0</v>
      </c>
    </row>
    <row r="6509" spans="1:7" x14ac:dyDescent="0.25">
      <c r="A6509" t="s">
        <v>50</v>
      </c>
      <c r="B6509" t="s">
        <v>51</v>
      </c>
      <c r="C6509" t="s">
        <v>52</v>
      </c>
      <c r="D6509">
        <v>17600044</v>
      </c>
      <c r="E6509" t="s">
        <v>53</v>
      </c>
      <c r="F6509" t="s">
        <v>49</v>
      </c>
      <c r="G6509" s="30">
        <v>2266.79931378842</v>
      </c>
    </row>
    <row r="6510" spans="1:7" x14ac:dyDescent="0.25">
      <c r="A6510" t="s">
        <v>45</v>
      </c>
      <c r="B6510" t="s">
        <v>46</v>
      </c>
      <c r="C6510" t="s">
        <v>47</v>
      </c>
      <c r="D6510">
        <v>17601450</v>
      </c>
      <c r="E6510" t="s">
        <v>53</v>
      </c>
      <c r="F6510" t="s">
        <v>49</v>
      </c>
      <c r="G6510" s="30">
        <v>273952.82735351601</v>
      </c>
    </row>
    <row r="6511" spans="1:7" x14ac:dyDescent="0.25">
      <c r="A6511" t="s">
        <v>45</v>
      </c>
      <c r="B6511" t="s">
        <v>46</v>
      </c>
      <c r="C6511" t="s">
        <v>47</v>
      </c>
      <c r="D6511">
        <v>17604695</v>
      </c>
      <c r="E6511" t="s">
        <v>48</v>
      </c>
      <c r="F6511" t="s">
        <v>49</v>
      </c>
      <c r="G6511" s="30">
        <v>0</v>
      </c>
    </row>
    <row r="6512" spans="1:7" x14ac:dyDescent="0.25">
      <c r="A6512" t="s">
        <v>102</v>
      </c>
      <c r="B6512" t="s">
        <v>103</v>
      </c>
      <c r="C6512" t="s">
        <v>47</v>
      </c>
      <c r="D6512">
        <v>17611582</v>
      </c>
      <c r="E6512" t="s">
        <v>53</v>
      </c>
      <c r="F6512" t="s">
        <v>49</v>
      </c>
      <c r="G6512" s="30">
        <v>112938.446590422</v>
      </c>
    </row>
    <row r="6513" spans="1:7" x14ac:dyDescent="0.25">
      <c r="A6513" t="s">
        <v>45</v>
      </c>
      <c r="B6513" t="s">
        <v>46</v>
      </c>
      <c r="C6513" t="s">
        <v>47</v>
      </c>
      <c r="D6513">
        <v>17611663</v>
      </c>
      <c r="E6513" t="s">
        <v>48</v>
      </c>
      <c r="F6513" t="s">
        <v>49</v>
      </c>
      <c r="G6513" s="30">
        <v>0</v>
      </c>
    </row>
    <row r="6514" spans="1:7" x14ac:dyDescent="0.25">
      <c r="A6514" t="s">
        <v>45</v>
      </c>
      <c r="B6514" t="s">
        <v>46</v>
      </c>
      <c r="C6514" t="s">
        <v>47</v>
      </c>
      <c r="D6514">
        <v>17612872</v>
      </c>
      <c r="E6514" t="s">
        <v>48</v>
      </c>
      <c r="F6514" t="s">
        <v>49</v>
      </c>
      <c r="G6514" s="30">
        <v>0</v>
      </c>
    </row>
    <row r="6515" spans="1:7" x14ac:dyDescent="0.25">
      <c r="A6515" t="s">
        <v>68</v>
      </c>
      <c r="B6515" t="s">
        <v>69</v>
      </c>
      <c r="C6515" t="s">
        <v>56</v>
      </c>
      <c r="D6515">
        <v>17614629</v>
      </c>
      <c r="E6515" t="s">
        <v>53</v>
      </c>
      <c r="F6515" t="s">
        <v>49</v>
      </c>
      <c r="G6515" s="30">
        <v>601332.06820312503</v>
      </c>
    </row>
    <row r="6516" spans="1:7" x14ac:dyDescent="0.25">
      <c r="A6516" t="s">
        <v>45</v>
      </c>
      <c r="B6516" t="s">
        <v>46</v>
      </c>
      <c r="C6516" t="s">
        <v>47</v>
      </c>
      <c r="D6516">
        <v>17616599</v>
      </c>
      <c r="E6516" t="s">
        <v>48</v>
      </c>
      <c r="F6516" t="s">
        <v>49</v>
      </c>
      <c r="G6516" s="30">
        <v>0</v>
      </c>
    </row>
    <row r="6517" spans="1:7" x14ac:dyDescent="0.25">
      <c r="A6517" t="s">
        <v>122</v>
      </c>
      <c r="B6517" t="s">
        <v>123</v>
      </c>
      <c r="C6517" t="s">
        <v>52</v>
      </c>
      <c r="D6517">
        <v>17618536</v>
      </c>
      <c r="E6517" t="s">
        <v>53</v>
      </c>
      <c r="F6517" t="s">
        <v>49</v>
      </c>
      <c r="G6517" s="30">
        <v>70038.876943359399</v>
      </c>
    </row>
    <row r="6518" spans="1:7" x14ac:dyDescent="0.25">
      <c r="A6518" t="s">
        <v>131</v>
      </c>
      <c r="B6518" t="s">
        <v>132</v>
      </c>
      <c r="C6518" t="s">
        <v>67</v>
      </c>
      <c r="D6518">
        <v>17621903</v>
      </c>
      <c r="E6518" t="s">
        <v>53</v>
      </c>
      <c r="F6518" t="s">
        <v>49</v>
      </c>
      <c r="G6518" s="30">
        <v>557561.26000319899</v>
      </c>
    </row>
    <row r="6519" spans="1:7" x14ac:dyDescent="0.25">
      <c r="A6519" t="s">
        <v>82</v>
      </c>
      <c r="B6519" t="s">
        <v>83</v>
      </c>
      <c r="C6519" t="s">
        <v>56</v>
      </c>
      <c r="D6519">
        <v>17622181</v>
      </c>
      <c r="E6519" t="s">
        <v>53</v>
      </c>
      <c r="F6519" t="s">
        <v>49</v>
      </c>
      <c r="G6519" s="30">
        <v>2178.7846534161699</v>
      </c>
    </row>
    <row r="6520" spans="1:7" x14ac:dyDescent="0.25">
      <c r="A6520" t="s">
        <v>54</v>
      </c>
      <c r="B6520" t="s">
        <v>55</v>
      </c>
      <c r="C6520" t="s">
        <v>56</v>
      </c>
      <c r="D6520">
        <v>17643058</v>
      </c>
      <c r="E6520" t="s">
        <v>53</v>
      </c>
      <c r="F6520" t="s">
        <v>49</v>
      </c>
      <c r="G6520" s="30">
        <v>11811.6759911841</v>
      </c>
    </row>
    <row r="6521" spans="1:7" x14ac:dyDescent="0.25">
      <c r="A6521" t="s">
        <v>82</v>
      </c>
      <c r="B6521" t="s">
        <v>83</v>
      </c>
      <c r="C6521" t="s">
        <v>56</v>
      </c>
      <c r="D6521">
        <v>17650213</v>
      </c>
      <c r="E6521" t="s">
        <v>53</v>
      </c>
      <c r="F6521" t="s">
        <v>49</v>
      </c>
      <c r="G6521" s="30">
        <v>168214.42959519199</v>
      </c>
    </row>
    <row r="6522" spans="1:7" x14ac:dyDescent="0.25">
      <c r="A6522" t="s">
        <v>124</v>
      </c>
      <c r="B6522" t="s">
        <v>125</v>
      </c>
      <c r="C6522" t="s">
        <v>78</v>
      </c>
      <c r="D6522">
        <v>17651087</v>
      </c>
      <c r="E6522" t="s">
        <v>48</v>
      </c>
      <c r="F6522" t="s">
        <v>49</v>
      </c>
      <c r="G6522" s="30">
        <v>0</v>
      </c>
    </row>
    <row r="6523" spans="1:7" x14ac:dyDescent="0.25">
      <c r="A6523" t="s">
        <v>133</v>
      </c>
      <c r="B6523" t="s">
        <v>134</v>
      </c>
      <c r="C6523" t="s">
        <v>47</v>
      </c>
      <c r="D6523">
        <v>17654302</v>
      </c>
      <c r="E6523" t="s">
        <v>53</v>
      </c>
      <c r="F6523" t="s">
        <v>49</v>
      </c>
      <c r="G6523" s="30">
        <v>108663.625</v>
      </c>
    </row>
    <row r="6524" spans="1:7" x14ac:dyDescent="0.25">
      <c r="A6524" t="s">
        <v>92</v>
      </c>
      <c r="B6524" t="s">
        <v>93</v>
      </c>
      <c r="C6524" t="s">
        <v>81</v>
      </c>
      <c r="D6524">
        <v>17657758</v>
      </c>
      <c r="E6524" t="s">
        <v>53</v>
      </c>
      <c r="F6524" t="s">
        <v>49</v>
      </c>
      <c r="G6524" s="30">
        <v>8781.36</v>
      </c>
    </row>
    <row r="6525" spans="1:7" x14ac:dyDescent="0.25">
      <c r="A6525" t="s">
        <v>131</v>
      </c>
      <c r="B6525" t="s">
        <v>132</v>
      </c>
      <c r="C6525" t="s">
        <v>67</v>
      </c>
      <c r="D6525">
        <v>17657833</v>
      </c>
      <c r="E6525" t="s">
        <v>53</v>
      </c>
      <c r="F6525" t="s">
        <v>49</v>
      </c>
      <c r="G6525" s="30">
        <v>5909120.59323751</v>
      </c>
    </row>
    <row r="6526" spans="1:7" x14ac:dyDescent="0.25">
      <c r="A6526" t="s">
        <v>50</v>
      </c>
      <c r="B6526" t="s">
        <v>51</v>
      </c>
      <c r="C6526" t="s">
        <v>52</v>
      </c>
      <c r="D6526">
        <v>17659229</v>
      </c>
      <c r="E6526" t="s">
        <v>53</v>
      </c>
      <c r="F6526" t="s">
        <v>49</v>
      </c>
      <c r="G6526" s="30">
        <v>28520.6486503614</v>
      </c>
    </row>
    <row r="6527" spans="1:7" x14ac:dyDescent="0.25">
      <c r="A6527" t="s">
        <v>45</v>
      </c>
      <c r="B6527" t="s">
        <v>46</v>
      </c>
      <c r="C6527" t="s">
        <v>47</v>
      </c>
      <c r="D6527">
        <v>17663567</v>
      </c>
      <c r="E6527" t="s">
        <v>48</v>
      </c>
      <c r="F6527" t="s">
        <v>49</v>
      </c>
      <c r="G6527" s="30">
        <v>0</v>
      </c>
    </row>
    <row r="6528" spans="1:7" x14ac:dyDescent="0.25">
      <c r="A6528" t="s">
        <v>50</v>
      </c>
      <c r="B6528" t="s">
        <v>51</v>
      </c>
      <c r="C6528" t="s">
        <v>52</v>
      </c>
      <c r="D6528">
        <v>17665306</v>
      </c>
      <c r="E6528" t="s">
        <v>53</v>
      </c>
      <c r="F6528" t="s">
        <v>49</v>
      </c>
      <c r="G6528" s="30">
        <v>1293.7254695548199</v>
      </c>
    </row>
    <row r="6529" spans="1:7" x14ac:dyDescent="0.25">
      <c r="A6529" t="s">
        <v>84</v>
      </c>
      <c r="B6529" t="s">
        <v>85</v>
      </c>
      <c r="C6529" t="s">
        <v>67</v>
      </c>
      <c r="D6529">
        <v>17670217</v>
      </c>
      <c r="E6529" t="s">
        <v>53</v>
      </c>
      <c r="F6529" t="s">
        <v>49</v>
      </c>
      <c r="G6529" s="30">
        <v>504090.08845402801</v>
      </c>
    </row>
    <row r="6530" spans="1:7" x14ac:dyDescent="0.25">
      <c r="A6530" t="s">
        <v>79</v>
      </c>
      <c r="B6530" t="s">
        <v>80</v>
      </c>
      <c r="C6530" t="s">
        <v>81</v>
      </c>
      <c r="D6530">
        <v>17672220</v>
      </c>
      <c r="E6530" t="s">
        <v>53</v>
      </c>
      <c r="F6530" t="s">
        <v>49</v>
      </c>
      <c r="G6530" s="30">
        <v>75315.438921531604</v>
      </c>
    </row>
    <row r="6531" spans="1:7" x14ac:dyDescent="0.25">
      <c r="A6531" t="s">
        <v>128</v>
      </c>
      <c r="B6531" t="s">
        <v>129</v>
      </c>
      <c r="C6531" t="s">
        <v>130</v>
      </c>
      <c r="D6531">
        <v>17673596</v>
      </c>
      <c r="E6531" t="s">
        <v>53</v>
      </c>
      <c r="F6531" t="s">
        <v>49</v>
      </c>
      <c r="G6531" s="30">
        <v>187516.71</v>
      </c>
    </row>
    <row r="6532" spans="1:7" x14ac:dyDescent="0.25">
      <c r="A6532" t="s">
        <v>86</v>
      </c>
      <c r="B6532" t="s">
        <v>87</v>
      </c>
      <c r="C6532" t="s">
        <v>78</v>
      </c>
      <c r="D6532">
        <v>17675545</v>
      </c>
      <c r="E6532" t="s">
        <v>53</v>
      </c>
      <c r="F6532" t="s">
        <v>49</v>
      </c>
      <c r="G6532" s="30">
        <v>722058.80448989302</v>
      </c>
    </row>
    <row r="6533" spans="1:7" x14ac:dyDescent="0.25">
      <c r="A6533" t="s">
        <v>54</v>
      </c>
      <c r="B6533" t="s">
        <v>55</v>
      </c>
      <c r="C6533" t="s">
        <v>56</v>
      </c>
      <c r="D6533">
        <v>17684279</v>
      </c>
      <c r="E6533" t="s">
        <v>53</v>
      </c>
      <c r="F6533" t="s">
        <v>49</v>
      </c>
      <c r="G6533" s="30">
        <v>290449.56610253197</v>
      </c>
    </row>
    <row r="6534" spans="1:7" x14ac:dyDescent="0.25">
      <c r="A6534" t="s">
        <v>90</v>
      </c>
      <c r="B6534" t="s">
        <v>91</v>
      </c>
      <c r="C6534" t="s">
        <v>81</v>
      </c>
      <c r="D6534">
        <v>17684403</v>
      </c>
      <c r="E6534" t="s">
        <v>53</v>
      </c>
      <c r="F6534" t="s">
        <v>49</v>
      </c>
      <c r="G6534" s="30">
        <v>115826.947265625</v>
      </c>
    </row>
    <row r="6535" spans="1:7" x14ac:dyDescent="0.25">
      <c r="A6535" t="s">
        <v>50</v>
      </c>
      <c r="B6535" t="s">
        <v>51</v>
      </c>
      <c r="C6535" t="s">
        <v>52</v>
      </c>
      <c r="D6535">
        <v>17686182</v>
      </c>
      <c r="E6535" t="s">
        <v>53</v>
      </c>
      <c r="F6535" t="s">
        <v>49</v>
      </c>
      <c r="G6535" s="30">
        <v>100</v>
      </c>
    </row>
    <row r="6536" spans="1:7" x14ac:dyDescent="0.25">
      <c r="A6536" t="s">
        <v>116</v>
      </c>
      <c r="B6536" t="s">
        <v>117</v>
      </c>
      <c r="C6536" t="s">
        <v>47</v>
      </c>
      <c r="D6536">
        <v>17690581</v>
      </c>
      <c r="E6536" t="s">
        <v>53</v>
      </c>
      <c r="F6536" t="s">
        <v>49</v>
      </c>
      <c r="G6536" s="30">
        <v>71883.086387910007</v>
      </c>
    </row>
    <row r="6537" spans="1:7" x14ac:dyDescent="0.25">
      <c r="A6537" t="s">
        <v>106</v>
      </c>
      <c r="B6537" t="s">
        <v>107</v>
      </c>
      <c r="C6537" t="s">
        <v>56</v>
      </c>
      <c r="D6537">
        <v>17694546</v>
      </c>
      <c r="E6537" t="s">
        <v>53</v>
      </c>
      <c r="F6537" t="s">
        <v>49</v>
      </c>
      <c r="G6537" s="30">
        <v>237071.325904319</v>
      </c>
    </row>
    <row r="6538" spans="1:7" x14ac:dyDescent="0.25">
      <c r="A6538" t="s">
        <v>65</v>
      </c>
      <c r="B6538" t="s">
        <v>66</v>
      </c>
      <c r="C6538" t="s">
        <v>67</v>
      </c>
      <c r="D6538">
        <v>17695246</v>
      </c>
      <c r="E6538" t="s">
        <v>53</v>
      </c>
      <c r="F6538" t="s">
        <v>49</v>
      </c>
      <c r="G6538" s="30">
        <v>98411.885605260497</v>
      </c>
    </row>
    <row r="6539" spans="1:7" x14ac:dyDescent="0.25">
      <c r="A6539" t="s">
        <v>50</v>
      </c>
      <c r="B6539" t="s">
        <v>51</v>
      </c>
      <c r="C6539" t="s">
        <v>52</v>
      </c>
      <c r="D6539">
        <v>17695641</v>
      </c>
      <c r="E6539" t="s">
        <v>53</v>
      </c>
      <c r="F6539" t="s">
        <v>49</v>
      </c>
      <c r="G6539" s="30">
        <v>81.510000000000005</v>
      </c>
    </row>
    <row r="6540" spans="1:7" x14ac:dyDescent="0.25">
      <c r="A6540" t="s">
        <v>112</v>
      </c>
      <c r="B6540" t="s">
        <v>113</v>
      </c>
      <c r="C6540" t="s">
        <v>81</v>
      </c>
      <c r="D6540">
        <v>17696401</v>
      </c>
      <c r="E6540" t="s">
        <v>53</v>
      </c>
      <c r="F6540" t="s">
        <v>49</v>
      </c>
      <c r="G6540" s="30">
        <v>1865827.49803264</v>
      </c>
    </row>
    <row r="6541" spans="1:7" x14ac:dyDescent="0.25">
      <c r="A6541" t="s">
        <v>70</v>
      </c>
      <c r="B6541" t="s">
        <v>71</v>
      </c>
      <c r="C6541" t="s">
        <v>47</v>
      </c>
      <c r="D6541">
        <v>17714402</v>
      </c>
      <c r="E6541" t="s">
        <v>53</v>
      </c>
      <c r="F6541" t="s">
        <v>49</v>
      </c>
      <c r="G6541" s="30">
        <v>97487.538712258</v>
      </c>
    </row>
    <row r="6542" spans="1:7" x14ac:dyDescent="0.25">
      <c r="A6542" t="s">
        <v>146</v>
      </c>
      <c r="B6542" t="s">
        <v>147</v>
      </c>
      <c r="C6542" t="s">
        <v>56</v>
      </c>
      <c r="D6542">
        <v>17727847</v>
      </c>
      <c r="E6542" t="s">
        <v>53</v>
      </c>
      <c r="F6542" t="s">
        <v>49</v>
      </c>
      <c r="G6542" s="30">
        <v>29882.7700837429</v>
      </c>
    </row>
    <row r="6543" spans="1:7" x14ac:dyDescent="0.25">
      <c r="A6543" t="s">
        <v>50</v>
      </c>
      <c r="B6543" t="s">
        <v>51</v>
      </c>
      <c r="C6543" t="s">
        <v>52</v>
      </c>
      <c r="D6543">
        <v>17729615</v>
      </c>
      <c r="E6543" t="s">
        <v>53</v>
      </c>
      <c r="F6543" t="s">
        <v>49</v>
      </c>
      <c r="G6543" s="30">
        <v>12868.505443358001</v>
      </c>
    </row>
    <row r="6544" spans="1:7" x14ac:dyDescent="0.25">
      <c r="A6544" t="s">
        <v>118</v>
      </c>
      <c r="B6544" t="s">
        <v>119</v>
      </c>
      <c r="C6544" t="s">
        <v>56</v>
      </c>
      <c r="D6544">
        <v>17735785</v>
      </c>
      <c r="E6544" t="s">
        <v>53</v>
      </c>
      <c r="F6544" t="s">
        <v>49</v>
      </c>
      <c r="G6544" s="30">
        <v>67313.990248401096</v>
      </c>
    </row>
    <row r="6545" spans="1:7" x14ac:dyDescent="0.25">
      <c r="A6545" t="s">
        <v>50</v>
      </c>
      <c r="B6545" t="s">
        <v>51</v>
      </c>
      <c r="C6545" t="s">
        <v>52</v>
      </c>
      <c r="D6545">
        <v>17737351</v>
      </c>
      <c r="E6545" t="s">
        <v>53</v>
      </c>
      <c r="F6545" t="s">
        <v>49</v>
      </c>
      <c r="G6545" s="30">
        <v>1971.65</v>
      </c>
    </row>
    <row r="6546" spans="1:7" x14ac:dyDescent="0.25">
      <c r="A6546" t="s">
        <v>45</v>
      </c>
      <c r="B6546" t="s">
        <v>46</v>
      </c>
      <c r="C6546" t="s">
        <v>47</v>
      </c>
      <c r="D6546">
        <v>17737980</v>
      </c>
      <c r="E6546" t="s">
        <v>53</v>
      </c>
      <c r="F6546" t="s">
        <v>49</v>
      </c>
      <c r="G6546" s="30">
        <v>15627.739104575099</v>
      </c>
    </row>
    <row r="6547" spans="1:7" x14ac:dyDescent="0.25">
      <c r="A6547" t="s">
        <v>116</v>
      </c>
      <c r="B6547" t="s">
        <v>117</v>
      </c>
      <c r="C6547" t="s">
        <v>47</v>
      </c>
      <c r="D6547">
        <v>17738989</v>
      </c>
      <c r="E6547" t="s">
        <v>53</v>
      </c>
      <c r="F6547" t="s">
        <v>49</v>
      </c>
      <c r="G6547" s="30">
        <v>79873.860805818797</v>
      </c>
    </row>
    <row r="6548" spans="1:7" x14ac:dyDescent="0.25">
      <c r="A6548" t="s">
        <v>124</v>
      </c>
      <c r="B6548" t="s">
        <v>125</v>
      </c>
      <c r="C6548" t="s">
        <v>78</v>
      </c>
      <c r="D6548">
        <v>17745737</v>
      </c>
      <c r="E6548" t="s">
        <v>53</v>
      </c>
      <c r="F6548" t="s">
        <v>49</v>
      </c>
      <c r="G6548" s="30">
        <v>61717.515891627998</v>
      </c>
    </row>
    <row r="6549" spans="1:7" x14ac:dyDescent="0.25">
      <c r="A6549" t="s">
        <v>82</v>
      </c>
      <c r="B6549" t="s">
        <v>83</v>
      </c>
      <c r="C6549" t="s">
        <v>56</v>
      </c>
      <c r="D6549">
        <v>17745771</v>
      </c>
      <c r="E6549" t="s">
        <v>48</v>
      </c>
      <c r="F6549" t="s">
        <v>49</v>
      </c>
      <c r="G6549" s="30">
        <v>0</v>
      </c>
    </row>
    <row r="6550" spans="1:7" x14ac:dyDescent="0.25">
      <c r="A6550" t="s">
        <v>50</v>
      </c>
      <c r="B6550" t="s">
        <v>51</v>
      </c>
      <c r="C6550" t="s">
        <v>52</v>
      </c>
      <c r="D6550">
        <v>17746137</v>
      </c>
      <c r="E6550" t="s">
        <v>48</v>
      </c>
      <c r="F6550" t="s">
        <v>49</v>
      </c>
      <c r="G6550" s="30">
        <v>56</v>
      </c>
    </row>
    <row r="6551" spans="1:7" x14ac:dyDescent="0.25">
      <c r="A6551" t="s">
        <v>79</v>
      </c>
      <c r="B6551" t="s">
        <v>80</v>
      </c>
      <c r="C6551" t="s">
        <v>81</v>
      </c>
      <c r="D6551">
        <v>17747639</v>
      </c>
      <c r="E6551" t="s">
        <v>53</v>
      </c>
      <c r="F6551" t="s">
        <v>49</v>
      </c>
      <c r="G6551" s="30">
        <v>262982.35096788598</v>
      </c>
    </row>
    <row r="6552" spans="1:7" x14ac:dyDescent="0.25">
      <c r="A6552" t="s">
        <v>50</v>
      </c>
      <c r="B6552" t="s">
        <v>51</v>
      </c>
      <c r="C6552" t="s">
        <v>52</v>
      </c>
      <c r="D6552">
        <v>17747704</v>
      </c>
      <c r="E6552" t="s">
        <v>48</v>
      </c>
      <c r="F6552" t="s">
        <v>49</v>
      </c>
      <c r="G6552" s="30">
        <v>0</v>
      </c>
    </row>
    <row r="6553" spans="1:7" x14ac:dyDescent="0.25">
      <c r="A6553" t="s">
        <v>70</v>
      </c>
      <c r="B6553" t="s">
        <v>71</v>
      </c>
      <c r="C6553" t="s">
        <v>47</v>
      </c>
      <c r="D6553">
        <v>17752925</v>
      </c>
      <c r="E6553" t="s">
        <v>53</v>
      </c>
      <c r="F6553" t="s">
        <v>49</v>
      </c>
      <c r="G6553" s="30">
        <v>206069.56554138</v>
      </c>
    </row>
    <row r="6554" spans="1:7" x14ac:dyDescent="0.25">
      <c r="A6554" t="s">
        <v>106</v>
      </c>
      <c r="B6554" t="s">
        <v>107</v>
      </c>
      <c r="C6554" t="s">
        <v>56</v>
      </c>
      <c r="D6554">
        <v>17753296</v>
      </c>
      <c r="E6554" t="s">
        <v>53</v>
      </c>
      <c r="F6554" t="s">
        <v>49</v>
      </c>
      <c r="G6554" s="30">
        <v>187639.92372664099</v>
      </c>
    </row>
    <row r="6555" spans="1:7" x14ac:dyDescent="0.25">
      <c r="A6555" t="s">
        <v>54</v>
      </c>
      <c r="B6555" t="s">
        <v>55</v>
      </c>
      <c r="C6555" t="s">
        <v>56</v>
      </c>
      <c r="D6555">
        <v>17755684</v>
      </c>
      <c r="E6555" t="s">
        <v>53</v>
      </c>
      <c r="F6555" t="s">
        <v>49</v>
      </c>
      <c r="G6555" s="30">
        <v>35554.978126837101</v>
      </c>
    </row>
    <row r="6556" spans="1:7" x14ac:dyDescent="0.25">
      <c r="A6556" t="s">
        <v>45</v>
      </c>
      <c r="B6556" t="s">
        <v>46</v>
      </c>
      <c r="C6556" t="s">
        <v>47</v>
      </c>
      <c r="D6556">
        <v>17755772</v>
      </c>
      <c r="E6556" t="s">
        <v>48</v>
      </c>
      <c r="F6556" t="s">
        <v>49</v>
      </c>
      <c r="G6556" s="30">
        <v>0.99</v>
      </c>
    </row>
    <row r="6557" spans="1:7" x14ac:dyDescent="0.25">
      <c r="A6557" t="s">
        <v>50</v>
      </c>
      <c r="B6557" t="s">
        <v>51</v>
      </c>
      <c r="C6557" t="s">
        <v>52</v>
      </c>
      <c r="D6557">
        <v>17756187</v>
      </c>
      <c r="E6557" t="s">
        <v>53</v>
      </c>
      <c r="F6557" t="s">
        <v>49</v>
      </c>
      <c r="G6557" s="30">
        <v>18018.168015118601</v>
      </c>
    </row>
    <row r="6558" spans="1:7" x14ac:dyDescent="0.25">
      <c r="A6558" t="s">
        <v>70</v>
      </c>
      <c r="B6558" t="s">
        <v>71</v>
      </c>
      <c r="C6558" t="s">
        <v>47</v>
      </c>
      <c r="D6558">
        <v>17757241</v>
      </c>
      <c r="E6558" t="s">
        <v>53</v>
      </c>
      <c r="F6558" t="s">
        <v>49</v>
      </c>
      <c r="G6558" s="30">
        <v>99831.753751861004</v>
      </c>
    </row>
    <row r="6559" spans="1:7" x14ac:dyDescent="0.25">
      <c r="A6559" t="s">
        <v>106</v>
      </c>
      <c r="B6559" t="s">
        <v>107</v>
      </c>
      <c r="C6559" t="s">
        <v>56</v>
      </c>
      <c r="D6559">
        <v>17757302</v>
      </c>
      <c r="E6559" t="s">
        <v>53</v>
      </c>
      <c r="F6559" t="s">
        <v>49</v>
      </c>
      <c r="G6559" s="30">
        <v>187831.08739358201</v>
      </c>
    </row>
    <row r="6560" spans="1:7" x14ac:dyDescent="0.25">
      <c r="A6560" t="s">
        <v>94</v>
      </c>
      <c r="B6560" t="s">
        <v>95</v>
      </c>
      <c r="C6560" t="s">
        <v>78</v>
      </c>
      <c r="D6560">
        <v>17761173</v>
      </c>
      <c r="E6560" t="s">
        <v>48</v>
      </c>
      <c r="F6560" t="s">
        <v>49</v>
      </c>
      <c r="G6560" s="30">
        <v>0</v>
      </c>
    </row>
    <row r="6561" spans="1:7" x14ac:dyDescent="0.25">
      <c r="A6561" t="s">
        <v>133</v>
      </c>
      <c r="B6561" t="s">
        <v>134</v>
      </c>
      <c r="C6561" t="s">
        <v>47</v>
      </c>
      <c r="D6561">
        <v>17765805</v>
      </c>
      <c r="E6561" t="s">
        <v>48</v>
      </c>
      <c r="F6561" t="s">
        <v>49</v>
      </c>
      <c r="G6561" s="30">
        <v>0</v>
      </c>
    </row>
    <row r="6562" spans="1:7" x14ac:dyDescent="0.25">
      <c r="A6562" t="s">
        <v>79</v>
      </c>
      <c r="B6562" t="s">
        <v>80</v>
      </c>
      <c r="C6562" t="s">
        <v>81</v>
      </c>
      <c r="D6562">
        <v>17766142</v>
      </c>
      <c r="E6562" t="s">
        <v>53</v>
      </c>
      <c r="F6562" t="s">
        <v>49</v>
      </c>
      <c r="G6562" s="30">
        <v>95541.061120938</v>
      </c>
    </row>
    <row r="6563" spans="1:7" x14ac:dyDescent="0.25">
      <c r="A6563" t="s">
        <v>106</v>
      </c>
      <c r="B6563" t="s">
        <v>107</v>
      </c>
      <c r="C6563" t="s">
        <v>56</v>
      </c>
      <c r="D6563">
        <v>17766563</v>
      </c>
      <c r="E6563" t="s">
        <v>53</v>
      </c>
      <c r="F6563" t="s">
        <v>49</v>
      </c>
      <c r="G6563" s="30">
        <v>390346.351439305</v>
      </c>
    </row>
    <row r="6564" spans="1:7" x14ac:dyDescent="0.25">
      <c r="A6564" t="s">
        <v>94</v>
      </c>
      <c r="B6564" t="s">
        <v>95</v>
      </c>
      <c r="C6564" t="s">
        <v>78</v>
      </c>
      <c r="D6564">
        <v>17767408</v>
      </c>
      <c r="E6564" t="s">
        <v>53</v>
      </c>
      <c r="F6564" t="s">
        <v>49</v>
      </c>
      <c r="G6564" s="30">
        <v>20545.939999999999</v>
      </c>
    </row>
    <row r="6565" spans="1:7" x14ac:dyDescent="0.25">
      <c r="A6565" t="s">
        <v>122</v>
      </c>
      <c r="B6565" t="s">
        <v>123</v>
      </c>
      <c r="C6565" t="s">
        <v>52</v>
      </c>
      <c r="D6565">
        <v>17770675</v>
      </c>
      <c r="E6565" t="s">
        <v>48</v>
      </c>
      <c r="F6565" t="s">
        <v>49</v>
      </c>
      <c r="G6565" s="30">
        <v>0</v>
      </c>
    </row>
    <row r="6566" spans="1:7" x14ac:dyDescent="0.25">
      <c r="A6566" t="s">
        <v>45</v>
      </c>
      <c r="B6566" t="s">
        <v>46</v>
      </c>
      <c r="C6566" t="s">
        <v>47</v>
      </c>
      <c r="D6566">
        <v>17770693</v>
      </c>
      <c r="E6566" t="s">
        <v>48</v>
      </c>
      <c r="F6566" t="s">
        <v>49</v>
      </c>
      <c r="G6566" s="30">
        <v>0</v>
      </c>
    </row>
    <row r="6567" spans="1:7" x14ac:dyDescent="0.25">
      <c r="A6567" t="s">
        <v>146</v>
      </c>
      <c r="B6567" t="s">
        <v>147</v>
      </c>
      <c r="C6567" t="s">
        <v>56</v>
      </c>
      <c r="D6567">
        <v>17772126</v>
      </c>
      <c r="E6567" t="s">
        <v>48</v>
      </c>
      <c r="F6567" t="s">
        <v>49</v>
      </c>
      <c r="G6567" s="30">
        <v>0</v>
      </c>
    </row>
    <row r="6568" spans="1:7" x14ac:dyDescent="0.25">
      <c r="A6568" t="s">
        <v>50</v>
      </c>
      <c r="B6568" t="s">
        <v>51</v>
      </c>
      <c r="C6568" t="s">
        <v>52</v>
      </c>
      <c r="D6568">
        <v>17772392</v>
      </c>
      <c r="E6568" t="s">
        <v>53</v>
      </c>
      <c r="F6568" t="s">
        <v>49</v>
      </c>
      <c r="G6568" s="30">
        <v>188.14000244140601</v>
      </c>
    </row>
    <row r="6569" spans="1:7" x14ac:dyDescent="0.25">
      <c r="A6569" t="s">
        <v>133</v>
      </c>
      <c r="B6569" t="s">
        <v>134</v>
      </c>
      <c r="C6569" t="s">
        <v>47</v>
      </c>
      <c r="D6569">
        <v>17773254</v>
      </c>
      <c r="E6569" t="s">
        <v>48</v>
      </c>
      <c r="F6569" t="s">
        <v>49</v>
      </c>
      <c r="G6569" s="30">
        <v>0</v>
      </c>
    </row>
    <row r="6570" spans="1:7" x14ac:dyDescent="0.25">
      <c r="A6570" t="s">
        <v>57</v>
      </c>
      <c r="B6570" t="s">
        <v>58</v>
      </c>
      <c r="C6570" t="s">
        <v>56</v>
      </c>
      <c r="D6570">
        <v>17774939</v>
      </c>
      <c r="E6570" t="s">
        <v>53</v>
      </c>
      <c r="F6570" t="s">
        <v>49</v>
      </c>
      <c r="G6570" s="30">
        <v>95943.923284318895</v>
      </c>
    </row>
    <row r="6571" spans="1:7" x14ac:dyDescent="0.25">
      <c r="A6571" t="s">
        <v>90</v>
      </c>
      <c r="B6571" t="s">
        <v>91</v>
      </c>
      <c r="C6571" t="s">
        <v>81</v>
      </c>
      <c r="D6571">
        <v>17779840</v>
      </c>
      <c r="E6571" t="s">
        <v>53</v>
      </c>
      <c r="F6571" t="s">
        <v>49</v>
      </c>
      <c r="G6571" s="30">
        <v>176820.03522235801</v>
      </c>
    </row>
    <row r="6572" spans="1:7" x14ac:dyDescent="0.25">
      <c r="A6572" t="s">
        <v>102</v>
      </c>
      <c r="B6572" t="s">
        <v>103</v>
      </c>
      <c r="C6572" t="s">
        <v>47</v>
      </c>
      <c r="D6572">
        <v>17786293</v>
      </c>
      <c r="E6572" t="s">
        <v>53</v>
      </c>
      <c r="F6572" t="s">
        <v>49</v>
      </c>
      <c r="G6572" s="30">
        <v>91942.6768156201</v>
      </c>
    </row>
    <row r="6573" spans="1:7" x14ac:dyDescent="0.25">
      <c r="A6573" t="s">
        <v>92</v>
      </c>
      <c r="B6573" t="s">
        <v>93</v>
      </c>
      <c r="C6573" t="s">
        <v>81</v>
      </c>
      <c r="D6573">
        <v>17788779</v>
      </c>
      <c r="E6573" t="s">
        <v>53</v>
      </c>
      <c r="F6573" t="s">
        <v>49</v>
      </c>
      <c r="G6573" s="30">
        <v>2324.3671898420698</v>
      </c>
    </row>
    <row r="6574" spans="1:7" x14ac:dyDescent="0.25">
      <c r="A6574" t="s">
        <v>50</v>
      </c>
      <c r="B6574" t="s">
        <v>51</v>
      </c>
      <c r="C6574" t="s">
        <v>52</v>
      </c>
      <c r="D6574">
        <v>17789745</v>
      </c>
      <c r="E6574" t="s">
        <v>48</v>
      </c>
      <c r="F6574" t="s">
        <v>49</v>
      </c>
      <c r="G6574" s="30">
        <v>0</v>
      </c>
    </row>
    <row r="6575" spans="1:7" x14ac:dyDescent="0.25">
      <c r="A6575" t="s">
        <v>106</v>
      </c>
      <c r="B6575" t="s">
        <v>107</v>
      </c>
      <c r="C6575" t="s">
        <v>56</v>
      </c>
      <c r="D6575">
        <v>17791287</v>
      </c>
      <c r="E6575" t="s">
        <v>53</v>
      </c>
      <c r="F6575" t="s">
        <v>49</v>
      </c>
      <c r="G6575" s="30">
        <v>279206.43957521301</v>
      </c>
    </row>
    <row r="6576" spans="1:7" x14ac:dyDescent="0.25">
      <c r="A6576" t="s">
        <v>79</v>
      </c>
      <c r="B6576" t="s">
        <v>80</v>
      </c>
      <c r="C6576" t="s">
        <v>81</v>
      </c>
      <c r="D6576">
        <v>17798631</v>
      </c>
      <c r="E6576" t="s">
        <v>53</v>
      </c>
      <c r="F6576" t="s">
        <v>49</v>
      </c>
      <c r="G6576" s="30">
        <v>22541.379047826202</v>
      </c>
    </row>
    <row r="6577" spans="1:7" x14ac:dyDescent="0.25">
      <c r="A6577" t="s">
        <v>79</v>
      </c>
      <c r="B6577" t="s">
        <v>80</v>
      </c>
      <c r="C6577" t="s">
        <v>81</v>
      </c>
      <c r="D6577">
        <v>17798672</v>
      </c>
      <c r="E6577" t="s">
        <v>53</v>
      </c>
      <c r="F6577" t="s">
        <v>49</v>
      </c>
      <c r="G6577" s="30">
        <v>44419.141542756202</v>
      </c>
    </row>
    <row r="6578" spans="1:7" x14ac:dyDescent="0.25">
      <c r="A6578" t="s">
        <v>128</v>
      </c>
      <c r="B6578" t="s">
        <v>129</v>
      </c>
      <c r="C6578" t="s">
        <v>130</v>
      </c>
      <c r="D6578">
        <v>17798705</v>
      </c>
      <c r="E6578" t="s">
        <v>53</v>
      </c>
      <c r="F6578" t="s">
        <v>49</v>
      </c>
      <c r="G6578" s="30">
        <v>1157645.57422612</v>
      </c>
    </row>
    <row r="6579" spans="1:7" x14ac:dyDescent="0.25">
      <c r="A6579" t="s">
        <v>118</v>
      </c>
      <c r="B6579" t="s">
        <v>119</v>
      </c>
      <c r="C6579" t="s">
        <v>56</v>
      </c>
      <c r="D6579">
        <v>17800422</v>
      </c>
      <c r="E6579" t="s">
        <v>53</v>
      </c>
      <c r="F6579" t="s">
        <v>49</v>
      </c>
      <c r="G6579" s="30">
        <v>185684.86283835</v>
      </c>
    </row>
    <row r="6580" spans="1:7" x14ac:dyDescent="0.25">
      <c r="A6580" t="s">
        <v>54</v>
      </c>
      <c r="B6580" t="s">
        <v>55</v>
      </c>
      <c r="C6580" t="s">
        <v>56</v>
      </c>
      <c r="D6580">
        <v>17803274</v>
      </c>
      <c r="E6580" t="s">
        <v>53</v>
      </c>
      <c r="F6580" t="s">
        <v>49</v>
      </c>
      <c r="G6580" s="30">
        <v>7577.5304532315604</v>
      </c>
    </row>
    <row r="6581" spans="1:7" x14ac:dyDescent="0.25">
      <c r="A6581" t="s">
        <v>63</v>
      </c>
      <c r="B6581" t="s">
        <v>64</v>
      </c>
      <c r="C6581" t="s">
        <v>56</v>
      </c>
      <c r="D6581">
        <v>17807236</v>
      </c>
      <c r="E6581" t="s">
        <v>53</v>
      </c>
      <c r="F6581" t="s">
        <v>49</v>
      </c>
      <c r="G6581" s="30">
        <v>19829.970703125</v>
      </c>
    </row>
    <row r="6582" spans="1:7" x14ac:dyDescent="0.25">
      <c r="A6582" t="s">
        <v>45</v>
      </c>
      <c r="B6582" t="s">
        <v>46</v>
      </c>
      <c r="C6582" t="s">
        <v>47</v>
      </c>
      <c r="D6582">
        <v>17809362</v>
      </c>
      <c r="E6582" t="s">
        <v>48</v>
      </c>
      <c r="F6582" t="s">
        <v>49</v>
      </c>
      <c r="G6582" s="30">
        <v>0</v>
      </c>
    </row>
    <row r="6583" spans="1:7" x14ac:dyDescent="0.25">
      <c r="A6583" t="s">
        <v>92</v>
      </c>
      <c r="B6583" t="s">
        <v>93</v>
      </c>
      <c r="C6583" t="s">
        <v>81</v>
      </c>
      <c r="D6583">
        <v>17809761</v>
      </c>
      <c r="E6583" t="s">
        <v>48</v>
      </c>
      <c r="F6583" t="s">
        <v>49</v>
      </c>
      <c r="G6583" s="30">
        <v>0</v>
      </c>
    </row>
    <row r="6584" spans="1:7" x14ac:dyDescent="0.25">
      <c r="A6584" t="s">
        <v>54</v>
      </c>
      <c r="B6584" t="s">
        <v>55</v>
      </c>
      <c r="C6584" t="s">
        <v>56</v>
      </c>
      <c r="D6584">
        <v>17824376</v>
      </c>
      <c r="E6584" t="s">
        <v>53</v>
      </c>
      <c r="F6584" t="s">
        <v>49</v>
      </c>
      <c r="G6584" s="30">
        <v>240126.78179208201</v>
      </c>
    </row>
    <row r="6585" spans="1:7" x14ac:dyDescent="0.25">
      <c r="A6585" t="s">
        <v>54</v>
      </c>
      <c r="B6585" t="s">
        <v>55</v>
      </c>
      <c r="C6585" t="s">
        <v>56</v>
      </c>
      <c r="D6585">
        <v>17824470</v>
      </c>
      <c r="E6585" t="s">
        <v>48</v>
      </c>
      <c r="F6585" t="s">
        <v>49</v>
      </c>
      <c r="G6585" s="30">
        <v>0</v>
      </c>
    </row>
    <row r="6586" spans="1:7" x14ac:dyDescent="0.25">
      <c r="A6586" t="s">
        <v>98</v>
      </c>
      <c r="B6586" t="s">
        <v>99</v>
      </c>
      <c r="C6586" t="s">
        <v>81</v>
      </c>
      <c r="D6586">
        <v>17826161</v>
      </c>
      <c r="E6586" t="s">
        <v>53</v>
      </c>
      <c r="F6586" t="s">
        <v>49</v>
      </c>
      <c r="G6586" s="30">
        <v>78407.802734375</v>
      </c>
    </row>
    <row r="6587" spans="1:7" x14ac:dyDescent="0.25">
      <c r="A6587" t="s">
        <v>45</v>
      </c>
      <c r="B6587" t="s">
        <v>46</v>
      </c>
      <c r="C6587" t="s">
        <v>47</v>
      </c>
      <c r="D6587">
        <v>17829590</v>
      </c>
      <c r="E6587" t="s">
        <v>48</v>
      </c>
      <c r="F6587" t="s">
        <v>49</v>
      </c>
      <c r="G6587" s="30">
        <v>0</v>
      </c>
    </row>
    <row r="6588" spans="1:7" x14ac:dyDescent="0.25">
      <c r="A6588" t="s">
        <v>112</v>
      </c>
      <c r="B6588" t="s">
        <v>113</v>
      </c>
      <c r="C6588" t="s">
        <v>81</v>
      </c>
      <c r="D6588">
        <v>17832393</v>
      </c>
      <c r="E6588" t="s">
        <v>53</v>
      </c>
      <c r="F6588" t="s">
        <v>49</v>
      </c>
      <c r="G6588" s="30">
        <v>5933.8738735368897</v>
      </c>
    </row>
    <row r="6589" spans="1:7" x14ac:dyDescent="0.25">
      <c r="A6589" t="s">
        <v>112</v>
      </c>
      <c r="B6589" t="s">
        <v>113</v>
      </c>
      <c r="C6589" t="s">
        <v>81</v>
      </c>
      <c r="D6589">
        <v>17834150</v>
      </c>
      <c r="E6589" t="s">
        <v>53</v>
      </c>
      <c r="F6589" t="s">
        <v>49</v>
      </c>
      <c r="G6589" s="30">
        <v>1479075.16431581</v>
      </c>
    </row>
    <row r="6590" spans="1:7" x14ac:dyDescent="0.25">
      <c r="A6590" t="s">
        <v>63</v>
      </c>
      <c r="B6590" t="s">
        <v>64</v>
      </c>
      <c r="C6590" t="s">
        <v>56</v>
      </c>
      <c r="D6590">
        <v>17834515</v>
      </c>
      <c r="E6590" t="s">
        <v>53</v>
      </c>
      <c r="F6590" t="s">
        <v>49</v>
      </c>
      <c r="G6590" s="30">
        <v>211569.96898629601</v>
      </c>
    </row>
    <row r="6591" spans="1:7" x14ac:dyDescent="0.25">
      <c r="A6591" t="s">
        <v>63</v>
      </c>
      <c r="B6591" t="s">
        <v>64</v>
      </c>
      <c r="C6591" t="s">
        <v>56</v>
      </c>
      <c r="D6591">
        <v>17834566</v>
      </c>
      <c r="E6591" t="s">
        <v>53</v>
      </c>
      <c r="F6591" t="s">
        <v>49</v>
      </c>
      <c r="G6591" s="30">
        <v>211481.45980943201</v>
      </c>
    </row>
    <row r="6592" spans="1:7" x14ac:dyDescent="0.25">
      <c r="A6592" t="s">
        <v>114</v>
      </c>
      <c r="B6592" t="s">
        <v>115</v>
      </c>
      <c r="C6592" t="s">
        <v>56</v>
      </c>
      <c r="D6592">
        <v>17835264</v>
      </c>
      <c r="E6592" t="s">
        <v>53</v>
      </c>
      <c r="F6592" t="s">
        <v>49</v>
      </c>
      <c r="G6592" s="30">
        <v>206646.36046875</v>
      </c>
    </row>
    <row r="6593" spans="1:7" x14ac:dyDescent="0.25">
      <c r="A6593" t="s">
        <v>92</v>
      </c>
      <c r="B6593" t="s">
        <v>93</v>
      </c>
      <c r="C6593" t="s">
        <v>81</v>
      </c>
      <c r="D6593">
        <v>17835927</v>
      </c>
      <c r="E6593" t="s">
        <v>53</v>
      </c>
      <c r="F6593" t="s">
        <v>49</v>
      </c>
      <c r="G6593" s="30">
        <v>10577.1113097375</v>
      </c>
    </row>
    <row r="6594" spans="1:7" x14ac:dyDescent="0.25">
      <c r="A6594" t="s">
        <v>45</v>
      </c>
      <c r="B6594" t="s">
        <v>46</v>
      </c>
      <c r="C6594" t="s">
        <v>47</v>
      </c>
      <c r="D6594">
        <v>17837440</v>
      </c>
      <c r="E6594" t="s">
        <v>48</v>
      </c>
      <c r="F6594" t="s">
        <v>49</v>
      </c>
      <c r="G6594" s="30">
        <v>0</v>
      </c>
    </row>
    <row r="6595" spans="1:7" x14ac:dyDescent="0.25">
      <c r="A6595" t="s">
        <v>100</v>
      </c>
      <c r="B6595" t="s">
        <v>101</v>
      </c>
      <c r="C6595" t="s">
        <v>52</v>
      </c>
      <c r="D6595">
        <v>17845862</v>
      </c>
      <c r="E6595" t="s">
        <v>48</v>
      </c>
      <c r="F6595" t="s">
        <v>49</v>
      </c>
      <c r="G6595" s="30">
        <v>50</v>
      </c>
    </row>
    <row r="6596" spans="1:7" x14ac:dyDescent="0.25">
      <c r="A6596" t="s">
        <v>116</v>
      </c>
      <c r="B6596" t="s">
        <v>117</v>
      </c>
      <c r="C6596" t="s">
        <v>47</v>
      </c>
      <c r="D6596">
        <v>17847920</v>
      </c>
      <c r="E6596" t="s">
        <v>53</v>
      </c>
      <c r="F6596" t="s">
        <v>49</v>
      </c>
      <c r="G6596" s="30">
        <v>109623.886164722</v>
      </c>
    </row>
    <row r="6597" spans="1:7" x14ac:dyDescent="0.25">
      <c r="A6597" t="s">
        <v>86</v>
      </c>
      <c r="B6597" t="s">
        <v>87</v>
      </c>
      <c r="C6597" t="s">
        <v>78</v>
      </c>
      <c r="D6597">
        <v>17848248</v>
      </c>
      <c r="E6597" t="s">
        <v>53</v>
      </c>
      <c r="F6597" t="s">
        <v>49</v>
      </c>
      <c r="G6597" s="30">
        <v>665569.34415479202</v>
      </c>
    </row>
    <row r="6598" spans="1:7" x14ac:dyDescent="0.25">
      <c r="A6598" t="s">
        <v>50</v>
      </c>
      <c r="B6598" t="s">
        <v>51</v>
      </c>
      <c r="C6598" t="s">
        <v>52</v>
      </c>
      <c r="D6598">
        <v>17849257</v>
      </c>
      <c r="E6598" t="s">
        <v>48</v>
      </c>
      <c r="F6598" t="s">
        <v>49</v>
      </c>
      <c r="G6598" s="30">
        <v>0</v>
      </c>
    </row>
    <row r="6599" spans="1:7" x14ac:dyDescent="0.25">
      <c r="A6599" t="s">
        <v>122</v>
      </c>
      <c r="B6599" t="s">
        <v>123</v>
      </c>
      <c r="C6599" t="s">
        <v>52</v>
      </c>
      <c r="D6599">
        <v>17852043</v>
      </c>
      <c r="E6599" t="s">
        <v>53</v>
      </c>
      <c r="F6599" t="s">
        <v>49</v>
      </c>
      <c r="G6599" s="30">
        <v>590.66858754286102</v>
      </c>
    </row>
    <row r="6600" spans="1:7" x14ac:dyDescent="0.25">
      <c r="A6600" t="s">
        <v>92</v>
      </c>
      <c r="B6600" t="s">
        <v>93</v>
      </c>
      <c r="C6600" t="s">
        <v>81</v>
      </c>
      <c r="D6600">
        <v>17852375</v>
      </c>
      <c r="E6600" t="s">
        <v>48</v>
      </c>
      <c r="F6600" t="s">
        <v>49</v>
      </c>
      <c r="G6600" s="30">
        <v>0</v>
      </c>
    </row>
    <row r="6601" spans="1:7" x14ac:dyDescent="0.25">
      <c r="A6601" t="s">
        <v>98</v>
      </c>
      <c r="B6601" t="s">
        <v>99</v>
      </c>
      <c r="C6601" t="s">
        <v>81</v>
      </c>
      <c r="D6601">
        <v>17852581</v>
      </c>
      <c r="E6601" t="s">
        <v>48</v>
      </c>
      <c r="F6601" t="s">
        <v>49</v>
      </c>
      <c r="G6601" s="30">
        <v>0</v>
      </c>
    </row>
    <row r="6602" spans="1:7" x14ac:dyDescent="0.25">
      <c r="A6602" t="s">
        <v>65</v>
      </c>
      <c r="B6602" t="s">
        <v>66</v>
      </c>
      <c r="C6602" t="s">
        <v>67</v>
      </c>
      <c r="D6602">
        <v>17852765</v>
      </c>
      <c r="E6602" t="s">
        <v>53</v>
      </c>
      <c r="F6602" t="s">
        <v>49</v>
      </c>
      <c r="G6602" s="30">
        <v>767919.19</v>
      </c>
    </row>
    <row r="6603" spans="1:7" x14ac:dyDescent="0.25">
      <c r="A6603" t="s">
        <v>128</v>
      </c>
      <c r="B6603" t="s">
        <v>129</v>
      </c>
      <c r="C6603" t="s">
        <v>130</v>
      </c>
      <c r="D6603">
        <v>17857991</v>
      </c>
      <c r="E6603" t="s">
        <v>48</v>
      </c>
      <c r="F6603" t="s">
        <v>49</v>
      </c>
      <c r="G6603" s="30">
        <v>0</v>
      </c>
    </row>
    <row r="6604" spans="1:7" x14ac:dyDescent="0.25">
      <c r="A6604" t="s">
        <v>70</v>
      </c>
      <c r="B6604" t="s">
        <v>71</v>
      </c>
      <c r="C6604" t="s">
        <v>47</v>
      </c>
      <c r="D6604">
        <v>17858807</v>
      </c>
      <c r="E6604" t="s">
        <v>53</v>
      </c>
      <c r="F6604" t="s">
        <v>49</v>
      </c>
      <c r="G6604" s="30">
        <v>43447.209523652498</v>
      </c>
    </row>
    <row r="6605" spans="1:7" x14ac:dyDescent="0.25">
      <c r="A6605" t="s">
        <v>45</v>
      </c>
      <c r="B6605" t="s">
        <v>46</v>
      </c>
      <c r="C6605" t="s">
        <v>47</v>
      </c>
      <c r="D6605">
        <v>17859036</v>
      </c>
      <c r="E6605" t="s">
        <v>53</v>
      </c>
      <c r="F6605" t="s">
        <v>49</v>
      </c>
      <c r="G6605" s="30">
        <v>15174.64</v>
      </c>
    </row>
    <row r="6606" spans="1:7" x14ac:dyDescent="0.25">
      <c r="A6606" t="s">
        <v>133</v>
      </c>
      <c r="B6606" t="s">
        <v>134</v>
      </c>
      <c r="C6606" t="s">
        <v>47</v>
      </c>
      <c r="D6606">
        <v>17865614</v>
      </c>
      <c r="E6606" t="s">
        <v>53</v>
      </c>
      <c r="F6606" t="s">
        <v>49</v>
      </c>
      <c r="G6606" s="30">
        <v>70601.119588995207</v>
      </c>
    </row>
    <row r="6607" spans="1:7" x14ac:dyDescent="0.25">
      <c r="A6607" t="s">
        <v>98</v>
      </c>
      <c r="B6607" t="s">
        <v>99</v>
      </c>
      <c r="C6607" t="s">
        <v>81</v>
      </c>
      <c r="D6607">
        <v>17865686</v>
      </c>
      <c r="E6607" t="s">
        <v>48</v>
      </c>
      <c r="F6607" t="s">
        <v>49</v>
      </c>
      <c r="G6607" s="30">
        <v>0</v>
      </c>
    </row>
    <row r="6608" spans="1:7" x14ac:dyDescent="0.25">
      <c r="A6608" t="s">
        <v>157</v>
      </c>
      <c r="B6608" t="s">
        <v>158</v>
      </c>
      <c r="C6608" t="s">
        <v>56</v>
      </c>
      <c r="D6608">
        <v>17866507</v>
      </c>
      <c r="E6608" t="s">
        <v>53</v>
      </c>
      <c r="F6608" t="s">
        <v>49</v>
      </c>
      <c r="G6608" s="30">
        <v>31696.747500000001</v>
      </c>
    </row>
    <row r="6609" spans="1:7" x14ac:dyDescent="0.25">
      <c r="A6609" t="s">
        <v>50</v>
      </c>
      <c r="B6609" t="s">
        <v>51</v>
      </c>
      <c r="C6609" t="s">
        <v>52</v>
      </c>
      <c r="D6609">
        <v>17876335</v>
      </c>
      <c r="E6609" t="s">
        <v>53</v>
      </c>
      <c r="F6609" t="s">
        <v>49</v>
      </c>
      <c r="G6609" s="30">
        <v>22736.0731276349</v>
      </c>
    </row>
    <row r="6610" spans="1:7" x14ac:dyDescent="0.25">
      <c r="A6610" t="s">
        <v>116</v>
      </c>
      <c r="B6610" t="s">
        <v>117</v>
      </c>
      <c r="C6610" t="s">
        <v>47</v>
      </c>
      <c r="D6610">
        <v>17876451</v>
      </c>
      <c r="E6610" t="s">
        <v>53</v>
      </c>
      <c r="F6610" t="s">
        <v>49</v>
      </c>
      <c r="G6610" s="30">
        <v>46496.8988708248</v>
      </c>
    </row>
    <row r="6611" spans="1:7" x14ac:dyDescent="0.25">
      <c r="A6611" t="s">
        <v>45</v>
      </c>
      <c r="B6611" t="s">
        <v>46</v>
      </c>
      <c r="C6611" t="s">
        <v>47</v>
      </c>
      <c r="D6611">
        <v>17876792</v>
      </c>
      <c r="E6611" t="s">
        <v>48</v>
      </c>
      <c r="F6611" t="s">
        <v>49</v>
      </c>
      <c r="G6611" s="30">
        <v>0</v>
      </c>
    </row>
    <row r="6612" spans="1:7" x14ac:dyDescent="0.25">
      <c r="A6612" t="s">
        <v>54</v>
      </c>
      <c r="B6612" t="s">
        <v>55</v>
      </c>
      <c r="C6612" t="s">
        <v>56</v>
      </c>
      <c r="D6612">
        <v>17888788</v>
      </c>
      <c r="E6612" t="s">
        <v>53</v>
      </c>
      <c r="F6612" t="s">
        <v>49</v>
      </c>
      <c r="G6612" s="30">
        <v>53328.079618556898</v>
      </c>
    </row>
    <row r="6613" spans="1:7" x14ac:dyDescent="0.25">
      <c r="A6613" t="s">
        <v>54</v>
      </c>
      <c r="B6613" t="s">
        <v>55</v>
      </c>
      <c r="C6613" t="s">
        <v>56</v>
      </c>
      <c r="D6613">
        <v>17888958</v>
      </c>
      <c r="E6613" t="s">
        <v>53</v>
      </c>
      <c r="F6613" t="s">
        <v>49</v>
      </c>
      <c r="G6613" s="30">
        <v>28299.6085161882</v>
      </c>
    </row>
    <row r="6614" spans="1:7" x14ac:dyDescent="0.25">
      <c r="A6614" t="s">
        <v>79</v>
      </c>
      <c r="B6614" t="s">
        <v>80</v>
      </c>
      <c r="C6614" t="s">
        <v>81</v>
      </c>
      <c r="D6614">
        <v>17893209</v>
      </c>
      <c r="E6614" t="s">
        <v>53</v>
      </c>
      <c r="F6614" t="s">
        <v>49</v>
      </c>
      <c r="G6614" s="30">
        <v>225504.971481074</v>
      </c>
    </row>
    <row r="6615" spans="1:7" x14ac:dyDescent="0.25">
      <c r="A6615" t="s">
        <v>133</v>
      </c>
      <c r="B6615" t="s">
        <v>134</v>
      </c>
      <c r="C6615" t="s">
        <v>47</v>
      </c>
      <c r="D6615">
        <v>17893636</v>
      </c>
      <c r="E6615" t="s">
        <v>48</v>
      </c>
      <c r="F6615" t="s">
        <v>49</v>
      </c>
      <c r="G6615" s="30">
        <v>0</v>
      </c>
    </row>
    <row r="6616" spans="1:7" x14ac:dyDescent="0.25">
      <c r="A6616" t="s">
        <v>50</v>
      </c>
      <c r="B6616" t="s">
        <v>51</v>
      </c>
      <c r="C6616" t="s">
        <v>52</v>
      </c>
      <c r="D6616">
        <v>17896850</v>
      </c>
      <c r="E6616" t="s">
        <v>53</v>
      </c>
      <c r="F6616" t="s">
        <v>49</v>
      </c>
      <c r="G6616" s="30">
        <v>1046.43982333548</v>
      </c>
    </row>
    <row r="6617" spans="1:7" x14ac:dyDescent="0.25">
      <c r="A6617" t="s">
        <v>86</v>
      </c>
      <c r="B6617" t="s">
        <v>87</v>
      </c>
      <c r="C6617" t="s">
        <v>78</v>
      </c>
      <c r="D6617">
        <v>17898796</v>
      </c>
      <c r="E6617" t="s">
        <v>53</v>
      </c>
      <c r="F6617" t="s">
        <v>49</v>
      </c>
      <c r="G6617" s="30">
        <v>1279518.1640625</v>
      </c>
    </row>
    <row r="6618" spans="1:7" x14ac:dyDescent="0.25">
      <c r="A6618" t="s">
        <v>118</v>
      </c>
      <c r="B6618" t="s">
        <v>119</v>
      </c>
      <c r="C6618" t="s">
        <v>56</v>
      </c>
      <c r="D6618">
        <v>17898893</v>
      </c>
      <c r="E6618" t="s">
        <v>53</v>
      </c>
      <c r="F6618" t="s">
        <v>49</v>
      </c>
      <c r="G6618" s="30">
        <v>118004.108386272</v>
      </c>
    </row>
    <row r="6619" spans="1:7" x14ac:dyDescent="0.25">
      <c r="A6619" t="s">
        <v>45</v>
      </c>
      <c r="B6619" t="s">
        <v>46</v>
      </c>
      <c r="C6619" t="s">
        <v>47</v>
      </c>
      <c r="D6619">
        <v>17901163</v>
      </c>
      <c r="E6619" t="s">
        <v>48</v>
      </c>
      <c r="F6619" t="s">
        <v>49</v>
      </c>
      <c r="G6619" s="30">
        <v>0</v>
      </c>
    </row>
    <row r="6620" spans="1:7" x14ac:dyDescent="0.25">
      <c r="A6620" t="s">
        <v>45</v>
      </c>
      <c r="B6620" t="s">
        <v>46</v>
      </c>
      <c r="C6620" t="s">
        <v>47</v>
      </c>
      <c r="D6620">
        <v>17901795</v>
      </c>
      <c r="E6620" t="s">
        <v>48</v>
      </c>
      <c r="F6620" t="s">
        <v>49</v>
      </c>
      <c r="G6620" s="30">
        <v>0</v>
      </c>
    </row>
    <row r="6621" spans="1:7" x14ac:dyDescent="0.25">
      <c r="A6621" t="s">
        <v>94</v>
      </c>
      <c r="B6621" t="s">
        <v>95</v>
      </c>
      <c r="C6621" t="s">
        <v>78</v>
      </c>
      <c r="D6621">
        <v>17908257</v>
      </c>
      <c r="E6621" t="s">
        <v>53</v>
      </c>
      <c r="F6621" t="s">
        <v>49</v>
      </c>
      <c r="G6621" s="30">
        <v>10523.120755352</v>
      </c>
    </row>
    <row r="6622" spans="1:7" x14ac:dyDescent="0.25">
      <c r="A6622" t="s">
        <v>98</v>
      </c>
      <c r="B6622" t="s">
        <v>99</v>
      </c>
      <c r="C6622" t="s">
        <v>81</v>
      </c>
      <c r="D6622">
        <v>17908832</v>
      </c>
      <c r="E6622" t="s">
        <v>53</v>
      </c>
      <c r="F6622" t="s">
        <v>49</v>
      </c>
      <c r="G6622" s="30">
        <v>82811.5</v>
      </c>
    </row>
    <row r="6623" spans="1:7" x14ac:dyDescent="0.25">
      <c r="A6623" t="s">
        <v>98</v>
      </c>
      <c r="B6623" t="s">
        <v>99</v>
      </c>
      <c r="C6623" t="s">
        <v>81</v>
      </c>
      <c r="D6623">
        <v>17909009</v>
      </c>
      <c r="E6623" t="s">
        <v>53</v>
      </c>
      <c r="F6623" t="s">
        <v>49</v>
      </c>
      <c r="G6623" s="30">
        <v>8730849.6649999991</v>
      </c>
    </row>
    <row r="6624" spans="1:7" x14ac:dyDescent="0.25">
      <c r="A6624" t="s">
        <v>45</v>
      </c>
      <c r="B6624" t="s">
        <v>46</v>
      </c>
      <c r="C6624" t="s">
        <v>47</v>
      </c>
      <c r="D6624">
        <v>17909470</v>
      </c>
      <c r="E6624" t="s">
        <v>48</v>
      </c>
      <c r="F6624" t="s">
        <v>49</v>
      </c>
      <c r="G6624" s="30">
        <v>0</v>
      </c>
    </row>
    <row r="6625" spans="1:7" x14ac:dyDescent="0.25">
      <c r="A6625" t="s">
        <v>86</v>
      </c>
      <c r="B6625" t="s">
        <v>87</v>
      </c>
      <c r="C6625" t="s">
        <v>78</v>
      </c>
      <c r="D6625">
        <v>17909503</v>
      </c>
      <c r="E6625" t="s">
        <v>53</v>
      </c>
      <c r="F6625" t="s">
        <v>49</v>
      </c>
      <c r="G6625" s="30">
        <v>329714.92110413499</v>
      </c>
    </row>
    <row r="6626" spans="1:7" x14ac:dyDescent="0.25">
      <c r="A6626" t="s">
        <v>61</v>
      </c>
      <c r="B6626" t="s">
        <v>62</v>
      </c>
      <c r="C6626" t="s">
        <v>56</v>
      </c>
      <c r="D6626">
        <v>17913650</v>
      </c>
      <c r="E6626" t="s">
        <v>53</v>
      </c>
      <c r="F6626" t="s">
        <v>49</v>
      </c>
      <c r="G6626" s="30">
        <v>108866.22201080099</v>
      </c>
    </row>
    <row r="6627" spans="1:7" x14ac:dyDescent="0.25">
      <c r="A6627" t="s">
        <v>98</v>
      </c>
      <c r="B6627" t="s">
        <v>99</v>
      </c>
      <c r="C6627" t="s">
        <v>81</v>
      </c>
      <c r="D6627">
        <v>17916109</v>
      </c>
      <c r="E6627" t="s">
        <v>53</v>
      </c>
      <c r="F6627" t="s">
        <v>49</v>
      </c>
      <c r="G6627" s="30">
        <v>293276.45212938997</v>
      </c>
    </row>
    <row r="6628" spans="1:7" x14ac:dyDescent="0.25">
      <c r="A6628" t="s">
        <v>88</v>
      </c>
      <c r="B6628" t="s">
        <v>89</v>
      </c>
      <c r="C6628" t="s">
        <v>78</v>
      </c>
      <c r="D6628">
        <v>17917791</v>
      </c>
      <c r="E6628" t="s">
        <v>53</v>
      </c>
      <c r="F6628" t="s">
        <v>49</v>
      </c>
      <c r="G6628" s="30">
        <v>118744.872374055</v>
      </c>
    </row>
    <row r="6629" spans="1:7" x14ac:dyDescent="0.25">
      <c r="A6629" t="s">
        <v>124</v>
      </c>
      <c r="B6629" t="s">
        <v>125</v>
      </c>
      <c r="C6629" t="s">
        <v>78</v>
      </c>
      <c r="D6629">
        <v>17920498</v>
      </c>
      <c r="E6629" t="s">
        <v>53</v>
      </c>
      <c r="F6629" t="s">
        <v>49</v>
      </c>
      <c r="G6629" s="30">
        <v>3015.1018765108302</v>
      </c>
    </row>
    <row r="6630" spans="1:7" x14ac:dyDescent="0.25">
      <c r="A6630" t="s">
        <v>98</v>
      </c>
      <c r="B6630" t="s">
        <v>99</v>
      </c>
      <c r="C6630" t="s">
        <v>81</v>
      </c>
      <c r="D6630">
        <v>17928236</v>
      </c>
      <c r="E6630" t="s">
        <v>48</v>
      </c>
      <c r="F6630" t="s">
        <v>49</v>
      </c>
      <c r="G6630" s="30">
        <v>0</v>
      </c>
    </row>
    <row r="6631" spans="1:7" x14ac:dyDescent="0.25">
      <c r="A6631" t="s">
        <v>79</v>
      </c>
      <c r="B6631" t="s">
        <v>80</v>
      </c>
      <c r="C6631" t="s">
        <v>81</v>
      </c>
      <c r="D6631">
        <v>17929617</v>
      </c>
      <c r="E6631" t="s">
        <v>53</v>
      </c>
      <c r="F6631" t="s">
        <v>49</v>
      </c>
      <c r="G6631" s="30">
        <v>3993.58</v>
      </c>
    </row>
    <row r="6632" spans="1:7" x14ac:dyDescent="0.25">
      <c r="A6632" t="s">
        <v>68</v>
      </c>
      <c r="B6632" t="s">
        <v>69</v>
      </c>
      <c r="C6632" t="s">
        <v>56</v>
      </c>
      <c r="D6632">
        <v>17930043</v>
      </c>
      <c r="E6632" t="s">
        <v>48</v>
      </c>
      <c r="F6632" t="s">
        <v>49</v>
      </c>
      <c r="G6632" s="30">
        <v>0</v>
      </c>
    </row>
    <row r="6633" spans="1:7" x14ac:dyDescent="0.25">
      <c r="A6633" t="s">
        <v>118</v>
      </c>
      <c r="B6633" t="s">
        <v>119</v>
      </c>
      <c r="C6633" t="s">
        <v>56</v>
      </c>
      <c r="D6633">
        <v>17933125</v>
      </c>
      <c r="E6633" t="s">
        <v>53</v>
      </c>
      <c r="F6633" t="s">
        <v>49</v>
      </c>
      <c r="G6633" s="30">
        <v>145485.163185579</v>
      </c>
    </row>
    <row r="6634" spans="1:7" x14ac:dyDescent="0.25">
      <c r="A6634" t="s">
        <v>45</v>
      </c>
      <c r="B6634" t="s">
        <v>46</v>
      </c>
      <c r="C6634" t="s">
        <v>47</v>
      </c>
      <c r="D6634">
        <v>17934007</v>
      </c>
      <c r="E6634" t="s">
        <v>48</v>
      </c>
      <c r="F6634" t="s">
        <v>49</v>
      </c>
      <c r="G6634" s="30">
        <v>0</v>
      </c>
    </row>
    <row r="6635" spans="1:7" x14ac:dyDescent="0.25">
      <c r="A6635" t="s">
        <v>50</v>
      </c>
      <c r="B6635" t="s">
        <v>51</v>
      </c>
      <c r="C6635" t="s">
        <v>52</v>
      </c>
      <c r="D6635">
        <v>17936222</v>
      </c>
      <c r="E6635" t="s">
        <v>53</v>
      </c>
      <c r="F6635" t="s">
        <v>49</v>
      </c>
      <c r="G6635" s="30">
        <v>6403.4895569661003</v>
      </c>
    </row>
    <row r="6636" spans="1:7" x14ac:dyDescent="0.25">
      <c r="A6636" t="s">
        <v>50</v>
      </c>
      <c r="B6636" t="s">
        <v>51</v>
      </c>
      <c r="C6636" t="s">
        <v>52</v>
      </c>
      <c r="D6636">
        <v>17936694</v>
      </c>
      <c r="E6636" t="s">
        <v>53</v>
      </c>
      <c r="F6636" t="s">
        <v>49</v>
      </c>
      <c r="G6636" s="30">
        <v>64938.113755987302</v>
      </c>
    </row>
    <row r="6637" spans="1:7" x14ac:dyDescent="0.25">
      <c r="A6637" t="s">
        <v>50</v>
      </c>
      <c r="B6637" t="s">
        <v>51</v>
      </c>
      <c r="C6637" t="s">
        <v>52</v>
      </c>
      <c r="D6637">
        <v>17940127</v>
      </c>
      <c r="E6637" t="s">
        <v>53</v>
      </c>
      <c r="F6637" t="s">
        <v>49</v>
      </c>
      <c r="G6637" s="30">
        <v>252.17</v>
      </c>
    </row>
    <row r="6638" spans="1:7" x14ac:dyDescent="0.25">
      <c r="A6638" t="s">
        <v>74</v>
      </c>
      <c r="B6638" t="s">
        <v>75</v>
      </c>
      <c r="C6638" t="s">
        <v>67</v>
      </c>
      <c r="D6638">
        <v>17941023</v>
      </c>
      <c r="E6638" t="s">
        <v>53</v>
      </c>
      <c r="F6638" t="s">
        <v>49</v>
      </c>
      <c r="G6638" s="30">
        <v>547547.81562500005</v>
      </c>
    </row>
    <row r="6639" spans="1:7" x14ac:dyDescent="0.25">
      <c r="A6639" t="s">
        <v>96</v>
      </c>
      <c r="B6639" t="s">
        <v>97</v>
      </c>
      <c r="C6639" t="s">
        <v>81</v>
      </c>
      <c r="D6639">
        <v>17945610</v>
      </c>
      <c r="E6639" t="s">
        <v>48</v>
      </c>
      <c r="F6639" t="s">
        <v>49</v>
      </c>
      <c r="G6639" s="30">
        <v>0</v>
      </c>
    </row>
    <row r="6640" spans="1:7" x14ac:dyDescent="0.25">
      <c r="A6640" t="s">
        <v>100</v>
      </c>
      <c r="B6640" t="s">
        <v>101</v>
      </c>
      <c r="C6640" t="s">
        <v>52</v>
      </c>
      <c r="D6640">
        <v>17946474</v>
      </c>
      <c r="E6640" t="s">
        <v>53</v>
      </c>
      <c r="F6640" t="s">
        <v>49</v>
      </c>
      <c r="G6640" s="30">
        <v>8612.6192029634203</v>
      </c>
    </row>
    <row r="6641" spans="1:7" x14ac:dyDescent="0.25">
      <c r="A6641" t="s">
        <v>50</v>
      </c>
      <c r="B6641" t="s">
        <v>51</v>
      </c>
      <c r="C6641" t="s">
        <v>52</v>
      </c>
      <c r="D6641">
        <v>17948307</v>
      </c>
      <c r="E6641" t="s">
        <v>48</v>
      </c>
      <c r="F6641" t="s">
        <v>49</v>
      </c>
      <c r="G6641" s="30">
        <v>0</v>
      </c>
    </row>
    <row r="6642" spans="1:7" x14ac:dyDescent="0.25">
      <c r="A6642" t="s">
        <v>45</v>
      </c>
      <c r="B6642" t="s">
        <v>46</v>
      </c>
      <c r="C6642" t="s">
        <v>47</v>
      </c>
      <c r="D6642">
        <v>17951475</v>
      </c>
      <c r="E6642" t="s">
        <v>48</v>
      </c>
      <c r="F6642" t="s">
        <v>49</v>
      </c>
      <c r="G6642" s="30">
        <v>0</v>
      </c>
    </row>
    <row r="6643" spans="1:7" x14ac:dyDescent="0.25">
      <c r="A6643" t="s">
        <v>70</v>
      </c>
      <c r="B6643" t="s">
        <v>71</v>
      </c>
      <c r="C6643" t="s">
        <v>47</v>
      </c>
      <c r="D6643">
        <v>17956317</v>
      </c>
      <c r="E6643" t="s">
        <v>48</v>
      </c>
      <c r="F6643" t="s">
        <v>49</v>
      </c>
      <c r="G6643" s="30">
        <v>0</v>
      </c>
    </row>
    <row r="6644" spans="1:7" x14ac:dyDescent="0.25">
      <c r="A6644" t="s">
        <v>96</v>
      </c>
      <c r="B6644" t="s">
        <v>97</v>
      </c>
      <c r="C6644" t="s">
        <v>81</v>
      </c>
      <c r="D6644">
        <v>17957477</v>
      </c>
      <c r="E6644" t="s">
        <v>48</v>
      </c>
      <c r="F6644" t="s">
        <v>49</v>
      </c>
      <c r="G6644" s="30">
        <v>0</v>
      </c>
    </row>
    <row r="6645" spans="1:7" x14ac:dyDescent="0.25">
      <c r="A6645" t="s">
        <v>45</v>
      </c>
      <c r="B6645" t="s">
        <v>46</v>
      </c>
      <c r="C6645" t="s">
        <v>47</v>
      </c>
      <c r="D6645">
        <v>17960440</v>
      </c>
      <c r="E6645" t="s">
        <v>48</v>
      </c>
      <c r="F6645" t="s">
        <v>49</v>
      </c>
      <c r="G6645" s="30">
        <v>0</v>
      </c>
    </row>
    <row r="6646" spans="1:7" x14ac:dyDescent="0.25">
      <c r="A6646" t="s">
        <v>133</v>
      </c>
      <c r="B6646" t="s">
        <v>134</v>
      </c>
      <c r="C6646" t="s">
        <v>47</v>
      </c>
      <c r="D6646">
        <v>17960591</v>
      </c>
      <c r="E6646" t="s">
        <v>48</v>
      </c>
      <c r="F6646" t="s">
        <v>49</v>
      </c>
      <c r="G6646" s="30">
        <v>0</v>
      </c>
    </row>
    <row r="6647" spans="1:7" x14ac:dyDescent="0.25">
      <c r="A6647" t="s">
        <v>146</v>
      </c>
      <c r="B6647" t="s">
        <v>147</v>
      </c>
      <c r="C6647" t="s">
        <v>56</v>
      </c>
      <c r="D6647">
        <v>17960722</v>
      </c>
      <c r="E6647" t="s">
        <v>53</v>
      </c>
      <c r="F6647" t="s">
        <v>49</v>
      </c>
      <c r="G6647" s="30">
        <v>23000.01</v>
      </c>
    </row>
    <row r="6648" spans="1:7" x14ac:dyDescent="0.25">
      <c r="A6648" t="s">
        <v>50</v>
      </c>
      <c r="B6648" t="s">
        <v>51</v>
      </c>
      <c r="C6648" t="s">
        <v>52</v>
      </c>
      <c r="D6648">
        <v>17961928</v>
      </c>
      <c r="E6648" t="s">
        <v>53</v>
      </c>
      <c r="F6648" t="s">
        <v>49</v>
      </c>
      <c r="G6648" s="30">
        <v>5023.65210417862</v>
      </c>
    </row>
    <row r="6649" spans="1:7" x14ac:dyDescent="0.25">
      <c r="A6649" t="s">
        <v>90</v>
      </c>
      <c r="B6649" t="s">
        <v>91</v>
      </c>
      <c r="C6649" t="s">
        <v>81</v>
      </c>
      <c r="D6649">
        <v>17965819</v>
      </c>
      <c r="E6649" t="s">
        <v>48</v>
      </c>
      <c r="F6649" t="s">
        <v>49</v>
      </c>
      <c r="G6649" s="30">
        <v>0</v>
      </c>
    </row>
    <row r="6650" spans="1:7" x14ac:dyDescent="0.25">
      <c r="A6650" t="s">
        <v>45</v>
      </c>
      <c r="B6650" t="s">
        <v>46</v>
      </c>
      <c r="C6650" t="s">
        <v>47</v>
      </c>
      <c r="D6650">
        <v>17970390</v>
      </c>
      <c r="E6650" t="s">
        <v>48</v>
      </c>
      <c r="F6650" t="s">
        <v>49</v>
      </c>
      <c r="G6650" s="30">
        <v>0</v>
      </c>
    </row>
    <row r="6651" spans="1:7" x14ac:dyDescent="0.25">
      <c r="A6651" t="s">
        <v>45</v>
      </c>
      <c r="B6651" t="s">
        <v>46</v>
      </c>
      <c r="C6651" t="s">
        <v>47</v>
      </c>
      <c r="D6651">
        <v>17970593</v>
      </c>
      <c r="E6651" t="s">
        <v>48</v>
      </c>
      <c r="F6651" t="s">
        <v>49</v>
      </c>
      <c r="G6651" s="30">
        <v>0</v>
      </c>
    </row>
    <row r="6652" spans="1:7" x14ac:dyDescent="0.25">
      <c r="A6652" t="s">
        <v>90</v>
      </c>
      <c r="B6652" t="s">
        <v>91</v>
      </c>
      <c r="C6652" t="s">
        <v>81</v>
      </c>
      <c r="D6652">
        <v>17971040</v>
      </c>
      <c r="E6652" t="s">
        <v>53</v>
      </c>
      <c r="F6652" t="s">
        <v>49</v>
      </c>
      <c r="G6652" s="30">
        <v>43289.292587974101</v>
      </c>
    </row>
    <row r="6653" spans="1:7" x14ac:dyDescent="0.25">
      <c r="A6653" t="s">
        <v>102</v>
      </c>
      <c r="B6653" t="s">
        <v>103</v>
      </c>
      <c r="C6653" t="s">
        <v>47</v>
      </c>
      <c r="D6653">
        <v>17971121</v>
      </c>
      <c r="E6653" t="s">
        <v>48</v>
      </c>
      <c r="F6653" t="s">
        <v>49</v>
      </c>
      <c r="G6653" s="30">
        <v>0</v>
      </c>
    </row>
    <row r="6654" spans="1:7" x14ac:dyDescent="0.25">
      <c r="A6654" t="s">
        <v>98</v>
      </c>
      <c r="B6654" t="s">
        <v>99</v>
      </c>
      <c r="C6654" t="s">
        <v>81</v>
      </c>
      <c r="D6654">
        <v>17972463</v>
      </c>
      <c r="E6654" t="s">
        <v>53</v>
      </c>
      <c r="F6654" t="s">
        <v>49</v>
      </c>
      <c r="G6654" s="30">
        <v>63302.8466796875</v>
      </c>
    </row>
    <row r="6655" spans="1:7" x14ac:dyDescent="0.25">
      <c r="A6655" t="s">
        <v>92</v>
      </c>
      <c r="B6655" t="s">
        <v>93</v>
      </c>
      <c r="C6655" t="s">
        <v>81</v>
      </c>
      <c r="D6655">
        <v>17974534</v>
      </c>
      <c r="E6655" t="s">
        <v>53</v>
      </c>
      <c r="F6655" t="s">
        <v>49</v>
      </c>
      <c r="G6655" s="30">
        <v>170400.55021088</v>
      </c>
    </row>
    <row r="6656" spans="1:7" x14ac:dyDescent="0.25">
      <c r="A6656" t="s">
        <v>45</v>
      </c>
      <c r="B6656" t="s">
        <v>46</v>
      </c>
      <c r="C6656" t="s">
        <v>47</v>
      </c>
      <c r="D6656">
        <v>17976072</v>
      </c>
      <c r="E6656" t="s">
        <v>48</v>
      </c>
      <c r="F6656" t="s">
        <v>49</v>
      </c>
      <c r="G6656" s="30">
        <v>0</v>
      </c>
    </row>
    <row r="6657" spans="1:7" x14ac:dyDescent="0.25">
      <c r="A6657" t="s">
        <v>50</v>
      </c>
      <c r="B6657" t="s">
        <v>51</v>
      </c>
      <c r="C6657" t="s">
        <v>52</v>
      </c>
      <c r="D6657">
        <v>17976903</v>
      </c>
      <c r="E6657" t="s">
        <v>48</v>
      </c>
      <c r="F6657" t="s">
        <v>49</v>
      </c>
      <c r="G6657" s="30">
        <v>0</v>
      </c>
    </row>
    <row r="6658" spans="1:7" x14ac:dyDescent="0.25">
      <c r="A6658" t="s">
        <v>79</v>
      </c>
      <c r="B6658" t="s">
        <v>80</v>
      </c>
      <c r="C6658" t="s">
        <v>81</v>
      </c>
      <c r="D6658">
        <v>17977093</v>
      </c>
      <c r="E6658" t="s">
        <v>53</v>
      </c>
      <c r="F6658" t="s">
        <v>49</v>
      </c>
      <c r="G6658" s="30">
        <v>70568.947645380002</v>
      </c>
    </row>
    <row r="6659" spans="1:7" x14ac:dyDescent="0.25">
      <c r="A6659" t="s">
        <v>146</v>
      </c>
      <c r="B6659" t="s">
        <v>147</v>
      </c>
      <c r="C6659" t="s">
        <v>56</v>
      </c>
      <c r="D6659">
        <v>17978978</v>
      </c>
      <c r="E6659" t="s">
        <v>53</v>
      </c>
      <c r="F6659" t="s">
        <v>49</v>
      </c>
      <c r="G6659" s="30">
        <v>453250.8671875</v>
      </c>
    </row>
    <row r="6660" spans="1:7" x14ac:dyDescent="0.25">
      <c r="A6660" t="s">
        <v>50</v>
      </c>
      <c r="B6660" t="s">
        <v>51</v>
      </c>
      <c r="C6660" t="s">
        <v>52</v>
      </c>
      <c r="D6660">
        <v>17979849</v>
      </c>
      <c r="E6660" t="s">
        <v>53</v>
      </c>
      <c r="F6660" t="s">
        <v>49</v>
      </c>
      <c r="G6660" s="30">
        <v>5218.7904394531297</v>
      </c>
    </row>
    <row r="6661" spans="1:7" x14ac:dyDescent="0.25">
      <c r="A6661" t="s">
        <v>90</v>
      </c>
      <c r="B6661" t="s">
        <v>91</v>
      </c>
      <c r="C6661" t="s">
        <v>81</v>
      </c>
      <c r="D6661">
        <v>17983375</v>
      </c>
      <c r="E6661" t="s">
        <v>53</v>
      </c>
      <c r="F6661" t="s">
        <v>49</v>
      </c>
      <c r="G6661" s="30">
        <v>31489.240796791</v>
      </c>
    </row>
    <row r="6662" spans="1:7" x14ac:dyDescent="0.25">
      <c r="A6662" t="s">
        <v>92</v>
      </c>
      <c r="B6662" t="s">
        <v>93</v>
      </c>
      <c r="C6662" t="s">
        <v>81</v>
      </c>
      <c r="D6662">
        <v>17984507</v>
      </c>
      <c r="E6662" t="s">
        <v>53</v>
      </c>
      <c r="F6662" t="s">
        <v>49</v>
      </c>
      <c r="G6662" s="30">
        <v>82777.4296875</v>
      </c>
    </row>
    <row r="6663" spans="1:7" x14ac:dyDescent="0.25">
      <c r="A6663" t="s">
        <v>90</v>
      </c>
      <c r="B6663" t="s">
        <v>91</v>
      </c>
      <c r="C6663" t="s">
        <v>81</v>
      </c>
      <c r="D6663">
        <v>17985938</v>
      </c>
      <c r="E6663" t="s">
        <v>53</v>
      </c>
      <c r="F6663" t="s">
        <v>49</v>
      </c>
      <c r="G6663" s="30">
        <v>89984.37</v>
      </c>
    </row>
    <row r="6664" spans="1:7" x14ac:dyDescent="0.25">
      <c r="A6664" t="s">
        <v>98</v>
      </c>
      <c r="B6664" t="s">
        <v>99</v>
      </c>
      <c r="C6664" t="s">
        <v>81</v>
      </c>
      <c r="D6664">
        <v>17986363</v>
      </c>
      <c r="E6664" t="s">
        <v>48</v>
      </c>
      <c r="F6664" t="s">
        <v>49</v>
      </c>
      <c r="G6664" s="30">
        <v>0</v>
      </c>
    </row>
    <row r="6665" spans="1:7" x14ac:dyDescent="0.25">
      <c r="A6665" t="s">
        <v>88</v>
      </c>
      <c r="B6665" t="s">
        <v>89</v>
      </c>
      <c r="C6665" t="s">
        <v>78</v>
      </c>
      <c r="D6665">
        <v>17986816</v>
      </c>
      <c r="E6665" t="s">
        <v>53</v>
      </c>
      <c r="F6665" t="s">
        <v>49</v>
      </c>
      <c r="G6665" s="30">
        <v>32109.2722924232</v>
      </c>
    </row>
    <row r="6666" spans="1:7" x14ac:dyDescent="0.25">
      <c r="A6666" t="s">
        <v>116</v>
      </c>
      <c r="B6666" t="s">
        <v>117</v>
      </c>
      <c r="C6666" t="s">
        <v>47</v>
      </c>
      <c r="D6666">
        <v>17987611</v>
      </c>
      <c r="E6666" t="s">
        <v>53</v>
      </c>
      <c r="F6666" t="s">
        <v>49</v>
      </c>
      <c r="G6666" s="30">
        <v>179593.95618239799</v>
      </c>
    </row>
    <row r="6667" spans="1:7" x14ac:dyDescent="0.25">
      <c r="A6667" t="s">
        <v>45</v>
      </c>
      <c r="B6667" t="s">
        <v>46</v>
      </c>
      <c r="C6667" t="s">
        <v>47</v>
      </c>
      <c r="D6667">
        <v>17987659</v>
      </c>
      <c r="E6667" t="s">
        <v>48</v>
      </c>
      <c r="F6667" t="s">
        <v>49</v>
      </c>
      <c r="G6667" s="30">
        <v>1.27</v>
      </c>
    </row>
    <row r="6668" spans="1:7" x14ac:dyDescent="0.25">
      <c r="A6668" t="s">
        <v>45</v>
      </c>
      <c r="B6668" t="s">
        <v>46</v>
      </c>
      <c r="C6668" t="s">
        <v>47</v>
      </c>
      <c r="D6668">
        <v>17988063</v>
      </c>
      <c r="E6668" t="s">
        <v>48</v>
      </c>
      <c r="F6668" t="s">
        <v>49</v>
      </c>
      <c r="G6668" s="30">
        <v>0</v>
      </c>
    </row>
    <row r="6669" spans="1:7" x14ac:dyDescent="0.25">
      <c r="A6669" t="s">
        <v>45</v>
      </c>
      <c r="B6669" t="s">
        <v>46</v>
      </c>
      <c r="C6669" t="s">
        <v>47</v>
      </c>
      <c r="D6669">
        <v>17991449</v>
      </c>
      <c r="E6669" t="s">
        <v>48</v>
      </c>
      <c r="F6669" t="s">
        <v>49</v>
      </c>
      <c r="G6669" s="30">
        <v>0</v>
      </c>
    </row>
    <row r="6670" spans="1:7" x14ac:dyDescent="0.25">
      <c r="A6670" t="s">
        <v>133</v>
      </c>
      <c r="B6670" t="s">
        <v>134</v>
      </c>
      <c r="C6670" t="s">
        <v>47</v>
      </c>
      <c r="D6670">
        <v>17994191</v>
      </c>
      <c r="E6670" t="s">
        <v>48</v>
      </c>
      <c r="F6670" t="s">
        <v>49</v>
      </c>
      <c r="G6670" s="30">
        <v>0</v>
      </c>
    </row>
    <row r="6671" spans="1:7" x14ac:dyDescent="0.25">
      <c r="A6671" t="s">
        <v>92</v>
      </c>
      <c r="B6671" t="s">
        <v>93</v>
      </c>
      <c r="C6671" t="s">
        <v>81</v>
      </c>
      <c r="D6671">
        <v>17995321</v>
      </c>
      <c r="E6671" t="s">
        <v>48</v>
      </c>
      <c r="F6671" t="s">
        <v>49</v>
      </c>
      <c r="G6671" s="30">
        <v>0</v>
      </c>
    </row>
    <row r="6672" spans="1:7" x14ac:dyDescent="0.25">
      <c r="A6672" t="s">
        <v>50</v>
      </c>
      <c r="B6672" t="s">
        <v>51</v>
      </c>
      <c r="C6672" t="s">
        <v>52</v>
      </c>
      <c r="D6672">
        <v>18004304</v>
      </c>
      <c r="E6672" t="s">
        <v>53</v>
      </c>
      <c r="F6672" t="s">
        <v>49</v>
      </c>
      <c r="G6672" s="30">
        <v>12774.18921875</v>
      </c>
    </row>
    <row r="6673" spans="1:7" x14ac:dyDescent="0.25">
      <c r="A6673" t="s">
        <v>45</v>
      </c>
      <c r="B6673" t="s">
        <v>46</v>
      </c>
      <c r="C6673" t="s">
        <v>47</v>
      </c>
      <c r="D6673">
        <v>18005464</v>
      </c>
      <c r="E6673" t="s">
        <v>48</v>
      </c>
      <c r="F6673" t="s">
        <v>49</v>
      </c>
      <c r="G6673" s="30">
        <v>0</v>
      </c>
    </row>
    <row r="6674" spans="1:7" x14ac:dyDescent="0.25">
      <c r="A6674" t="s">
        <v>92</v>
      </c>
      <c r="B6674" t="s">
        <v>93</v>
      </c>
      <c r="C6674" t="s">
        <v>81</v>
      </c>
      <c r="D6674">
        <v>18005847</v>
      </c>
      <c r="E6674" t="s">
        <v>53</v>
      </c>
      <c r="F6674" t="s">
        <v>49</v>
      </c>
      <c r="G6674" s="30">
        <v>30114.315747277698</v>
      </c>
    </row>
    <row r="6675" spans="1:7" x14ac:dyDescent="0.25">
      <c r="A6675" t="s">
        <v>45</v>
      </c>
      <c r="B6675" t="s">
        <v>46</v>
      </c>
      <c r="C6675" t="s">
        <v>47</v>
      </c>
      <c r="D6675">
        <v>18006446</v>
      </c>
      <c r="E6675" t="s">
        <v>48</v>
      </c>
      <c r="F6675" t="s">
        <v>49</v>
      </c>
      <c r="G6675" s="30">
        <v>0</v>
      </c>
    </row>
    <row r="6676" spans="1:7" x14ac:dyDescent="0.25">
      <c r="A6676" t="s">
        <v>45</v>
      </c>
      <c r="B6676" t="s">
        <v>46</v>
      </c>
      <c r="C6676" t="s">
        <v>47</v>
      </c>
      <c r="D6676">
        <v>18009497</v>
      </c>
      <c r="E6676" t="s">
        <v>48</v>
      </c>
      <c r="F6676" t="s">
        <v>49</v>
      </c>
      <c r="G6676" s="30">
        <v>0</v>
      </c>
    </row>
    <row r="6677" spans="1:7" x14ac:dyDescent="0.25">
      <c r="A6677" t="s">
        <v>57</v>
      </c>
      <c r="B6677" t="s">
        <v>58</v>
      </c>
      <c r="C6677" t="s">
        <v>56</v>
      </c>
      <c r="D6677">
        <v>18011402</v>
      </c>
      <c r="E6677" t="s">
        <v>53</v>
      </c>
      <c r="F6677" t="s">
        <v>49</v>
      </c>
      <c r="G6677" s="30">
        <v>13827.103052344601</v>
      </c>
    </row>
    <row r="6678" spans="1:7" x14ac:dyDescent="0.25">
      <c r="A6678" t="s">
        <v>118</v>
      </c>
      <c r="B6678" t="s">
        <v>119</v>
      </c>
      <c r="C6678" t="s">
        <v>56</v>
      </c>
      <c r="D6678">
        <v>18013470</v>
      </c>
      <c r="E6678" t="s">
        <v>48</v>
      </c>
      <c r="F6678" t="s">
        <v>49</v>
      </c>
      <c r="G6678" s="30">
        <v>0</v>
      </c>
    </row>
    <row r="6679" spans="1:7" x14ac:dyDescent="0.25">
      <c r="A6679" t="s">
        <v>45</v>
      </c>
      <c r="B6679" t="s">
        <v>46</v>
      </c>
      <c r="C6679" t="s">
        <v>47</v>
      </c>
      <c r="D6679">
        <v>18020450</v>
      </c>
      <c r="E6679" t="s">
        <v>53</v>
      </c>
      <c r="F6679" t="s">
        <v>49</v>
      </c>
      <c r="G6679" s="30">
        <v>887.29957166981501</v>
      </c>
    </row>
    <row r="6680" spans="1:7" x14ac:dyDescent="0.25">
      <c r="A6680" t="s">
        <v>118</v>
      </c>
      <c r="B6680" t="s">
        <v>119</v>
      </c>
      <c r="C6680" t="s">
        <v>56</v>
      </c>
      <c r="D6680">
        <v>18021719</v>
      </c>
      <c r="E6680" t="s">
        <v>48</v>
      </c>
      <c r="F6680" t="s">
        <v>49</v>
      </c>
      <c r="G6680" s="30">
        <v>0</v>
      </c>
    </row>
    <row r="6681" spans="1:7" x14ac:dyDescent="0.25">
      <c r="A6681" t="s">
        <v>45</v>
      </c>
      <c r="B6681" t="s">
        <v>46</v>
      </c>
      <c r="C6681" t="s">
        <v>47</v>
      </c>
      <c r="D6681">
        <v>18027500</v>
      </c>
      <c r="E6681" t="s">
        <v>48</v>
      </c>
      <c r="F6681" t="s">
        <v>49</v>
      </c>
      <c r="G6681" s="30">
        <v>0</v>
      </c>
    </row>
    <row r="6682" spans="1:7" x14ac:dyDescent="0.25">
      <c r="A6682" t="s">
        <v>45</v>
      </c>
      <c r="B6682" t="s">
        <v>46</v>
      </c>
      <c r="C6682" t="s">
        <v>47</v>
      </c>
      <c r="D6682">
        <v>18028334</v>
      </c>
      <c r="E6682" t="s">
        <v>48</v>
      </c>
      <c r="F6682" t="s">
        <v>49</v>
      </c>
      <c r="G6682" s="30">
        <v>0</v>
      </c>
    </row>
    <row r="6683" spans="1:7" x14ac:dyDescent="0.25">
      <c r="A6683" t="s">
        <v>79</v>
      </c>
      <c r="B6683" t="s">
        <v>80</v>
      </c>
      <c r="C6683" t="s">
        <v>81</v>
      </c>
      <c r="D6683">
        <v>18031677</v>
      </c>
      <c r="E6683" t="s">
        <v>53</v>
      </c>
      <c r="F6683" t="s">
        <v>49</v>
      </c>
      <c r="G6683" s="30">
        <v>48286.699177132097</v>
      </c>
    </row>
    <row r="6684" spans="1:7" x14ac:dyDescent="0.25">
      <c r="A6684" t="s">
        <v>116</v>
      </c>
      <c r="B6684" t="s">
        <v>117</v>
      </c>
      <c r="C6684" t="s">
        <v>47</v>
      </c>
      <c r="D6684">
        <v>18037392</v>
      </c>
      <c r="E6684" t="s">
        <v>53</v>
      </c>
      <c r="F6684" t="s">
        <v>49</v>
      </c>
      <c r="G6684" s="30">
        <v>158236.75529529899</v>
      </c>
    </row>
    <row r="6685" spans="1:7" x14ac:dyDescent="0.25">
      <c r="A6685" t="s">
        <v>124</v>
      </c>
      <c r="B6685" t="s">
        <v>125</v>
      </c>
      <c r="C6685" t="s">
        <v>78</v>
      </c>
      <c r="D6685">
        <v>18038253</v>
      </c>
      <c r="E6685" t="s">
        <v>53</v>
      </c>
      <c r="F6685" t="s">
        <v>49</v>
      </c>
      <c r="G6685" s="30">
        <v>196.444502278062</v>
      </c>
    </row>
    <row r="6686" spans="1:7" x14ac:dyDescent="0.25">
      <c r="A6686" t="s">
        <v>146</v>
      </c>
      <c r="B6686" t="s">
        <v>147</v>
      </c>
      <c r="C6686" t="s">
        <v>56</v>
      </c>
      <c r="D6686">
        <v>18040921</v>
      </c>
      <c r="E6686" t="s">
        <v>48</v>
      </c>
      <c r="F6686" t="s">
        <v>49</v>
      </c>
      <c r="G6686" s="30">
        <v>0</v>
      </c>
    </row>
    <row r="6687" spans="1:7" x14ac:dyDescent="0.25">
      <c r="A6687" t="s">
        <v>45</v>
      </c>
      <c r="B6687" t="s">
        <v>46</v>
      </c>
      <c r="C6687" t="s">
        <v>47</v>
      </c>
      <c r="D6687">
        <v>18042143</v>
      </c>
      <c r="E6687" t="s">
        <v>48</v>
      </c>
      <c r="F6687" t="s">
        <v>49</v>
      </c>
      <c r="G6687" s="30">
        <v>0</v>
      </c>
    </row>
    <row r="6688" spans="1:7" x14ac:dyDescent="0.25">
      <c r="A6688" t="s">
        <v>92</v>
      </c>
      <c r="B6688" t="s">
        <v>93</v>
      </c>
      <c r="C6688" t="s">
        <v>81</v>
      </c>
      <c r="D6688">
        <v>18042807</v>
      </c>
      <c r="E6688" t="s">
        <v>53</v>
      </c>
      <c r="F6688" t="s">
        <v>49</v>
      </c>
      <c r="G6688" s="30">
        <v>20255.3078440834</v>
      </c>
    </row>
    <row r="6689" spans="1:7" x14ac:dyDescent="0.25">
      <c r="A6689" t="s">
        <v>92</v>
      </c>
      <c r="B6689" t="s">
        <v>93</v>
      </c>
      <c r="C6689" t="s">
        <v>81</v>
      </c>
      <c r="D6689">
        <v>18046529</v>
      </c>
      <c r="E6689" t="s">
        <v>53</v>
      </c>
      <c r="F6689" t="s">
        <v>49</v>
      </c>
      <c r="G6689" s="30">
        <v>431.99</v>
      </c>
    </row>
    <row r="6690" spans="1:7" x14ac:dyDescent="0.25">
      <c r="A6690" t="s">
        <v>57</v>
      </c>
      <c r="B6690" t="s">
        <v>58</v>
      </c>
      <c r="C6690" t="s">
        <v>56</v>
      </c>
      <c r="D6690">
        <v>18046754</v>
      </c>
      <c r="E6690" t="s">
        <v>53</v>
      </c>
      <c r="F6690" t="s">
        <v>49</v>
      </c>
      <c r="G6690" s="30">
        <v>17193.4038106935</v>
      </c>
    </row>
    <row r="6691" spans="1:7" x14ac:dyDescent="0.25">
      <c r="A6691" t="s">
        <v>74</v>
      </c>
      <c r="B6691" t="s">
        <v>75</v>
      </c>
      <c r="C6691" t="s">
        <v>67</v>
      </c>
      <c r="D6691">
        <v>18048248</v>
      </c>
      <c r="E6691" t="s">
        <v>48</v>
      </c>
      <c r="F6691" t="s">
        <v>49</v>
      </c>
      <c r="G6691" s="30">
        <v>0</v>
      </c>
    </row>
    <row r="6692" spans="1:7" x14ac:dyDescent="0.25">
      <c r="A6692" t="s">
        <v>50</v>
      </c>
      <c r="B6692" t="s">
        <v>51</v>
      </c>
      <c r="C6692" t="s">
        <v>52</v>
      </c>
      <c r="D6692">
        <v>18052375</v>
      </c>
      <c r="E6692" t="s">
        <v>48</v>
      </c>
      <c r="F6692" t="s">
        <v>49</v>
      </c>
      <c r="G6692" s="30">
        <v>0</v>
      </c>
    </row>
    <row r="6693" spans="1:7" x14ac:dyDescent="0.25">
      <c r="A6693" t="s">
        <v>45</v>
      </c>
      <c r="B6693" t="s">
        <v>46</v>
      </c>
      <c r="C6693" t="s">
        <v>47</v>
      </c>
      <c r="D6693">
        <v>18054526</v>
      </c>
      <c r="E6693" t="s">
        <v>48</v>
      </c>
      <c r="F6693" t="s">
        <v>49</v>
      </c>
      <c r="G6693" s="30">
        <v>0.06</v>
      </c>
    </row>
    <row r="6694" spans="1:7" x14ac:dyDescent="0.25">
      <c r="A6694" t="s">
        <v>116</v>
      </c>
      <c r="B6694" t="s">
        <v>117</v>
      </c>
      <c r="C6694" t="s">
        <v>47</v>
      </c>
      <c r="D6694">
        <v>18056332</v>
      </c>
      <c r="E6694" t="s">
        <v>53</v>
      </c>
      <c r="F6694" t="s">
        <v>49</v>
      </c>
      <c r="G6694" s="30">
        <v>139742.068813508</v>
      </c>
    </row>
    <row r="6695" spans="1:7" x14ac:dyDescent="0.25">
      <c r="A6695" t="s">
        <v>88</v>
      </c>
      <c r="B6695" t="s">
        <v>89</v>
      </c>
      <c r="C6695" t="s">
        <v>78</v>
      </c>
      <c r="D6695">
        <v>18057880</v>
      </c>
      <c r="E6695" t="s">
        <v>53</v>
      </c>
      <c r="F6695" t="s">
        <v>49</v>
      </c>
      <c r="G6695" s="30">
        <v>10090.18</v>
      </c>
    </row>
    <row r="6696" spans="1:7" x14ac:dyDescent="0.25">
      <c r="A6696" t="s">
        <v>155</v>
      </c>
      <c r="B6696" t="s">
        <v>156</v>
      </c>
      <c r="C6696" t="s">
        <v>78</v>
      </c>
      <c r="D6696">
        <v>18058078</v>
      </c>
      <c r="E6696" t="s">
        <v>48</v>
      </c>
      <c r="F6696" t="s">
        <v>49</v>
      </c>
      <c r="G6696" s="30">
        <v>0</v>
      </c>
    </row>
    <row r="6697" spans="1:7" x14ac:dyDescent="0.25">
      <c r="A6697" t="s">
        <v>45</v>
      </c>
      <c r="B6697" t="s">
        <v>46</v>
      </c>
      <c r="C6697" t="s">
        <v>47</v>
      </c>
      <c r="D6697">
        <v>18060941</v>
      </c>
      <c r="E6697" t="s">
        <v>48</v>
      </c>
      <c r="F6697" t="s">
        <v>49</v>
      </c>
      <c r="G6697" s="30">
        <v>0</v>
      </c>
    </row>
    <row r="6698" spans="1:7" x14ac:dyDescent="0.25">
      <c r="A6698" t="s">
        <v>45</v>
      </c>
      <c r="B6698" t="s">
        <v>46</v>
      </c>
      <c r="C6698" t="s">
        <v>47</v>
      </c>
      <c r="D6698">
        <v>18061209</v>
      </c>
      <c r="E6698" t="s">
        <v>48</v>
      </c>
      <c r="F6698" t="s">
        <v>49</v>
      </c>
      <c r="G6698" s="30">
        <v>0</v>
      </c>
    </row>
    <row r="6699" spans="1:7" x14ac:dyDescent="0.25">
      <c r="A6699" t="s">
        <v>50</v>
      </c>
      <c r="B6699" t="s">
        <v>51</v>
      </c>
      <c r="C6699" t="s">
        <v>52</v>
      </c>
      <c r="D6699">
        <v>18062197</v>
      </c>
      <c r="E6699" t="s">
        <v>53</v>
      </c>
      <c r="F6699" t="s">
        <v>49</v>
      </c>
      <c r="G6699" s="30">
        <v>54366.215514030402</v>
      </c>
    </row>
    <row r="6700" spans="1:7" x14ac:dyDescent="0.25">
      <c r="A6700" t="s">
        <v>50</v>
      </c>
      <c r="B6700" t="s">
        <v>51</v>
      </c>
      <c r="C6700" t="s">
        <v>52</v>
      </c>
      <c r="D6700">
        <v>18062636</v>
      </c>
      <c r="E6700" t="s">
        <v>53</v>
      </c>
      <c r="F6700" t="s">
        <v>49</v>
      </c>
      <c r="G6700" s="30">
        <v>660.52</v>
      </c>
    </row>
    <row r="6701" spans="1:7" x14ac:dyDescent="0.25">
      <c r="A6701" t="s">
        <v>92</v>
      </c>
      <c r="B6701" t="s">
        <v>93</v>
      </c>
      <c r="C6701" t="s">
        <v>81</v>
      </c>
      <c r="D6701">
        <v>18065157</v>
      </c>
      <c r="E6701" t="s">
        <v>53</v>
      </c>
      <c r="F6701" t="s">
        <v>49</v>
      </c>
      <c r="G6701" s="30">
        <v>74987.174117161005</v>
      </c>
    </row>
    <row r="6702" spans="1:7" x14ac:dyDescent="0.25">
      <c r="A6702" t="s">
        <v>112</v>
      </c>
      <c r="B6702" t="s">
        <v>113</v>
      </c>
      <c r="C6702" t="s">
        <v>81</v>
      </c>
      <c r="D6702">
        <v>18066911</v>
      </c>
      <c r="E6702" t="s">
        <v>53</v>
      </c>
      <c r="F6702" t="s">
        <v>49</v>
      </c>
      <c r="G6702" s="30">
        <v>10969.6</v>
      </c>
    </row>
    <row r="6703" spans="1:7" x14ac:dyDescent="0.25">
      <c r="A6703" t="s">
        <v>65</v>
      </c>
      <c r="B6703" t="s">
        <v>66</v>
      </c>
      <c r="C6703" t="s">
        <v>67</v>
      </c>
      <c r="D6703">
        <v>18077748</v>
      </c>
      <c r="E6703" t="s">
        <v>53</v>
      </c>
      <c r="F6703" t="s">
        <v>49</v>
      </c>
      <c r="G6703" s="30">
        <v>205422.032237968</v>
      </c>
    </row>
    <row r="6704" spans="1:7" x14ac:dyDescent="0.25">
      <c r="A6704" t="s">
        <v>124</v>
      </c>
      <c r="B6704" t="s">
        <v>125</v>
      </c>
      <c r="C6704" t="s">
        <v>78</v>
      </c>
      <c r="D6704">
        <v>18077800</v>
      </c>
      <c r="E6704" t="s">
        <v>53</v>
      </c>
      <c r="F6704" t="s">
        <v>49</v>
      </c>
      <c r="G6704" s="30">
        <v>8533.0443025435798</v>
      </c>
    </row>
    <row r="6705" spans="1:7" x14ac:dyDescent="0.25">
      <c r="A6705" t="s">
        <v>116</v>
      </c>
      <c r="B6705" t="s">
        <v>117</v>
      </c>
      <c r="C6705" t="s">
        <v>47</v>
      </c>
      <c r="D6705">
        <v>18082696</v>
      </c>
      <c r="E6705" t="s">
        <v>53</v>
      </c>
      <c r="F6705" t="s">
        <v>49</v>
      </c>
      <c r="G6705" s="30">
        <v>127791.3410416</v>
      </c>
    </row>
    <row r="6706" spans="1:7" x14ac:dyDescent="0.25">
      <c r="A6706" t="s">
        <v>116</v>
      </c>
      <c r="B6706" t="s">
        <v>117</v>
      </c>
      <c r="C6706" t="s">
        <v>47</v>
      </c>
      <c r="D6706">
        <v>18084096</v>
      </c>
      <c r="E6706" t="s">
        <v>53</v>
      </c>
      <c r="F6706" t="s">
        <v>49</v>
      </c>
      <c r="G6706" s="30">
        <v>162400.30287909199</v>
      </c>
    </row>
    <row r="6707" spans="1:7" x14ac:dyDescent="0.25">
      <c r="A6707" t="s">
        <v>135</v>
      </c>
      <c r="B6707" t="s">
        <v>136</v>
      </c>
      <c r="C6707" t="s">
        <v>56</v>
      </c>
      <c r="D6707">
        <v>18087474</v>
      </c>
      <c r="E6707" t="s">
        <v>53</v>
      </c>
      <c r="F6707" t="s">
        <v>49</v>
      </c>
      <c r="G6707" s="30">
        <v>53528.118141835497</v>
      </c>
    </row>
    <row r="6708" spans="1:7" x14ac:dyDescent="0.25">
      <c r="A6708" t="s">
        <v>54</v>
      </c>
      <c r="B6708" t="s">
        <v>55</v>
      </c>
      <c r="C6708" t="s">
        <v>56</v>
      </c>
      <c r="D6708">
        <v>18088977</v>
      </c>
      <c r="E6708" t="s">
        <v>48</v>
      </c>
      <c r="F6708" t="s">
        <v>49</v>
      </c>
      <c r="G6708" s="30">
        <v>0.08</v>
      </c>
    </row>
    <row r="6709" spans="1:7" x14ac:dyDescent="0.25">
      <c r="A6709" t="s">
        <v>50</v>
      </c>
      <c r="B6709" t="s">
        <v>51</v>
      </c>
      <c r="C6709" t="s">
        <v>52</v>
      </c>
      <c r="D6709">
        <v>18094767</v>
      </c>
      <c r="E6709" t="s">
        <v>48</v>
      </c>
      <c r="F6709" t="s">
        <v>49</v>
      </c>
      <c r="G6709" s="30">
        <v>0</v>
      </c>
    </row>
    <row r="6710" spans="1:7" x14ac:dyDescent="0.25">
      <c r="A6710" t="s">
        <v>45</v>
      </c>
      <c r="B6710" t="s">
        <v>46</v>
      </c>
      <c r="C6710" t="s">
        <v>47</v>
      </c>
      <c r="D6710">
        <v>18096699</v>
      </c>
      <c r="E6710" t="s">
        <v>48</v>
      </c>
      <c r="F6710" t="s">
        <v>49</v>
      </c>
      <c r="G6710" s="30">
        <v>0</v>
      </c>
    </row>
    <row r="6711" spans="1:7" x14ac:dyDescent="0.25">
      <c r="A6711" t="s">
        <v>133</v>
      </c>
      <c r="B6711" t="s">
        <v>134</v>
      </c>
      <c r="C6711" t="s">
        <v>47</v>
      </c>
      <c r="D6711">
        <v>18097369</v>
      </c>
      <c r="E6711" t="s">
        <v>48</v>
      </c>
      <c r="F6711" t="s">
        <v>49</v>
      </c>
      <c r="G6711" s="30">
        <v>0</v>
      </c>
    </row>
    <row r="6712" spans="1:7" x14ac:dyDescent="0.25">
      <c r="A6712" t="s">
        <v>50</v>
      </c>
      <c r="B6712" t="s">
        <v>51</v>
      </c>
      <c r="C6712" t="s">
        <v>52</v>
      </c>
      <c r="D6712">
        <v>18098067</v>
      </c>
      <c r="E6712" t="s">
        <v>53</v>
      </c>
      <c r="F6712" t="s">
        <v>49</v>
      </c>
      <c r="G6712" s="30">
        <v>6205.57458638757</v>
      </c>
    </row>
    <row r="6713" spans="1:7" x14ac:dyDescent="0.25">
      <c r="A6713" t="s">
        <v>70</v>
      </c>
      <c r="B6713" t="s">
        <v>71</v>
      </c>
      <c r="C6713" t="s">
        <v>47</v>
      </c>
      <c r="D6713">
        <v>18098671</v>
      </c>
      <c r="E6713" t="s">
        <v>53</v>
      </c>
      <c r="F6713" t="s">
        <v>49</v>
      </c>
      <c r="G6713" s="30">
        <v>404577.06441323302</v>
      </c>
    </row>
    <row r="6714" spans="1:7" x14ac:dyDescent="0.25">
      <c r="A6714" t="s">
        <v>50</v>
      </c>
      <c r="B6714" t="s">
        <v>51</v>
      </c>
      <c r="C6714" t="s">
        <v>52</v>
      </c>
      <c r="D6714">
        <v>18102503</v>
      </c>
      <c r="E6714" t="s">
        <v>53</v>
      </c>
      <c r="F6714" t="s">
        <v>49</v>
      </c>
      <c r="G6714" s="30">
        <v>15300.514637591201</v>
      </c>
    </row>
    <row r="6715" spans="1:7" x14ac:dyDescent="0.25">
      <c r="A6715" t="s">
        <v>45</v>
      </c>
      <c r="B6715" t="s">
        <v>46</v>
      </c>
      <c r="C6715" t="s">
        <v>47</v>
      </c>
      <c r="D6715">
        <v>18104359</v>
      </c>
      <c r="E6715" t="s">
        <v>48</v>
      </c>
      <c r="F6715" t="s">
        <v>49</v>
      </c>
      <c r="G6715" s="30">
        <v>0</v>
      </c>
    </row>
    <row r="6716" spans="1:7" x14ac:dyDescent="0.25">
      <c r="A6716" t="s">
        <v>45</v>
      </c>
      <c r="B6716" t="s">
        <v>46</v>
      </c>
      <c r="C6716" t="s">
        <v>47</v>
      </c>
      <c r="D6716">
        <v>18106544</v>
      </c>
      <c r="E6716" t="s">
        <v>48</v>
      </c>
      <c r="F6716" t="s">
        <v>49</v>
      </c>
      <c r="G6716" s="30">
        <v>0</v>
      </c>
    </row>
    <row r="6717" spans="1:7" x14ac:dyDescent="0.25">
      <c r="A6717" t="s">
        <v>116</v>
      </c>
      <c r="B6717" t="s">
        <v>117</v>
      </c>
      <c r="C6717" t="s">
        <v>47</v>
      </c>
      <c r="D6717">
        <v>18110829</v>
      </c>
      <c r="E6717" t="s">
        <v>53</v>
      </c>
      <c r="F6717" t="s">
        <v>49</v>
      </c>
      <c r="G6717" s="30">
        <v>910228.71348297899</v>
      </c>
    </row>
    <row r="6718" spans="1:7" x14ac:dyDescent="0.25">
      <c r="A6718" t="s">
        <v>92</v>
      </c>
      <c r="B6718" t="s">
        <v>93</v>
      </c>
      <c r="C6718" t="s">
        <v>81</v>
      </c>
      <c r="D6718">
        <v>18112559</v>
      </c>
      <c r="E6718" t="s">
        <v>53</v>
      </c>
      <c r="F6718" t="s">
        <v>49</v>
      </c>
      <c r="G6718" s="30">
        <v>4357.8014576256101</v>
      </c>
    </row>
    <row r="6719" spans="1:7" x14ac:dyDescent="0.25">
      <c r="A6719" t="s">
        <v>50</v>
      </c>
      <c r="B6719" t="s">
        <v>51</v>
      </c>
      <c r="C6719" t="s">
        <v>52</v>
      </c>
      <c r="D6719">
        <v>18112989</v>
      </c>
      <c r="E6719" t="s">
        <v>48</v>
      </c>
      <c r="F6719" t="s">
        <v>49</v>
      </c>
      <c r="G6719" s="30">
        <v>0</v>
      </c>
    </row>
    <row r="6720" spans="1:7" x14ac:dyDescent="0.25">
      <c r="A6720" t="s">
        <v>92</v>
      </c>
      <c r="B6720" t="s">
        <v>93</v>
      </c>
      <c r="C6720" t="s">
        <v>81</v>
      </c>
      <c r="D6720">
        <v>18113286</v>
      </c>
      <c r="E6720" t="s">
        <v>53</v>
      </c>
      <c r="F6720" t="s">
        <v>49</v>
      </c>
      <c r="G6720" s="30">
        <v>2174.6967776934498</v>
      </c>
    </row>
    <row r="6721" spans="1:7" x14ac:dyDescent="0.25">
      <c r="A6721" t="s">
        <v>72</v>
      </c>
      <c r="B6721" t="s">
        <v>73</v>
      </c>
      <c r="C6721" t="s">
        <v>67</v>
      </c>
      <c r="D6721">
        <v>18113913</v>
      </c>
      <c r="E6721" t="s">
        <v>53</v>
      </c>
      <c r="F6721" t="s">
        <v>49</v>
      </c>
      <c r="G6721" s="30">
        <v>61151.209628083299</v>
      </c>
    </row>
    <row r="6722" spans="1:7" x14ac:dyDescent="0.25">
      <c r="A6722" t="s">
        <v>98</v>
      </c>
      <c r="B6722" t="s">
        <v>99</v>
      </c>
      <c r="C6722" t="s">
        <v>81</v>
      </c>
      <c r="D6722">
        <v>18116957</v>
      </c>
      <c r="E6722" t="s">
        <v>53</v>
      </c>
      <c r="F6722" t="s">
        <v>49</v>
      </c>
      <c r="G6722" s="30">
        <v>15074.72</v>
      </c>
    </row>
    <row r="6723" spans="1:7" x14ac:dyDescent="0.25">
      <c r="A6723" t="s">
        <v>92</v>
      </c>
      <c r="B6723" t="s">
        <v>93</v>
      </c>
      <c r="C6723" t="s">
        <v>81</v>
      </c>
      <c r="D6723">
        <v>18118084</v>
      </c>
      <c r="E6723" t="s">
        <v>53</v>
      </c>
      <c r="F6723" t="s">
        <v>49</v>
      </c>
      <c r="G6723" s="30">
        <v>55713.121669441301</v>
      </c>
    </row>
    <row r="6724" spans="1:7" x14ac:dyDescent="0.25">
      <c r="A6724" t="s">
        <v>79</v>
      </c>
      <c r="B6724" t="s">
        <v>80</v>
      </c>
      <c r="C6724" t="s">
        <v>81</v>
      </c>
      <c r="D6724">
        <v>18123977</v>
      </c>
      <c r="E6724" t="s">
        <v>53</v>
      </c>
      <c r="F6724" t="s">
        <v>49</v>
      </c>
      <c r="G6724" s="30">
        <v>206573.53784179699</v>
      </c>
    </row>
    <row r="6725" spans="1:7" x14ac:dyDescent="0.25">
      <c r="A6725" t="s">
        <v>92</v>
      </c>
      <c r="B6725" t="s">
        <v>93</v>
      </c>
      <c r="C6725" t="s">
        <v>81</v>
      </c>
      <c r="D6725">
        <v>18124442</v>
      </c>
      <c r="E6725" t="s">
        <v>48</v>
      </c>
      <c r="F6725" t="s">
        <v>49</v>
      </c>
      <c r="G6725" s="30">
        <v>0</v>
      </c>
    </row>
    <row r="6726" spans="1:7" x14ac:dyDescent="0.25">
      <c r="A6726" t="s">
        <v>57</v>
      </c>
      <c r="B6726" t="s">
        <v>58</v>
      </c>
      <c r="C6726" t="s">
        <v>56</v>
      </c>
      <c r="D6726">
        <v>18127294</v>
      </c>
      <c r="E6726" t="s">
        <v>53</v>
      </c>
      <c r="F6726" t="s">
        <v>49</v>
      </c>
      <c r="G6726" s="30">
        <v>241.92942828854299</v>
      </c>
    </row>
    <row r="6727" spans="1:7" x14ac:dyDescent="0.25">
      <c r="A6727" t="s">
        <v>92</v>
      </c>
      <c r="B6727" t="s">
        <v>93</v>
      </c>
      <c r="C6727" t="s">
        <v>81</v>
      </c>
      <c r="D6727">
        <v>18128717</v>
      </c>
      <c r="E6727" t="s">
        <v>48</v>
      </c>
      <c r="F6727" t="s">
        <v>49</v>
      </c>
      <c r="G6727" s="30">
        <v>0</v>
      </c>
    </row>
    <row r="6728" spans="1:7" x14ac:dyDescent="0.25">
      <c r="A6728" t="s">
        <v>72</v>
      </c>
      <c r="B6728" t="s">
        <v>73</v>
      </c>
      <c r="C6728" t="s">
        <v>67</v>
      </c>
      <c r="D6728">
        <v>18130006</v>
      </c>
      <c r="E6728" t="s">
        <v>53</v>
      </c>
      <c r="F6728" t="s">
        <v>49</v>
      </c>
      <c r="G6728" s="30">
        <v>667627.04840060195</v>
      </c>
    </row>
    <row r="6729" spans="1:7" x14ac:dyDescent="0.25">
      <c r="A6729" t="s">
        <v>50</v>
      </c>
      <c r="B6729" t="s">
        <v>51</v>
      </c>
      <c r="C6729" t="s">
        <v>52</v>
      </c>
      <c r="D6729">
        <v>18130356</v>
      </c>
      <c r="E6729" t="s">
        <v>53</v>
      </c>
      <c r="F6729" t="s">
        <v>49</v>
      </c>
      <c r="G6729" s="30">
        <v>1000</v>
      </c>
    </row>
    <row r="6730" spans="1:7" x14ac:dyDescent="0.25">
      <c r="A6730" t="s">
        <v>50</v>
      </c>
      <c r="B6730" t="s">
        <v>51</v>
      </c>
      <c r="C6730" t="s">
        <v>52</v>
      </c>
      <c r="D6730">
        <v>18130576</v>
      </c>
      <c r="E6730" t="s">
        <v>48</v>
      </c>
      <c r="F6730" t="s">
        <v>49</v>
      </c>
      <c r="G6730" s="30">
        <v>0</v>
      </c>
    </row>
    <row r="6731" spans="1:7" x14ac:dyDescent="0.25">
      <c r="A6731" t="s">
        <v>45</v>
      </c>
      <c r="B6731" t="s">
        <v>46</v>
      </c>
      <c r="C6731" t="s">
        <v>47</v>
      </c>
      <c r="D6731">
        <v>18131433</v>
      </c>
      <c r="E6731" t="s">
        <v>48</v>
      </c>
      <c r="F6731" t="s">
        <v>49</v>
      </c>
      <c r="G6731" s="30">
        <v>0</v>
      </c>
    </row>
    <row r="6732" spans="1:7" x14ac:dyDescent="0.25">
      <c r="A6732" t="s">
        <v>57</v>
      </c>
      <c r="B6732" t="s">
        <v>58</v>
      </c>
      <c r="C6732" t="s">
        <v>56</v>
      </c>
      <c r="D6732">
        <v>18133926</v>
      </c>
      <c r="E6732" t="s">
        <v>48</v>
      </c>
      <c r="F6732" t="s">
        <v>49</v>
      </c>
      <c r="G6732" s="30">
        <v>0</v>
      </c>
    </row>
    <row r="6733" spans="1:7" x14ac:dyDescent="0.25">
      <c r="A6733" t="s">
        <v>98</v>
      </c>
      <c r="B6733" t="s">
        <v>99</v>
      </c>
      <c r="C6733" t="s">
        <v>81</v>
      </c>
      <c r="D6733">
        <v>18134853</v>
      </c>
      <c r="E6733" t="s">
        <v>48</v>
      </c>
      <c r="F6733" t="s">
        <v>49</v>
      </c>
      <c r="G6733" s="30">
        <v>0</v>
      </c>
    </row>
    <row r="6734" spans="1:7" x14ac:dyDescent="0.25">
      <c r="A6734" t="s">
        <v>50</v>
      </c>
      <c r="B6734" t="s">
        <v>51</v>
      </c>
      <c r="C6734" t="s">
        <v>52</v>
      </c>
      <c r="D6734">
        <v>18138356</v>
      </c>
      <c r="E6734" t="s">
        <v>53</v>
      </c>
      <c r="F6734" t="s">
        <v>49</v>
      </c>
      <c r="G6734" s="30">
        <v>59.87</v>
      </c>
    </row>
    <row r="6735" spans="1:7" x14ac:dyDescent="0.25">
      <c r="A6735" t="s">
        <v>92</v>
      </c>
      <c r="B6735" t="s">
        <v>93</v>
      </c>
      <c r="C6735" t="s">
        <v>81</v>
      </c>
      <c r="D6735">
        <v>18141377</v>
      </c>
      <c r="E6735" t="s">
        <v>48</v>
      </c>
      <c r="F6735" t="s">
        <v>49</v>
      </c>
      <c r="G6735" s="30">
        <v>0</v>
      </c>
    </row>
    <row r="6736" spans="1:7" x14ac:dyDescent="0.25">
      <c r="A6736" t="s">
        <v>45</v>
      </c>
      <c r="B6736" t="s">
        <v>46</v>
      </c>
      <c r="C6736" t="s">
        <v>47</v>
      </c>
      <c r="D6736">
        <v>18141501</v>
      </c>
      <c r="E6736" t="s">
        <v>48</v>
      </c>
      <c r="F6736" t="s">
        <v>49</v>
      </c>
      <c r="G6736" s="30">
        <v>0.08</v>
      </c>
    </row>
    <row r="6737" spans="1:7" x14ac:dyDescent="0.25">
      <c r="A6737" t="s">
        <v>106</v>
      </c>
      <c r="B6737" t="s">
        <v>107</v>
      </c>
      <c r="C6737" t="s">
        <v>56</v>
      </c>
      <c r="D6737">
        <v>18143605</v>
      </c>
      <c r="E6737" t="s">
        <v>48</v>
      </c>
      <c r="F6737" t="s">
        <v>49</v>
      </c>
      <c r="G6737" s="30">
        <v>0</v>
      </c>
    </row>
    <row r="6738" spans="1:7" x14ac:dyDescent="0.25">
      <c r="A6738" t="s">
        <v>92</v>
      </c>
      <c r="B6738" t="s">
        <v>93</v>
      </c>
      <c r="C6738" t="s">
        <v>81</v>
      </c>
      <c r="D6738">
        <v>18146222</v>
      </c>
      <c r="E6738" t="s">
        <v>48</v>
      </c>
      <c r="F6738" t="s">
        <v>49</v>
      </c>
      <c r="G6738" s="30">
        <v>0</v>
      </c>
    </row>
    <row r="6739" spans="1:7" x14ac:dyDescent="0.25">
      <c r="A6739" t="s">
        <v>50</v>
      </c>
      <c r="B6739" t="s">
        <v>51</v>
      </c>
      <c r="C6739" t="s">
        <v>52</v>
      </c>
      <c r="D6739">
        <v>18147003</v>
      </c>
      <c r="E6739" t="s">
        <v>53</v>
      </c>
      <c r="F6739" t="s">
        <v>49</v>
      </c>
      <c r="G6739" s="30">
        <v>43278.868097010003</v>
      </c>
    </row>
    <row r="6740" spans="1:7" x14ac:dyDescent="0.25">
      <c r="A6740" t="s">
        <v>45</v>
      </c>
      <c r="B6740" t="s">
        <v>46</v>
      </c>
      <c r="C6740" t="s">
        <v>47</v>
      </c>
      <c r="D6740">
        <v>18147401</v>
      </c>
      <c r="E6740" t="s">
        <v>53</v>
      </c>
      <c r="F6740" t="s">
        <v>49</v>
      </c>
      <c r="G6740" s="30">
        <v>2021.78</v>
      </c>
    </row>
    <row r="6741" spans="1:7" x14ac:dyDescent="0.25">
      <c r="A6741" t="s">
        <v>120</v>
      </c>
      <c r="B6741" t="s">
        <v>121</v>
      </c>
      <c r="C6741" t="s">
        <v>67</v>
      </c>
      <c r="D6741">
        <v>18149489</v>
      </c>
      <c r="E6741" t="s">
        <v>48</v>
      </c>
      <c r="F6741" t="s">
        <v>49</v>
      </c>
      <c r="G6741" s="30">
        <v>0</v>
      </c>
    </row>
    <row r="6742" spans="1:7" x14ac:dyDescent="0.25">
      <c r="A6742" t="s">
        <v>98</v>
      </c>
      <c r="B6742" t="s">
        <v>99</v>
      </c>
      <c r="C6742" t="s">
        <v>81</v>
      </c>
      <c r="D6742">
        <v>18150616</v>
      </c>
      <c r="E6742" t="s">
        <v>53</v>
      </c>
      <c r="F6742" t="s">
        <v>49</v>
      </c>
      <c r="G6742" s="30">
        <v>71898.558202429806</v>
      </c>
    </row>
    <row r="6743" spans="1:7" x14ac:dyDescent="0.25">
      <c r="A6743" t="s">
        <v>98</v>
      </c>
      <c r="B6743" t="s">
        <v>99</v>
      </c>
      <c r="C6743" t="s">
        <v>81</v>
      </c>
      <c r="D6743">
        <v>18152427</v>
      </c>
      <c r="E6743" t="s">
        <v>53</v>
      </c>
      <c r="F6743" t="s">
        <v>49</v>
      </c>
      <c r="G6743" s="30">
        <v>1057617.3647652101</v>
      </c>
    </row>
    <row r="6744" spans="1:7" x14ac:dyDescent="0.25">
      <c r="A6744" t="s">
        <v>131</v>
      </c>
      <c r="B6744" t="s">
        <v>132</v>
      </c>
      <c r="C6744" t="s">
        <v>67</v>
      </c>
      <c r="D6744">
        <v>18154185</v>
      </c>
      <c r="E6744" t="s">
        <v>48</v>
      </c>
      <c r="F6744" t="s">
        <v>49</v>
      </c>
      <c r="G6744" s="30">
        <v>0</v>
      </c>
    </row>
    <row r="6745" spans="1:7" x14ac:dyDescent="0.25">
      <c r="A6745" t="s">
        <v>50</v>
      </c>
      <c r="B6745" t="s">
        <v>51</v>
      </c>
      <c r="C6745" t="s">
        <v>52</v>
      </c>
      <c r="D6745">
        <v>18154254</v>
      </c>
      <c r="E6745" t="s">
        <v>48</v>
      </c>
      <c r="F6745" t="s">
        <v>49</v>
      </c>
      <c r="G6745" s="30">
        <v>0</v>
      </c>
    </row>
    <row r="6746" spans="1:7" x14ac:dyDescent="0.25">
      <c r="A6746" t="s">
        <v>50</v>
      </c>
      <c r="B6746" t="s">
        <v>51</v>
      </c>
      <c r="C6746" t="s">
        <v>52</v>
      </c>
      <c r="D6746">
        <v>18154257</v>
      </c>
      <c r="E6746" t="s">
        <v>48</v>
      </c>
      <c r="F6746" t="s">
        <v>49</v>
      </c>
      <c r="G6746" s="30">
        <v>0</v>
      </c>
    </row>
    <row r="6747" spans="1:7" x14ac:dyDescent="0.25">
      <c r="A6747" t="s">
        <v>45</v>
      </c>
      <c r="B6747" t="s">
        <v>46</v>
      </c>
      <c r="C6747" t="s">
        <v>47</v>
      </c>
      <c r="D6747">
        <v>18156474</v>
      </c>
      <c r="E6747" t="s">
        <v>48</v>
      </c>
      <c r="F6747" t="s">
        <v>49</v>
      </c>
      <c r="G6747" s="30">
        <v>0</v>
      </c>
    </row>
    <row r="6748" spans="1:7" x14ac:dyDescent="0.25">
      <c r="A6748" t="s">
        <v>70</v>
      </c>
      <c r="B6748" t="s">
        <v>71</v>
      </c>
      <c r="C6748" t="s">
        <v>47</v>
      </c>
      <c r="D6748">
        <v>18159817</v>
      </c>
      <c r="E6748" t="s">
        <v>48</v>
      </c>
      <c r="F6748" t="s">
        <v>49</v>
      </c>
      <c r="G6748" s="30">
        <v>0</v>
      </c>
    </row>
    <row r="6749" spans="1:7" x14ac:dyDescent="0.25">
      <c r="A6749" t="s">
        <v>96</v>
      </c>
      <c r="B6749" t="s">
        <v>97</v>
      </c>
      <c r="C6749" t="s">
        <v>81</v>
      </c>
      <c r="D6749">
        <v>18164182</v>
      </c>
      <c r="E6749" t="s">
        <v>53</v>
      </c>
      <c r="F6749" t="s">
        <v>49</v>
      </c>
      <c r="G6749" s="30">
        <v>454662.62121256202</v>
      </c>
    </row>
    <row r="6750" spans="1:7" x14ac:dyDescent="0.25">
      <c r="A6750" t="s">
        <v>45</v>
      </c>
      <c r="B6750" t="s">
        <v>46</v>
      </c>
      <c r="C6750" t="s">
        <v>47</v>
      </c>
      <c r="D6750">
        <v>18187876</v>
      </c>
      <c r="E6750" t="s">
        <v>48</v>
      </c>
      <c r="F6750" t="s">
        <v>49</v>
      </c>
      <c r="G6750" s="30">
        <v>0</v>
      </c>
    </row>
    <row r="6751" spans="1:7" x14ac:dyDescent="0.25">
      <c r="A6751" t="s">
        <v>45</v>
      </c>
      <c r="B6751" t="s">
        <v>46</v>
      </c>
      <c r="C6751" t="s">
        <v>47</v>
      </c>
      <c r="D6751">
        <v>18187977</v>
      </c>
      <c r="E6751" t="s">
        <v>48</v>
      </c>
      <c r="F6751" t="s">
        <v>49</v>
      </c>
      <c r="G6751" s="30">
        <v>0</v>
      </c>
    </row>
    <row r="6752" spans="1:7" x14ac:dyDescent="0.25">
      <c r="A6752" t="s">
        <v>50</v>
      </c>
      <c r="B6752" t="s">
        <v>51</v>
      </c>
      <c r="C6752" t="s">
        <v>52</v>
      </c>
      <c r="D6752">
        <v>18188218</v>
      </c>
      <c r="E6752" t="s">
        <v>53</v>
      </c>
      <c r="F6752" t="s">
        <v>49</v>
      </c>
      <c r="G6752" s="30">
        <v>7.6</v>
      </c>
    </row>
    <row r="6753" spans="1:7" x14ac:dyDescent="0.25">
      <c r="A6753" t="s">
        <v>92</v>
      </c>
      <c r="B6753" t="s">
        <v>93</v>
      </c>
      <c r="C6753" t="s">
        <v>81</v>
      </c>
      <c r="D6753">
        <v>18191301</v>
      </c>
      <c r="E6753" t="s">
        <v>48</v>
      </c>
      <c r="F6753" t="s">
        <v>49</v>
      </c>
      <c r="G6753" s="30">
        <v>0</v>
      </c>
    </row>
    <row r="6754" spans="1:7" x14ac:dyDescent="0.25">
      <c r="A6754" t="s">
        <v>98</v>
      </c>
      <c r="B6754" t="s">
        <v>99</v>
      </c>
      <c r="C6754" t="s">
        <v>81</v>
      </c>
      <c r="D6754">
        <v>18195171</v>
      </c>
      <c r="E6754" t="s">
        <v>53</v>
      </c>
      <c r="F6754" t="s">
        <v>49</v>
      </c>
      <c r="G6754" s="30">
        <v>1092.4912109375</v>
      </c>
    </row>
    <row r="6755" spans="1:7" x14ac:dyDescent="0.25">
      <c r="A6755" t="s">
        <v>98</v>
      </c>
      <c r="B6755" t="s">
        <v>99</v>
      </c>
      <c r="C6755" t="s">
        <v>81</v>
      </c>
      <c r="D6755">
        <v>18195193</v>
      </c>
      <c r="E6755" t="s">
        <v>53</v>
      </c>
      <c r="F6755" t="s">
        <v>49</v>
      </c>
      <c r="G6755" s="30">
        <v>1092.4912109375</v>
      </c>
    </row>
    <row r="6756" spans="1:7" x14ac:dyDescent="0.25">
      <c r="A6756" t="s">
        <v>88</v>
      </c>
      <c r="B6756" t="s">
        <v>89</v>
      </c>
      <c r="C6756" t="s">
        <v>78</v>
      </c>
      <c r="D6756">
        <v>18195966</v>
      </c>
      <c r="E6756" t="s">
        <v>53</v>
      </c>
      <c r="F6756" t="s">
        <v>49</v>
      </c>
      <c r="G6756" s="30">
        <v>106846.361390762</v>
      </c>
    </row>
    <row r="6757" spans="1:7" x14ac:dyDescent="0.25">
      <c r="A6757" t="s">
        <v>45</v>
      </c>
      <c r="B6757" t="s">
        <v>46</v>
      </c>
      <c r="C6757" t="s">
        <v>47</v>
      </c>
      <c r="D6757">
        <v>18204142</v>
      </c>
      <c r="E6757" t="s">
        <v>48</v>
      </c>
      <c r="F6757" t="s">
        <v>49</v>
      </c>
      <c r="G6757" s="30">
        <v>0</v>
      </c>
    </row>
    <row r="6758" spans="1:7" x14ac:dyDescent="0.25">
      <c r="A6758" t="s">
        <v>88</v>
      </c>
      <c r="B6758" t="s">
        <v>89</v>
      </c>
      <c r="C6758" t="s">
        <v>78</v>
      </c>
      <c r="D6758">
        <v>18205009</v>
      </c>
      <c r="E6758" t="s">
        <v>53</v>
      </c>
      <c r="F6758" t="s">
        <v>49</v>
      </c>
      <c r="G6758" s="30">
        <v>68753.643256993397</v>
      </c>
    </row>
    <row r="6759" spans="1:7" x14ac:dyDescent="0.25">
      <c r="A6759" t="s">
        <v>45</v>
      </c>
      <c r="B6759" t="s">
        <v>46</v>
      </c>
      <c r="C6759" t="s">
        <v>47</v>
      </c>
      <c r="D6759">
        <v>18214775</v>
      </c>
      <c r="E6759" t="s">
        <v>48</v>
      </c>
      <c r="F6759" t="s">
        <v>49</v>
      </c>
      <c r="G6759" s="30">
        <v>0</v>
      </c>
    </row>
    <row r="6760" spans="1:7" x14ac:dyDescent="0.25">
      <c r="A6760" t="s">
        <v>122</v>
      </c>
      <c r="B6760" t="s">
        <v>123</v>
      </c>
      <c r="C6760" t="s">
        <v>52</v>
      </c>
      <c r="D6760">
        <v>18216438</v>
      </c>
      <c r="E6760" t="s">
        <v>48</v>
      </c>
      <c r="F6760" t="s">
        <v>49</v>
      </c>
      <c r="G6760" s="30">
        <v>0</v>
      </c>
    </row>
    <row r="6761" spans="1:7" x14ac:dyDescent="0.25">
      <c r="A6761" t="s">
        <v>68</v>
      </c>
      <c r="B6761" t="s">
        <v>69</v>
      </c>
      <c r="C6761" t="s">
        <v>56</v>
      </c>
      <c r="D6761">
        <v>18218905</v>
      </c>
      <c r="E6761" t="s">
        <v>48</v>
      </c>
      <c r="F6761" t="s">
        <v>49</v>
      </c>
      <c r="G6761" s="30">
        <v>0</v>
      </c>
    </row>
    <row r="6762" spans="1:7" x14ac:dyDescent="0.25">
      <c r="A6762" t="s">
        <v>68</v>
      </c>
      <c r="B6762" t="s">
        <v>69</v>
      </c>
      <c r="C6762" t="s">
        <v>56</v>
      </c>
      <c r="D6762">
        <v>18218990</v>
      </c>
      <c r="E6762" t="s">
        <v>48</v>
      </c>
      <c r="F6762" t="s">
        <v>49</v>
      </c>
      <c r="G6762" s="30">
        <v>0</v>
      </c>
    </row>
    <row r="6763" spans="1:7" x14ac:dyDescent="0.25">
      <c r="A6763" t="s">
        <v>50</v>
      </c>
      <c r="B6763" t="s">
        <v>51</v>
      </c>
      <c r="C6763" t="s">
        <v>52</v>
      </c>
      <c r="D6763">
        <v>18223705</v>
      </c>
      <c r="E6763" t="s">
        <v>48</v>
      </c>
      <c r="F6763" t="s">
        <v>49</v>
      </c>
      <c r="G6763" s="30">
        <v>0</v>
      </c>
    </row>
    <row r="6764" spans="1:7" x14ac:dyDescent="0.25">
      <c r="A6764" t="s">
        <v>98</v>
      </c>
      <c r="B6764" t="s">
        <v>99</v>
      </c>
      <c r="C6764" t="s">
        <v>81</v>
      </c>
      <c r="D6764">
        <v>18225316</v>
      </c>
      <c r="E6764" t="s">
        <v>53</v>
      </c>
      <c r="F6764" t="s">
        <v>49</v>
      </c>
      <c r="G6764" s="30">
        <v>1100047.31734713</v>
      </c>
    </row>
    <row r="6765" spans="1:7" x14ac:dyDescent="0.25">
      <c r="A6765" t="s">
        <v>50</v>
      </c>
      <c r="B6765" t="s">
        <v>51</v>
      </c>
      <c r="C6765" t="s">
        <v>52</v>
      </c>
      <c r="D6765">
        <v>18226032</v>
      </c>
      <c r="E6765" t="s">
        <v>53</v>
      </c>
      <c r="F6765" t="s">
        <v>49</v>
      </c>
      <c r="G6765" s="30">
        <v>4756.7163851642399</v>
      </c>
    </row>
    <row r="6766" spans="1:7" x14ac:dyDescent="0.25">
      <c r="A6766" t="s">
        <v>57</v>
      </c>
      <c r="B6766" t="s">
        <v>58</v>
      </c>
      <c r="C6766" t="s">
        <v>56</v>
      </c>
      <c r="D6766">
        <v>18227066</v>
      </c>
      <c r="E6766" t="s">
        <v>53</v>
      </c>
      <c r="F6766" t="s">
        <v>49</v>
      </c>
      <c r="G6766" s="30">
        <v>114905.749198929</v>
      </c>
    </row>
    <row r="6767" spans="1:7" x14ac:dyDescent="0.25">
      <c r="A6767" t="s">
        <v>57</v>
      </c>
      <c r="B6767" t="s">
        <v>58</v>
      </c>
      <c r="C6767" t="s">
        <v>56</v>
      </c>
      <c r="D6767">
        <v>18228699</v>
      </c>
      <c r="E6767" t="s">
        <v>53</v>
      </c>
      <c r="F6767" t="s">
        <v>49</v>
      </c>
      <c r="G6767" s="30">
        <v>19872.91</v>
      </c>
    </row>
    <row r="6768" spans="1:7" x14ac:dyDescent="0.25">
      <c r="A6768" t="s">
        <v>45</v>
      </c>
      <c r="B6768" t="s">
        <v>46</v>
      </c>
      <c r="C6768" t="s">
        <v>47</v>
      </c>
      <c r="D6768">
        <v>18234542</v>
      </c>
      <c r="E6768" t="s">
        <v>48</v>
      </c>
      <c r="F6768" t="s">
        <v>49</v>
      </c>
      <c r="G6768" s="30">
        <v>0</v>
      </c>
    </row>
    <row r="6769" spans="1:7" x14ac:dyDescent="0.25">
      <c r="A6769" t="s">
        <v>79</v>
      </c>
      <c r="B6769" t="s">
        <v>80</v>
      </c>
      <c r="C6769" t="s">
        <v>81</v>
      </c>
      <c r="D6769">
        <v>18243103</v>
      </c>
      <c r="E6769" t="s">
        <v>48</v>
      </c>
      <c r="F6769" t="s">
        <v>49</v>
      </c>
      <c r="G6769" s="30">
        <v>0</v>
      </c>
    </row>
    <row r="6770" spans="1:7" x14ac:dyDescent="0.25">
      <c r="A6770" t="s">
        <v>50</v>
      </c>
      <c r="B6770" t="s">
        <v>51</v>
      </c>
      <c r="C6770" t="s">
        <v>52</v>
      </c>
      <c r="D6770">
        <v>18246282</v>
      </c>
      <c r="E6770" t="s">
        <v>53</v>
      </c>
      <c r="F6770" t="s">
        <v>49</v>
      </c>
      <c r="G6770" s="30">
        <v>6128.4455867114502</v>
      </c>
    </row>
    <row r="6771" spans="1:7" x14ac:dyDescent="0.25">
      <c r="A6771" t="s">
        <v>45</v>
      </c>
      <c r="B6771" t="s">
        <v>46</v>
      </c>
      <c r="C6771" t="s">
        <v>47</v>
      </c>
      <c r="D6771">
        <v>18250615</v>
      </c>
      <c r="E6771" t="s">
        <v>48</v>
      </c>
      <c r="F6771" t="s">
        <v>49</v>
      </c>
      <c r="G6771" s="30">
        <v>0</v>
      </c>
    </row>
    <row r="6772" spans="1:7" x14ac:dyDescent="0.25">
      <c r="A6772" t="s">
        <v>45</v>
      </c>
      <c r="B6772" t="s">
        <v>46</v>
      </c>
      <c r="C6772" t="s">
        <v>47</v>
      </c>
      <c r="D6772">
        <v>18251606</v>
      </c>
      <c r="E6772" t="s">
        <v>48</v>
      </c>
      <c r="F6772" t="s">
        <v>49</v>
      </c>
      <c r="G6772" s="30">
        <v>0</v>
      </c>
    </row>
    <row r="6773" spans="1:7" x14ac:dyDescent="0.25">
      <c r="A6773" t="s">
        <v>54</v>
      </c>
      <c r="B6773" t="s">
        <v>55</v>
      </c>
      <c r="C6773" t="s">
        <v>56</v>
      </c>
      <c r="D6773">
        <v>18251663</v>
      </c>
      <c r="E6773" t="s">
        <v>53</v>
      </c>
      <c r="F6773" t="s">
        <v>49</v>
      </c>
      <c r="G6773" s="30">
        <v>209311.0625</v>
      </c>
    </row>
    <row r="6774" spans="1:7" x14ac:dyDescent="0.25">
      <c r="A6774" t="s">
        <v>45</v>
      </c>
      <c r="B6774" t="s">
        <v>46</v>
      </c>
      <c r="C6774" t="s">
        <v>47</v>
      </c>
      <c r="D6774">
        <v>18253470</v>
      </c>
      <c r="E6774" t="s">
        <v>48</v>
      </c>
      <c r="F6774" t="s">
        <v>49</v>
      </c>
      <c r="G6774" s="30">
        <v>0</v>
      </c>
    </row>
    <row r="6775" spans="1:7" x14ac:dyDescent="0.25">
      <c r="A6775" t="s">
        <v>79</v>
      </c>
      <c r="B6775" t="s">
        <v>80</v>
      </c>
      <c r="C6775" t="s">
        <v>81</v>
      </c>
      <c r="D6775">
        <v>18254677</v>
      </c>
      <c r="E6775" t="s">
        <v>48</v>
      </c>
      <c r="F6775" t="s">
        <v>49</v>
      </c>
      <c r="G6775" s="30">
        <v>0</v>
      </c>
    </row>
    <row r="6776" spans="1:7" x14ac:dyDescent="0.25">
      <c r="A6776" t="s">
        <v>98</v>
      </c>
      <c r="B6776" t="s">
        <v>99</v>
      </c>
      <c r="C6776" t="s">
        <v>81</v>
      </c>
      <c r="D6776">
        <v>18256145</v>
      </c>
      <c r="E6776" t="s">
        <v>53</v>
      </c>
      <c r="F6776" t="s">
        <v>49</v>
      </c>
      <c r="G6776" s="30">
        <v>224740.04394873601</v>
      </c>
    </row>
    <row r="6777" spans="1:7" x14ac:dyDescent="0.25">
      <c r="A6777" t="s">
        <v>45</v>
      </c>
      <c r="B6777" t="s">
        <v>46</v>
      </c>
      <c r="C6777" t="s">
        <v>47</v>
      </c>
      <c r="D6777">
        <v>18260032</v>
      </c>
      <c r="E6777" t="s">
        <v>53</v>
      </c>
      <c r="F6777" t="s">
        <v>49</v>
      </c>
      <c r="G6777" s="30">
        <v>26980.1884330754</v>
      </c>
    </row>
    <row r="6778" spans="1:7" x14ac:dyDescent="0.25">
      <c r="A6778" t="s">
        <v>104</v>
      </c>
      <c r="B6778" t="s">
        <v>105</v>
      </c>
      <c r="C6778" t="s">
        <v>78</v>
      </c>
      <c r="D6778">
        <v>18263056</v>
      </c>
      <c r="E6778" t="s">
        <v>48</v>
      </c>
      <c r="F6778" t="s">
        <v>49</v>
      </c>
      <c r="G6778" s="30">
        <v>0</v>
      </c>
    </row>
    <row r="6779" spans="1:7" x14ac:dyDescent="0.25">
      <c r="A6779" t="s">
        <v>159</v>
      </c>
      <c r="B6779" t="s">
        <v>160</v>
      </c>
      <c r="C6779" t="s">
        <v>52</v>
      </c>
      <c r="D6779">
        <v>18270886</v>
      </c>
      <c r="E6779" t="s">
        <v>53</v>
      </c>
      <c r="F6779" t="s">
        <v>49</v>
      </c>
      <c r="G6779" s="30">
        <v>116425.977486737</v>
      </c>
    </row>
    <row r="6780" spans="1:7" x14ac:dyDescent="0.25">
      <c r="A6780" t="s">
        <v>122</v>
      </c>
      <c r="B6780" t="s">
        <v>123</v>
      </c>
      <c r="C6780" t="s">
        <v>52</v>
      </c>
      <c r="D6780">
        <v>18271302</v>
      </c>
      <c r="E6780" t="s">
        <v>48</v>
      </c>
      <c r="F6780" t="s">
        <v>49</v>
      </c>
      <c r="G6780" s="30">
        <v>0</v>
      </c>
    </row>
    <row r="6781" spans="1:7" x14ac:dyDescent="0.25">
      <c r="A6781" t="s">
        <v>68</v>
      </c>
      <c r="B6781" t="s">
        <v>69</v>
      </c>
      <c r="C6781" t="s">
        <v>56</v>
      </c>
      <c r="D6781">
        <v>18273698</v>
      </c>
      <c r="E6781" t="s">
        <v>53</v>
      </c>
      <c r="F6781" t="s">
        <v>49</v>
      </c>
      <c r="G6781" s="30">
        <v>38773.800000000003</v>
      </c>
    </row>
    <row r="6782" spans="1:7" x14ac:dyDescent="0.25">
      <c r="A6782" t="s">
        <v>50</v>
      </c>
      <c r="B6782" t="s">
        <v>51</v>
      </c>
      <c r="C6782" t="s">
        <v>52</v>
      </c>
      <c r="D6782">
        <v>18273718</v>
      </c>
      <c r="E6782" t="s">
        <v>48</v>
      </c>
      <c r="F6782" t="s">
        <v>49</v>
      </c>
      <c r="G6782" s="30">
        <v>0</v>
      </c>
    </row>
    <row r="6783" spans="1:7" x14ac:dyDescent="0.25">
      <c r="A6783" t="s">
        <v>50</v>
      </c>
      <c r="B6783" t="s">
        <v>51</v>
      </c>
      <c r="C6783" t="s">
        <v>52</v>
      </c>
      <c r="D6783">
        <v>18275570</v>
      </c>
      <c r="E6783" t="s">
        <v>53</v>
      </c>
      <c r="F6783" t="s">
        <v>49</v>
      </c>
      <c r="G6783" s="30">
        <v>50898.6257987149</v>
      </c>
    </row>
    <row r="6784" spans="1:7" x14ac:dyDescent="0.25">
      <c r="A6784" t="s">
        <v>50</v>
      </c>
      <c r="B6784" t="s">
        <v>51</v>
      </c>
      <c r="C6784" t="s">
        <v>52</v>
      </c>
      <c r="D6784">
        <v>18277563</v>
      </c>
      <c r="E6784" t="s">
        <v>48</v>
      </c>
      <c r="F6784" t="s">
        <v>49</v>
      </c>
      <c r="G6784" s="30">
        <v>0</v>
      </c>
    </row>
    <row r="6785" spans="1:7" x14ac:dyDescent="0.25">
      <c r="A6785" t="s">
        <v>79</v>
      </c>
      <c r="B6785" t="s">
        <v>80</v>
      </c>
      <c r="C6785" t="s">
        <v>81</v>
      </c>
      <c r="D6785">
        <v>18278781</v>
      </c>
      <c r="E6785" t="s">
        <v>48</v>
      </c>
      <c r="F6785" t="s">
        <v>49</v>
      </c>
      <c r="G6785" s="30">
        <v>0</v>
      </c>
    </row>
    <row r="6786" spans="1:7" x14ac:dyDescent="0.25">
      <c r="A6786" t="s">
        <v>45</v>
      </c>
      <c r="B6786" t="s">
        <v>46</v>
      </c>
      <c r="C6786" t="s">
        <v>47</v>
      </c>
      <c r="D6786">
        <v>18278811</v>
      </c>
      <c r="E6786" t="s">
        <v>48</v>
      </c>
      <c r="F6786" t="s">
        <v>49</v>
      </c>
      <c r="G6786" s="30">
        <v>0</v>
      </c>
    </row>
    <row r="6787" spans="1:7" x14ac:dyDescent="0.25">
      <c r="A6787" t="s">
        <v>112</v>
      </c>
      <c r="B6787" t="s">
        <v>113</v>
      </c>
      <c r="C6787" t="s">
        <v>81</v>
      </c>
      <c r="D6787">
        <v>18279306</v>
      </c>
      <c r="E6787" t="s">
        <v>48</v>
      </c>
      <c r="F6787" t="s">
        <v>49</v>
      </c>
      <c r="G6787" s="30">
        <v>0</v>
      </c>
    </row>
    <row r="6788" spans="1:7" x14ac:dyDescent="0.25">
      <c r="A6788" t="s">
        <v>102</v>
      </c>
      <c r="B6788" t="s">
        <v>103</v>
      </c>
      <c r="C6788" t="s">
        <v>47</v>
      </c>
      <c r="D6788">
        <v>18284172</v>
      </c>
      <c r="E6788" t="s">
        <v>53</v>
      </c>
      <c r="F6788" t="s">
        <v>49</v>
      </c>
      <c r="G6788" s="30">
        <v>15020.5286839122</v>
      </c>
    </row>
    <row r="6789" spans="1:7" x14ac:dyDescent="0.25">
      <c r="A6789" t="s">
        <v>98</v>
      </c>
      <c r="B6789" t="s">
        <v>99</v>
      </c>
      <c r="C6789" t="s">
        <v>81</v>
      </c>
      <c r="D6789">
        <v>18293907</v>
      </c>
      <c r="E6789" t="s">
        <v>53</v>
      </c>
      <c r="F6789" t="s">
        <v>49</v>
      </c>
      <c r="G6789" s="30">
        <v>946175.22942036798</v>
      </c>
    </row>
    <row r="6790" spans="1:7" x14ac:dyDescent="0.25">
      <c r="A6790" t="s">
        <v>79</v>
      </c>
      <c r="B6790" t="s">
        <v>80</v>
      </c>
      <c r="C6790" t="s">
        <v>81</v>
      </c>
      <c r="D6790">
        <v>18295852</v>
      </c>
      <c r="E6790" t="s">
        <v>53</v>
      </c>
      <c r="F6790" t="s">
        <v>49</v>
      </c>
      <c r="G6790" s="30">
        <v>104942.81990559401</v>
      </c>
    </row>
    <row r="6791" spans="1:7" x14ac:dyDescent="0.25">
      <c r="A6791" t="s">
        <v>98</v>
      </c>
      <c r="B6791" t="s">
        <v>99</v>
      </c>
      <c r="C6791" t="s">
        <v>81</v>
      </c>
      <c r="D6791">
        <v>18300378</v>
      </c>
      <c r="E6791" t="s">
        <v>48</v>
      </c>
      <c r="F6791" t="s">
        <v>49</v>
      </c>
      <c r="G6791" s="30">
        <v>0</v>
      </c>
    </row>
    <row r="6792" spans="1:7" x14ac:dyDescent="0.25">
      <c r="A6792" t="s">
        <v>146</v>
      </c>
      <c r="B6792" t="s">
        <v>147</v>
      </c>
      <c r="C6792" t="s">
        <v>56</v>
      </c>
      <c r="D6792">
        <v>18303137</v>
      </c>
      <c r="E6792" t="s">
        <v>53</v>
      </c>
      <c r="F6792" t="s">
        <v>49</v>
      </c>
      <c r="G6792" s="30">
        <v>105504.63262079599</v>
      </c>
    </row>
    <row r="6793" spans="1:7" x14ac:dyDescent="0.25">
      <c r="A6793" t="s">
        <v>70</v>
      </c>
      <c r="B6793" t="s">
        <v>71</v>
      </c>
      <c r="C6793" t="s">
        <v>47</v>
      </c>
      <c r="D6793">
        <v>18305309</v>
      </c>
      <c r="E6793" t="s">
        <v>48</v>
      </c>
      <c r="F6793" t="s">
        <v>49</v>
      </c>
      <c r="G6793" s="30">
        <v>0</v>
      </c>
    </row>
    <row r="6794" spans="1:7" x14ac:dyDescent="0.25">
      <c r="A6794" t="s">
        <v>50</v>
      </c>
      <c r="B6794" t="s">
        <v>51</v>
      </c>
      <c r="C6794" t="s">
        <v>52</v>
      </c>
      <c r="D6794">
        <v>18312668</v>
      </c>
      <c r="E6794" t="s">
        <v>53</v>
      </c>
      <c r="F6794" t="s">
        <v>49</v>
      </c>
      <c r="G6794" s="30">
        <v>27564.386383271401</v>
      </c>
    </row>
    <row r="6795" spans="1:7" x14ac:dyDescent="0.25">
      <c r="A6795" t="s">
        <v>72</v>
      </c>
      <c r="B6795" t="s">
        <v>73</v>
      </c>
      <c r="C6795" t="s">
        <v>67</v>
      </c>
      <c r="D6795">
        <v>18313649</v>
      </c>
      <c r="E6795" t="s">
        <v>53</v>
      </c>
      <c r="F6795" t="s">
        <v>49</v>
      </c>
      <c r="G6795" s="30">
        <v>1648869.3667038099</v>
      </c>
    </row>
    <row r="6796" spans="1:7" x14ac:dyDescent="0.25">
      <c r="A6796" t="s">
        <v>124</v>
      </c>
      <c r="B6796" t="s">
        <v>125</v>
      </c>
      <c r="C6796" t="s">
        <v>78</v>
      </c>
      <c r="D6796">
        <v>18313830</v>
      </c>
      <c r="E6796" t="s">
        <v>53</v>
      </c>
      <c r="F6796" t="s">
        <v>49</v>
      </c>
      <c r="G6796" s="30">
        <v>3695.2502518210799</v>
      </c>
    </row>
    <row r="6797" spans="1:7" x14ac:dyDescent="0.25">
      <c r="A6797" t="s">
        <v>50</v>
      </c>
      <c r="B6797" t="s">
        <v>51</v>
      </c>
      <c r="C6797" t="s">
        <v>52</v>
      </c>
      <c r="D6797">
        <v>18322660</v>
      </c>
      <c r="E6797" t="s">
        <v>53</v>
      </c>
      <c r="F6797" t="s">
        <v>49</v>
      </c>
      <c r="G6797" s="30">
        <v>77660.150968691698</v>
      </c>
    </row>
    <row r="6798" spans="1:7" x14ac:dyDescent="0.25">
      <c r="A6798" t="s">
        <v>45</v>
      </c>
      <c r="B6798" t="s">
        <v>46</v>
      </c>
      <c r="C6798" t="s">
        <v>47</v>
      </c>
      <c r="D6798">
        <v>18328364</v>
      </c>
      <c r="E6798" t="s">
        <v>48</v>
      </c>
      <c r="F6798" t="s">
        <v>49</v>
      </c>
      <c r="G6798" s="30">
        <v>0</v>
      </c>
    </row>
    <row r="6799" spans="1:7" x14ac:dyDescent="0.25">
      <c r="A6799" t="s">
        <v>90</v>
      </c>
      <c r="B6799" t="s">
        <v>91</v>
      </c>
      <c r="C6799" t="s">
        <v>81</v>
      </c>
      <c r="D6799">
        <v>18332055</v>
      </c>
      <c r="E6799" t="s">
        <v>53</v>
      </c>
      <c r="F6799" t="s">
        <v>49</v>
      </c>
      <c r="G6799" s="30">
        <v>386134.90409124299</v>
      </c>
    </row>
    <row r="6800" spans="1:7" x14ac:dyDescent="0.25">
      <c r="A6800" t="s">
        <v>65</v>
      </c>
      <c r="B6800" t="s">
        <v>66</v>
      </c>
      <c r="C6800" t="s">
        <v>67</v>
      </c>
      <c r="D6800">
        <v>18333698</v>
      </c>
      <c r="E6800" t="s">
        <v>53</v>
      </c>
      <c r="F6800" t="s">
        <v>49</v>
      </c>
      <c r="G6800" s="30">
        <v>3751381.539818</v>
      </c>
    </row>
    <row r="6801" spans="1:7" x14ac:dyDescent="0.25">
      <c r="A6801" t="s">
        <v>45</v>
      </c>
      <c r="B6801" t="s">
        <v>46</v>
      </c>
      <c r="C6801" t="s">
        <v>47</v>
      </c>
      <c r="D6801">
        <v>18335181</v>
      </c>
      <c r="E6801" t="s">
        <v>48</v>
      </c>
      <c r="F6801" t="s">
        <v>49</v>
      </c>
      <c r="G6801" s="30">
        <v>0</v>
      </c>
    </row>
    <row r="6802" spans="1:7" x14ac:dyDescent="0.25">
      <c r="A6802" t="s">
        <v>57</v>
      </c>
      <c r="B6802" t="s">
        <v>58</v>
      </c>
      <c r="C6802" t="s">
        <v>56</v>
      </c>
      <c r="D6802">
        <v>18336104</v>
      </c>
      <c r="E6802" t="s">
        <v>53</v>
      </c>
      <c r="F6802" t="s">
        <v>49</v>
      </c>
      <c r="G6802" s="30">
        <v>10063.985713375399</v>
      </c>
    </row>
    <row r="6803" spans="1:7" x14ac:dyDescent="0.25">
      <c r="A6803" t="s">
        <v>65</v>
      </c>
      <c r="B6803" t="s">
        <v>66</v>
      </c>
      <c r="C6803" t="s">
        <v>67</v>
      </c>
      <c r="D6803">
        <v>18341048</v>
      </c>
      <c r="E6803" t="s">
        <v>53</v>
      </c>
      <c r="F6803" t="s">
        <v>49</v>
      </c>
      <c r="G6803" s="30">
        <v>7845560.6647306699</v>
      </c>
    </row>
    <row r="6804" spans="1:7" x14ac:dyDescent="0.25">
      <c r="A6804" t="s">
        <v>79</v>
      </c>
      <c r="B6804" t="s">
        <v>80</v>
      </c>
      <c r="C6804" t="s">
        <v>81</v>
      </c>
      <c r="D6804">
        <v>18343460</v>
      </c>
      <c r="E6804" t="s">
        <v>53</v>
      </c>
      <c r="F6804" t="s">
        <v>49</v>
      </c>
      <c r="G6804" s="30">
        <v>138373.1</v>
      </c>
    </row>
    <row r="6805" spans="1:7" x14ac:dyDescent="0.25">
      <c r="A6805" t="s">
        <v>50</v>
      </c>
      <c r="B6805" t="s">
        <v>51</v>
      </c>
      <c r="C6805" t="s">
        <v>52</v>
      </c>
      <c r="D6805">
        <v>18345480</v>
      </c>
      <c r="E6805" t="s">
        <v>48</v>
      </c>
      <c r="F6805" t="s">
        <v>49</v>
      </c>
      <c r="G6805" s="30">
        <v>0</v>
      </c>
    </row>
    <row r="6806" spans="1:7" x14ac:dyDescent="0.25">
      <c r="A6806" t="s">
        <v>61</v>
      </c>
      <c r="B6806" t="s">
        <v>62</v>
      </c>
      <c r="C6806" t="s">
        <v>56</v>
      </c>
      <c r="D6806">
        <v>18350601</v>
      </c>
      <c r="E6806" t="s">
        <v>48</v>
      </c>
      <c r="F6806" t="s">
        <v>49</v>
      </c>
      <c r="G6806" s="30">
        <v>0</v>
      </c>
    </row>
    <row r="6807" spans="1:7" x14ac:dyDescent="0.25">
      <c r="A6807" t="s">
        <v>92</v>
      </c>
      <c r="B6807" t="s">
        <v>93</v>
      </c>
      <c r="C6807" t="s">
        <v>81</v>
      </c>
      <c r="D6807">
        <v>18351029</v>
      </c>
      <c r="E6807" t="s">
        <v>53</v>
      </c>
      <c r="F6807" t="s">
        <v>49</v>
      </c>
      <c r="G6807" s="30">
        <v>2411.0256844533301</v>
      </c>
    </row>
    <row r="6808" spans="1:7" x14ac:dyDescent="0.25">
      <c r="A6808" t="s">
        <v>82</v>
      </c>
      <c r="B6808" t="s">
        <v>83</v>
      </c>
      <c r="C6808" t="s">
        <v>56</v>
      </c>
      <c r="D6808">
        <v>18356679</v>
      </c>
      <c r="E6808" t="s">
        <v>53</v>
      </c>
      <c r="F6808" t="s">
        <v>49</v>
      </c>
      <c r="G6808" s="30">
        <v>31447.575891148099</v>
      </c>
    </row>
    <row r="6809" spans="1:7" x14ac:dyDescent="0.25">
      <c r="A6809" t="s">
        <v>92</v>
      </c>
      <c r="B6809" t="s">
        <v>93</v>
      </c>
      <c r="C6809" t="s">
        <v>81</v>
      </c>
      <c r="D6809">
        <v>18359242</v>
      </c>
      <c r="E6809" t="s">
        <v>53</v>
      </c>
      <c r="F6809" t="s">
        <v>49</v>
      </c>
      <c r="G6809" s="30">
        <v>143197.715315109</v>
      </c>
    </row>
    <row r="6810" spans="1:7" x14ac:dyDescent="0.25">
      <c r="A6810" t="s">
        <v>98</v>
      </c>
      <c r="B6810" t="s">
        <v>99</v>
      </c>
      <c r="C6810" t="s">
        <v>81</v>
      </c>
      <c r="D6810">
        <v>18360964</v>
      </c>
      <c r="E6810" t="s">
        <v>53</v>
      </c>
      <c r="F6810" t="s">
        <v>49</v>
      </c>
      <c r="G6810" s="30">
        <v>2162845.1102387402</v>
      </c>
    </row>
    <row r="6811" spans="1:7" x14ac:dyDescent="0.25">
      <c r="A6811" t="s">
        <v>94</v>
      </c>
      <c r="B6811" t="s">
        <v>95</v>
      </c>
      <c r="C6811" t="s">
        <v>78</v>
      </c>
      <c r="D6811">
        <v>18362858</v>
      </c>
      <c r="E6811" t="s">
        <v>53</v>
      </c>
      <c r="F6811" t="s">
        <v>49</v>
      </c>
      <c r="G6811" s="30">
        <v>29359.332926011499</v>
      </c>
    </row>
    <row r="6812" spans="1:7" x14ac:dyDescent="0.25">
      <c r="A6812" t="s">
        <v>102</v>
      </c>
      <c r="B6812" t="s">
        <v>103</v>
      </c>
      <c r="C6812" t="s">
        <v>47</v>
      </c>
      <c r="D6812">
        <v>18366541</v>
      </c>
      <c r="E6812" t="s">
        <v>53</v>
      </c>
      <c r="F6812" t="s">
        <v>49</v>
      </c>
      <c r="G6812" s="30">
        <v>28622.019182959299</v>
      </c>
    </row>
    <row r="6813" spans="1:7" x14ac:dyDescent="0.25">
      <c r="A6813" t="s">
        <v>72</v>
      </c>
      <c r="B6813" t="s">
        <v>73</v>
      </c>
      <c r="C6813" t="s">
        <v>67</v>
      </c>
      <c r="D6813">
        <v>18370672</v>
      </c>
      <c r="E6813" t="s">
        <v>48</v>
      </c>
      <c r="F6813" t="s">
        <v>49</v>
      </c>
      <c r="G6813" s="30">
        <v>0</v>
      </c>
    </row>
    <row r="6814" spans="1:7" x14ac:dyDescent="0.25">
      <c r="A6814" t="s">
        <v>124</v>
      </c>
      <c r="B6814" t="s">
        <v>125</v>
      </c>
      <c r="C6814" t="s">
        <v>78</v>
      </c>
      <c r="D6814">
        <v>18372285</v>
      </c>
      <c r="E6814" t="s">
        <v>53</v>
      </c>
      <c r="F6814" t="s">
        <v>49</v>
      </c>
      <c r="G6814" s="30">
        <v>11112.47</v>
      </c>
    </row>
    <row r="6815" spans="1:7" x14ac:dyDescent="0.25">
      <c r="A6815" t="s">
        <v>70</v>
      </c>
      <c r="B6815" t="s">
        <v>71</v>
      </c>
      <c r="C6815" t="s">
        <v>47</v>
      </c>
      <c r="D6815">
        <v>18380907</v>
      </c>
      <c r="E6815" t="s">
        <v>53</v>
      </c>
      <c r="F6815" t="s">
        <v>49</v>
      </c>
      <c r="G6815" s="30">
        <v>310506.27109276899</v>
      </c>
    </row>
    <row r="6816" spans="1:7" x14ac:dyDescent="0.25">
      <c r="A6816" t="s">
        <v>102</v>
      </c>
      <c r="B6816" t="s">
        <v>103</v>
      </c>
      <c r="C6816" t="s">
        <v>47</v>
      </c>
      <c r="D6816">
        <v>18382484</v>
      </c>
      <c r="E6816" t="s">
        <v>53</v>
      </c>
      <c r="F6816" t="s">
        <v>49</v>
      </c>
      <c r="G6816" s="30">
        <v>12383.947882078101</v>
      </c>
    </row>
    <row r="6817" spans="1:7" x14ac:dyDescent="0.25">
      <c r="A6817" t="s">
        <v>122</v>
      </c>
      <c r="B6817" t="s">
        <v>123</v>
      </c>
      <c r="C6817" t="s">
        <v>52</v>
      </c>
      <c r="D6817">
        <v>18382841</v>
      </c>
      <c r="E6817" t="s">
        <v>53</v>
      </c>
      <c r="F6817" t="s">
        <v>49</v>
      </c>
      <c r="G6817" s="30">
        <v>100</v>
      </c>
    </row>
    <row r="6818" spans="1:7" x14ac:dyDescent="0.25">
      <c r="A6818" t="s">
        <v>96</v>
      </c>
      <c r="B6818" t="s">
        <v>97</v>
      </c>
      <c r="C6818" t="s">
        <v>81</v>
      </c>
      <c r="D6818">
        <v>18383197</v>
      </c>
      <c r="E6818" t="s">
        <v>48</v>
      </c>
      <c r="F6818" t="s">
        <v>49</v>
      </c>
      <c r="G6818" s="30">
        <v>0</v>
      </c>
    </row>
    <row r="6819" spans="1:7" x14ac:dyDescent="0.25">
      <c r="A6819" t="s">
        <v>65</v>
      </c>
      <c r="B6819" t="s">
        <v>66</v>
      </c>
      <c r="C6819" t="s">
        <v>67</v>
      </c>
      <c r="D6819">
        <v>18386574</v>
      </c>
      <c r="E6819" t="s">
        <v>53</v>
      </c>
      <c r="F6819" t="s">
        <v>49</v>
      </c>
      <c r="G6819" s="30">
        <v>4625853.3933284497</v>
      </c>
    </row>
    <row r="6820" spans="1:7" x14ac:dyDescent="0.25">
      <c r="A6820" t="s">
        <v>112</v>
      </c>
      <c r="B6820" t="s">
        <v>113</v>
      </c>
      <c r="C6820" t="s">
        <v>81</v>
      </c>
      <c r="D6820">
        <v>18390602</v>
      </c>
      <c r="E6820" t="s">
        <v>53</v>
      </c>
      <c r="F6820" t="s">
        <v>49</v>
      </c>
      <c r="G6820" s="30">
        <v>533584.50867248699</v>
      </c>
    </row>
    <row r="6821" spans="1:7" x14ac:dyDescent="0.25">
      <c r="A6821" t="s">
        <v>128</v>
      </c>
      <c r="B6821" t="s">
        <v>129</v>
      </c>
      <c r="C6821" t="s">
        <v>130</v>
      </c>
      <c r="D6821">
        <v>18394280</v>
      </c>
      <c r="E6821" t="s">
        <v>53</v>
      </c>
      <c r="F6821" t="s">
        <v>49</v>
      </c>
      <c r="G6821" s="30">
        <v>1435690.23676534</v>
      </c>
    </row>
    <row r="6822" spans="1:7" x14ac:dyDescent="0.25">
      <c r="A6822" t="s">
        <v>90</v>
      </c>
      <c r="B6822" t="s">
        <v>91</v>
      </c>
      <c r="C6822" t="s">
        <v>81</v>
      </c>
      <c r="D6822">
        <v>18399265</v>
      </c>
      <c r="E6822" t="s">
        <v>53</v>
      </c>
      <c r="F6822" t="s">
        <v>49</v>
      </c>
      <c r="G6822" s="30">
        <v>214118.140625</v>
      </c>
    </row>
    <row r="6823" spans="1:7" x14ac:dyDescent="0.25">
      <c r="A6823" t="s">
        <v>68</v>
      </c>
      <c r="B6823" t="s">
        <v>69</v>
      </c>
      <c r="C6823" t="s">
        <v>56</v>
      </c>
      <c r="D6823">
        <v>18400642</v>
      </c>
      <c r="E6823" t="s">
        <v>53</v>
      </c>
      <c r="F6823" t="s">
        <v>49</v>
      </c>
      <c r="G6823" s="30">
        <v>1219.67</v>
      </c>
    </row>
    <row r="6824" spans="1:7" x14ac:dyDescent="0.25">
      <c r="A6824" t="s">
        <v>128</v>
      </c>
      <c r="B6824" t="s">
        <v>129</v>
      </c>
      <c r="C6824" t="s">
        <v>130</v>
      </c>
      <c r="D6824">
        <v>18407574</v>
      </c>
      <c r="E6824" t="s">
        <v>53</v>
      </c>
      <c r="F6824" t="s">
        <v>49</v>
      </c>
      <c r="G6824" s="30">
        <v>1105754.6404154899</v>
      </c>
    </row>
    <row r="6825" spans="1:7" x14ac:dyDescent="0.25">
      <c r="A6825" t="s">
        <v>98</v>
      </c>
      <c r="B6825" t="s">
        <v>99</v>
      </c>
      <c r="C6825" t="s">
        <v>81</v>
      </c>
      <c r="D6825">
        <v>18407655</v>
      </c>
      <c r="E6825" t="s">
        <v>53</v>
      </c>
      <c r="F6825" t="s">
        <v>49</v>
      </c>
      <c r="G6825" s="30">
        <v>123886.57187499999</v>
      </c>
    </row>
    <row r="6826" spans="1:7" x14ac:dyDescent="0.25">
      <c r="A6826" t="s">
        <v>98</v>
      </c>
      <c r="B6826" t="s">
        <v>99</v>
      </c>
      <c r="C6826" t="s">
        <v>81</v>
      </c>
      <c r="D6826">
        <v>18409529</v>
      </c>
      <c r="E6826" t="s">
        <v>53</v>
      </c>
      <c r="F6826" t="s">
        <v>49</v>
      </c>
      <c r="G6826" s="30">
        <v>74388.099130128598</v>
      </c>
    </row>
    <row r="6827" spans="1:7" x14ac:dyDescent="0.25">
      <c r="A6827" t="s">
        <v>57</v>
      </c>
      <c r="B6827" t="s">
        <v>58</v>
      </c>
      <c r="C6827" t="s">
        <v>56</v>
      </c>
      <c r="D6827">
        <v>18412972</v>
      </c>
      <c r="E6827" t="s">
        <v>48</v>
      </c>
      <c r="F6827" t="s">
        <v>49</v>
      </c>
      <c r="G6827" s="30">
        <v>0</v>
      </c>
    </row>
    <row r="6828" spans="1:7" x14ac:dyDescent="0.25">
      <c r="A6828" t="s">
        <v>70</v>
      </c>
      <c r="B6828" t="s">
        <v>71</v>
      </c>
      <c r="C6828" t="s">
        <v>47</v>
      </c>
      <c r="D6828">
        <v>18413879</v>
      </c>
      <c r="E6828" t="s">
        <v>48</v>
      </c>
      <c r="F6828" t="s">
        <v>49</v>
      </c>
      <c r="G6828" s="30">
        <v>0</v>
      </c>
    </row>
    <row r="6829" spans="1:7" x14ac:dyDescent="0.25">
      <c r="A6829" t="s">
        <v>114</v>
      </c>
      <c r="B6829" t="s">
        <v>115</v>
      </c>
      <c r="C6829" t="s">
        <v>56</v>
      </c>
      <c r="D6829">
        <v>18413923</v>
      </c>
      <c r="E6829" t="s">
        <v>53</v>
      </c>
      <c r="F6829" t="s">
        <v>49</v>
      </c>
      <c r="G6829" s="30">
        <v>109.87</v>
      </c>
    </row>
    <row r="6830" spans="1:7" x14ac:dyDescent="0.25">
      <c r="A6830" t="s">
        <v>92</v>
      </c>
      <c r="B6830" t="s">
        <v>93</v>
      </c>
      <c r="C6830" t="s">
        <v>81</v>
      </c>
      <c r="D6830">
        <v>18417164</v>
      </c>
      <c r="E6830" t="s">
        <v>48</v>
      </c>
      <c r="F6830" t="s">
        <v>49</v>
      </c>
      <c r="G6830" s="30">
        <v>0</v>
      </c>
    </row>
    <row r="6831" spans="1:7" x14ac:dyDescent="0.25">
      <c r="A6831" t="s">
        <v>54</v>
      </c>
      <c r="B6831" t="s">
        <v>55</v>
      </c>
      <c r="C6831" t="s">
        <v>56</v>
      </c>
      <c r="D6831">
        <v>18417383</v>
      </c>
      <c r="E6831" t="s">
        <v>53</v>
      </c>
      <c r="F6831" t="s">
        <v>49</v>
      </c>
      <c r="G6831" s="30">
        <v>31633.617450322901</v>
      </c>
    </row>
    <row r="6832" spans="1:7" x14ac:dyDescent="0.25">
      <c r="A6832" t="s">
        <v>133</v>
      </c>
      <c r="B6832" t="s">
        <v>134</v>
      </c>
      <c r="C6832" t="s">
        <v>47</v>
      </c>
      <c r="D6832">
        <v>18418573</v>
      </c>
      <c r="E6832" t="s">
        <v>53</v>
      </c>
      <c r="F6832" t="s">
        <v>49</v>
      </c>
      <c r="G6832" s="30">
        <v>4724.95</v>
      </c>
    </row>
    <row r="6833" spans="1:7" x14ac:dyDescent="0.25">
      <c r="A6833" t="s">
        <v>133</v>
      </c>
      <c r="B6833" t="s">
        <v>134</v>
      </c>
      <c r="C6833" t="s">
        <v>47</v>
      </c>
      <c r="D6833">
        <v>18426126</v>
      </c>
      <c r="E6833" t="s">
        <v>53</v>
      </c>
      <c r="F6833" t="s">
        <v>49</v>
      </c>
      <c r="G6833" s="30">
        <v>71066.9951626072</v>
      </c>
    </row>
    <row r="6834" spans="1:7" x14ac:dyDescent="0.25">
      <c r="A6834" t="s">
        <v>86</v>
      </c>
      <c r="B6834" t="s">
        <v>87</v>
      </c>
      <c r="C6834" t="s">
        <v>78</v>
      </c>
      <c r="D6834">
        <v>18426194</v>
      </c>
      <c r="E6834" t="s">
        <v>48</v>
      </c>
      <c r="F6834" t="s">
        <v>49</v>
      </c>
      <c r="G6834" s="30">
        <v>0</v>
      </c>
    </row>
    <row r="6835" spans="1:7" x14ac:dyDescent="0.25">
      <c r="A6835" t="s">
        <v>102</v>
      </c>
      <c r="B6835" t="s">
        <v>103</v>
      </c>
      <c r="C6835" t="s">
        <v>47</v>
      </c>
      <c r="D6835">
        <v>18430089</v>
      </c>
      <c r="E6835" t="s">
        <v>53</v>
      </c>
      <c r="F6835" t="s">
        <v>49</v>
      </c>
      <c r="G6835" s="30">
        <v>4019.1423476022201</v>
      </c>
    </row>
    <row r="6836" spans="1:7" x14ac:dyDescent="0.25">
      <c r="A6836" t="s">
        <v>72</v>
      </c>
      <c r="B6836" t="s">
        <v>73</v>
      </c>
      <c r="C6836" t="s">
        <v>67</v>
      </c>
      <c r="D6836">
        <v>18435050</v>
      </c>
      <c r="E6836" t="s">
        <v>53</v>
      </c>
      <c r="F6836" t="s">
        <v>49</v>
      </c>
      <c r="G6836" s="30">
        <v>12535.77</v>
      </c>
    </row>
    <row r="6837" spans="1:7" x14ac:dyDescent="0.25">
      <c r="A6837" t="s">
        <v>59</v>
      </c>
      <c r="B6837" t="s">
        <v>60</v>
      </c>
      <c r="C6837" t="s">
        <v>56</v>
      </c>
      <c r="D6837">
        <v>18435055</v>
      </c>
      <c r="E6837" t="s">
        <v>53</v>
      </c>
      <c r="F6837" t="s">
        <v>49</v>
      </c>
      <c r="G6837" s="30">
        <v>162716.04981736699</v>
      </c>
    </row>
    <row r="6838" spans="1:7" x14ac:dyDescent="0.25">
      <c r="A6838" t="s">
        <v>98</v>
      </c>
      <c r="B6838" t="s">
        <v>99</v>
      </c>
      <c r="C6838" t="s">
        <v>81</v>
      </c>
      <c r="D6838">
        <v>18435069</v>
      </c>
      <c r="E6838" t="s">
        <v>48</v>
      </c>
      <c r="F6838" t="s">
        <v>49</v>
      </c>
      <c r="G6838" s="30">
        <v>0</v>
      </c>
    </row>
    <row r="6839" spans="1:7" x14ac:dyDescent="0.25">
      <c r="A6839" t="s">
        <v>57</v>
      </c>
      <c r="B6839" t="s">
        <v>58</v>
      </c>
      <c r="C6839" t="s">
        <v>56</v>
      </c>
      <c r="D6839">
        <v>18437548</v>
      </c>
      <c r="E6839" t="s">
        <v>48</v>
      </c>
      <c r="F6839" t="s">
        <v>49</v>
      </c>
      <c r="G6839" s="30">
        <v>0</v>
      </c>
    </row>
    <row r="6840" spans="1:7" x14ac:dyDescent="0.25">
      <c r="A6840" t="s">
        <v>45</v>
      </c>
      <c r="B6840" t="s">
        <v>46</v>
      </c>
      <c r="C6840" t="s">
        <v>47</v>
      </c>
      <c r="D6840">
        <v>18439061</v>
      </c>
      <c r="E6840" t="s">
        <v>48</v>
      </c>
      <c r="F6840" t="s">
        <v>49</v>
      </c>
      <c r="G6840" s="30">
        <v>0</v>
      </c>
    </row>
    <row r="6841" spans="1:7" x14ac:dyDescent="0.25">
      <c r="A6841" t="s">
        <v>92</v>
      </c>
      <c r="B6841" t="s">
        <v>93</v>
      </c>
      <c r="C6841" t="s">
        <v>81</v>
      </c>
      <c r="D6841">
        <v>18439966</v>
      </c>
      <c r="E6841" t="s">
        <v>53</v>
      </c>
      <c r="F6841" t="s">
        <v>49</v>
      </c>
      <c r="G6841" s="30">
        <v>132011.94429704099</v>
      </c>
    </row>
    <row r="6842" spans="1:7" x14ac:dyDescent="0.25">
      <c r="A6842" t="s">
        <v>122</v>
      </c>
      <c r="B6842" t="s">
        <v>123</v>
      </c>
      <c r="C6842" t="s">
        <v>52</v>
      </c>
      <c r="D6842">
        <v>18443948</v>
      </c>
      <c r="E6842" t="s">
        <v>48</v>
      </c>
      <c r="F6842" t="s">
        <v>49</v>
      </c>
      <c r="G6842" s="30">
        <v>0</v>
      </c>
    </row>
    <row r="6843" spans="1:7" x14ac:dyDescent="0.25">
      <c r="A6843" t="s">
        <v>50</v>
      </c>
      <c r="B6843" t="s">
        <v>51</v>
      </c>
      <c r="C6843" t="s">
        <v>52</v>
      </c>
      <c r="D6843">
        <v>18444999</v>
      </c>
      <c r="E6843" t="s">
        <v>48</v>
      </c>
      <c r="F6843" t="s">
        <v>49</v>
      </c>
      <c r="G6843" s="30">
        <v>0</v>
      </c>
    </row>
    <row r="6844" spans="1:7" x14ac:dyDescent="0.25">
      <c r="A6844" t="s">
        <v>90</v>
      </c>
      <c r="B6844" t="s">
        <v>91</v>
      </c>
      <c r="C6844" t="s">
        <v>81</v>
      </c>
      <c r="D6844">
        <v>18445863</v>
      </c>
      <c r="E6844" t="s">
        <v>48</v>
      </c>
      <c r="F6844" t="s">
        <v>49</v>
      </c>
      <c r="G6844" s="30">
        <v>0</v>
      </c>
    </row>
    <row r="6845" spans="1:7" x14ac:dyDescent="0.25">
      <c r="A6845" t="s">
        <v>94</v>
      </c>
      <c r="B6845" t="s">
        <v>95</v>
      </c>
      <c r="C6845" t="s">
        <v>78</v>
      </c>
      <c r="D6845">
        <v>18446375</v>
      </c>
      <c r="E6845" t="s">
        <v>53</v>
      </c>
      <c r="F6845" t="s">
        <v>49</v>
      </c>
      <c r="G6845" s="30">
        <v>15652.6606326129</v>
      </c>
    </row>
    <row r="6846" spans="1:7" x14ac:dyDescent="0.25">
      <c r="A6846" t="s">
        <v>133</v>
      </c>
      <c r="B6846" t="s">
        <v>134</v>
      </c>
      <c r="C6846" t="s">
        <v>47</v>
      </c>
      <c r="D6846">
        <v>18446565</v>
      </c>
      <c r="E6846" t="s">
        <v>48</v>
      </c>
      <c r="F6846" t="s">
        <v>49</v>
      </c>
      <c r="G6846" s="30">
        <v>0</v>
      </c>
    </row>
    <row r="6847" spans="1:7" x14ac:dyDescent="0.25">
      <c r="A6847" t="s">
        <v>54</v>
      </c>
      <c r="B6847" t="s">
        <v>55</v>
      </c>
      <c r="C6847" t="s">
        <v>56</v>
      </c>
      <c r="D6847">
        <v>18449835</v>
      </c>
      <c r="E6847" t="s">
        <v>53</v>
      </c>
      <c r="F6847" t="s">
        <v>49</v>
      </c>
      <c r="G6847" s="30">
        <v>724497.71787271497</v>
      </c>
    </row>
    <row r="6848" spans="1:7" x14ac:dyDescent="0.25">
      <c r="A6848" t="s">
        <v>68</v>
      </c>
      <c r="B6848" t="s">
        <v>69</v>
      </c>
      <c r="C6848" t="s">
        <v>56</v>
      </c>
      <c r="D6848">
        <v>18450325</v>
      </c>
      <c r="E6848" t="s">
        <v>48</v>
      </c>
      <c r="F6848" t="s">
        <v>49</v>
      </c>
      <c r="G6848" s="30">
        <v>0</v>
      </c>
    </row>
    <row r="6849" spans="1:7" x14ac:dyDescent="0.25">
      <c r="A6849" t="s">
        <v>126</v>
      </c>
      <c r="B6849" t="s">
        <v>127</v>
      </c>
      <c r="C6849" t="s">
        <v>67</v>
      </c>
      <c r="D6849">
        <v>18452103</v>
      </c>
      <c r="E6849" t="s">
        <v>53</v>
      </c>
      <c r="F6849" t="s">
        <v>49</v>
      </c>
      <c r="G6849" s="30">
        <v>198771.59104801301</v>
      </c>
    </row>
    <row r="6850" spans="1:7" x14ac:dyDescent="0.25">
      <c r="A6850" t="s">
        <v>104</v>
      </c>
      <c r="B6850" t="s">
        <v>105</v>
      </c>
      <c r="C6850" t="s">
        <v>78</v>
      </c>
      <c r="D6850">
        <v>18452950</v>
      </c>
      <c r="E6850" t="s">
        <v>48</v>
      </c>
      <c r="F6850" t="s">
        <v>49</v>
      </c>
      <c r="G6850" s="30">
        <v>0</v>
      </c>
    </row>
    <row r="6851" spans="1:7" x14ac:dyDescent="0.25">
      <c r="A6851" t="s">
        <v>98</v>
      </c>
      <c r="B6851" t="s">
        <v>99</v>
      </c>
      <c r="C6851" t="s">
        <v>81</v>
      </c>
      <c r="D6851">
        <v>18457901</v>
      </c>
      <c r="E6851" t="s">
        <v>53</v>
      </c>
      <c r="F6851" t="s">
        <v>49</v>
      </c>
      <c r="G6851" s="30">
        <v>196834.313786579</v>
      </c>
    </row>
    <row r="6852" spans="1:7" x14ac:dyDescent="0.25">
      <c r="A6852" t="s">
        <v>118</v>
      </c>
      <c r="B6852" t="s">
        <v>119</v>
      </c>
      <c r="C6852" t="s">
        <v>56</v>
      </c>
      <c r="D6852">
        <v>18462015</v>
      </c>
      <c r="E6852" t="s">
        <v>48</v>
      </c>
      <c r="F6852" t="s">
        <v>49</v>
      </c>
      <c r="G6852" s="30">
        <v>0</v>
      </c>
    </row>
    <row r="6853" spans="1:7" x14ac:dyDescent="0.25">
      <c r="A6853" t="s">
        <v>45</v>
      </c>
      <c r="B6853" t="s">
        <v>46</v>
      </c>
      <c r="C6853" t="s">
        <v>47</v>
      </c>
      <c r="D6853">
        <v>18462938</v>
      </c>
      <c r="E6853" t="s">
        <v>48</v>
      </c>
      <c r="F6853" t="s">
        <v>49</v>
      </c>
      <c r="G6853" s="30">
        <v>0</v>
      </c>
    </row>
    <row r="6854" spans="1:7" x14ac:dyDescent="0.25">
      <c r="A6854" t="s">
        <v>92</v>
      </c>
      <c r="B6854" t="s">
        <v>93</v>
      </c>
      <c r="C6854" t="s">
        <v>81</v>
      </c>
      <c r="D6854">
        <v>18463597</v>
      </c>
      <c r="E6854" t="s">
        <v>48</v>
      </c>
      <c r="F6854" t="s">
        <v>49</v>
      </c>
      <c r="G6854" s="30">
        <v>0</v>
      </c>
    </row>
    <row r="6855" spans="1:7" x14ac:dyDescent="0.25">
      <c r="A6855" t="s">
        <v>92</v>
      </c>
      <c r="B6855" t="s">
        <v>93</v>
      </c>
      <c r="C6855" t="s">
        <v>81</v>
      </c>
      <c r="D6855">
        <v>18466397</v>
      </c>
      <c r="E6855" t="s">
        <v>48</v>
      </c>
      <c r="F6855" t="s">
        <v>49</v>
      </c>
      <c r="G6855" s="30">
        <v>0</v>
      </c>
    </row>
    <row r="6856" spans="1:7" x14ac:dyDescent="0.25">
      <c r="A6856" t="s">
        <v>118</v>
      </c>
      <c r="B6856" t="s">
        <v>119</v>
      </c>
      <c r="C6856" t="s">
        <v>56</v>
      </c>
      <c r="D6856">
        <v>18466923</v>
      </c>
      <c r="E6856" t="s">
        <v>53</v>
      </c>
      <c r="F6856" t="s">
        <v>49</v>
      </c>
      <c r="G6856" s="30">
        <v>200</v>
      </c>
    </row>
    <row r="6857" spans="1:7" x14ac:dyDescent="0.25">
      <c r="A6857" t="s">
        <v>98</v>
      </c>
      <c r="B6857" t="s">
        <v>99</v>
      </c>
      <c r="C6857" t="s">
        <v>81</v>
      </c>
      <c r="D6857">
        <v>18468397</v>
      </c>
      <c r="E6857" t="s">
        <v>53</v>
      </c>
      <c r="F6857" t="s">
        <v>49</v>
      </c>
      <c r="G6857" s="30">
        <v>101367.82437350199</v>
      </c>
    </row>
    <row r="6858" spans="1:7" x14ac:dyDescent="0.25">
      <c r="A6858" t="s">
        <v>94</v>
      </c>
      <c r="B6858" t="s">
        <v>95</v>
      </c>
      <c r="C6858" t="s">
        <v>78</v>
      </c>
      <c r="D6858">
        <v>18469112</v>
      </c>
      <c r="E6858" t="s">
        <v>53</v>
      </c>
      <c r="F6858" t="s">
        <v>49</v>
      </c>
      <c r="G6858" s="30">
        <v>20510.478169906499</v>
      </c>
    </row>
    <row r="6859" spans="1:7" x14ac:dyDescent="0.25">
      <c r="A6859" t="s">
        <v>92</v>
      </c>
      <c r="B6859" t="s">
        <v>93</v>
      </c>
      <c r="C6859" t="s">
        <v>81</v>
      </c>
      <c r="D6859">
        <v>18470480</v>
      </c>
      <c r="E6859" t="s">
        <v>53</v>
      </c>
      <c r="F6859" t="s">
        <v>49</v>
      </c>
      <c r="G6859" s="30">
        <v>272137.32668081002</v>
      </c>
    </row>
    <row r="6860" spans="1:7" x14ac:dyDescent="0.25">
      <c r="A6860" t="s">
        <v>102</v>
      </c>
      <c r="B6860" t="s">
        <v>103</v>
      </c>
      <c r="C6860" t="s">
        <v>47</v>
      </c>
      <c r="D6860">
        <v>18470834</v>
      </c>
      <c r="E6860" t="s">
        <v>53</v>
      </c>
      <c r="F6860" t="s">
        <v>49</v>
      </c>
      <c r="G6860" s="30">
        <v>312.52999999999997</v>
      </c>
    </row>
    <row r="6861" spans="1:7" x14ac:dyDescent="0.25">
      <c r="A6861" t="s">
        <v>79</v>
      </c>
      <c r="B6861" t="s">
        <v>80</v>
      </c>
      <c r="C6861" t="s">
        <v>81</v>
      </c>
      <c r="D6861">
        <v>18471038</v>
      </c>
      <c r="E6861" t="s">
        <v>53</v>
      </c>
      <c r="F6861" t="s">
        <v>49</v>
      </c>
      <c r="G6861" s="30">
        <v>28679.546850993102</v>
      </c>
    </row>
    <row r="6862" spans="1:7" x14ac:dyDescent="0.25">
      <c r="A6862" t="s">
        <v>45</v>
      </c>
      <c r="B6862" t="s">
        <v>46</v>
      </c>
      <c r="C6862" t="s">
        <v>47</v>
      </c>
      <c r="D6862">
        <v>18475127</v>
      </c>
      <c r="E6862" t="s">
        <v>48</v>
      </c>
      <c r="F6862" t="s">
        <v>49</v>
      </c>
      <c r="G6862" s="30">
        <v>0</v>
      </c>
    </row>
    <row r="6863" spans="1:7" x14ac:dyDescent="0.25">
      <c r="A6863" t="s">
        <v>65</v>
      </c>
      <c r="B6863" t="s">
        <v>66</v>
      </c>
      <c r="C6863" t="s">
        <v>67</v>
      </c>
      <c r="D6863">
        <v>18475605</v>
      </c>
      <c r="E6863" t="s">
        <v>53</v>
      </c>
      <c r="F6863" t="s">
        <v>49</v>
      </c>
      <c r="G6863" s="30">
        <v>3628461.1542134499</v>
      </c>
    </row>
    <row r="6864" spans="1:7" x14ac:dyDescent="0.25">
      <c r="A6864" t="s">
        <v>98</v>
      </c>
      <c r="B6864" t="s">
        <v>99</v>
      </c>
      <c r="C6864" t="s">
        <v>81</v>
      </c>
      <c r="D6864">
        <v>18479106</v>
      </c>
      <c r="E6864" t="s">
        <v>53</v>
      </c>
      <c r="F6864" t="s">
        <v>49</v>
      </c>
      <c r="G6864" s="30">
        <v>62587.3746875</v>
      </c>
    </row>
    <row r="6865" spans="1:7" x14ac:dyDescent="0.25">
      <c r="A6865" t="s">
        <v>50</v>
      </c>
      <c r="B6865" t="s">
        <v>51</v>
      </c>
      <c r="C6865" t="s">
        <v>52</v>
      </c>
      <c r="D6865">
        <v>18479254</v>
      </c>
      <c r="E6865" t="s">
        <v>53</v>
      </c>
      <c r="F6865" t="s">
        <v>49</v>
      </c>
      <c r="G6865" s="30">
        <v>2498.7553173828101</v>
      </c>
    </row>
    <row r="6866" spans="1:7" x14ac:dyDescent="0.25">
      <c r="A6866" t="s">
        <v>61</v>
      </c>
      <c r="B6866" t="s">
        <v>62</v>
      </c>
      <c r="C6866" t="s">
        <v>56</v>
      </c>
      <c r="D6866">
        <v>18483470</v>
      </c>
      <c r="E6866" t="s">
        <v>53</v>
      </c>
      <c r="F6866" t="s">
        <v>49</v>
      </c>
      <c r="G6866" s="30">
        <v>-140.72</v>
      </c>
    </row>
    <row r="6867" spans="1:7" x14ac:dyDescent="0.25">
      <c r="A6867" t="s">
        <v>124</v>
      </c>
      <c r="B6867" t="s">
        <v>125</v>
      </c>
      <c r="C6867" t="s">
        <v>78</v>
      </c>
      <c r="D6867">
        <v>18484849</v>
      </c>
      <c r="E6867" t="s">
        <v>53</v>
      </c>
      <c r="F6867" t="s">
        <v>49</v>
      </c>
      <c r="G6867" s="30">
        <v>49623.563573300598</v>
      </c>
    </row>
    <row r="6868" spans="1:7" x14ac:dyDescent="0.25">
      <c r="A6868" t="s">
        <v>45</v>
      </c>
      <c r="B6868" t="s">
        <v>46</v>
      </c>
      <c r="C6868" t="s">
        <v>47</v>
      </c>
      <c r="D6868">
        <v>18488186</v>
      </c>
      <c r="E6868" t="s">
        <v>48</v>
      </c>
      <c r="F6868" t="s">
        <v>49</v>
      </c>
      <c r="G6868" s="30">
        <v>0</v>
      </c>
    </row>
    <row r="6869" spans="1:7" x14ac:dyDescent="0.25">
      <c r="A6869" t="s">
        <v>124</v>
      </c>
      <c r="B6869" t="s">
        <v>125</v>
      </c>
      <c r="C6869" t="s">
        <v>78</v>
      </c>
      <c r="D6869">
        <v>18491400</v>
      </c>
      <c r="E6869" t="s">
        <v>53</v>
      </c>
      <c r="F6869" t="s">
        <v>49</v>
      </c>
      <c r="G6869" s="30">
        <v>104030.189679433</v>
      </c>
    </row>
    <row r="6870" spans="1:7" x14ac:dyDescent="0.25">
      <c r="A6870" t="s">
        <v>100</v>
      </c>
      <c r="B6870" t="s">
        <v>101</v>
      </c>
      <c r="C6870" t="s">
        <v>52</v>
      </c>
      <c r="D6870">
        <v>18492716</v>
      </c>
      <c r="E6870" t="s">
        <v>53</v>
      </c>
      <c r="F6870" t="s">
        <v>49</v>
      </c>
      <c r="G6870" s="30">
        <v>1016.2122569115199</v>
      </c>
    </row>
    <row r="6871" spans="1:7" x14ac:dyDescent="0.25">
      <c r="A6871" t="s">
        <v>114</v>
      </c>
      <c r="B6871" t="s">
        <v>115</v>
      </c>
      <c r="C6871" t="s">
        <v>56</v>
      </c>
      <c r="D6871">
        <v>18497632</v>
      </c>
      <c r="E6871" t="s">
        <v>48</v>
      </c>
      <c r="F6871" t="s">
        <v>49</v>
      </c>
      <c r="G6871" s="30">
        <v>0</v>
      </c>
    </row>
    <row r="6872" spans="1:7" x14ac:dyDescent="0.25">
      <c r="A6872" t="s">
        <v>65</v>
      </c>
      <c r="B6872" t="s">
        <v>66</v>
      </c>
      <c r="C6872" t="s">
        <v>67</v>
      </c>
      <c r="D6872">
        <v>18499933</v>
      </c>
      <c r="E6872" t="s">
        <v>48</v>
      </c>
      <c r="F6872" t="s">
        <v>49</v>
      </c>
      <c r="G6872" s="30">
        <v>0</v>
      </c>
    </row>
    <row r="6873" spans="1:7" x14ac:dyDescent="0.25">
      <c r="A6873" t="s">
        <v>54</v>
      </c>
      <c r="B6873" t="s">
        <v>55</v>
      </c>
      <c r="C6873" t="s">
        <v>56</v>
      </c>
      <c r="D6873">
        <v>18504887</v>
      </c>
      <c r="E6873" t="s">
        <v>53</v>
      </c>
      <c r="F6873" t="s">
        <v>49</v>
      </c>
      <c r="G6873" s="30">
        <v>249831.577561068</v>
      </c>
    </row>
    <row r="6874" spans="1:7" x14ac:dyDescent="0.25">
      <c r="A6874" t="s">
        <v>128</v>
      </c>
      <c r="B6874" t="s">
        <v>129</v>
      </c>
      <c r="C6874" t="s">
        <v>130</v>
      </c>
      <c r="D6874">
        <v>18505751</v>
      </c>
      <c r="E6874" t="s">
        <v>53</v>
      </c>
      <c r="F6874" t="s">
        <v>49</v>
      </c>
      <c r="G6874" s="30">
        <v>638953.043692181</v>
      </c>
    </row>
    <row r="6875" spans="1:7" x14ac:dyDescent="0.25">
      <c r="A6875" t="s">
        <v>118</v>
      </c>
      <c r="B6875" t="s">
        <v>119</v>
      </c>
      <c r="C6875" t="s">
        <v>56</v>
      </c>
      <c r="D6875">
        <v>18508523</v>
      </c>
      <c r="E6875" t="s">
        <v>53</v>
      </c>
      <c r="F6875" t="s">
        <v>49</v>
      </c>
      <c r="G6875" s="30">
        <v>210821.19011868699</v>
      </c>
    </row>
    <row r="6876" spans="1:7" x14ac:dyDescent="0.25">
      <c r="A6876" t="s">
        <v>79</v>
      </c>
      <c r="B6876" t="s">
        <v>80</v>
      </c>
      <c r="C6876" t="s">
        <v>81</v>
      </c>
      <c r="D6876">
        <v>18508594</v>
      </c>
      <c r="E6876" t="s">
        <v>48</v>
      </c>
      <c r="F6876" t="s">
        <v>49</v>
      </c>
      <c r="G6876" s="30">
        <v>0</v>
      </c>
    </row>
    <row r="6877" spans="1:7" x14ac:dyDescent="0.25">
      <c r="A6877" t="s">
        <v>45</v>
      </c>
      <c r="B6877" t="s">
        <v>46</v>
      </c>
      <c r="C6877" t="s">
        <v>47</v>
      </c>
      <c r="D6877">
        <v>18509153</v>
      </c>
      <c r="E6877" t="s">
        <v>48</v>
      </c>
      <c r="F6877" t="s">
        <v>49</v>
      </c>
      <c r="G6877" s="30">
        <v>0</v>
      </c>
    </row>
    <row r="6878" spans="1:7" x14ac:dyDescent="0.25">
      <c r="A6878" t="s">
        <v>79</v>
      </c>
      <c r="B6878" t="s">
        <v>80</v>
      </c>
      <c r="C6878" t="s">
        <v>81</v>
      </c>
      <c r="D6878">
        <v>18509628</v>
      </c>
      <c r="E6878" t="s">
        <v>53</v>
      </c>
      <c r="F6878" t="s">
        <v>49</v>
      </c>
      <c r="G6878" s="30">
        <v>6085.5139036358696</v>
      </c>
    </row>
    <row r="6879" spans="1:7" x14ac:dyDescent="0.25">
      <c r="A6879" t="s">
        <v>92</v>
      </c>
      <c r="B6879" t="s">
        <v>93</v>
      </c>
      <c r="C6879" t="s">
        <v>81</v>
      </c>
      <c r="D6879">
        <v>18510131</v>
      </c>
      <c r="E6879" t="s">
        <v>48</v>
      </c>
      <c r="F6879" t="s">
        <v>49</v>
      </c>
      <c r="G6879" s="30">
        <v>0</v>
      </c>
    </row>
    <row r="6880" spans="1:7" x14ac:dyDescent="0.25">
      <c r="A6880" t="s">
        <v>112</v>
      </c>
      <c r="B6880" t="s">
        <v>113</v>
      </c>
      <c r="C6880" t="s">
        <v>81</v>
      </c>
      <c r="D6880">
        <v>18511847</v>
      </c>
      <c r="E6880" t="s">
        <v>53</v>
      </c>
      <c r="F6880" t="s">
        <v>49</v>
      </c>
      <c r="G6880" s="30">
        <v>52559.112238897098</v>
      </c>
    </row>
    <row r="6881" spans="1:7" x14ac:dyDescent="0.25">
      <c r="A6881" t="s">
        <v>61</v>
      </c>
      <c r="B6881" t="s">
        <v>62</v>
      </c>
      <c r="C6881" t="s">
        <v>56</v>
      </c>
      <c r="D6881">
        <v>18512401</v>
      </c>
      <c r="E6881" t="s">
        <v>53</v>
      </c>
      <c r="F6881" t="s">
        <v>49</v>
      </c>
      <c r="G6881" s="30">
        <v>38893.740007794899</v>
      </c>
    </row>
    <row r="6882" spans="1:7" x14ac:dyDescent="0.25">
      <c r="A6882" t="s">
        <v>70</v>
      </c>
      <c r="B6882" t="s">
        <v>71</v>
      </c>
      <c r="C6882" t="s">
        <v>47</v>
      </c>
      <c r="D6882">
        <v>18516404</v>
      </c>
      <c r="E6882" t="s">
        <v>53</v>
      </c>
      <c r="F6882" t="s">
        <v>49</v>
      </c>
      <c r="G6882" s="30">
        <v>4091.06527633517</v>
      </c>
    </row>
    <row r="6883" spans="1:7" x14ac:dyDescent="0.25">
      <c r="A6883" t="s">
        <v>70</v>
      </c>
      <c r="B6883" t="s">
        <v>71</v>
      </c>
      <c r="C6883" t="s">
        <v>47</v>
      </c>
      <c r="D6883">
        <v>18519896</v>
      </c>
      <c r="E6883" t="s">
        <v>48</v>
      </c>
      <c r="F6883" t="s">
        <v>49</v>
      </c>
      <c r="G6883" s="30">
        <v>0</v>
      </c>
    </row>
    <row r="6884" spans="1:7" x14ac:dyDescent="0.25">
      <c r="A6884" t="s">
        <v>79</v>
      </c>
      <c r="B6884" t="s">
        <v>80</v>
      </c>
      <c r="C6884" t="s">
        <v>81</v>
      </c>
      <c r="D6884">
        <v>18522071</v>
      </c>
      <c r="E6884" t="s">
        <v>53</v>
      </c>
      <c r="F6884" t="s">
        <v>49</v>
      </c>
      <c r="G6884" s="30">
        <v>211309.16138099399</v>
      </c>
    </row>
    <row r="6885" spans="1:7" x14ac:dyDescent="0.25">
      <c r="A6885" t="s">
        <v>122</v>
      </c>
      <c r="B6885" t="s">
        <v>123</v>
      </c>
      <c r="C6885" t="s">
        <v>52</v>
      </c>
      <c r="D6885">
        <v>18522760</v>
      </c>
      <c r="E6885" t="s">
        <v>48</v>
      </c>
      <c r="F6885" t="s">
        <v>49</v>
      </c>
      <c r="G6885" s="30">
        <v>0</v>
      </c>
    </row>
    <row r="6886" spans="1:7" x14ac:dyDescent="0.25">
      <c r="A6886" t="s">
        <v>61</v>
      </c>
      <c r="B6886" t="s">
        <v>62</v>
      </c>
      <c r="C6886" t="s">
        <v>56</v>
      </c>
      <c r="D6886">
        <v>18524060</v>
      </c>
      <c r="E6886" t="s">
        <v>53</v>
      </c>
      <c r="F6886" t="s">
        <v>49</v>
      </c>
      <c r="G6886" s="30">
        <v>160319.597444479</v>
      </c>
    </row>
    <row r="6887" spans="1:7" x14ac:dyDescent="0.25">
      <c r="A6887" t="s">
        <v>79</v>
      </c>
      <c r="B6887" t="s">
        <v>80</v>
      </c>
      <c r="C6887" t="s">
        <v>81</v>
      </c>
      <c r="D6887">
        <v>18527987</v>
      </c>
      <c r="E6887" t="s">
        <v>53</v>
      </c>
      <c r="F6887" t="s">
        <v>49</v>
      </c>
      <c r="G6887" s="30">
        <v>1000</v>
      </c>
    </row>
    <row r="6888" spans="1:7" x14ac:dyDescent="0.25">
      <c r="A6888" t="s">
        <v>116</v>
      </c>
      <c r="B6888" t="s">
        <v>117</v>
      </c>
      <c r="C6888" t="s">
        <v>47</v>
      </c>
      <c r="D6888">
        <v>18528243</v>
      </c>
      <c r="E6888" t="s">
        <v>48</v>
      </c>
      <c r="F6888" t="s">
        <v>49</v>
      </c>
      <c r="G6888" s="30">
        <v>0</v>
      </c>
    </row>
    <row r="6889" spans="1:7" x14ac:dyDescent="0.25">
      <c r="A6889" t="s">
        <v>98</v>
      </c>
      <c r="B6889" t="s">
        <v>99</v>
      </c>
      <c r="C6889" t="s">
        <v>81</v>
      </c>
      <c r="D6889">
        <v>18533928</v>
      </c>
      <c r="E6889" t="s">
        <v>48</v>
      </c>
      <c r="F6889" t="s">
        <v>49</v>
      </c>
      <c r="G6889" s="30">
        <v>0</v>
      </c>
    </row>
    <row r="6890" spans="1:7" x14ac:dyDescent="0.25">
      <c r="A6890" t="s">
        <v>106</v>
      </c>
      <c r="B6890" t="s">
        <v>107</v>
      </c>
      <c r="C6890" t="s">
        <v>56</v>
      </c>
      <c r="D6890">
        <v>18537374</v>
      </c>
      <c r="E6890" t="s">
        <v>48</v>
      </c>
      <c r="F6890" t="s">
        <v>49</v>
      </c>
      <c r="G6890" s="30">
        <v>0</v>
      </c>
    </row>
    <row r="6891" spans="1:7" x14ac:dyDescent="0.25">
      <c r="A6891" t="s">
        <v>57</v>
      </c>
      <c r="B6891" t="s">
        <v>58</v>
      </c>
      <c r="C6891" t="s">
        <v>56</v>
      </c>
      <c r="D6891">
        <v>18537993</v>
      </c>
      <c r="E6891" t="s">
        <v>53</v>
      </c>
      <c r="F6891" t="s">
        <v>49</v>
      </c>
      <c r="G6891" s="30">
        <v>72671.855302950295</v>
      </c>
    </row>
    <row r="6892" spans="1:7" x14ac:dyDescent="0.25">
      <c r="A6892" t="s">
        <v>88</v>
      </c>
      <c r="B6892" t="s">
        <v>89</v>
      </c>
      <c r="C6892" t="s">
        <v>78</v>
      </c>
      <c r="D6892">
        <v>18538304</v>
      </c>
      <c r="E6892" t="s">
        <v>53</v>
      </c>
      <c r="F6892" t="s">
        <v>49</v>
      </c>
      <c r="G6892" s="30">
        <v>5527.0855753649003</v>
      </c>
    </row>
    <row r="6893" spans="1:7" x14ac:dyDescent="0.25">
      <c r="A6893" t="s">
        <v>50</v>
      </c>
      <c r="B6893" t="s">
        <v>51</v>
      </c>
      <c r="C6893" t="s">
        <v>52</v>
      </c>
      <c r="D6893">
        <v>18538554</v>
      </c>
      <c r="E6893" t="s">
        <v>48</v>
      </c>
      <c r="F6893" t="s">
        <v>49</v>
      </c>
      <c r="G6893" s="30">
        <v>0</v>
      </c>
    </row>
    <row r="6894" spans="1:7" x14ac:dyDescent="0.25">
      <c r="A6894" t="s">
        <v>146</v>
      </c>
      <c r="B6894" t="s">
        <v>147</v>
      </c>
      <c r="C6894" t="s">
        <v>56</v>
      </c>
      <c r="D6894">
        <v>18540786</v>
      </c>
      <c r="E6894" t="s">
        <v>48</v>
      </c>
      <c r="F6894" t="s">
        <v>49</v>
      </c>
      <c r="G6894" s="30">
        <v>0</v>
      </c>
    </row>
    <row r="6895" spans="1:7" x14ac:dyDescent="0.25">
      <c r="A6895" t="s">
        <v>128</v>
      </c>
      <c r="B6895" t="s">
        <v>129</v>
      </c>
      <c r="C6895" t="s">
        <v>130</v>
      </c>
      <c r="D6895">
        <v>18544399</v>
      </c>
      <c r="E6895" t="s">
        <v>53</v>
      </c>
      <c r="F6895" t="s">
        <v>49</v>
      </c>
      <c r="G6895" s="30">
        <v>239022.30805652001</v>
      </c>
    </row>
    <row r="6896" spans="1:7" x14ac:dyDescent="0.25">
      <c r="A6896" t="s">
        <v>92</v>
      </c>
      <c r="B6896" t="s">
        <v>93</v>
      </c>
      <c r="C6896" t="s">
        <v>81</v>
      </c>
      <c r="D6896">
        <v>18544430</v>
      </c>
      <c r="E6896" t="s">
        <v>48</v>
      </c>
      <c r="F6896" t="s">
        <v>49</v>
      </c>
      <c r="G6896" s="30">
        <v>0</v>
      </c>
    </row>
    <row r="6897" spans="1:7" x14ac:dyDescent="0.25">
      <c r="A6897" t="s">
        <v>50</v>
      </c>
      <c r="B6897" t="s">
        <v>51</v>
      </c>
      <c r="C6897" t="s">
        <v>52</v>
      </c>
      <c r="D6897">
        <v>18547676</v>
      </c>
      <c r="E6897" t="s">
        <v>53</v>
      </c>
      <c r="F6897" t="s">
        <v>49</v>
      </c>
      <c r="G6897" s="30">
        <v>29851.156144611501</v>
      </c>
    </row>
    <row r="6898" spans="1:7" x14ac:dyDescent="0.25">
      <c r="A6898" t="s">
        <v>61</v>
      </c>
      <c r="B6898" t="s">
        <v>62</v>
      </c>
      <c r="C6898" t="s">
        <v>56</v>
      </c>
      <c r="D6898">
        <v>18549850</v>
      </c>
      <c r="E6898" t="s">
        <v>53</v>
      </c>
      <c r="F6898" t="s">
        <v>49</v>
      </c>
      <c r="G6898" s="30">
        <v>304140.040920578</v>
      </c>
    </row>
    <row r="6899" spans="1:7" x14ac:dyDescent="0.25">
      <c r="A6899" t="s">
        <v>112</v>
      </c>
      <c r="B6899" t="s">
        <v>113</v>
      </c>
      <c r="C6899" t="s">
        <v>81</v>
      </c>
      <c r="D6899">
        <v>18551293</v>
      </c>
      <c r="E6899" t="s">
        <v>53</v>
      </c>
      <c r="F6899" t="s">
        <v>49</v>
      </c>
      <c r="G6899" s="30">
        <v>208105.57452181599</v>
      </c>
    </row>
    <row r="6900" spans="1:7" x14ac:dyDescent="0.25">
      <c r="A6900" t="s">
        <v>92</v>
      </c>
      <c r="B6900" t="s">
        <v>93</v>
      </c>
      <c r="C6900" t="s">
        <v>81</v>
      </c>
      <c r="D6900">
        <v>18553053</v>
      </c>
      <c r="E6900" t="s">
        <v>48</v>
      </c>
      <c r="F6900" t="s">
        <v>49</v>
      </c>
      <c r="G6900" s="30">
        <v>75</v>
      </c>
    </row>
    <row r="6901" spans="1:7" x14ac:dyDescent="0.25">
      <c r="A6901" t="s">
        <v>50</v>
      </c>
      <c r="B6901" t="s">
        <v>51</v>
      </c>
      <c r="C6901" t="s">
        <v>52</v>
      </c>
      <c r="D6901">
        <v>18553778</v>
      </c>
      <c r="E6901" t="s">
        <v>53</v>
      </c>
      <c r="F6901" t="s">
        <v>49</v>
      </c>
      <c r="G6901" s="30">
        <v>24110.79</v>
      </c>
    </row>
    <row r="6902" spans="1:7" x14ac:dyDescent="0.25">
      <c r="A6902" t="s">
        <v>116</v>
      </c>
      <c r="B6902" t="s">
        <v>117</v>
      </c>
      <c r="C6902" t="s">
        <v>47</v>
      </c>
      <c r="D6902">
        <v>18554009</v>
      </c>
      <c r="E6902" t="s">
        <v>53</v>
      </c>
      <c r="F6902" t="s">
        <v>49</v>
      </c>
      <c r="G6902" s="30">
        <v>7115.2212363050403</v>
      </c>
    </row>
    <row r="6903" spans="1:7" x14ac:dyDescent="0.25">
      <c r="A6903" t="s">
        <v>65</v>
      </c>
      <c r="B6903" t="s">
        <v>66</v>
      </c>
      <c r="C6903" t="s">
        <v>67</v>
      </c>
      <c r="D6903">
        <v>18556601</v>
      </c>
      <c r="E6903" t="s">
        <v>53</v>
      </c>
      <c r="F6903" t="s">
        <v>49</v>
      </c>
      <c r="G6903" s="30">
        <v>12095.4929115534</v>
      </c>
    </row>
    <row r="6904" spans="1:7" x14ac:dyDescent="0.25">
      <c r="A6904" t="s">
        <v>92</v>
      </c>
      <c r="B6904" t="s">
        <v>93</v>
      </c>
      <c r="C6904" t="s">
        <v>81</v>
      </c>
      <c r="D6904">
        <v>18558122</v>
      </c>
      <c r="E6904" t="s">
        <v>48</v>
      </c>
      <c r="F6904" t="s">
        <v>49</v>
      </c>
      <c r="G6904" s="30">
        <v>0</v>
      </c>
    </row>
    <row r="6905" spans="1:7" x14ac:dyDescent="0.25">
      <c r="A6905" t="s">
        <v>70</v>
      </c>
      <c r="B6905" t="s">
        <v>71</v>
      </c>
      <c r="C6905" t="s">
        <v>47</v>
      </c>
      <c r="D6905">
        <v>18560556</v>
      </c>
      <c r="E6905" t="s">
        <v>53</v>
      </c>
      <c r="F6905" t="s">
        <v>49</v>
      </c>
      <c r="G6905" s="30">
        <v>36442.467192382799</v>
      </c>
    </row>
    <row r="6906" spans="1:7" x14ac:dyDescent="0.25">
      <c r="A6906" t="s">
        <v>92</v>
      </c>
      <c r="B6906" t="s">
        <v>93</v>
      </c>
      <c r="C6906" t="s">
        <v>81</v>
      </c>
      <c r="D6906">
        <v>18562699</v>
      </c>
      <c r="E6906" t="s">
        <v>53</v>
      </c>
      <c r="F6906" t="s">
        <v>49</v>
      </c>
      <c r="G6906" s="30">
        <v>21249.400390625</v>
      </c>
    </row>
    <row r="6907" spans="1:7" x14ac:dyDescent="0.25">
      <c r="A6907" t="s">
        <v>98</v>
      </c>
      <c r="B6907" t="s">
        <v>99</v>
      </c>
      <c r="C6907" t="s">
        <v>81</v>
      </c>
      <c r="D6907">
        <v>18565133</v>
      </c>
      <c r="E6907" t="s">
        <v>53</v>
      </c>
      <c r="F6907" t="s">
        <v>49</v>
      </c>
      <c r="G6907" s="30">
        <v>559677.88270872203</v>
      </c>
    </row>
    <row r="6908" spans="1:7" x14ac:dyDescent="0.25">
      <c r="A6908" t="s">
        <v>79</v>
      </c>
      <c r="B6908" t="s">
        <v>80</v>
      </c>
      <c r="C6908" t="s">
        <v>81</v>
      </c>
      <c r="D6908">
        <v>18565313</v>
      </c>
      <c r="E6908" t="s">
        <v>53</v>
      </c>
      <c r="F6908" t="s">
        <v>49</v>
      </c>
      <c r="G6908" s="30">
        <v>51673.18</v>
      </c>
    </row>
    <row r="6909" spans="1:7" x14ac:dyDescent="0.25">
      <c r="A6909" t="s">
        <v>92</v>
      </c>
      <c r="B6909" t="s">
        <v>93</v>
      </c>
      <c r="C6909" t="s">
        <v>81</v>
      </c>
      <c r="D6909">
        <v>18575530</v>
      </c>
      <c r="E6909" t="s">
        <v>53</v>
      </c>
      <c r="F6909" t="s">
        <v>49</v>
      </c>
      <c r="G6909" s="30">
        <v>103503.04328307501</v>
      </c>
    </row>
    <row r="6910" spans="1:7" x14ac:dyDescent="0.25">
      <c r="A6910" t="s">
        <v>92</v>
      </c>
      <c r="B6910" t="s">
        <v>93</v>
      </c>
      <c r="C6910" t="s">
        <v>81</v>
      </c>
      <c r="D6910">
        <v>18575571</v>
      </c>
      <c r="E6910" t="s">
        <v>48</v>
      </c>
      <c r="F6910" t="s">
        <v>49</v>
      </c>
      <c r="G6910" s="30">
        <v>0</v>
      </c>
    </row>
    <row r="6911" spans="1:7" x14ac:dyDescent="0.25">
      <c r="A6911" t="s">
        <v>45</v>
      </c>
      <c r="B6911" t="s">
        <v>46</v>
      </c>
      <c r="C6911" t="s">
        <v>47</v>
      </c>
      <c r="D6911">
        <v>18575822</v>
      </c>
      <c r="E6911" t="s">
        <v>48</v>
      </c>
      <c r="F6911" t="s">
        <v>49</v>
      </c>
      <c r="G6911" s="30">
        <v>0</v>
      </c>
    </row>
    <row r="6912" spans="1:7" x14ac:dyDescent="0.25">
      <c r="A6912" t="s">
        <v>79</v>
      </c>
      <c r="B6912" t="s">
        <v>80</v>
      </c>
      <c r="C6912" t="s">
        <v>81</v>
      </c>
      <c r="D6912">
        <v>18576723</v>
      </c>
      <c r="E6912" t="s">
        <v>48</v>
      </c>
      <c r="F6912" t="s">
        <v>49</v>
      </c>
      <c r="G6912" s="30">
        <v>0</v>
      </c>
    </row>
    <row r="6913" spans="1:7" x14ac:dyDescent="0.25">
      <c r="A6913" t="s">
        <v>94</v>
      </c>
      <c r="B6913" t="s">
        <v>95</v>
      </c>
      <c r="C6913" t="s">
        <v>78</v>
      </c>
      <c r="D6913">
        <v>18576936</v>
      </c>
      <c r="E6913" t="s">
        <v>53</v>
      </c>
      <c r="F6913" t="s">
        <v>49</v>
      </c>
      <c r="G6913" s="30">
        <v>5659.3407521400104</v>
      </c>
    </row>
    <row r="6914" spans="1:7" x14ac:dyDescent="0.25">
      <c r="A6914" t="s">
        <v>92</v>
      </c>
      <c r="B6914" t="s">
        <v>93</v>
      </c>
      <c r="C6914" t="s">
        <v>81</v>
      </c>
      <c r="D6914">
        <v>18577031</v>
      </c>
      <c r="E6914" t="s">
        <v>48</v>
      </c>
      <c r="F6914" t="s">
        <v>49</v>
      </c>
      <c r="G6914" s="30">
        <v>0</v>
      </c>
    </row>
    <row r="6915" spans="1:7" x14ac:dyDescent="0.25">
      <c r="A6915" t="s">
        <v>50</v>
      </c>
      <c r="B6915" t="s">
        <v>51</v>
      </c>
      <c r="C6915" t="s">
        <v>52</v>
      </c>
      <c r="D6915">
        <v>18578065</v>
      </c>
      <c r="E6915" t="s">
        <v>48</v>
      </c>
      <c r="F6915" t="s">
        <v>49</v>
      </c>
      <c r="G6915" s="30">
        <v>0</v>
      </c>
    </row>
    <row r="6916" spans="1:7" x14ac:dyDescent="0.25">
      <c r="A6916" t="s">
        <v>50</v>
      </c>
      <c r="B6916" t="s">
        <v>51</v>
      </c>
      <c r="C6916" t="s">
        <v>52</v>
      </c>
      <c r="D6916">
        <v>18579906</v>
      </c>
      <c r="E6916" t="s">
        <v>48</v>
      </c>
      <c r="F6916" t="s">
        <v>49</v>
      </c>
      <c r="G6916" s="30">
        <v>0</v>
      </c>
    </row>
    <row r="6917" spans="1:7" x14ac:dyDescent="0.25">
      <c r="A6917" t="s">
        <v>118</v>
      </c>
      <c r="B6917" t="s">
        <v>119</v>
      </c>
      <c r="C6917" t="s">
        <v>56</v>
      </c>
      <c r="D6917">
        <v>18581441</v>
      </c>
      <c r="E6917" t="s">
        <v>53</v>
      </c>
      <c r="F6917" t="s">
        <v>49</v>
      </c>
      <c r="G6917" s="30">
        <v>88.35</v>
      </c>
    </row>
    <row r="6918" spans="1:7" x14ac:dyDescent="0.25">
      <c r="A6918" t="s">
        <v>124</v>
      </c>
      <c r="B6918" t="s">
        <v>125</v>
      </c>
      <c r="C6918" t="s">
        <v>78</v>
      </c>
      <c r="D6918">
        <v>18582701</v>
      </c>
      <c r="E6918" t="s">
        <v>53</v>
      </c>
      <c r="F6918" t="s">
        <v>49</v>
      </c>
      <c r="G6918" s="30">
        <v>41013.845166342602</v>
      </c>
    </row>
    <row r="6919" spans="1:7" x14ac:dyDescent="0.25">
      <c r="A6919" t="s">
        <v>63</v>
      </c>
      <c r="B6919" t="s">
        <v>64</v>
      </c>
      <c r="C6919" t="s">
        <v>56</v>
      </c>
      <c r="D6919">
        <v>18585120</v>
      </c>
      <c r="E6919" t="s">
        <v>53</v>
      </c>
      <c r="F6919" t="s">
        <v>49</v>
      </c>
      <c r="G6919" s="30">
        <v>233830.85827013</v>
      </c>
    </row>
    <row r="6920" spans="1:7" x14ac:dyDescent="0.25">
      <c r="A6920" t="s">
        <v>54</v>
      </c>
      <c r="B6920" t="s">
        <v>55</v>
      </c>
      <c r="C6920" t="s">
        <v>56</v>
      </c>
      <c r="D6920">
        <v>18588905</v>
      </c>
      <c r="E6920" t="s">
        <v>53</v>
      </c>
      <c r="F6920" t="s">
        <v>49</v>
      </c>
      <c r="G6920" s="30">
        <v>2715732.04</v>
      </c>
    </row>
    <row r="6921" spans="1:7" x14ac:dyDescent="0.25">
      <c r="A6921" t="s">
        <v>98</v>
      </c>
      <c r="B6921" t="s">
        <v>99</v>
      </c>
      <c r="C6921" t="s">
        <v>81</v>
      </c>
      <c r="D6921">
        <v>18589586</v>
      </c>
      <c r="E6921" t="s">
        <v>53</v>
      </c>
      <c r="F6921" t="s">
        <v>49</v>
      </c>
      <c r="G6921" s="30">
        <v>6244.75048828125</v>
      </c>
    </row>
    <row r="6922" spans="1:7" x14ac:dyDescent="0.25">
      <c r="A6922" t="s">
        <v>65</v>
      </c>
      <c r="B6922" t="s">
        <v>66</v>
      </c>
      <c r="C6922" t="s">
        <v>67</v>
      </c>
      <c r="D6922">
        <v>18591563</v>
      </c>
      <c r="E6922" t="s">
        <v>48</v>
      </c>
      <c r="F6922" t="s">
        <v>49</v>
      </c>
      <c r="G6922" s="30">
        <v>0</v>
      </c>
    </row>
    <row r="6923" spans="1:7" x14ac:dyDescent="0.25">
      <c r="A6923" t="s">
        <v>61</v>
      </c>
      <c r="B6923" t="s">
        <v>62</v>
      </c>
      <c r="C6923" t="s">
        <v>56</v>
      </c>
      <c r="D6923">
        <v>18592994</v>
      </c>
      <c r="E6923" t="s">
        <v>53</v>
      </c>
      <c r="F6923" t="s">
        <v>49</v>
      </c>
      <c r="G6923" s="30">
        <v>1600</v>
      </c>
    </row>
    <row r="6924" spans="1:7" x14ac:dyDescent="0.25">
      <c r="A6924" t="s">
        <v>88</v>
      </c>
      <c r="B6924" t="s">
        <v>89</v>
      </c>
      <c r="C6924" t="s">
        <v>78</v>
      </c>
      <c r="D6924">
        <v>18593855</v>
      </c>
      <c r="E6924" t="s">
        <v>53</v>
      </c>
      <c r="F6924" t="s">
        <v>49</v>
      </c>
      <c r="G6924" s="30">
        <v>197593.14435257099</v>
      </c>
    </row>
    <row r="6925" spans="1:7" x14ac:dyDescent="0.25">
      <c r="A6925" t="s">
        <v>133</v>
      </c>
      <c r="B6925" t="s">
        <v>134</v>
      </c>
      <c r="C6925" t="s">
        <v>47</v>
      </c>
      <c r="D6925">
        <v>18605618</v>
      </c>
      <c r="E6925" t="s">
        <v>53</v>
      </c>
      <c r="F6925" t="s">
        <v>49</v>
      </c>
      <c r="G6925" s="30">
        <v>83203.884220228705</v>
      </c>
    </row>
    <row r="6926" spans="1:7" x14ac:dyDescent="0.25">
      <c r="A6926" t="s">
        <v>90</v>
      </c>
      <c r="B6926" t="s">
        <v>91</v>
      </c>
      <c r="C6926" t="s">
        <v>81</v>
      </c>
      <c r="D6926">
        <v>18606595</v>
      </c>
      <c r="E6926" t="s">
        <v>48</v>
      </c>
      <c r="F6926" t="s">
        <v>49</v>
      </c>
      <c r="G6926" s="30">
        <v>0</v>
      </c>
    </row>
    <row r="6927" spans="1:7" x14ac:dyDescent="0.25">
      <c r="A6927" t="s">
        <v>79</v>
      </c>
      <c r="B6927" t="s">
        <v>80</v>
      </c>
      <c r="C6927" t="s">
        <v>81</v>
      </c>
      <c r="D6927">
        <v>18612380</v>
      </c>
      <c r="E6927" t="s">
        <v>53</v>
      </c>
      <c r="F6927" t="s">
        <v>49</v>
      </c>
      <c r="G6927" s="30">
        <v>2073.1862780296501</v>
      </c>
    </row>
    <row r="6928" spans="1:7" x14ac:dyDescent="0.25">
      <c r="A6928" t="s">
        <v>92</v>
      </c>
      <c r="B6928" t="s">
        <v>93</v>
      </c>
      <c r="C6928" t="s">
        <v>81</v>
      </c>
      <c r="D6928">
        <v>18615317</v>
      </c>
      <c r="E6928" t="s">
        <v>53</v>
      </c>
      <c r="F6928" t="s">
        <v>49</v>
      </c>
      <c r="G6928" s="30">
        <v>69518.123786607393</v>
      </c>
    </row>
    <row r="6929" spans="1:7" x14ac:dyDescent="0.25">
      <c r="A6929" t="s">
        <v>45</v>
      </c>
      <c r="B6929" t="s">
        <v>46</v>
      </c>
      <c r="C6929" t="s">
        <v>47</v>
      </c>
      <c r="D6929">
        <v>18615426</v>
      </c>
      <c r="E6929" t="s">
        <v>53</v>
      </c>
      <c r="F6929" t="s">
        <v>49</v>
      </c>
      <c r="G6929" s="30">
        <v>1103.8277604</v>
      </c>
    </row>
    <row r="6930" spans="1:7" x14ac:dyDescent="0.25">
      <c r="A6930" t="s">
        <v>118</v>
      </c>
      <c r="B6930" t="s">
        <v>119</v>
      </c>
      <c r="C6930" t="s">
        <v>56</v>
      </c>
      <c r="D6930">
        <v>18618920</v>
      </c>
      <c r="E6930" t="s">
        <v>53</v>
      </c>
      <c r="F6930" t="s">
        <v>49</v>
      </c>
      <c r="G6930" s="30">
        <v>8334.23046875</v>
      </c>
    </row>
    <row r="6931" spans="1:7" x14ac:dyDescent="0.25">
      <c r="A6931" t="s">
        <v>92</v>
      </c>
      <c r="B6931" t="s">
        <v>93</v>
      </c>
      <c r="C6931" t="s">
        <v>81</v>
      </c>
      <c r="D6931">
        <v>18621842</v>
      </c>
      <c r="E6931" t="s">
        <v>53</v>
      </c>
      <c r="F6931" t="s">
        <v>49</v>
      </c>
      <c r="G6931" s="30">
        <v>10498.998666768301</v>
      </c>
    </row>
    <row r="6932" spans="1:7" x14ac:dyDescent="0.25">
      <c r="A6932" t="s">
        <v>112</v>
      </c>
      <c r="B6932" t="s">
        <v>113</v>
      </c>
      <c r="C6932" t="s">
        <v>81</v>
      </c>
      <c r="D6932">
        <v>18623163</v>
      </c>
      <c r="E6932" t="s">
        <v>53</v>
      </c>
      <c r="F6932" t="s">
        <v>49</v>
      </c>
      <c r="G6932" s="30">
        <v>35866.411793505802</v>
      </c>
    </row>
    <row r="6933" spans="1:7" x14ac:dyDescent="0.25">
      <c r="A6933" t="s">
        <v>124</v>
      </c>
      <c r="B6933" t="s">
        <v>125</v>
      </c>
      <c r="C6933" t="s">
        <v>78</v>
      </c>
      <c r="D6933">
        <v>18625359</v>
      </c>
      <c r="E6933" t="s">
        <v>48</v>
      </c>
      <c r="F6933" t="s">
        <v>49</v>
      </c>
      <c r="G6933" s="30">
        <v>0</v>
      </c>
    </row>
    <row r="6934" spans="1:7" x14ac:dyDescent="0.25">
      <c r="A6934" t="s">
        <v>59</v>
      </c>
      <c r="B6934" t="s">
        <v>60</v>
      </c>
      <c r="C6934" t="s">
        <v>56</v>
      </c>
      <c r="D6934">
        <v>18626211</v>
      </c>
      <c r="E6934" t="s">
        <v>53</v>
      </c>
      <c r="F6934" t="s">
        <v>49</v>
      </c>
      <c r="G6934" s="30">
        <v>10515.437452398101</v>
      </c>
    </row>
    <row r="6935" spans="1:7" x14ac:dyDescent="0.25">
      <c r="A6935" t="s">
        <v>70</v>
      </c>
      <c r="B6935" t="s">
        <v>71</v>
      </c>
      <c r="C6935" t="s">
        <v>47</v>
      </c>
      <c r="D6935">
        <v>18630986</v>
      </c>
      <c r="E6935" t="s">
        <v>48</v>
      </c>
      <c r="F6935" t="s">
        <v>49</v>
      </c>
      <c r="G6935" s="30">
        <v>0</v>
      </c>
    </row>
    <row r="6936" spans="1:7" x14ac:dyDescent="0.25">
      <c r="A6936" t="s">
        <v>82</v>
      </c>
      <c r="B6936" t="s">
        <v>83</v>
      </c>
      <c r="C6936" t="s">
        <v>56</v>
      </c>
      <c r="D6936">
        <v>18632000</v>
      </c>
      <c r="E6936" t="s">
        <v>48</v>
      </c>
      <c r="F6936" t="s">
        <v>49</v>
      </c>
      <c r="G6936" s="30">
        <v>0</v>
      </c>
    </row>
    <row r="6937" spans="1:7" x14ac:dyDescent="0.25">
      <c r="A6937" t="s">
        <v>94</v>
      </c>
      <c r="B6937" t="s">
        <v>95</v>
      </c>
      <c r="C6937" t="s">
        <v>78</v>
      </c>
      <c r="D6937">
        <v>18633763</v>
      </c>
      <c r="E6937" t="s">
        <v>48</v>
      </c>
      <c r="F6937" t="s">
        <v>49</v>
      </c>
      <c r="G6937" s="30">
        <v>0</v>
      </c>
    </row>
    <row r="6938" spans="1:7" x14ac:dyDescent="0.25">
      <c r="A6938" t="s">
        <v>92</v>
      </c>
      <c r="B6938" t="s">
        <v>93</v>
      </c>
      <c r="C6938" t="s">
        <v>81</v>
      </c>
      <c r="D6938">
        <v>18634539</v>
      </c>
      <c r="E6938" t="s">
        <v>48</v>
      </c>
      <c r="F6938" t="s">
        <v>49</v>
      </c>
      <c r="G6938" s="30">
        <v>0</v>
      </c>
    </row>
    <row r="6939" spans="1:7" x14ac:dyDescent="0.25">
      <c r="A6939" t="s">
        <v>118</v>
      </c>
      <c r="B6939" t="s">
        <v>119</v>
      </c>
      <c r="C6939" t="s">
        <v>56</v>
      </c>
      <c r="D6939">
        <v>18635924</v>
      </c>
      <c r="E6939" t="s">
        <v>53</v>
      </c>
      <c r="F6939" t="s">
        <v>49</v>
      </c>
      <c r="G6939" s="30">
        <v>4543.7487008673697</v>
      </c>
    </row>
    <row r="6940" spans="1:7" x14ac:dyDescent="0.25">
      <c r="A6940" t="s">
        <v>92</v>
      </c>
      <c r="B6940" t="s">
        <v>93</v>
      </c>
      <c r="C6940" t="s">
        <v>81</v>
      </c>
      <c r="D6940">
        <v>18641877</v>
      </c>
      <c r="E6940" t="s">
        <v>48</v>
      </c>
      <c r="F6940" t="s">
        <v>49</v>
      </c>
      <c r="G6940" s="30">
        <v>0</v>
      </c>
    </row>
    <row r="6941" spans="1:7" x14ac:dyDescent="0.25">
      <c r="A6941" t="s">
        <v>112</v>
      </c>
      <c r="B6941" t="s">
        <v>113</v>
      </c>
      <c r="C6941" t="s">
        <v>81</v>
      </c>
      <c r="D6941">
        <v>18646991</v>
      </c>
      <c r="E6941" t="s">
        <v>48</v>
      </c>
      <c r="F6941" t="s">
        <v>49</v>
      </c>
      <c r="G6941" s="30">
        <v>0</v>
      </c>
    </row>
    <row r="6942" spans="1:7" x14ac:dyDescent="0.25">
      <c r="A6942" t="s">
        <v>112</v>
      </c>
      <c r="B6942" t="s">
        <v>113</v>
      </c>
      <c r="C6942" t="s">
        <v>81</v>
      </c>
      <c r="D6942">
        <v>18647029</v>
      </c>
      <c r="E6942" t="s">
        <v>48</v>
      </c>
      <c r="F6942" t="s">
        <v>49</v>
      </c>
      <c r="G6942" s="30">
        <v>0</v>
      </c>
    </row>
    <row r="6943" spans="1:7" x14ac:dyDescent="0.25">
      <c r="A6943" t="s">
        <v>59</v>
      </c>
      <c r="B6943" t="s">
        <v>60</v>
      </c>
      <c r="C6943" t="s">
        <v>56</v>
      </c>
      <c r="D6943">
        <v>18649298</v>
      </c>
      <c r="E6943" t="s">
        <v>53</v>
      </c>
      <c r="F6943" t="s">
        <v>49</v>
      </c>
      <c r="G6943" s="30">
        <v>226677.852991213</v>
      </c>
    </row>
    <row r="6944" spans="1:7" x14ac:dyDescent="0.25">
      <c r="A6944" t="s">
        <v>98</v>
      </c>
      <c r="B6944" t="s">
        <v>99</v>
      </c>
      <c r="C6944" t="s">
        <v>81</v>
      </c>
      <c r="D6944">
        <v>18653354</v>
      </c>
      <c r="E6944" t="s">
        <v>53</v>
      </c>
      <c r="F6944" t="s">
        <v>49</v>
      </c>
      <c r="G6944" s="30">
        <v>134249.990373484</v>
      </c>
    </row>
    <row r="6945" spans="1:7" x14ac:dyDescent="0.25">
      <c r="A6945" t="s">
        <v>98</v>
      </c>
      <c r="B6945" t="s">
        <v>99</v>
      </c>
      <c r="C6945" t="s">
        <v>81</v>
      </c>
      <c r="D6945">
        <v>18653378</v>
      </c>
      <c r="E6945" t="s">
        <v>53</v>
      </c>
      <c r="F6945" t="s">
        <v>49</v>
      </c>
      <c r="G6945" s="30">
        <v>104077.5</v>
      </c>
    </row>
    <row r="6946" spans="1:7" x14ac:dyDescent="0.25">
      <c r="A6946" t="s">
        <v>102</v>
      </c>
      <c r="B6946" t="s">
        <v>103</v>
      </c>
      <c r="C6946" t="s">
        <v>47</v>
      </c>
      <c r="D6946">
        <v>18661981</v>
      </c>
      <c r="E6946" t="s">
        <v>48</v>
      </c>
      <c r="F6946" t="s">
        <v>49</v>
      </c>
      <c r="G6946" s="30">
        <v>0</v>
      </c>
    </row>
    <row r="6947" spans="1:7" x14ac:dyDescent="0.25">
      <c r="A6947" t="s">
        <v>92</v>
      </c>
      <c r="B6947" t="s">
        <v>93</v>
      </c>
      <c r="C6947" t="s">
        <v>81</v>
      </c>
      <c r="D6947">
        <v>18663295</v>
      </c>
      <c r="E6947" t="s">
        <v>48</v>
      </c>
      <c r="F6947" t="s">
        <v>49</v>
      </c>
      <c r="G6947" s="30">
        <v>0</v>
      </c>
    </row>
    <row r="6948" spans="1:7" x14ac:dyDescent="0.25">
      <c r="A6948" t="s">
        <v>159</v>
      </c>
      <c r="B6948" t="s">
        <v>160</v>
      </c>
      <c r="C6948" t="s">
        <v>52</v>
      </c>
      <c r="D6948">
        <v>18665320</v>
      </c>
      <c r="E6948" t="s">
        <v>53</v>
      </c>
      <c r="F6948" t="s">
        <v>49</v>
      </c>
      <c r="G6948" s="30">
        <v>105141.76524874099</v>
      </c>
    </row>
    <row r="6949" spans="1:7" x14ac:dyDescent="0.25">
      <c r="A6949" t="s">
        <v>79</v>
      </c>
      <c r="B6949" t="s">
        <v>80</v>
      </c>
      <c r="C6949" t="s">
        <v>81</v>
      </c>
      <c r="D6949">
        <v>18665788</v>
      </c>
      <c r="E6949" t="s">
        <v>48</v>
      </c>
      <c r="F6949" t="s">
        <v>49</v>
      </c>
      <c r="G6949" s="30">
        <v>0</v>
      </c>
    </row>
    <row r="6950" spans="1:7" x14ac:dyDescent="0.25">
      <c r="A6950" t="s">
        <v>100</v>
      </c>
      <c r="B6950" t="s">
        <v>101</v>
      </c>
      <c r="C6950" t="s">
        <v>52</v>
      </c>
      <c r="D6950">
        <v>18667876</v>
      </c>
      <c r="E6950" t="s">
        <v>53</v>
      </c>
      <c r="F6950" t="s">
        <v>49</v>
      </c>
      <c r="G6950" s="30">
        <v>51659.454990938102</v>
      </c>
    </row>
    <row r="6951" spans="1:7" x14ac:dyDescent="0.25">
      <c r="A6951" t="s">
        <v>98</v>
      </c>
      <c r="B6951" t="s">
        <v>99</v>
      </c>
      <c r="C6951" t="s">
        <v>81</v>
      </c>
      <c r="D6951">
        <v>18670372</v>
      </c>
      <c r="E6951" t="s">
        <v>53</v>
      </c>
      <c r="F6951" t="s">
        <v>49</v>
      </c>
      <c r="G6951" s="30">
        <v>2064197.3535863</v>
      </c>
    </row>
    <row r="6952" spans="1:7" x14ac:dyDescent="0.25">
      <c r="A6952" t="s">
        <v>92</v>
      </c>
      <c r="B6952" t="s">
        <v>93</v>
      </c>
      <c r="C6952" t="s">
        <v>81</v>
      </c>
      <c r="D6952">
        <v>18671919</v>
      </c>
      <c r="E6952" t="s">
        <v>53</v>
      </c>
      <c r="F6952" t="s">
        <v>49</v>
      </c>
      <c r="G6952" s="30">
        <v>46179.082137897298</v>
      </c>
    </row>
    <row r="6953" spans="1:7" x14ac:dyDescent="0.25">
      <c r="A6953" t="s">
        <v>98</v>
      </c>
      <c r="B6953" t="s">
        <v>99</v>
      </c>
      <c r="C6953" t="s">
        <v>81</v>
      </c>
      <c r="D6953">
        <v>18674744</v>
      </c>
      <c r="E6953" t="s">
        <v>53</v>
      </c>
      <c r="F6953" t="s">
        <v>49</v>
      </c>
      <c r="G6953" s="30">
        <v>257890.41</v>
      </c>
    </row>
    <row r="6954" spans="1:7" x14ac:dyDescent="0.25">
      <c r="A6954" t="s">
        <v>92</v>
      </c>
      <c r="B6954" t="s">
        <v>93</v>
      </c>
      <c r="C6954" t="s">
        <v>81</v>
      </c>
      <c r="D6954">
        <v>18675499</v>
      </c>
      <c r="E6954" t="s">
        <v>48</v>
      </c>
      <c r="F6954" t="s">
        <v>49</v>
      </c>
      <c r="G6954" s="30">
        <v>0.97</v>
      </c>
    </row>
    <row r="6955" spans="1:7" x14ac:dyDescent="0.25">
      <c r="A6955" t="s">
        <v>50</v>
      </c>
      <c r="B6955" t="s">
        <v>51</v>
      </c>
      <c r="C6955" t="s">
        <v>52</v>
      </c>
      <c r="D6955">
        <v>18676134</v>
      </c>
      <c r="E6955" t="s">
        <v>48</v>
      </c>
      <c r="F6955" t="s">
        <v>49</v>
      </c>
      <c r="G6955" s="30">
        <v>0</v>
      </c>
    </row>
    <row r="6956" spans="1:7" x14ac:dyDescent="0.25">
      <c r="A6956" t="s">
        <v>106</v>
      </c>
      <c r="B6956" t="s">
        <v>107</v>
      </c>
      <c r="C6956" t="s">
        <v>56</v>
      </c>
      <c r="D6956">
        <v>18680261</v>
      </c>
      <c r="E6956" t="s">
        <v>53</v>
      </c>
      <c r="F6956" t="s">
        <v>49</v>
      </c>
      <c r="G6956" s="30">
        <v>890565.766568169</v>
      </c>
    </row>
    <row r="6957" spans="1:7" x14ac:dyDescent="0.25">
      <c r="A6957" t="s">
        <v>50</v>
      </c>
      <c r="B6957" t="s">
        <v>51</v>
      </c>
      <c r="C6957" t="s">
        <v>52</v>
      </c>
      <c r="D6957">
        <v>18686827</v>
      </c>
      <c r="E6957" t="s">
        <v>48</v>
      </c>
      <c r="F6957" t="s">
        <v>49</v>
      </c>
      <c r="G6957" s="30">
        <v>0</v>
      </c>
    </row>
    <row r="6958" spans="1:7" x14ac:dyDescent="0.25">
      <c r="A6958" t="s">
        <v>79</v>
      </c>
      <c r="B6958" t="s">
        <v>80</v>
      </c>
      <c r="C6958" t="s">
        <v>81</v>
      </c>
      <c r="D6958">
        <v>18689001</v>
      </c>
      <c r="E6958" t="s">
        <v>48</v>
      </c>
      <c r="F6958" t="s">
        <v>49</v>
      </c>
      <c r="G6958" s="30">
        <v>0</v>
      </c>
    </row>
    <row r="6959" spans="1:7" x14ac:dyDescent="0.25">
      <c r="A6959" t="s">
        <v>96</v>
      </c>
      <c r="B6959" t="s">
        <v>97</v>
      </c>
      <c r="C6959" t="s">
        <v>81</v>
      </c>
      <c r="D6959">
        <v>18689027</v>
      </c>
      <c r="E6959" t="s">
        <v>53</v>
      </c>
      <c r="F6959" t="s">
        <v>49</v>
      </c>
      <c r="G6959" s="30">
        <v>1030.9468561903</v>
      </c>
    </row>
    <row r="6960" spans="1:7" x14ac:dyDescent="0.25">
      <c r="A6960" t="s">
        <v>61</v>
      </c>
      <c r="B6960" t="s">
        <v>62</v>
      </c>
      <c r="C6960" t="s">
        <v>56</v>
      </c>
      <c r="D6960">
        <v>18690158</v>
      </c>
      <c r="E6960" t="s">
        <v>53</v>
      </c>
      <c r="F6960" t="s">
        <v>49</v>
      </c>
      <c r="G6960" s="30">
        <v>21706.7763675102</v>
      </c>
    </row>
    <row r="6961" spans="1:7" x14ac:dyDescent="0.25">
      <c r="A6961" t="s">
        <v>65</v>
      </c>
      <c r="B6961" t="s">
        <v>66</v>
      </c>
      <c r="C6961" t="s">
        <v>67</v>
      </c>
      <c r="D6961">
        <v>18691408</v>
      </c>
      <c r="E6961" t="s">
        <v>48</v>
      </c>
      <c r="F6961" t="s">
        <v>49</v>
      </c>
      <c r="G6961" s="30">
        <v>0</v>
      </c>
    </row>
    <row r="6962" spans="1:7" x14ac:dyDescent="0.25">
      <c r="A6962" t="s">
        <v>50</v>
      </c>
      <c r="B6962" t="s">
        <v>51</v>
      </c>
      <c r="C6962" t="s">
        <v>52</v>
      </c>
      <c r="D6962">
        <v>18693124</v>
      </c>
      <c r="E6962" t="s">
        <v>53</v>
      </c>
      <c r="F6962" t="s">
        <v>167</v>
      </c>
      <c r="G6962" s="30">
        <v>200</v>
      </c>
    </row>
    <row r="6963" spans="1:7" x14ac:dyDescent="0.25">
      <c r="A6963" t="s">
        <v>82</v>
      </c>
      <c r="B6963" t="s">
        <v>83</v>
      </c>
      <c r="C6963" t="s">
        <v>56</v>
      </c>
      <c r="D6963">
        <v>18693466</v>
      </c>
      <c r="E6963" t="s">
        <v>48</v>
      </c>
      <c r="F6963" t="s">
        <v>49</v>
      </c>
      <c r="G6963" s="30">
        <v>0</v>
      </c>
    </row>
    <row r="6964" spans="1:7" x14ac:dyDescent="0.25">
      <c r="A6964" t="s">
        <v>108</v>
      </c>
      <c r="B6964" t="s">
        <v>109</v>
      </c>
      <c r="C6964" t="s">
        <v>67</v>
      </c>
      <c r="D6964">
        <v>18696051</v>
      </c>
      <c r="E6964" t="s">
        <v>48</v>
      </c>
      <c r="F6964" t="s">
        <v>49</v>
      </c>
      <c r="G6964" s="30">
        <v>0</v>
      </c>
    </row>
    <row r="6965" spans="1:7" x14ac:dyDescent="0.25">
      <c r="A6965" t="s">
        <v>50</v>
      </c>
      <c r="B6965" t="s">
        <v>51</v>
      </c>
      <c r="C6965" t="s">
        <v>52</v>
      </c>
      <c r="D6965">
        <v>18696846</v>
      </c>
      <c r="E6965" t="s">
        <v>48</v>
      </c>
      <c r="F6965" t="s">
        <v>49</v>
      </c>
      <c r="G6965" s="30">
        <v>0</v>
      </c>
    </row>
    <row r="6966" spans="1:7" x14ac:dyDescent="0.25">
      <c r="A6966" t="s">
        <v>94</v>
      </c>
      <c r="B6966" t="s">
        <v>95</v>
      </c>
      <c r="C6966" t="s">
        <v>78</v>
      </c>
      <c r="D6966">
        <v>18704638</v>
      </c>
      <c r="E6966" t="s">
        <v>53</v>
      </c>
      <c r="F6966" t="s">
        <v>49</v>
      </c>
      <c r="G6966" s="30">
        <v>12351.3370783725</v>
      </c>
    </row>
    <row r="6967" spans="1:7" x14ac:dyDescent="0.25">
      <c r="A6967" t="s">
        <v>82</v>
      </c>
      <c r="B6967" t="s">
        <v>83</v>
      </c>
      <c r="C6967" t="s">
        <v>56</v>
      </c>
      <c r="D6967">
        <v>18704958</v>
      </c>
      <c r="E6967" t="s">
        <v>53</v>
      </c>
      <c r="F6967" t="s">
        <v>49</v>
      </c>
      <c r="G6967" s="30">
        <v>2840.21</v>
      </c>
    </row>
    <row r="6968" spans="1:7" x14ac:dyDescent="0.25">
      <c r="A6968" t="s">
        <v>98</v>
      </c>
      <c r="B6968" t="s">
        <v>99</v>
      </c>
      <c r="C6968" t="s">
        <v>81</v>
      </c>
      <c r="D6968">
        <v>18705757</v>
      </c>
      <c r="E6968" t="s">
        <v>53</v>
      </c>
      <c r="F6968" t="s">
        <v>49</v>
      </c>
      <c r="G6968" s="30">
        <v>10000</v>
      </c>
    </row>
    <row r="6969" spans="1:7" x14ac:dyDescent="0.25">
      <c r="A6969" t="s">
        <v>65</v>
      </c>
      <c r="B6969" t="s">
        <v>66</v>
      </c>
      <c r="C6969" t="s">
        <v>67</v>
      </c>
      <c r="D6969">
        <v>18705944</v>
      </c>
      <c r="E6969" t="s">
        <v>53</v>
      </c>
      <c r="F6969" t="s">
        <v>49</v>
      </c>
      <c r="G6969" s="30">
        <v>2024.3</v>
      </c>
    </row>
    <row r="6970" spans="1:7" x14ac:dyDescent="0.25">
      <c r="A6970" t="s">
        <v>98</v>
      </c>
      <c r="B6970" t="s">
        <v>99</v>
      </c>
      <c r="C6970" t="s">
        <v>81</v>
      </c>
      <c r="D6970">
        <v>18707010</v>
      </c>
      <c r="E6970" t="s">
        <v>48</v>
      </c>
      <c r="F6970" t="s">
        <v>49</v>
      </c>
      <c r="G6970" s="30">
        <v>0</v>
      </c>
    </row>
    <row r="6971" spans="1:7" x14ac:dyDescent="0.25">
      <c r="A6971" t="s">
        <v>54</v>
      </c>
      <c r="B6971" t="s">
        <v>55</v>
      </c>
      <c r="C6971" t="s">
        <v>56</v>
      </c>
      <c r="D6971">
        <v>18712657</v>
      </c>
      <c r="E6971" t="s">
        <v>53</v>
      </c>
      <c r="F6971" t="s">
        <v>49</v>
      </c>
      <c r="G6971" s="30">
        <v>172110.04906250001</v>
      </c>
    </row>
    <row r="6972" spans="1:7" x14ac:dyDescent="0.25">
      <c r="A6972" t="s">
        <v>120</v>
      </c>
      <c r="B6972" t="s">
        <v>121</v>
      </c>
      <c r="C6972" t="s">
        <v>67</v>
      </c>
      <c r="D6972">
        <v>18713284</v>
      </c>
      <c r="E6972" t="s">
        <v>53</v>
      </c>
      <c r="F6972" t="s">
        <v>49</v>
      </c>
      <c r="G6972" s="30">
        <v>203076.97</v>
      </c>
    </row>
    <row r="6973" spans="1:7" x14ac:dyDescent="0.25">
      <c r="A6973" t="s">
        <v>118</v>
      </c>
      <c r="B6973" t="s">
        <v>119</v>
      </c>
      <c r="C6973" t="s">
        <v>56</v>
      </c>
      <c r="D6973">
        <v>18713588</v>
      </c>
      <c r="E6973" t="s">
        <v>48</v>
      </c>
      <c r="F6973" t="s">
        <v>49</v>
      </c>
      <c r="G6973" s="30">
        <v>0</v>
      </c>
    </row>
    <row r="6974" spans="1:7" x14ac:dyDescent="0.25">
      <c r="A6974" t="s">
        <v>79</v>
      </c>
      <c r="B6974" t="s">
        <v>80</v>
      </c>
      <c r="C6974" t="s">
        <v>81</v>
      </c>
      <c r="D6974">
        <v>18715303</v>
      </c>
      <c r="E6974" t="s">
        <v>48</v>
      </c>
      <c r="F6974" t="s">
        <v>49</v>
      </c>
      <c r="G6974" s="30">
        <v>0</v>
      </c>
    </row>
    <row r="6975" spans="1:7" x14ac:dyDescent="0.25">
      <c r="A6975" t="s">
        <v>50</v>
      </c>
      <c r="B6975" t="s">
        <v>51</v>
      </c>
      <c r="C6975" t="s">
        <v>52</v>
      </c>
      <c r="D6975">
        <v>18719037</v>
      </c>
      <c r="E6975" t="s">
        <v>48</v>
      </c>
      <c r="F6975" t="s">
        <v>49</v>
      </c>
      <c r="G6975" s="30">
        <v>0</v>
      </c>
    </row>
    <row r="6976" spans="1:7" x14ac:dyDescent="0.25">
      <c r="A6976" t="s">
        <v>94</v>
      </c>
      <c r="B6976" t="s">
        <v>95</v>
      </c>
      <c r="C6976" t="s">
        <v>78</v>
      </c>
      <c r="D6976">
        <v>18719069</v>
      </c>
      <c r="E6976" t="s">
        <v>48</v>
      </c>
      <c r="F6976" t="s">
        <v>49</v>
      </c>
      <c r="G6976" s="30">
        <v>0</v>
      </c>
    </row>
    <row r="6977" spans="1:7" x14ac:dyDescent="0.25">
      <c r="A6977" t="s">
        <v>65</v>
      </c>
      <c r="B6977" t="s">
        <v>66</v>
      </c>
      <c r="C6977" t="s">
        <v>67</v>
      </c>
      <c r="D6977">
        <v>18719164</v>
      </c>
      <c r="E6977" t="s">
        <v>53</v>
      </c>
      <c r="F6977" t="s">
        <v>49</v>
      </c>
      <c r="G6977" s="30">
        <v>121963.505266846</v>
      </c>
    </row>
    <row r="6978" spans="1:7" x14ac:dyDescent="0.25">
      <c r="A6978" t="s">
        <v>98</v>
      </c>
      <c r="B6978" t="s">
        <v>99</v>
      </c>
      <c r="C6978" t="s">
        <v>81</v>
      </c>
      <c r="D6978">
        <v>18727662</v>
      </c>
      <c r="E6978" t="s">
        <v>53</v>
      </c>
      <c r="F6978" t="s">
        <v>49</v>
      </c>
      <c r="G6978" s="30">
        <v>61971.752861328103</v>
      </c>
    </row>
    <row r="6979" spans="1:7" x14ac:dyDescent="0.25">
      <c r="A6979" t="s">
        <v>94</v>
      </c>
      <c r="B6979" t="s">
        <v>95</v>
      </c>
      <c r="C6979" t="s">
        <v>78</v>
      </c>
      <c r="D6979">
        <v>18728867</v>
      </c>
      <c r="E6979" t="s">
        <v>53</v>
      </c>
      <c r="F6979" t="s">
        <v>49</v>
      </c>
      <c r="G6979" s="30">
        <v>1511.97402629054</v>
      </c>
    </row>
    <row r="6980" spans="1:7" x14ac:dyDescent="0.25">
      <c r="A6980" t="s">
        <v>133</v>
      </c>
      <c r="B6980" t="s">
        <v>134</v>
      </c>
      <c r="C6980" t="s">
        <v>47</v>
      </c>
      <c r="D6980">
        <v>18731143</v>
      </c>
      <c r="E6980" t="s">
        <v>48</v>
      </c>
      <c r="F6980" t="s">
        <v>49</v>
      </c>
      <c r="G6980" s="30">
        <v>0</v>
      </c>
    </row>
    <row r="6981" spans="1:7" x14ac:dyDescent="0.25">
      <c r="A6981" t="s">
        <v>70</v>
      </c>
      <c r="B6981" t="s">
        <v>71</v>
      </c>
      <c r="C6981" t="s">
        <v>47</v>
      </c>
      <c r="D6981">
        <v>18738384</v>
      </c>
      <c r="E6981" t="s">
        <v>48</v>
      </c>
      <c r="F6981" t="s">
        <v>49</v>
      </c>
      <c r="G6981" s="30">
        <v>0</v>
      </c>
    </row>
    <row r="6982" spans="1:7" x14ac:dyDescent="0.25">
      <c r="A6982" t="s">
        <v>70</v>
      </c>
      <c r="B6982" t="s">
        <v>71</v>
      </c>
      <c r="C6982" t="s">
        <v>47</v>
      </c>
      <c r="D6982">
        <v>18738390</v>
      </c>
      <c r="E6982" t="s">
        <v>48</v>
      </c>
      <c r="F6982" t="s">
        <v>49</v>
      </c>
      <c r="G6982" s="30">
        <v>0</v>
      </c>
    </row>
    <row r="6983" spans="1:7" x14ac:dyDescent="0.25">
      <c r="A6983" t="s">
        <v>98</v>
      </c>
      <c r="B6983" t="s">
        <v>99</v>
      </c>
      <c r="C6983" t="s">
        <v>81</v>
      </c>
      <c r="D6983">
        <v>18740869</v>
      </c>
      <c r="E6983" t="s">
        <v>53</v>
      </c>
      <c r="F6983" t="s">
        <v>49</v>
      </c>
      <c r="G6983" s="30">
        <v>171201.016649075</v>
      </c>
    </row>
    <row r="6984" spans="1:7" x14ac:dyDescent="0.25">
      <c r="A6984" t="s">
        <v>98</v>
      </c>
      <c r="B6984" t="s">
        <v>99</v>
      </c>
      <c r="C6984" t="s">
        <v>81</v>
      </c>
      <c r="D6984">
        <v>18749114</v>
      </c>
      <c r="E6984" t="s">
        <v>48</v>
      </c>
      <c r="F6984" t="s">
        <v>49</v>
      </c>
      <c r="G6984" s="30">
        <v>0</v>
      </c>
    </row>
    <row r="6985" spans="1:7" x14ac:dyDescent="0.25">
      <c r="A6985" t="s">
        <v>168</v>
      </c>
      <c r="B6985" t="s">
        <v>169</v>
      </c>
      <c r="C6985" t="s">
        <v>56</v>
      </c>
      <c r="D6985">
        <v>18753474</v>
      </c>
      <c r="E6985" t="s">
        <v>48</v>
      </c>
      <c r="F6985" t="s">
        <v>49</v>
      </c>
      <c r="G6985" s="30">
        <v>0</v>
      </c>
    </row>
    <row r="6986" spans="1:7" x14ac:dyDescent="0.25">
      <c r="A6986" t="s">
        <v>70</v>
      </c>
      <c r="B6986" t="s">
        <v>71</v>
      </c>
      <c r="C6986" t="s">
        <v>47</v>
      </c>
      <c r="D6986">
        <v>18755438</v>
      </c>
      <c r="E6986" t="s">
        <v>48</v>
      </c>
      <c r="F6986" t="s">
        <v>49</v>
      </c>
      <c r="G6986" s="30">
        <v>0</v>
      </c>
    </row>
    <row r="6987" spans="1:7" x14ac:dyDescent="0.25">
      <c r="A6987" t="s">
        <v>84</v>
      </c>
      <c r="B6987" t="s">
        <v>85</v>
      </c>
      <c r="C6987" t="s">
        <v>67</v>
      </c>
      <c r="D6987">
        <v>18757261</v>
      </c>
      <c r="E6987" t="s">
        <v>53</v>
      </c>
      <c r="F6987" t="s">
        <v>49</v>
      </c>
      <c r="G6987" s="30">
        <v>66227.725664360405</v>
      </c>
    </row>
    <row r="6988" spans="1:7" x14ac:dyDescent="0.25">
      <c r="A6988" t="s">
        <v>86</v>
      </c>
      <c r="B6988" t="s">
        <v>87</v>
      </c>
      <c r="C6988" t="s">
        <v>78</v>
      </c>
      <c r="D6988">
        <v>18757909</v>
      </c>
      <c r="E6988" t="s">
        <v>48</v>
      </c>
      <c r="F6988" t="s">
        <v>49</v>
      </c>
      <c r="G6988" s="30">
        <v>63.17</v>
      </c>
    </row>
    <row r="6989" spans="1:7" x14ac:dyDescent="0.25">
      <c r="A6989" t="s">
        <v>59</v>
      </c>
      <c r="B6989" t="s">
        <v>60</v>
      </c>
      <c r="C6989" t="s">
        <v>56</v>
      </c>
      <c r="D6989">
        <v>18766620</v>
      </c>
      <c r="E6989" t="s">
        <v>48</v>
      </c>
      <c r="F6989" t="s">
        <v>49</v>
      </c>
      <c r="G6989" s="30">
        <v>0</v>
      </c>
    </row>
    <row r="6990" spans="1:7" x14ac:dyDescent="0.25">
      <c r="A6990" t="s">
        <v>59</v>
      </c>
      <c r="B6990" t="s">
        <v>60</v>
      </c>
      <c r="C6990" t="s">
        <v>56</v>
      </c>
      <c r="D6990">
        <v>18767099</v>
      </c>
      <c r="E6990" t="s">
        <v>48</v>
      </c>
      <c r="F6990" t="s">
        <v>49</v>
      </c>
      <c r="G6990" s="30">
        <v>0</v>
      </c>
    </row>
    <row r="6991" spans="1:7" x14ac:dyDescent="0.25">
      <c r="A6991" t="s">
        <v>118</v>
      </c>
      <c r="B6991" t="s">
        <v>119</v>
      </c>
      <c r="C6991" t="s">
        <v>56</v>
      </c>
      <c r="D6991">
        <v>18771177</v>
      </c>
      <c r="E6991" t="s">
        <v>53</v>
      </c>
      <c r="F6991" t="s">
        <v>49</v>
      </c>
      <c r="G6991" s="30">
        <v>20556.2773768562</v>
      </c>
    </row>
    <row r="6992" spans="1:7" x14ac:dyDescent="0.25">
      <c r="A6992" t="s">
        <v>92</v>
      </c>
      <c r="B6992" t="s">
        <v>93</v>
      </c>
      <c r="C6992" t="s">
        <v>81</v>
      </c>
      <c r="D6992">
        <v>18772078</v>
      </c>
      <c r="E6992" t="s">
        <v>48</v>
      </c>
      <c r="F6992" t="s">
        <v>49</v>
      </c>
      <c r="G6992" s="30">
        <v>0</v>
      </c>
    </row>
    <row r="6993" spans="1:7" x14ac:dyDescent="0.25">
      <c r="A6993" t="s">
        <v>54</v>
      </c>
      <c r="B6993" t="s">
        <v>55</v>
      </c>
      <c r="C6993" t="s">
        <v>56</v>
      </c>
      <c r="D6993">
        <v>18775215</v>
      </c>
      <c r="E6993" t="s">
        <v>53</v>
      </c>
      <c r="F6993" t="s">
        <v>49</v>
      </c>
      <c r="G6993" s="30">
        <v>176.42202363861301</v>
      </c>
    </row>
    <row r="6994" spans="1:7" x14ac:dyDescent="0.25">
      <c r="A6994" t="s">
        <v>50</v>
      </c>
      <c r="B6994" t="s">
        <v>51</v>
      </c>
      <c r="C6994" t="s">
        <v>52</v>
      </c>
      <c r="D6994">
        <v>18775558</v>
      </c>
      <c r="E6994" t="s">
        <v>48</v>
      </c>
      <c r="F6994" t="s">
        <v>49</v>
      </c>
      <c r="G6994" s="30">
        <v>0</v>
      </c>
    </row>
    <row r="6995" spans="1:7" x14ac:dyDescent="0.25">
      <c r="A6995" t="s">
        <v>135</v>
      </c>
      <c r="B6995" t="s">
        <v>136</v>
      </c>
      <c r="C6995" t="s">
        <v>56</v>
      </c>
      <c r="D6995">
        <v>18779059</v>
      </c>
      <c r="E6995" t="s">
        <v>53</v>
      </c>
      <c r="F6995" t="s">
        <v>49</v>
      </c>
      <c r="G6995" s="30">
        <v>121030.162890625</v>
      </c>
    </row>
    <row r="6996" spans="1:7" x14ac:dyDescent="0.25">
      <c r="A6996" t="s">
        <v>116</v>
      </c>
      <c r="B6996" t="s">
        <v>117</v>
      </c>
      <c r="C6996" t="s">
        <v>47</v>
      </c>
      <c r="D6996">
        <v>18780634</v>
      </c>
      <c r="E6996" t="s">
        <v>53</v>
      </c>
      <c r="F6996" t="s">
        <v>49</v>
      </c>
      <c r="G6996" s="30">
        <v>606144.39723099198</v>
      </c>
    </row>
    <row r="6997" spans="1:7" x14ac:dyDescent="0.25">
      <c r="A6997" t="s">
        <v>54</v>
      </c>
      <c r="B6997" t="s">
        <v>55</v>
      </c>
      <c r="C6997" t="s">
        <v>56</v>
      </c>
      <c r="D6997">
        <v>18781354</v>
      </c>
      <c r="E6997" t="s">
        <v>53</v>
      </c>
      <c r="F6997" t="s">
        <v>49</v>
      </c>
      <c r="G6997" s="30">
        <v>153.66026815926</v>
      </c>
    </row>
    <row r="6998" spans="1:7" x14ac:dyDescent="0.25">
      <c r="A6998" t="s">
        <v>92</v>
      </c>
      <c r="B6998" t="s">
        <v>93</v>
      </c>
      <c r="C6998" t="s">
        <v>81</v>
      </c>
      <c r="D6998">
        <v>18783356</v>
      </c>
      <c r="E6998" t="s">
        <v>53</v>
      </c>
      <c r="F6998" t="s">
        <v>49</v>
      </c>
      <c r="G6998" s="30">
        <v>10367.619814733</v>
      </c>
    </row>
    <row r="6999" spans="1:7" x14ac:dyDescent="0.25">
      <c r="A6999" t="s">
        <v>50</v>
      </c>
      <c r="B6999" t="s">
        <v>51</v>
      </c>
      <c r="C6999" t="s">
        <v>52</v>
      </c>
      <c r="D6999">
        <v>18789520</v>
      </c>
      <c r="E6999" t="s">
        <v>48</v>
      </c>
      <c r="F6999" t="s">
        <v>49</v>
      </c>
      <c r="G6999" s="30">
        <v>0</v>
      </c>
    </row>
    <row r="7000" spans="1:7" x14ac:dyDescent="0.25">
      <c r="A7000" t="s">
        <v>70</v>
      </c>
      <c r="B7000" t="s">
        <v>71</v>
      </c>
      <c r="C7000" t="s">
        <v>47</v>
      </c>
      <c r="D7000">
        <v>18789869</v>
      </c>
      <c r="E7000" t="s">
        <v>48</v>
      </c>
      <c r="F7000" t="s">
        <v>49</v>
      </c>
      <c r="G7000" s="30">
        <v>0</v>
      </c>
    </row>
    <row r="7001" spans="1:7" x14ac:dyDescent="0.25">
      <c r="A7001" t="s">
        <v>118</v>
      </c>
      <c r="B7001" t="s">
        <v>119</v>
      </c>
      <c r="C7001" t="s">
        <v>56</v>
      </c>
      <c r="D7001">
        <v>18795147</v>
      </c>
      <c r="E7001" t="s">
        <v>53</v>
      </c>
      <c r="F7001" t="s">
        <v>49</v>
      </c>
      <c r="G7001" s="30">
        <v>62411.1508297295</v>
      </c>
    </row>
    <row r="7002" spans="1:7" x14ac:dyDescent="0.25">
      <c r="A7002" t="s">
        <v>135</v>
      </c>
      <c r="B7002" t="s">
        <v>136</v>
      </c>
      <c r="C7002" t="s">
        <v>56</v>
      </c>
      <c r="D7002">
        <v>18801639</v>
      </c>
      <c r="E7002" t="s">
        <v>48</v>
      </c>
      <c r="F7002" t="s">
        <v>49</v>
      </c>
      <c r="G7002" s="30">
        <v>0</v>
      </c>
    </row>
    <row r="7003" spans="1:7" x14ac:dyDescent="0.25">
      <c r="A7003" t="s">
        <v>65</v>
      </c>
      <c r="B7003" t="s">
        <v>66</v>
      </c>
      <c r="C7003" t="s">
        <v>67</v>
      </c>
      <c r="D7003">
        <v>18803849</v>
      </c>
      <c r="E7003" t="s">
        <v>53</v>
      </c>
      <c r="F7003" t="s">
        <v>49</v>
      </c>
      <c r="G7003" s="30">
        <v>30560.91</v>
      </c>
    </row>
    <row r="7004" spans="1:7" x14ac:dyDescent="0.25">
      <c r="A7004" t="s">
        <v>116</v>
      </c>
      <c r="B7004" t="s">
        <v>117</v>
      </c>
      <c r="C7004" t="s">
        <v>47</v>
      </c>
      <c r="D7004">
        <v>18803929</v>
      </c>
      <c r="E7004" t="s">
        <v>53</v>
      </c>
      <c r="F7004" t="s">
        <v>49</v>
      </c>
      <c r="G7004" s="30">
        <v>254048.52800499901</v>
      </c>
    </row>
    <row r="7005" spans="1:7" x14ac:dyDescent="0.25">
      <c r="A7005" t="s">
        <v>50</v>
      </c>
      <c r="B7005" t="s">
        <v>51</v>
      </c>
      <c r="C7005" t="s">
        <v>52</v>
      </c>
      <c r="D7005">
        <v>18805006</v>
      </c>
      <c r="E7005" t="s">
        <v>48</v>
      </c>
      <c r="F7005" t="s">
        <v>49</v>
      </c>
      <c r="G7005" s="30">
        <v>0</v>
      </c>
    </row>
    <row r="7006" spans="1:7" x14ac:dyDescent="0.25">
      <c r="A7006" t="s">
        <v>92</v>
      </c>
      <c r="B7006" t="s">
        <v>93</v>
      </c>
      <c r="C7006" t="s">
        <v>81</v>
      </c>
      <c r="D7006">
        <v>18808471</v>
      </c>
      <c r="E7006" t="s">
        <v>48</v>
      </c>
      <c r="F7006" t="s">
        <v>49</v>
      </c>
      <c r="G7006" s="30">
        <v>0</v>
      </c>
    </row>
    <row r="7007" spans="1:7" x14ac:dyDescent="0.25">
      <c r="A7007" t="s">
        <v>135</v>
      </c>
      <c r="B7007" t="s">
        <v>136</v>
      </c>
      <c r="C7007" t="s">
        <v>56</v>
      </c>
      <c r="D7007">
        <v>18808929</v>
      </c>
      <c r="E7007" t="s">
        <v>53</v>
      </c>
      <c r="F7007" t="s">
        <v>49</v>
      </c>
      <c r="G7007" s="30">
        <v>582185.72206425795</v>
      </c>
    </row>
    <row r="7008" spans="1:7" x14ac:dyDescent="0.25">
      <c r="A7008" t="s">
        <v>135</v>
      </c>
      <c r="B7008" t="s">
        <v>136</v>
      </c>
      <c r="C7008" t="s">
        <v>56</v>
      </c>
      <c r="D7008">
        <v>18808989</v>
      </c>
      <c r="E7008" t="s">
        <v>53</v>
      </c>
      <c r="F7008" t="s">
        <v>49</v>
      </c>
      <c r="G7008" s="30">
        <v>129902.75303375001</v>
      </c>
    </row>
    <row r="7009" spans="1:7" x14ac:dyDescent="0.25">
      <c r="A7009" t="s">
        <v>108</v>
      </c>
      <c r="B7009" t="s">
        <v>109</v>
      </c>
      <c r="C7009" t="s">
        <v>67</v>
      </c>
      <c r="D7009">
        <v>18808999</v>
      </c>
      <c r="E7009" t="s">
        <v>48</v>
      </c>
      <c r="F7009" t="s">
        <v>49</v>
      </c>
      <c r="G7009" s="30">
        <v>0</v>
      </c>
    </row>
    <row r="7010" spans="1:7" x14ac:dyDescent="0.25">
      <c r="A7010" t="s">
        <v>135</v>
      </c>
      <c r="B7010" t="s">
        <v>136</v>
      </c>
      <c r="C7010" t="s">
        <v>56</v>
      </c>
      <c r="D7010">
        <v>18817780</v>
      </c>
      <c r="E7010" t="s">
        <v>53</v>
      </c>
      <c r="F7010" t="s">
        <v>49</v>
      </c>
      <c r="G7010" s="30">
        <v>384266.25270996901</v>
      </c>
    </row>
    <row r="7011" spans="1:7" x14ac:dyDescent="0.25">
      <c r="A7011" t="s">
        <v>82</v>
      </c>
      <c r="B7011" t="s">
        <v>83</v>
      </c>
      <c r="C7011" t="s">
        <v>56</v>
      </c>
      <c r="D7011">
        <v>18818390</v>
      </c>
      <c r="E7011" t="s">
        <v>48</v>
      </c>
      <c r="F7011" t="s">
        <v>49</v>
      </c>
      <c r="G7011" s="30">
        <v>62.4</v>
      </c>
    </row>
    <row r="7012" spans="1:7" x14ac:dyDescent="0.25">
      <c r="A7012" t="s">
        <v>128</v>
      </c>
      <c r="B7012" t="s">
        <v>129</v>
      </c>
      <c r="C7012" t="s">
        <v>130</v>
      </c>
      <c r="D7012">
        <v>18833072</v>
      </c>
      <c r="E7012" t="s">
        <v>53</v>
      </c>
      <c r="F7012" t="s">
        <v>49</v>
      </c>
      <c r="G7012" s="30">
        <v>100345.418235</v>
      </c>
    </row>
    <row r="7013" spans="1:7" x14ac:dyDescent="0.25">
      <c r="A7013" t="s">
        <v>168</v>
      </c>
      <c r="B7013" t="s">
        <v>169</v>
      </c>
      <c r="C7013" t="s">
        <v>56</v>
      </c>
      <c r="D7013">
        <v>18835591</v>
      </c>
      <c r="E7013" t="s">
        <v>53</v>
      </c>
      <c r="F7013" t="s">
        <v>49</v>
      </c>
      <c r="G7013" s="30">
        <v>40317.548745566397</v>
      </c>
    </row>
    <row r="7014" spans="1:7" x14ac:dyDescent="0.25">
      <c r="A7014" t="s">
        <v>144</v>
      </c>
      <c r="B7014" t="s">
        <v>145</v>
      </c>
      <c r="C7014" t="s">
        <v>67</v>
      </c>
      <c r="D7014">
        <v>18839418</v>
      </c>
      <c r="E7014" t="s">
        <v>53</v>
      </c>
      <c r="F7014" t="s">
        <v>49</v>
      </c>
      <c r="G7014" s="30">
        <v>2928968.7492852402</v>
      </c>
    </row>
    <row r="7015" spans="1:7" x14ac:dyDescent="0.25">
      <c r="A7015" t="s">
        <v>135</v>
      </c>
      <c r="B7015" t="s">
        <v>136</v>
      </c>
      <c r="C7015" t="s">
        <v>56</v>
      </c>
      <c r="D7015">
        <v>18846438</v>
      </c>
      <c r="E7015" t="s">
        <v>53</v>
      </c>
      <c r="F7015" t="s">
        <v>49</v>
      </c>
      <c r="G7015" s="30">
        <v>40161.416586421001</v>
      </c>
    </row>
    <row r="7016" spans="1:7" x14ac:dyDescent="0.25">
      <c r="A7016" t="s">
        <v>92</v>
      </c>
      <c r="B7016" t="s">
        <v>93</v>
      </c>
      <c r="C7016" t="s">
        <v>81</v>
      </c>
      <c r="D7016">
        <v>18847106</v>
      </c>
      <c r="E7016" t="s">
        <v>53</v>
      </c>
      <c r="F7016" t="s">
        <v>49</v>
      </c>
      <c r="G7016" s="30">
        <v>202.12894123959501</v>
      </c>
    </row>
    <row r="7017" spans="1:7" x14ac:dyDescent="0.25">
      <c r="A7017" t="s">
        <v>90</v>
      </c>
      <c r="B7017" t="s">
        <v>91</v>
      </c>
      <c r="C7017" t="s">
        <v>81</v>
      </c>
      <c r="D7017">
        <v>18850599</v>
      </c>
      <c r="E7017" t="s">
        <v>53</v>
      </c>
      <c r="F7017" t="s">
        <v>49</v>
      </c>
      <c r="G7017" s="30">
        <v>1018.81889459709</v>
      </c>
    </row>
    <row r="7018" spans="1:7" x14ac:dyDescent="0.25">
      <c r="A7018" t="s">
        <v>124</v>
      </c>
      <c r="B7018" t="s">
        <v>125</v>
      </c>
      <c r="C7018" t="s">
        <v>78</v>
      </c>
      <c r="D7018">
        <v>18856740</v>
      </c>
      <c r="E7018" t="s">
        <v>53</v>
      </c>
      <c r="F7018" t="s">
        <v>49</v>
      </c>
      <c r="G7018" s="30">
        <v>2340.63889185062</v>
      </c>
    </row>
    <row r="7019" spans="1:7" x14ac:dyDescent="0.25">
      <c r="A7019" t="s">
        <v>135</v>
      </c>
      <c r="B7019" t="s">
        <v>136</v>
      </c>
      <c r="C7019" t="s">
        <v>56</v>
      </c>
      <c r="D7019">
        <v>18861140</v>
      </c>
      <c r="E7019" t="s">
        <v>53</v>
      </c>
      <c r="F7019" t="s">
        <v>49</v>
      </c>
      <c r="G7019" s="30">
        <v>120819.95180001001</v>
      </c>
    </row>
    <row r="7020" spans="1:7" x14ac:dyDescent="0.25">
      <c r="A7020" t="s">
        <v>102</v>
      </c>
      <c r="B7020" t="s">
        <v>103</v>
      </c>
      <c r="C7020" t="s">
        <v>47</v>
      </c>
      <c r="D7020">
        <v>18871150</v>
      </c>
      <c r="E7020" t="s">
        <v>53</v>
      </c>
      <c r="F7020" t="s">
        <v>49</v>
      </c>
      <c r="G7020" s="30">
        <v>355030.74103199702</v>
      </c>
    </row>
    <row r="7021" spans="1:7" x14ac:dyDescent="0.25">
      <c r="A7021" t="s">
        <v>114</v>
      </c>
      <c r="B7021" t="s">
        <v>115</v>
      </c>
      <c r="C7021" t="s">
        <v>56</v>
      </c>
      <c r="D7021">
        <v>18871666</v>
      </c>
      <c r="E7021" t="s">
        <v>53</v>
      </c>
      <c r="F7021" t="s">
        <v>49</v>
      </c>
      <c r="G7021" s="30">
        <v>50883.80078125</v>
      </c>
    </row>
    <row r="7022" spans="1:7" x14ac:dyDescent="0.25">
      <c r="A7022" t="s">
        <v>92</v>
      </c>
      <c r="B7022" t="s">
        <v>93</v>
      </c>
      <c r="C7022" t="s">
        <v>81</v>
      </c>
      <c r="D7022">
        <v>18875737</v>
      </c>
      <c r="E7022" t="s">
        <v>48</v>
      </c>
      <c r="F7022" t="s">
        <v>49</v>
      </c>
      <c r="G7022" s="30">
        <v>0</v>
      </c>
    </row>
    <row r="7023" spans="1:7" x14ac:dyDescent="0.25">
      <c r="A7023" t="s">
        <v>98</v>
      </c>
      <c r="B7023" t="s">
        <v>99</v>
      </c>
      <c r="C7023" t="s">
        <v>81</v>
      </c>
      <c r="D7023">
        <v>18878923</v>
      </c>
      <c r="E7023" t="s">
        <v>53</v>
      </c>
      <c r="F7023" t="s">
        <v>49</v>
      </c>
      <c r="G7023" s="30">
        <v>214672.036759696</v>
      </c>
    </row>
    <row r="7024" spans="1:7" x14ac:dyDescent="0.25">
      <c r="A7024" t="s">
        <v>135</v>
      </c>
      <c r="B7024" t="s">
        <v>136</v>
      </c>
      <c r="C7024" t="s">
        <v>56</v>
      </c>
      <c r="D7024">
        <v>18879471</v>
      </c>
      <c r="E7024" t="s">
        <v>53</v>
      </c>
      <c r="F7024" t="s">
        <v>49</v>
      </c>
      <c r="G7024" s="30">
        <v>36909.600766395102</v>
      </c>
    </row>
    <row r="7025" spans="1:7" x14ac:dyDescent="0.25">
      <c r="A7025" t="s">
        <v>112</v>
      </c>
      <c r="B7025" t="s">
        <v>113</v>
      </c>
      <c r="C7025" t="s">
        <v>81</v>
      </c>
      <c r="D7025">
        <v>18879531</v>
      </c>
      <c r="E7025" t="s">
        <v>53</v>
      </c>
      <c r="F7025" t="s">
        <v>49</v>
      </c>
      <c r="G7025" s="30">
        <v>1720104.08603264</v>
      </c>
    </row>
    <row r="7026" spans="1:7" x14ac:dyDescent="0.25">
      <c r="A7026" t="s">
        <v>128</v>
      </c>
      <c r="B7026" t="s">
        <v>129</v>
      </c>
      <c r="C7026" t="s">
        <v>130</v>
      </c>
      <c r="D7026">
        <v>18885534</v>
      </c>
      <c r="E7026" t="s">
        <v>48</v>
      </c>
      <c r="F7026" t="s">
        <v>49</v>
      </c>
      <c r="G7026" s="30">
        <v>0</v>
      </c>
    </row>
    <row r="7027" spans="1:7" x14ac:dyDescent="0.25">
      <c r="A7027" t="s">
        <v>50</v>
      </c>
      <c r="B7027" t="s">
        <v>51</v>
      </c>
      <c r="C7027" t="s">
        <v>52</v>
      </c>
      <c r="D7027">
        <v>18892345</v>
      </c>
      <c r="E7027" t="s">
        <v>48</v>
      </c>
      <c r="F7027" t="s">
        <v>49</v>
      </c>
      <c r="G7027" s="30">
        <v>0</v>
      </c>
    </row>
    <row r="7028" spans="1:7" x14ac:dyDescent="0.25">
      <c r="A7028" t="s">
        <v>133</v>
      </c>
      <c r="B7028" t="s">
        <v>134</v>
      </c>
      <c r="C7028" t="s">
        <v>47</v>
      </c>
      <c r="D7028">
        <v>18898554</v>
      </c>
      <c r="E7028" t="s">
        <v>48</v>
      </c>
      <c r="F7028" t="s">
        <v>49</v>
      </c>
      <c r="G7028" s="30">
        <v>0</v>
      </c>
    </row>
    <row r="7029" spans="1:7" x14ac:dyDescent="0.25">
      <c r="A7029" t="s">
        <v>54</v>
      </c>
      <c r="B7029" t="s">
        <v>55</v>
      </c>
      <c r="C7029" t="s">
        <v>56</v>
      </c>
      <c r="D7029">
        <v>18899235</v>
      </c>
      <c r="E7029" t="s">
        <v>48</v>
      </c>
      <c r="F7029" t="s">
        <v>49</v>
      </c>
      <c r="G7029" s="30">
        <v>0</v>
      </c>
    </row>
    <row r="7030" spans="1:7" x14ac:dyDescent="0.25">
      <c r="A7030" t="s">
        <v>100</v>
      </c>
      <c r="B7030" t="s">
        <v>101</v>
      </c>
      <c r="C7030" t="s">
        <v>52</v>
      </c>
      <c r="D7030">
        <v>18899621</v>
      </c>
      <c r="E7030" t="s">
        <v>53</v>
      </c>
      <c r="F7030" t="s">
        <v>49</v>
      </c>
      <c r="G7030" s="30">
        <v>5469.6376650484499</v>
      </c>
    </row>
    <row r="7031" spans="1:7" x14ac:dyDescent="0.25">
      <c r="A7031" t="s">
        <v>100</v>
      </c>
      <c r="B7031" t="s">
        <v>101</v>
      </c>
      <c r="C7031" t="s">
        <v>52</v>
      </c>
      <c r="D7031">
        <v>18899680</v>
      </c>
      <c r="E7031" t="s">
        <v>48</v>
      </c>
      <c r="F7031" t="s">
        <v>49</v>
      </c>
      <c r="G7031" s="30">
        <v>0</v>
      </c>
    </row>
    <row r="7032" spans="1:7" x14ac:dyDescent="0.25">
      <c r="A7032" t="s">
        <v>76</v>
      </c>
      <c r="B7032" t="s">
        <v>77</v>
      </c>
      <c r="C7032" t="s">
        <v>78</v>
      </c>
      <c r="D7032">
        <v>18901511</v>
      </c>
      <c r="E7032" t="s">
        <v>48</v>
      </c>
      <c r="F7032" t="s">
        <v>49</v>
      </c>
      <c r="G7032" s="30">
        <v>0</v>
      </c>
    </row>
    <row r="7033" spans="1:7" x14ac:dyDescent="0.25">
      <c r="A7033" t="s">
        <v>116</v>
      </c>
      <c r="B7033" t="s">
        <v>117</v>
      </c>
      <c r="C7033" t="s">
        <v>47</v>
      </c>
      <c r="D7033">
        <v>18909781</v>
      </c>
      <c r="E7033" t="s">
        <v>53</v>
      </c>
      <c r="F7033" t="s">
        <v>49</v>
      </c>
      <c r="G7033" s="30">
        <v>51612.309449616798</v>
      </c>
    </row>
    <row r="7034" spans="1:7" x14ac:dyDescent="0.25">
      <c r="A7034" t="s">
        <v>116</v>
      </c>
      <c r="B7034" t="s">
        <v>117</v>
      </c>
      <c r="C7034" t="s">
        <v>47</v>
      </c>
      <c r="D7034">
        <v>18912363</v>
      </c>
      <c r="E7034" t="s">
        <v>53</v>
      </c>
      <c r="F7034" t="s">
        <v>49</v>
      </c>
      <c r="G7034" s="30">
        <v>51341.346989855003</v>
      </c>
    </row>
    <row r="7035" spans="1:7" x14ac:dyDescent="0.25">
      <c r="A7035" t="s">
        <v>70</v>
      </c>
      <c r="B7035" t="s">
        <v>71</v>
      </c>
      <c r="C7035" t="s">
        <v>47</v>
      </c>
      <c r="D7035">
        <v>18913554</v>
      </c>
      <c r="E7035" t="s">
        <v>48</v>
      </c>
      <c r="F7035" t="s">
        <v>49</v>
      </c>
      <c r="G7035" s="30">
        <v>0</v>
      </c>
    </row>
    <row r="7036" spans="1:7" x14ac:dyDescent="0.25">
      <c r="A7036" t="s">
        <v>135</v>
      </c>
      <c r="B7036" t="s">
        <v>136</v>
      </c>
      <c r="C7036" t="s">
        <v>56</v>
      </c>
      <c r="D7036">
        <v>18914920</v>
      </c>
      <c r="E7036" t="s">
        <v>53</v>
      </c>
      <c r="F7036" t="s">
        <v>49</v>
      </c>
      <c r="G7036" s="30">
        <v>13920.290557795701</v>
      </c>
    </row>
    <row r="7037" spans="1:7" x14ac:dyDescent="0.25">
      <c r="A7037" t="s">
        <v>94</v>
      </c>
      <c r="B7037" t="s">
        <v>95</v>
      </c>
      <c r="C7037" t="s">
        <v>78</v>
      </c>
      <c r="D7037">
        <v>18916761</v>
      </c>
      <c r="E7037" t="s">
        <v>48</v>
      </c>
      <c r="F7037" t="s">
        <v>49</v>
      </c>
      <c r="G7037" s="30">
        <v>0</v>
      </c>
    </row>
    <row r="7038" spans="1:7" x14ac:dyDescent="0.25">
      <c r="A7038" t="s">
        <v>116</v>
      </c>
      <c r="B7038" t="s">
        <v>117</v>
      </c>
      <c r="C7038" t="s">
        <v>47</v>
      </c>
      <c r="D7038">
        <v>18916956</v>
      </c>
      <c r="E7038" t="s">
        <v>48</v>
      </c>
      <c r="F7038" t="s">
        <v>49</v>
      </c>
      <c r="G7038" s="30">
        <v>0</v>
      </c>
    </row>
    <row r="7039" spans="1:7" x14ac:dyDescent="0.25">
      <c r="A7039" t="s">
        <v>84</v>
      </c>
      <c r="B7039" t="s">
        <v>85</v>
      </c>
      <c r="C7039" t="s">
        <v>67</v>
      </c>
      <c r="D7039">
        <v>18920443</v>
      </c>
      <c r="E7039" t="s">
        <v>53</v>
      </c>
      <c r="F7039" t="s">
        <v>49</v>
      </c>
      <c r="G7039" s="30">
        <v>1808244.6973910099</v>
      </c>
    </row>
    <row r="7040" spans="1:7" x14ac:dyDescent="0.25">
      <c r="A7040" t="s">
        <v>116</v>
      </c>
      <c r="B7040" t="s">
        <v>117</v>
      </c>
      <c r="C7040" t="s">
        <v>47</v>
      </c>
      <c r="D7040">
        <v>18922677</v>
      </c>
      <c r="E7040" t="s">
        <v>53</v>
      </c>
      <c r="F7040" t="s">
        <v>49</v>
      </c>
      <c r="G7040" s="30">
        <v>100112.957147726</v>
      </c>
    </row>
    <row r="7041" spans="1:7" x14ac:dyDescent="0.25">
      <c r="A7041" t="s">
        <v>120</v>
      </c>
      <c r="B7041" t="s">
        <v>121</v>
      </c>
      <c r="C7041" t="s">
        <v>67</v>
      </c>
      <c r="D7041">
        <v>18922749</v>
      </c>
      <c r="E7041" t="s">
        <v>48</v>
      </c>
      <c r="F7041" t="s">
        <v>49</v>
      </c>
      <c r="G7041" s="30">
        <v>0</v>
      </c>
    </row>
    <row r="7042" spans="1:7" x14ac:dyDescent="0.25">
      <c r="A7042" t="s">
        <v>116</v>
      </c>
      <c r="B7042" t="s">
        <v>117</v>
      </c>
      <c r="C7042" t="s">
        <v>47</v>
      </c>
      <c r="D7042">
        <v>18922834</v>
      </c>
      <c r="E7042" t="s">
        <v>53</v>
      </c>
      <c r="F7042" t="s">
        <v>49</v>
      </c>
      <c r="G7042" s="30">
        <v>50623.410164927802</v>
      </c>
    </row>
    <row r="7043" spans="1:7" x14ac:dyDescent="0.25">
      <c r="A7043" t="s">
        <v>135</v>
      </c>
      <c r="B7043" t="s">
        <v>136</v>
      </c>
      <c r="C7043" t="s">
        <v>56</v>
      </c>
      <c r="D7043">
        <v>18923582</v>
      </c>
      <c r="E7043" t="s">
        <v>48</v>
      </c>
      <c r="F7043" t="s">
        <v>49</v>
      </c>
      <c r="G7043" s="30">
        <v>0</v>
      </c>
    </row>
    <row r="7044" spans="1:7" x14ac:dyDescent="0.25">
      <c r="A7044" t="s">
        <v>118</v>
      </c>
      <c r="B7044" t="s">
        <v>119</v>
      </c>
      <c r="C7044" t="s">
        <v>56</v>
      </c>
      <c r="D7044">
        <v>18925174</v>
      </c>
      <c r="E7044" t="s">
        <v>53</v>
      </c>
      <c r="F7044" t="s">
        <v>49</v>
      </c>
      <c r="G7044" s="30">
        <v>13146.913206593999</v>
      </c>
    </row>
    <row r="7045" spans="1:7" x14ac:dyDescent="0.25">
      <c r="A7045" t="s">
        <v>135</v>
      </c>
      <c r="B7045" t="s">
        <v>136</v>
      </c>
      <c r="C7045" t="s">
        <v>56</v>
      </c>
      <c r="D7045">
        <v>18927244</v>
      </c>
      <c r="E7045" t="s">
        <v>48</v>
      </c>
      <c r="F7045" t="s">
        <v>49</v>
      </c>
      <c r="G7045" s="30">
        <v>0</v>
      </c>
    </row>
    <row r="7046" spans="1:7" x14ac:dyDescent="0.25">
      <c r="A7046" t="s">
        <v>116</v>
      </c>
      <c r="B7046" t="s">
        <v>117</v>
      </c>
      <c r="C7046" t="s">
        <v>47</v>
      </c>
      <c r="D7046">
        <v>18927565</v>
      </c>
      <c r="E7046" t="s">
        <v>53</v>
      </c>
      <c r="F7046" t="s">
        <v>49</v>
      </c>
      <c r="G7046" s="30">
        <v>71510.3715426821</v>
      </c>
    </row>
    <row r="7047" spans="1:7" x14ac:dyDescent="0.25">
      <c r="A7047" t="s">
        <v>116</v>
      </c>
      <c r="B7047" t="s">
        <v>117</v>
      </c>
      <c r="C7047" t="s">
        <v>47</v>
      </c>
      <c r="D7047">
        <v>18927897</v>
      </c>
      <c r="E7047" t="s">
        <v>53</v>
      </c>
      <c r="F7047" t="s">
        <v>49</v>
      </c>
      <c r="G7047" s="30">
        <v>50573.835063026301</v>
      </c>
    </row>
    <row r="7048" spans="1:7" x14ac:dyDescent="0.25">
      <c r="A7048" t="s">
        <v>79</v>
      </c>
      <c r="B7048" t="s">
        <v>80</v>
      </c>
      <c r="C7048" t="s">
        <v>81</v>
      </c>
      <c r="D7048">
        <v>18929137</v>
      </c>
      <c r="E7048" t="s">
        <v>53</v>
      </c>
      <c r="F7048" t="s">
        <v>49</v>
      </c>
      <c r="G7048" s="30">
        <v>62690.9235321249</v>
      </c>
    </row>
    <row r="7049" spans="1:7" x14ac:dyDescent="0.25">
      <c r="A7049" t="s">
        <v>135</v>
      </c>
      <c r="B7049" t="s">
        <v>136</v>
      </c>
      <c r="C7049" t="s">
        <v>56</v>
      </c>
      <c r="D7049">
        <v>18930804</v>
      </c>
      <c r="E7049" t="s">
        <v>48</v>
      </c>
      <c r="F7049" t="s">
        <v>49</v>
      </c>
      <c r="G7049" s="30">
        <v>0</v>
      </c>
    </row>
    <row r="7050" spans="1:7" x14ac:dyDescent="0.25">
      <c r="A7050" t="s">
        <v>102</v>
      </c>
      <c r="B7050" t="s">
        <v>103</v>
      </c>
      <c r="C7050" t="s">
        <v>47</v>
      </c>
      <c r="D7050">
        <v>18933143</v>
      </c>
      <c r="E7050" t="s">
        <v>53</v>
      </c>
      <c r="F7050" t="s">
        <v>49</v>
      </c>
      <c r="G7050" s="30">
        <v>50078.687124860298</v>
      </c>
    </row>
    <row r="7051" spans="1:7" x14ac:dyDescent="0.25">
      <c r="A7051" t="s">
        <v>116</v>
      </c>
      <c r="B7051" t="s">
        <v>117</v>
      </c>
      <c r="C7051" t="s">
        <v>47</v>
      </c>
      <c r="D7051">
        <v>18935015</v>
      </c>
      <c r="E7051" t="s">
        <v>53</v>
      </c>
      <c r="F7051" t="s">
        <v>49</v>
      </c>
      <c r="G7051" s="30">
        <v>48747.535312803899</v>
      </c>
    </row>
    <row r="7052" spans="1:7" x14ac:dyDescent="0.25">
      <c r="A7052" t="s">
        <v>116</v>
      </c>
      <c r="B7052" t="s">
        <v>117</v>
      </c>
      <c r="C7052" t="s">
        <v>47</v>
      </c>
      <c r="D7052">
        <v>18935246</v>
      </c>
      <c r="E7052" t="s">
        <v>53</v>
      </c>
      <c r="F7052" t="s">
        <v>49</v>
      </c>
      <c r="G7052" s="30">
        <v>54507.656787589302</v>
      </c>
    </row>
    <row r="7053" spans="1:7" x14ac:dyDescent="0.25">
      <c r="A7053" t="s">
        <v>116</v>
      </c>
      <c r="B7053" t="s">
        <v>117</v>
      </c>
      <c r="C7053" t="s">
        <v>47</v>
      </c>
      <c r="D7053">
        <v>18935663</v>
      </c>
      <c r="E7053" t="s">
        <v>53</v>
      </c>
      <c r="F7053" t="s">
        <v>49</v>
      </c>
      <c r="G7053" s="30">
        <v>55347.435948116297</v>
      </c>
    </row>
    <row r="7054" spans="1:7" x14ac:dyDescent="0.25">
      <c r="A7054" t="s">
        <v>86</v>
      </c>
      <c r="B7054" t="s">
        <v>87</v>
      </c>
      <c r="C7054" t="s">
        <v>78</v>
      </c>
      <c r="D7054">
        <v>18936297</v>
      </c>
      <c r="E7054" t="s">
        <v>53</v>
      </c>
      <c r="F7054" t="s">
        <v>49</v>
      </c>
      <c r="G7054" s="30">
        <v>30230.488835969099</v>
      </c>
    </row>
    <row r="7055" spans="1:7" x14ac:dyDescent="0.25">
      <c r="A7055" t="s">
        <v>72</v>
      </c>
      <c r="B7055" t="s">
        <v>73</v>
      </c>
      <c r="C7055" t="s">
        <v>67</v>
      </c>
      <c r="D7055">
        <v>18946103</v>
      </c>
      <c r="E7055" t="s">
        <v>48</v>
      </c>
      <c r="F7055" t="s">
        <v>49</v>
      </c>
      <c r="G7055" s="30">
        <v>0</v>
      </c>
    </row>
    <row r="7056" spans="1:7" x14ac:dyDescent="0.25">
      <c r="A7056" t="s">
        <v>116</v>
      </c>
      <c r="B7056" t="s">
        <v>117</v>
      </c>
      <c r="C7056" t="s">
        <v>47</v>
      </c>
      <c r="D7056">
        <v>18946354</v>
      </c>
      <c r="E7056" t="s">
        <v>53</v>
      </c>
      <c r="F7056" t="s">
        <v>49</v>
      </c>
      <c r="G7056" s="30">
        <v>57097.019387661101</v>
      </c>
    </row>
    <row r="7057" spans="1:7" x14ac:dyDescent="0.25">
      <c r="A7057" t="s">
        <v>126</v>
      </c>
      <c r="B7057" t="s">
        <v>127</v>
      </c>
      <c r="C7057" t="s">
        <v>67</v>
      </c>
      <c r="D7057">
        <v>18949883</v>
      </c>
      <c r="E7057" t="s">
        <v>48</v>
      </c>
      <c r="F7057" t="s">
        <v>49</v>
      </c>
      <c r="G7057" s="30">
        <v>0</v>
      </c>
    </row>
    <row r="7058" spans="1:7" x14ac:dyDescent="0.25">
      <c r="A7058" t="s">
        <v>57</v>
      </c>
      <c r="B7058" t="s">
        <v>58</v>
      </c>
      <c r="C7058" t="s">
        <v>56</v>
      </c>
      <c r="D7058">
        <v>18951740</v>
      </c>
      <c r="E7058" t="s">
        <v>53</v>
      </c>
      <c r="F7058" t="s">
        <v>167</v>
      </c>
      <c r="G7058" s="30">
        <v>10019.755371093799</v>
      </c>
    </row>
    <row r="7059" spans="1:7" x14ac:dyDescent="0.25">
      <c r="A7059" t="s">
        <v>88</v>
      </c>
      <c r="B7059" t="s">
        <v>89</v>
      </c>
      <c r="C7059" t="s">
        <v>78</v>
      </c>
      <c r="D7059">
        <v>18954109</v>
      </c>
      <c r="E7059" t="s">
        <v>53</v>
      </c>
      <c r="F7059" t="s">
        <v>49</v>
      </c>
      <c r="G7059" s="30">
        <v>171624.379453125</v>
      </c>
    </row>
    <row r="7060" spans="1:7" x14ac:dyDescent="0.25">
      <c r="A7060" t="s">
        <v>116</v>
      </c>
      <c r="B7060" t="s">
        <v>117</v>
      </c>
      <c r="C7060" t="s">
        <v>47</v>
      </c>
      <c r="D7060">
        <v>18955175</v>
      </c>
      <c r="E7060" t="s">
        <v>53</v>
      </c>
      <c r="F7060" t="s">
        <v>49</v>
      </c>
      <c r="G7060" s="30">
        <v>71492.318147220503</v>
      </c>
    </row>
    <row r="7061" spans="1:7" x14ac:dyDescent="0.25">
      <c r="A7061" t="s">
        <v>65</v>
      </c>
      <c r="B7061" t="s">
        <v>66</v>
      </c>
      <c r="C7061" t="s">
        <v>67</v>
      </c>
      <c r="D7061">
        <v>18956949</v>
      </c>
      <c r="E7061" t="s">
        <v>48</v>
      </c>
      <c r="F7061" t="s">
        <v>49</v>
      </c>
      <c r="G7061" s="30">
        <v>0</v>
      </c>
    </row>
    <row r="7062" spans="1:7" x14ac:dyDescent="0.25">
      <c r="A7062" t="s">
        <v>92</v>
      </c>
      <c r="B7062" t="s">
        <v>93</v>
      </c>
      <c r="C7062" t="s">
        <v>81</v>
      </c>
      <c r="D7062">
        <v>18957211</v>
      </c>
      <c r="E7062" t="s">
        <v>48</v>
      </c>
      <c r="F7062" t="s">
        <v>49</v>
      </c>
      <c r="G7062" s="30">
        <v>0</v>
      </c>
    </row>
    <row r="7063" spans="1:7" x14ac:dyDescent="0.25">
      <c r="A7063" t="s">
        <v>70</v>
      </c>
      <c r="B7063" t="s">
        <v>71</v>
      </c>
      <c r="C7063" t="s">
        <v>47</v>
      </c>
      <c r="D7063">
        <v>18958664</v>
      </c>
      <c r="E7063" t="s">
        <v>53</v>
      </c>
      <c r="F7063" t="s">
        <v>49</v>
      </c>
      <c r="G7063" s="30">
        <v>30000.864753287002</v>
      </c>
    </row>
    <row r="7064" spans="1:7" x14ac:dyDescent="0.25">
      <c r="A7064" t="s">
        <v>98</v>
      </c>
      <c r="B7064" t="s">
        <v>99</v>
      </c>
      <c r="C7064" t="s">
        <v>81</v>
      </c>
      <c r="D7064">
        <v>18959030</v>
      </c>
      <c r="E7064" t="s">
        <v>48</v>
      </c>
      <c r="F7064" t="s">
        <v>49</v>
      </c>
      <c r="G7064" s="30">
        <v>0</v>
      </c>
    </row>
    <row r="7065" spans="1:7" x14ac:dyDescent="0.25">
      <c r="A7065" t="s">
        <v>65</v>
      </c>
      <c r="B7065" t="s">
        <v>66</v>
      </c>
      <c r="C7065" t="s">
        <v>67</v>
      </c>
      <c r="D7065">
        <v>18966486</v>
      </c>
      <c r="E7065" t="s">
        <v>53</v>
      </c>
      <c r="F7065" t="s">
        <v>49</v>
      </c>
      <c r="G7065" s="30">
        <v>260795.53380573899</v>
      </c>
    </row>
    <row r="7066" spans="1:7" x14ac:dyDescent="0.25">
      <c r="A7066" t="s">
        <v>65</v>
      </c>
      <c r="B7066" t="s">
        <v>66</v>
      </c>
      <c r="C7066" t="s">
        <v>67</v>
      </c>
      <c r="D7066">
        <v>18967919</v>
      </c>
      <c r="E7066" t="s">
        <v>53</v>
      </c>
      <c r="F7066" t="s">
        <v>49</v>
      </c>
      <c r="G7066" s="30">
        <v>2981687.7535774698</v>
      </c>
    </row>
    <row r="7067" spans="1:7" x14ac:dyDescent="0.25">
      <c r="A7067" t="s">
        <v>59</v>
      </c>
      <c r="B7067" t="s">
        <v>60</v>
      </c>
      <c r="C7067" t="s">
        <v>56</v>
      </c>
      <c r="D7067">
        <v>18970676</v>
      </c>
      <c r="E7067" t="s">
        <v>53</v>
      </c>
      <c r="F7067" t="s">
        <v>49</v>
      </c>
      <c r="G7067" s="30">
        <v>935057.13658464898</v>
      </c>
    </row>
    <row r="7068" spans="1:7" x14ac:dyDescent="0.25">
      <c r="A7068" t="s">
        <v>82</v>
      </c>
      <c r="B7068" t="s">
        <v>83</v>
      </c>
      <c r="C7068" t="s">
        <v>56</v>
      </c>
      <c r="D7068">
        <v>18971654</v>
      </c>
      <c r="E7068" t="s">
        <v>48</v>
      </c>
      <c r="F7068" t="s">
        <v>49</v>
      </c>
      <c r="G7068" s="30">
        <v>0</v>
      </c>
    </row>
    <row r="7069" spans="1:7" x14ac:dyDescent="0.25">
      <c r="A7069" t="s">
        <v>98</v>
      </c>
      <c r="B7069" t="s">
        <v>99</v>
      </c>
      <c r="C7069" t="s">
        <v>81</v>
      </c>
      <c r="D7069">
        <v>18972015</v>
      </c>
      <c r="E7069" t="s">
        <v>53</v>
      </c>
      <c r="F7069" t="s">
        <v>49</v>
      </c>
      <c r="G7069" s="30">
        <v>201728.9609375</v>
      </c>
    </row>
    <row r="7070" spans="1:7" x14ac:dyDescent="0.25">
      <c r="A7070" t="s">
        <v>65</v>
      </c>
      <c r="B7070" t="s">
        <v>66</v>
      </c>
      <c r="C7070" t="s">
        <v>67</v>
      </c>
      <c r="D7070">
        <v>18972229</v>
      </c>
      <c r="E7070" t="s">
        <v>53</v>
      </c>
      <c r="F7070" t="s">
        <v>49</v>
      </c>
      <c r="G7070" s="30">
        <v>30000</v>
      </c>
    </row>
    <row r="7071" spans="1:7" x14ac:dyDescent="0.25">
      <c r="A7071" t="s">
        <v>90</v>
      </c>
      <c r="B7071" t="s">
        <v>91</v>
      </c>
      <c r="C7071" t="s">
        <v>81</v>
      </c>
      <c r="D7071">
        <v>18974120</v>
      </c>
      <c r="E7071" t="s">
        <v>53</v>
      </c>
      <c r="F7071" t="s">
        <v>49</v>
      </c>
      <c r="G7071" s="30">
        <v>90501.546072557801</v>
      </c>
    </row>
    <row r="7072" spans="1:7" x14ac:dyDescent="0.25">
      <c r="A7072" t="s">
        <v>74</v>
      </c>
      <c r="B7072" t="s">
        <v>75</v>
      </c>
      <c r="C7072" t="s">
        <v>67</v>
      </c>
      <c r="D7072">
        <v>18976270</v>
      </c>
      <c r="E7072" t="s">
        <v>53</v>
      </c>
      <c r="F7072" t="s">
        <v>49</v>
      </c>
      <c r="G7072" s="30">
        <v>23556.515417823201</v>
      </c>
    </row>
    <row r="7073" spans="1:7" x14ac:dyDescent="0.25">
      <c r="A7073" t="s">
        <v>72</v>
      </c>
      <c r="B7073" t="s">
        <v>73</v>
      </c>
      <c r="C7073" t="s">
        <v>67</v>
      </c>
      <c r="D7073">
        <v>18977889</v>
      </c>
      <c r="E7073" t="s">
        <v>53</v>
      </c>
      <c r="F7073" t="s">
        <v>49</v>
      </c>
      <c r="G7073" s="30">
        <v>753366.04160144995</v>
      </c>
    </row>
    <row r="7074" spans="1:7" x14ac:dyDescent="0.25">
      <c r="A7074" t="s">
        <v>65</v>
      </c>
      <c r="B7074" t="s">
        <v>66</v>
      </c>
      <c r="C7074" t="s">
        <v>67</v>
      </c>
      <c r="D7074">
        <v>18983520</v>
      </c>
      <c r="E7074" t="s">
        <v>53</v>
      </c>
      <c r="F7074" t="s">
        <v>49</v>
      </c>
      <c r="G7074" s="30">
        <v>5873.17</v>
      </c>
    </row>
    <row r="7075" spans="1:7" x14ac:dyDescent="0.25">
      <c r="A7075" t="s">
        <v>116</v>
      </c>
      <c r="B7075" t="s">
        <v>117</v>
      </c>
      <c r="C7075" t="s">
        <v>47</v>
      </c>
      <c r="D7075">
        <v>18984418</v>
      </c>
      <c r="E7075" t="s">
        <v>53</v>
      </c>
      <c r="F7075" t="s">
        <v>49</v>
      </c>
      <c r="G7075" s="30">
        <v>97294.158751921306</v>
      </c>
    </row>
    <row r="7076" spans="1:7" x14ac:dyDescent="0.25">
      <c r="A7076" t="s">
        <v>90</v>
      </c>
      <c r="B7076" t="s">
        <v>91</v>
      </c>
      <c r="C7076" t="s">
        <v>81</v>
      </c>
      <c r="D7076">
        <v>18990912</v>
      </c>
      <c r="E7076" t="s">
        <v>48</v>
      </c>
      <c r="F7076" t="s">
        <v>49</v>
      </c>
      <c r="G7076" s="30">
        <v>0</v>
      </c>
    </row>
    <row r="7077" spans="1:7" x14ac:dyDescent="0.25">
      <c r="A7077" t="s">
        <v>100</v>
      </c>
      <c r="B7077" t="s">
        <v>101</v>
      </c>
      <c r="C7077" t="s">
        <v>52</v>
      </c>
      <c r="D7077">
        <v>18993212</v>
      </c>
      <c r="E7077" t="s">
        <v>48</v>
      </c>
      <c r="F7077" t="s">
        <v>49</v>
      </c>
      <c r="G7077" s="30">
        <v>0</v>
      </c>
    </row>
    <row r="7078" spans="1:7" x14ac:dyDescent="0.25">
      <c r="A7078" t="s">
        <v>59</v>
      </c>
      <c r="B7078" t="s">
        <v>60</v>
      </c>
      <c r="C7078" t="s">
        <v>56</v>
      </c>
      <c r="D7078">
        <v>18994851</v>
      </c>
      <c r="E7078" t="s">
        <v>48</v>
      </c>
      <c r="F7078" t="s">
        <v>49</v>
      </c>
      <c r="G7078" s="30">
        <v>0</v>
      </c>
    </row>
    <row r="7079" spans="1:7" x14ac:dyDescent="0.25">
      <c r="A7079" t="s">
        <v>170</v>
      </c>
      <c r="B7079" t="s">
        <v>171</v>
      </c>
      <c r="C7079" t="s">
        <v>81</v>
      </c>
      <c r="D7079">
        <v>19007067</v>
      </c>
      <c r="E7079" t="s">
        <v>48</v>
      </c>
      <c r="F7079" t="s">
        <v>49</v>
      </c>
      <c r="G7079" s="30">
        <v>0</v>
      </c>
    </row>
    <row r="7080" spans="1:7" x14ac:dyDescent="0.25">
      <c r="A7080" t="s">
        <v>94</v>
      </c>
      <c r="B7080" t="s">
        <v>95</v>
      </c>
      <c r="C7080" t="s">
        <v>78</v>
      </c>
      <c r="D7080">
        <v>19015228</v>
      </c>
      <c r="E7080" t="s">
        <v>53</v>
      </c>
      <c r="F7080" t="s">
        <v>167</v>
      </c>
      <c r="G7080" s="30">
        <v>1500</v>
      </c>
    </row>
    <row r="7081" spans="1:7" x14ac:dyDescent="0.25">
      <c r="A7081" t="s">
        <v>118</v>
      </c>
      <c r="B7081" t="s">
        <v>119</v>
      </c>
      <c r="C7081" t="s">
        <v>56</v>
      </c>
      <c r="D7081">
        <v>19016987</v>
      </c>
      <c r="E7081" t="s">
        <v>53</v>
      </c>
      <c r="F7081" t="s">
        <v>49</v>
      </c>
      <c r="G7081" s="30">
        <v>20099.44140625</v>
      </c>
    </row>
    <row r="7082" spans="1:7" x14ac:dyDescent="0.25">
      <c r="A7082" t="s">
        <v>124</v>
      </c>
      <c r="B7082" t="s">
        <v>125</v>
      </c>
      <c r="C7082" t="s">
        <v>78</v>
      </c>
      <c r="D7082">
        <v>19031961</v>
      </c>
      <c r="E7082" t="s">
        <v>53</v>
      </c>
      <c r="F7082" t="s">
        <v>167</v>
      </c>
      <c r="G7082" s="30">
        <v>35000</v>
      </c>
    </row>
    <row r="7083" spans="1:7" x14ac:dyDescent="0.25">
      <c r="A7083" t="s">
        <v>116</v>
      </c>
      <c r="B7083" t="s">
        <v>117</v>
      </c>
      <c r="C7083" t="s">
        <v>47</v>
      </c>
      <c r="D7083">
        <v>19035395</v>
      </c>
      <c r="E7083" t="s">
        <v>53</v>
      </c>
      <c r="F7083" t="s">
        <v>49</v>
      </c>
      <c r="G7083" s="30">
        <v>55507.664241221901</v>
      </c>
    </row>
    <row r="7084" spans="1:7" x14ac:dyDescent="0.25">
      <c r="A7084" t="s">
        <v>131</v>
      </c>
      <c r="B7084" t="s">
        <v>132</v>
      </c>
      <c r="C7084" t="s">
        <v>67</v>
      </c>
      <c r="D7084">
        <v>19046586</v>
      </c>
      <c r="E7084" t="s">
        <v>48</v>
      </c>
      <c r="F7084" t="s">
        <v>49</v>
      </c>
      <c r="G7084" s="30">
        <v>0</v>
      </c>
    </row>
    <row r="7085" spans="1:7" x14ac:dyDescent="0.25">
      <c r="A7085" t="s">
        <v>98</v>
      </c>
      <c r="B7085" t="s">
        <v>99</v>
      </c>
      <c r="C7085" t="s">
        <v>81</v>
      </c>
      <c r="D7085">
        <v>19046769</v>
      </c>
      <c r="E7085" t="s">
        <v>48</v>
      </c>
      <c r="F7085" t="s">
        <v>49</v>
      </c>
      <c r="G7085" s="30">
        <v>0</v>
      </c>
    </row>
    <row r="7086" spans="1:7" x14ac:dyDescent="0.25">
      <c r="A7086" t="s">
        <v>72</v>
      </c>
      <c r="B7086" t="s">
        <v>73</v>
      </c>
      <c r="C7086" t="s">
        <v>67</v>
      </c>
      <c r="D7086">
        <v>19046840</v>
      </c>
      <c r="E7086" t="s">
        <v>53</v>
      </c>
      <c r="F7086" t="s">
        <v>167</v>
      </c>
      <c r="G7086" s="30">
        <v>30543.83</v>
      </c>
    </row>
    <row r="7087" spans="1:7" x14ac:dyDescent="0.25">
      <c r="A7087" t="s">
        <v>131</v>
      </c>
      <c r="B7087" t="s">
        <v>132</v>
      </c>
      <c r="C7087" t="s">
        <v>67</v>
      </c>
      <c r="D7087">
        <v>19047137</v>
      </c>
      <c r="E7087" t="s">
        <v>53</v>
      </c>
      <c r="F7087" t="s">
        <v>167</v>
      </c>
      <c r="G7087" s="30">
        <v>501163.91630482901</v>
      </c>
    </row>
    <row r="7088" spans="1:7" x14ac:dyDescent="0.25">
      <c r="A7088" t="s">
        <v>79</v>
      </c>
      <c r="B7088" t="s">
        <v>80</v>
      </c>
      <c r="C7088" t="s">
        <v>81</v>
      </c>
      <c r="D7088">
        <v>19047617</v>
      </c>
      <c r="E7088" t="s">
        <v>53</v>
      </c>
      <c r="F7088" t="s">
        <v>167</v>
      </c>
      <c r="G7088" s="30">
        <v>45086.6340277325</v>
      </c>
    </row>
    <row r="7089" spans="1:7" x14ac:dyDescent="0.25">
      <c r="A7089" t="s">
        <v>79</v>
      </c>
      <c r="B7089" t="s">
        <v>80</v>
      </c>
      <c r="C7089" t="s">
        <v>81</v>
      </c>
      <c r="D7089">
        <v>19047900</v>
      </c>
      <c r="E7089" t="s">
        <v>48</v>
      </c>
      <c r="F7089" t="s">
        <v>49</v>
      </c>
      <c r="G7089" s="30">
        <v>0</v>
      </c>
    </row>
    <row r="7090" spans="1:7" x14ac:dyDescent="0.25">
      <c r="A7090" t="s">
        <v>88</v>
      </c>
      <c r="B7090" t="s">
        <v>89</v>
      </c>
      <c r="C7090" t="s">
        <v>78</v>
      </c>
      <c r="D7090">
        <v>19052435</v>
      </c>
      <c r="E7090" t="s">
        <v>53</v>
      </c>
      <c r="F7090" t="s">
        <v>167</v>
      </c>
      <c r="G7090" s="30">
        <v>500.85283465636599</v>
      </c>
    </row>
    <row r="7091" spans="1:7" x14ac:dyDescent="0.25">
      <c r="A7091" t="s">
        <v>79</v>
      </c>
      <c r="B7091" t="s">
        <v>80</v>
      </c>
      <c r="C7091" t="s">
        <v>81</v>
      </c>
      <c r="D7091">
        <v>19052450</v>
      </c>
      <c r="E7091" t="s">
        <v>53</v>
      </c>
      <c r="F7091" t="s">
        <v>167</v>
      </c>
      <c r="G7091" s="30">
        <v>200390.275494142</v>
      </c>
    </row>
    <row r="7092" spans="1:7" x14ac:dyDescent="0.25">
      <c r="A7092" t="s">
        <v>86</v>
      </c>
      <c r="B7092" t="s">
        <v>87</v>
      </c>
      <c r="C7092" t="s">
        <v>78</v>
      </c>
      <c r="D7092">
        <v>19059319</v>
      </c>
      <c r="E7092" t="s">
        <v>48</v>
      </c>
      <c r="F7092" t="s">
        <v>49</v>
      </c>
      <c r="G7092" s="30">
        <v>0</v>
      </c>
    </row>
    <row r="7093" spans="1:7" x14ac:dyDescent="0.25">
      <c r="A7093" t="s">
        <v>118</v>
      </c>
      <c r="B7093" t="s">
        <v>119</v>
      </c>
      <c r="C7093" t="s">
        <v>56</v>
      </c>
      <c r="D7093">
        <v>19059619</v>
      </c>
      <c r="E7093" t="s">
        <v>48</v>
      </c>
      <c r="F7093" t="s">
        <v>49</v>
      </c>
      <c r="G7093" s="30">
        <v>0</v>
      </c>
    </row>
    <row r="7094" spans="1:7" x14ac:dyDescent="0.25">
      <c r="A7094" t="s">
        <v>90</v>
      </c>
      <c r="B7094" t="s">
        <v>91</v>
      </c>
      <c r="C7094" t="s">
        <v>81</v>
      </c>
      <c r="D7094">
        <v>19061883</v>
      </c>
      <c r="E7094" t="s">
        <v>53</v>
      </c>
      <c r="F7094" t="s">
        <v>167</v>
      </c>
      <c r="G7094" s="30">
        <v>220061.897389725</v>
      </c>
    </row>
    <row r="7095" spans="1:7" x14ac:dyDescent="0.25">
      <c r="A7095" t="s">
        <v>86</v>
      </c>
      <c r="B7095" t="s">
        <v>87</v>
      </c>
      <c r="C7095" t="s">
        <v>78</v>
      </c>
      <c r="D7095">
        <v>19062055</v>
      </c>
      <c r="E7095" t="s">
        <v>48</v>
      </c>
      <c r="F7095" t="s">
        <v>49</v>
      </c>
      <c r="G7095" s="30">
        <v>0</v>
      </c>
    </row>
    <row r="7096" spans="1:7" x14ac:dyDescent="0.25">
      <c r="A7096" t="s">
        <v>79</v>
      </c>
      <c r="B7096" t="s">
        <v>80</v>
      </c>
      <c r="C7096" t="s">
        <v>81</v>
      </c>
      <c r="D7096">
        <v>19062587</v>
      </c>
      <c r="E7096" t="s">
        <v>48</v>
      </c>
      <c r="F7096" t="s">
        <v>49</v>
      </c>
      <c r="G7096" s="30">
        <v>0</v>
      </c>
    </row>
    <row r="7097" spans="1:7" x14ac:dyDescent="0.25">
      <c r="A7097" t="s">
        <v>70</v>
      </c>
      <c r="B7097" t="s">
        <v>71</v>
      </c>
      <c r="C7097" t="s">
        <v>47</v>
      </c>
      <c r="D7097">
        <v>19063284</v>
      </c>
      <c r="E7097" t="s">
        <v>53</v>
      </c>
      <c r="F7097" t="s">
        <v>49</v>
      </c>
      <c r="G7097" s="30">
        <v>25632.0338322723</v>
      </c>
    </row>
    <row r="7098" spans="1:7" x14ac:dyDescent="0.25">
      <c r="A7098" t="s">
        <v>135</v>
      </c>
      <c r="B7098" t="s">
        <v>136</v>
      </c>
      <c r="C7098" t="s">
        <v>56</v>
      </c>
      <c r="D7098">
        <v>19067878</v>
      </c>
      <c r="E7098" t="s">
        <v>48</v>
      </c>
      <c r="F7098" t="s">
        <v>49</v>
      </c>
      <c r="G7098" s="30">
        <v>0</v>
      </c>
    </row>
    <row r="7099" spans="1:7" x14ac:dyDescent="0.25">
      <c r="A7099" t="s">
        <v>70</v>
      </c>
      <c r="B7099" t="s">
        <v>71</v>
      </c>
      <c r="C7099" t="s">
        <v>47</v>
      </c>
      <c r="D7099">
        <v>19068940</v>
      </c>
      <c r="E7099" t="s">
        <v>53</v>
      </c>
      <c r="F7099" t="s">
        <v>49</v>
      </c>
      <c r="G7099" s="30">
        <v>8787.6014256421804</v>
      </c>
    </row>
    <row r="7100" spans="1:7" x14ac:dyDescent="0.25">
      <c r="A7100" t="s">
        <v>65</v>
      </c>
      <c r="B7100" t="s">
        <v>66</v>
      </c>
      <c r="C7100" t="s">
        <v>67</v>
      </c>
      <c r="D7100">
        <v>19069857</v>
      </c>
      <c r="E7100" t="s">
        <v>48</v>
      </c>
      <c r="F7100" t="s">
        <v>49</v>
      </c>
      <c r="G7100" s="30">
        <v>0</v>
      </c>
    </row>
    <row r="7101" spans="1:7" x14ac:dyDescent="0.25">
      <c r="A7101" t="s">
        <v>79</v>
      </c>
      <c r="B7101" t="s">
        <v>80</v>
      </c>
      <c r="C7101" t="s">
        <v>81</v>
      </c>
      <c r="D7101">
        <v>19072703</v>
      </c>
      <c r="E7101" t="s">
        <v>48</v>
      </c>
      <c r="F7101" t="s">
        <v>49</v>
      </c>
      <c r="G7101" s="30">
        <v>0</v>
      </c>
    </row>
    <row r="7102" spans="1:7" x14ac:dyDescent="0.25">
      <c r="A7102" t="s">
        <v>79</v>
      </c>
      <c r="B7102" t="s">
        <v>80</v>
      </c>
      <c r="C7102" t="s">
        <v>81</v>
      </c>
      <c r="D7102">
        <v>19081953</v>
      </c>
      <c r="E7102" t="s">
        <v>48</v>
      </c>
      <c r="F7102" t="s">
        <v>49</v>
      </c>
      <c r="G7102" s="30">
        <v>0</v>
      </c>
    </row>
    <row r="7103" spans="1:7" x14ac:dyDescent="0.25">
      <c r="A7103" t="s">
        <v>124</v>
      </c>
      <c r="B7103" t="s">
        <v>125</v>
      </c>
      <c r="C7103" t="s">
        <v>78</v>
      </c>
      <c r="D7103" t="s">
        <v>172</v>
      </c>
      <c r="E7103" t="s">
        <v>48</v>
      </c>
      <c r="F7103" t="s">
        <v>173</v>
      </c>
      <c r="G7103" s="30">
        <v>-7360.3332000000009</v>
      </c>
    </row>
    <row r="7104" spans="1:7" x14ac:dyDescent="0.25">
      <c r="A7104" t="s">
        <v>65</v>
      </c>
      <c r="B7104" t="s">
        <v>66</v>
      </c>
      <c r="C7104" t="s">
        <v>67</v>
      </c>
      <c r="D7104" t="s">
        <v>174</v>
      </c>
      <c r="E7104" t="s">
        <v>53</v>
      </c>
      <c r="F7104" t="s">
        <v>49</v>
      </c>
      <c r="G7104" s="30">
        <v>2710586.49498</v>
      </c>
    </row>
    <row r="7105" spans="1:7" x14ac:dyDescent="0.25">
      <c r="A7105" t="s">
        <v>65</v>
      </c>
      <c r="B7105" t="s">
        <v>66</v>
      </c>
      <c r="C7105" t="s">
        <v>67</v>
      </c>
      <c r="D7105" t="s">
        <v>175</v>
      </c>
      <c r="E7105" t="s">
        <v>53</v>
      </c>
      <c r="F7105" t="s">
        <v>49</v>
      </c>
      <c r="G7105" s="30">
        <v>525290.22719999996</v>
      </c>
    </row>
    <row r="7106" spans="1:7" x14ac:dyDescent="0.25">
      <c r="A7106" t="s">
        <v>128</v>
      </c>
      <c r="B7106" t="s">
        <v>129</v>
      </c>
      <c r="C7106" t="s">
        <v>130</v>
      </c>
      <c r="D7106" t="s">
        <v>176</v>
      </c>
      <c r="E7106" t="s">
        <v>53</v>
      </c>
      <c r="F7106" t="s">
        <v>49</v>
      </c>
      <c r="G7106" s="30">
        <v>3018.6216000000004</v>
      </c>
    </row>
    <row r="7107" spans="1:7" x14ac:dyDescent="0.25">
      <c r="A7107" t="s">
        <v>128</v>
      </c>
      <c r="B7107" t="s">
        <v>129</v>
      </c>
      <c r="C7107" t="s">
        <v>130</v>
      </c>
      <c r="D7107" t="s">
        <v>177</v>
      </c>
      <c r="E7107" t="s">
        <v>53</v>
      </c>
      <c r="F7107" t="s">
        <v>49</v>
      </c>
      <c r="G7107" s="30">
        <v>6970172.6798999999</v>
      </c>
    </row>
    <row r="7108" spans="1:7" x14ac:dyDescent="0.25">
      <c r="A7108" t="s">
        <v>131</v>
      </c>
      <c r="B7108" t="s">
        <v>132</v>
      </c>
      <c r="C7108" t="s">
        <v>67</v>
      </c>
      <c r="D7108" t="s">
        <v>178</v>
      </c>
      <c r="E7108" t="s">
        <v>53</v>
      </c>
      <c r="F7108" t="s">
        <v>49</v>
      </c>
      <c r="G7108" s="30">
        <v>2783711.8017000002</v>
      </c>
    </row>
    <row r="7109" spans="1:7" x14ac:dyDescent="0.25">
      <c r="A7109" t="s">
        <v>65</v>
      </c>
      <c r="B7109" t="s">
        <v>66</v>
      </c>
      <c r="C7109" t="s">
        <v>67</v>
      </c>
      <c r="D7109" t="s">
        <v>179</v>
      </c>
      <c r="E7109" t="s">
        <v>53</v>
      </c>
      <c r="F7109" t="s">
        <v>49</v>
      </c>
      <c r="G7109" s="30">
        <v>3121490.9745900002</v>
      </c>
    </row>
    <row r="7110" spans="1:7" x14ac:dyDescent="0.25">
      <c r="A7110" t="s">
        <v>65</v>
      </c>
      <c r="B7110" t="s">
        <v>66</v>
      </c>
      <c r="C7110" t="s">
        <v>67</v>
      </c>
      <c r="D7110" t="s">
        <v>180</v>
      </c>
      <c r="E7110" t="s">
        <v>53</v>
      </c>
      <c r="F7110" t="s">
        <v>49</v>
      </c>
      <c r="G7110" s="30">
        <v>5036135.0461200001</v>
      </c>
    </row>
    <row r="7111" spans="1:7" x14ac:dyDescent="0.25">
      <c r="A7111" t="s">
        <v>120</v>
      </c>
      <c r="B7111" t="s">
        <v>121</v>
      </c>
      <c r="C7111" t="s">
        <v>67</v>
      </c>
      <c r="D7111" t="s">
        <v>181</v>
      </c>
      <c r="E7111" t="s">
        <v>53</v>
      </c>
      <c r="F7111" t="s">
        <v>49</v>
      </c>
      <c r="G7111" s="30">
        <v>816040.40760000004</v>
      </c>
    </row>
    <row r="7112" spans="1:7" x14ac:dyDescent="0.25">
      <c r="A7112" t="s">
        <v>72</v>
      </c>
      <c r="B7112" t="s">
        <v>73</v>
      </c>
      <c r="C7112" t="s">
        <v>67</v>
      </c>
      <c r="D7112" t="s">
        <v>182</v>
      </c>
      <c r="E7112" t="s">
        <v>53</v>
      </c>
      <c r="F7112" t="s">
        <v>49</v>
      </c>
      <c r="G7112" s="30">
        <v>55904.88960000001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DC11-F40C-49D4-AC36-1A9B02A5ECC7}">
  <dimension ref="A1:F38"/>
  <sheetViews>
    <sheetView tabSelected="1" workbookViewId="0">
      <selection activeCell="N9" sqref="N9"/>
    </sheetView>
  </sheetViews>
  <sheetFormatPr defaultRowHeight="15" x14ac:dyDescent="0.25"/>
  <cols>
    <col min="1" max="1" width="17.5703125" bestFit="1" customWidth="1"/>
    <col min="2" max="2" width="11.5703125" bestFit="1" customWidth="1"/>
    <col min="3" max="3" width="24.85546875" bestFit="1" customWidth="1"/>
    <col min="4" max="4" width="18" style="65" bestFit="1" customWidth="1"/>
    <col min="5" max="5" width="15" bestFit="1" customWidth="1"/>
    <col min="6" max="6" width="9.85546875" bestFit="1" customWidth="1"/>
  </cols>
  <sheetData>
    <row r="1" spans="1:6" x14ac:dyDescent="0.25">
      <c r="A1" t="s">
        <v>184</v>
      </c>
      <c r="B1" t="s">
        <v>213</v>
      </c>
      <c r="C1" t="s">
        <v>185</v>
      </c>
      <c r="D1" s="65" t="s">
        <v>214</v>
      </c>
      <c r="E1" t="s">
        <v>186</v>
      </c>
      <c r="F1" t="s">
        <v>217</v>
      </c>
    </row>
    <row r="2" spans="1:6" x14ac:dyDescent="0.25">
      <c r="A2" t="s">
        <v>47</v>
      </c>
      <c r="B2" t="s">
        <v>137</v>
      </c>
      <c r="C2" t="s">
        <v>138</v>
      </c>
      <c r="D2" s="65">
        <v>257811.06515391258</v>
      </c>
      <c r="E2" t="s">
        <v>1</v>
      </c>
      <c r="F2" t="s">
        <v>332</v>
      </c>
    </row>
    <row r="3" spans="1:6" x14ac:dyDescent="0.25">
      <c r="A3" t="s">
        <v>81</v>
      </c>
      <c r="B3" t="s">
        <v>92</v>
      </c>
      <c r="C3" t="s">
        <v>93</v>
      </c>
      <c r="D3" s="65">
        <v>8167387.1925508277</v>
      </c>
      <c r="E3" t="s">
        <v>1</v>
      </c>
      <c r="F3" t="s">
        <v>332</v>
      </c>
    </row>
    <row r="4" spans="1:6" x14ac:dyDescent="0.25">
      <c r="A4" t="s">
        <v>56</v>
      </c>
      <c r="B4" t="s">
        <v>57</v>
      </c>
      <c r="C4" t="s">
        <v>58</v>
      </c>
      <c r="D4" s="65">
        <v>8887785.4923475925</v>
      </c>
      <c r="E4" t="s">
        <v>1</v>
      </c>
      <c r="F4" t="s">
        <v>332</v>
      </c>
    </row>
    <row r="5" spans="1:6" x14ac:dyDescent="0.25">
      <c r="A5" t="s">
        <v>81</v>
      </c>
      <c r="B5" t="s">
        <v>79</v>
      </c>
      <c r="C5" t="s">
        <v>80</v>
      </c>
      <c r="D5" s="65">
        <v>14281693.282783026</v>
      </c>
      <c r="E5" t="s">
        <v>1</v>
      </c>
      <c r="F5" t="s">
        <v>332</v>
      </c>
    </row>
    <row r="6" spans="1:6" x14ac:dyDescent="0.25">
      <c r="A6" t="s">
        <v>47</v>
      </c>
      <c r="B6" t="s">
        <v>133</v>
      </c>
      <c r="C6" t="s">
        <v>134</v>
      </c>
      <c r="D6" s="65">
        <v>15725195.427215084</v>
      </c>
      <c r="E6" t="s">
        <v>1</v>
      </c>
      <c r="F6" t="s">
        <v>332</v>
      </c>
    </row>
    <row r="7" spans="1:6" x14ac:dyDescent="0.25">
      <c r="A7" t="s">
        <v>67</v>
      </c>
      <c r="B7" t="s">
        <v>126</v>
      </c>
      <c r="C7" t="s">
        <v>127</v>
      </c>
      <c r="D7" s="65">
        <v>16787309.880206078</v>
      </c>
      <c r="E7" t="s">
        <v>1</v>
      </c>
      <c r="F7" t="s">
        <v>332</v>
      </c>
    </row>
    <row r="8" spans="1:6" x14ac:dyDescent="0.25">
      <c r="A8" t="s">
        <v>56</v>
      </c>
      <c r="B8" t="s">
        <v>135</v>
      </c>
      <c r="C8" t="s">
        <v>136</v>
      </c>
      <c r="D8" s="65">
        <v>16992209.983469512</v>
      </c>
      <c r="E8" t="s">
        <v>1</v>
      </c>
      <c r="F8" t="s">
        <v>332</v>
      </c>
    </row>
    <row r="9" spans="1:6" x14ac:dyDescent="0.25">
      <c r="A9" t="s">
        <v>47</v>
      </c>
      <c r="B9" t="s">
        <v>102</v>
      </c>
      <c r="C9" t="s">
        <v>103</v>
      </c>
      <c r="D9" s="65">
        <v>17728222.758829355</v>
      </c>
      <c r="E9" t="s">
        <v>1</v>
      </c>
      <c r="F9" t="s">
        <v>332</v>
      </c>
    </row>
    <row r="10" spans="1:6" x14ac:dyDescent="0.25">
      <c r="A10" t="s">
        <v>56</v>
      </c>
      <c r="B10" t="s">
        <v>61</v>
      </c>
      <c r="C10" t="s">
        <v>62</v>
      </c>
      <c r="D10" s="65">
        <v>18246536.21811191</v>
      </c>
      <c r="E10" t="s">
        <v>1</v>
      </c>
      <c r="F10" t="s">
        <v>332</v>
      </c>
    </row>
    <row r="11" spans="1:6" x14ac:dyDescent="0.25">
      <c r="A11" t="s">
        <v>56</v>
      </c>
      <c r="B11" t="s">
        <v>146</v>
      </c>
      <c r="C11" t="s">
        <v>147</v>
      </c>
      <c r="D11" s="65">
        <v>19161668.540912792</v>
      </c>
      <c r="E11" t="s">
        <v>1</v>
      </c>
      <c r="F11" t="s">
        <v>332</v>
      </c>
    </row>
    <row r="12" spans="1:6" x14ac:dyDescent="0.25">
      <c r="A12" t="s">
        <v>52</v>
      </c>
      <c r="B12" t="s">
        <v>50</v>
      </c>
      <c r="C12" t="s">
        <v>51</v>
      </c>
      <c r="D12" s="65">
        <v>21214015.541067798</v>
      </c>
      <c r="E12" t="s">
        <v>1</v>
      </c>
      <c r="F12" t="s">
        <v>332</v>
      </c>
    </row>
    <row r="13" spans="1:6" x14ac:dyDescent="0.25">
      <c r="A13" t="s">
        <v>78</v>
      </c>
      <c r="B13" t="s">
        <v>88</v>
      </c>
      <c r="C13" t="s">
        <v>89</v>
      </c>
      <c r="D13" s="65">
        <v>21460035.722519327</v>
      </c>
      <c r="E13" t="s">
        <v>1</v>
      </c>
      <c r="F13" t="s">
        <v>332</v>
      </c>
    </row>
    <row r="14" spans="1:6" x14ac:dyDescent="0.25">
      <c r="A14" t="s">
        <v>81</v>
      </c>
      <c r="B14" t="s">
        <v>96</v>
      </c>
      <c r="C14" t="s">
        <v>97</v>
      </c>
      <c r="D14" s="65">
        <v>22180390.147453431</v>
      </c>
      <c r="E14" t="s">
        <v>1</v>
      </c>
      <c r="F14" t="s">
        <v>332</v>
      </c>
    </row>
    <row r="15" spans="1:6" x14ac:dyDescent="0.25">
      <c r="A15" t="s">
        <v>47</v>
      </c>
      <c r="B15" t="s">
        <v>45</v>
      </c>
      <c r="C15" t="s">
        <v>46</v>
      </c>
      <c r="D15" s="65">
        <v>22555247.64406348</v>
      </c>
      <c r="E15" t="s">
        <v>1</v>
      </c>
      <c r="F15" t="s">
        <v>332</v>
      </c>
    </row>
    <row r="16" spans="1:6" x14ac:dyDescent="0.25">
      <c r="A16" t="s">
        <v>47</v>
      </c>
      <c r="B16" t="s">
        <v>70</v>
      </c>
      <c r="C16" t="s">
        <v>71</v>
      </c>
      <c r="D16" s="65">
        <v>26660169.021637071</v>
      </c>
      <c r="E16" t="s">
        <v>1</v>
      </c>
      <c r="F16" t="s">
        <v>332</v>
      </c>
    </row>
    <row r="17" spans="1:6" x14ac:dyDescent="0.25">
      <c r="A17" t="s">
        <v>81</v>
      </c>
      <c r="B17" t="s">
        <v>98</v>
      </c>
      <c r="C17" t="s">
        <v>99</v>
      </c>
      <c r="D17" s="65">
        <v>27456073.173934333</v>
      </c>
      <c r="E17" t="s">
        <v>1</v>
      </c>
      <c r="F17" t="s">
        <v>332</v>
      </c>
    </row>
    <row r="18" spans="1:6" x14ac:dyDescent="0.25">
      <c r="A18" t="s">
        <v>78</v>
      </c>
      <c r="B18" t="s">
        <v>76</v>
      </c>
      <c r="C18" t="s">
        <v>77</v>
      </c>
      <c r="D18" s="65">
        <v>27725249.014713481</v>
      </c>
      <c r="E18" t="s">
        <v>1</v>
      </c>
      <c r="F18" t="s">
        <v>332</v>
      </c>
    </row>
    <row r="19" spans="1:6" x14ac:dyDescent="0.25">
      <c r="A19" t="s">
        <v>78</v>
      </c>
      <c r="B19" t="s">
        <v>124</v>
      </c>
      <c r="C19" t="s">
        <v>125</v>
      </c>
      <c r="D19" s="65">
        <v>30803534.27094936</v>
      </c>
      <c r="E19" t="s">
        <v>1</v>
      </c>
      <c r="F19" t="s">
        <v>332</v>
      </c>
    </row>
    <row r="20" spans="1:6" x14ac:dyDescent="0.25">
      <c r="A20" t="s">
        <v>56</v>
      </c>
      <c r="B20" t="s">
        <v>118</v>
      </c>
      <c r="C20" t="s">
        <v>119</v>
      </c>
      <c r="D20" s="65">
        <v>33966081.381798096</v>
      </c>
      <c r="E20" t="s">
        <v>1</v>
      </c>
      <c r="F20" t="s">
        <v>332</v>
      </c>
    </row>
    <row r="21" spans="1:6" x14ac:dyDescent="0.25">
      <c r="A21" t="s">
        <v>56</v>
      </c>
      <c r="B21" t="s">
        <v>59</v>
      </c>
      <c r="C21" t="s">
        <v>60</v>
      </c>
      <c r="D21" s="65">
        <v>40090079.851903327</v>
      </c>
      <c r="E21" t="s">
        <v>1</v>
      </c>
      <c r="F21" t="s">
        <v>332</v>
      </c>
    </row>
    <row r="22" spans="1:6" x14ac:dyDescent="0.25">
      <c r="A22" t="s">
        <v>67</v>
      </c>
      <c r="B22" t="s">
        <v>131</v>
      </c>
      <c r="C22" t="s">
        <v>132</v>
      </c>
      <c r="D22" s="65">
        <v>46357102.657918595</v>
      </c>
      <c r="E22" t="s">
        <v>1</v>
      </c>
      <c r="F22" t="s">
        <v>332</v>
      </c>
    </row>
    <row r="23" spans="1:6" x14ac:dyDescent="0.25">
      <c r="A23" t="s">
        <v>78</v>
      </c>
      <c r="B23" t="s">
        <v>94</v>
      </c>
      <c r="C23" t="s">
        <v>95</v>
      </c>
      <c r="D23" s="65">
        <v>49402673.58369188</v>
      </c>
      <c r="E23" t="s">
        <v>1</v>
      </c>
      <c r="F23" t="s">
        <v>332</v>
      </c>
    </row>
    <row r="24" spans="1:6" x14ac:dyDescent="0.25">
      <c r="A24" t="s">
        <v>56</v>
      </c>
      <c r="B24" t="s">
        <v>114</v>
      </c>
      <c r="C24" t="s">
        <v>115</v>
      </c>
      <c r="D24" s="65">
        <v>53070289.916254446</v>
      </c>
      <c r="E24" t="s">
        <v>2</v>
      </c>
      <c r="F24" t="s">
        <v>10</v>
      </c>
    </row>
    <row r="25" spans="1:6" x14ac:dyDescent="0.25">
      <c r="A25" t="s">
        <v>67</v>
      </c>
      <c r="B25" t="s">
        <v>120</v>
      </c>
      <c r="C25" t="s">
        <v>121</v>
      </c>
      <c r="D25" s="65">
        <v>53615502.103022844</v>
      </c>
      <c r="E25" t="s">
        <v>2</v>
      </c>
      <c r="F25" t="s">
        <v>10</v>
      </c>
    </row>
    <row r="26" spans="1:6" x14ac:dyDescent="0.25">
      <c r="A26" t="s">
        <v>56</v>
      </c>
      <c r="B26" t="s">
        <v>54</v>
      </c>
      <c r="C26" t="s">
        <v>55</v>
      </c>
      <c r="D26" s="65">
        <v>60884204.031195752</v>
      </c>
      <c r="E26" t="s">
        <v>2</v>
      </c>
      <c r="F26" t="s">
        <v>10</v>
      </c>
    </row>
    <row r="27" spans="1:6" x14ac:dyDescent="0.25">
      <c r="A27" t="s">
        <v>56</v>
      </c>
      <c r="B27" t="s">
        <v>63</v>
      </c>
      <c r="C27" t="s">
        <v>64</v>
      </c>
      <c r="D27" s="65">
        <v>61343721.540751912</v>
      </c>
      <c r="E27" t="s">
        <v>2</v>
      </c>
      <c r="F27" t="s">
        <v>10</v>
      </c>
    </row>
    <row r="28" spans="1:6" x14ac:dyDescent="0.25">
      <c r="A28" t="s">
        <v>56</v>
      </c>
      <c r="B28" t="s">
        <v>82</v>
      </c>
      <c r="C28" t="s">
        <v>83</v>
      </c>
      <c r="D28" s="65">
        <v>65661153.211977176</v>
      </c>
      <c r="E28" t="s">
        <v>2</v>
      </c>
      <c r="F28" t="s">
        <v>10</v>
      </c>
    </row>
    <row r="29" spans="1:6" x14ac:dyDescent="0.25">
      <c r="A29" t="s">
        <v>78</v>
      </c>
      <c r="B29" t="s">
        <v>86</v>
      </c>
      <c r="C29" t="s">
        <v>87</v>
      </c>
      <c r="D29" s="65">
        <v>69730537.690670624</v>
      </c>
      <c r="E29" t="s">
        <v>2</v>
      </c>
      <c r="F29" t="s">
        <v>10</v>
      </c>
    </row>
    <row r="30" spans="1:6" x14ac:dyDescent="0.25">
      <c r="A30" t="s">
        <v>56</v>
      </c>
      <c r="B30" t="s">
        <v>68</v>
      </c>
      <c r="C30" t="s">
        <v>69</v>
      </c>
      <c r="D30" s="65">
        <v>70113756.894121304</v>
      </c>
      <c r="E30" t="s">
        <v>2</v>
      </c>
      <c r="F30" t="s">
        <v>10</v>
      </c>
    </row>
    <row r="31" spans="1:6" x14ac:dyDescent="0.25">
      <c r="A31" t="s">
        <v>56</v>
      </c>
      <c r="B31" t="s">
        <v>106</v>
      </c>
      <c r="C31" t="s">
        <v>107</v>
      </c>
      <c r="D31" s="65">
        <v>76960213.620514527</v>
      </c>
      <c r="E31" t="s">
        <v>2</v>
      </c>
      <c r="F31" t="s">
        <v>10</v>
      </c>
    </row>
    <row r="32" spans="1:6" x14ac:dyDescent="0.25">
      <c r="A32" t="s">
        <v>81</v>
      </c>
      <c r="B32" t="s">
        <v>90</v>
      </c>
      <c r="C32" t="s">
        <v>91</v>
      </c>
      <c r="D32" s="65">
        <v>79325004.615148187</v>
      </c>
      <c r="E32" t="s">
        <v>2</v>
      </c>
      <c r="F32" t="s">
        <v>10</v>
      </c>
    </row>
    <row r="33" spans="1:6" x14ac:dyDescent="0.25">
      <c r="A33" t="s">
        <v>81</v>
      </c>
      <c r="B33" t="s">
        <v>112</v>
      </c>
      <c r="C33" t="s">
        <v>113</v>
      </c>
      <c r="D33" s="65">
        <v>80114740.788858518</v>
      </c>
      <c r="E33" t="s">
        <v>2</v>
      </c>
      <c r="F33" t="s">
        <v>10</v>
      </c>
    </row>
    <row r="34" spans="1:6" x14ac:dyDescent="0.25">
      <c r="A34" t="s">
        <v>47</v>
      </c>
      <c r="B34" t="s">
        <v>116</v>
      </c>
      <c r="C34" t="s">
        <v>117</v>
      </c>
      <c r="D34" s="65">
        <v>82722604.575919479</v>
      </c>
      <c r="E34" t="s">
        <v>2</v>
      </c>
      <c r="F34" t="s">
        <v>10</v>
      </c>
    </row>
    <row r="35" spans="1:6" x14ac:dyDescent="0.25">
      <c r="A35" t="s">
        <v>52</v>
      </c>
      <c r="B35" t="s">
        <v>122</v>
      </c>
      <c r="C35" t="s">
        <v>123</v>
      </c>
      <c r="D35" s="65">
        <v>116953789.27613327</v>
      </c>
      <c r="E35" t="s">
        <v>3</v>
      </c>
      <c r="F35" t="s">
        <v>11</v>
      </c>
    </row>
    <row r="36" spans="1:6" x14ac:dyDescent="0.25">
      <c r="A36" t="s">
        <v>67</v>
      </c>
      <c r="B36" t="s">
        <v>72</v>
      </c>
      <c r="C36" t="s">
        <v>73</v>
      </c>
      <c r="D36" s="65">
        <v>163164013.99592379</v>
      </c>
      <c r="E36" t="s">
        <v>3</v>
      </c>
      <c r="F36" t="s">
        <v>11</v>
      </c>
    </row>
    <row r="37" spans="1:6" x14ac:dyDescent="0.25">
      <c r="A37" t="s">
        <v>67</v>
      </c>
      <c r="B37" t="s">
        <v>128</v>
      </c>
      <c r="C37" t="s">
        <v>129</v>
      </c>
      <c r="D37" s="65">
        <v>220598254.48112068</v>
      </c>
      <c r="E37" t="s">
        <v>3</v>
      </c>
      <c r="F37" t="s">
        <v>11</v>
      </c>
    </row>
    <row r="38" spans="1:6" x14ac:dyDescent="0.25">
      <c r="A38" t="s">
        <v>67</v>
      </c>
      <c r="B38" t="s">
        <v>65</v>
      </c>
      <c r="C38" t="s">
        <v>66</v>
      </c>
      <c r="D38" s="65">
        <v>256687976.41005611</v>
      </c>
      <c r="E38" t="s">
        <v>3</v>
      </c>
      <c r="F3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regras</vt:lpstr>
      <vt:lpstr>Indicadores</vt:lpstr>
      <vt:lpstr>tempo de casa</vt:lpstr>
      <vt:lpstr>captacao_1sem</vt:lpstr>
      <vt:lpstr>captacao_2sem</vt:lpstr>
      <vt:lpstr>receita_1sem</vt:lpstr>
      <vt:lpstr>receita_2sem</vt:lpstr>
      <vt:lpstr>captacao_total_2025</vt:lpstr>
      <vt:lpstr>receita_total_2025</vt:lpstr>
      <vt:lpstr>Planilha2</vt:lpstr>
      <vt:lpstr>POSITIVADOR</vt:lpstr>
      <vt:lpstr>impacto_financeiro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FILIPE VALENTE</dc:creator>
  <cp:lastModifiedBy>Rafael Brandão</cp:lastModifiedBy>
  <dcterms:created xsi:type="dcterms:W3CDTF">2026-01-19T22:15:18Z</dcterms:created>
  <dcterms:modified xsi:type="dcterms:W3CDTF">2026-01-27T18:11:39Z</dcterms:modified>
</cp:coreProperties>
</file>